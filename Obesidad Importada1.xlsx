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aria Constanza\Desktop\Github\"/>
    </mc:Choice>
  </mc:AlternateContent>
  <bookViews>
    <workbookView xWindow="0" yWindow="0" windowWidth="20490" windowHeight="7620" activeTab="2"/>
  </bookViews>
  <sheets>
    <sheet name="Datos" sheetId="1" r:id="rId1"/>
    <sheet name="Tablas Dinamicas" sheetId="2" r:id="rId2"/>
    <sheet name="Dashboard" sheetId="3" r:id="rId3"/>
  </sheets>
  <definedNames>
    <definedName name="_xlnm._FilterDatabase" localSheetId="0" hidden="1">Datos!$AC$1:$AC$2112</definedName>
    <definedName name="obesity" localSheetId="0">Datos!$A$1:$AR$2112</definedName>
    <definedName name="SegmentaciónDeDatos_Edad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" i="1"/>
  <c r="V3" i="1" l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" i="1"/>
  <c r="W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P1060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P1087" i="1" s="1"/>
  <c r="O1088" i="1"/>
  <c r="P1088" i="1" s="1"/>
  <c r="O1089" i="1"/>
  <c r="P1089" i="1" s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P1119" i="1" s="1"/>
  <c r="O1120" i="1"/>
  <c r="P1120" i="1" s="1"/>
  <c r="O1121" i="1"/>
  <c r="P1121" i="1" s="1"/>
  <c r="O1122" i="1"/>
  <c r="P1122" i="1" s="1"/>
  <c r="O1123" i="1"/>
  <c r="P1123" i="1" s="1"/>
  <c r="O1124" i="1"/>
  <c r="P1124" i="1" s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P1135" i="1" s="1"/>
  <c r="O1136" i="1"/>
  <c r="P1136" i="1" s="1"/>
  <c r="O1137" i="1"/>
  <c r="P1137" i="1" s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P1183" i="1" s="1"/>
  <c r="O1184" i="1"/>
  <c r="P1184" i="1" s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1202" i="1"/>
  <c r="P1202" i="1" s="1"/>
  <c r="O1203" i="1"/>
  <c r="P1203" i="1" s="1"/>
  <c r="O1204" i="1"/>
  <c r="P1204" i="1" s="1"/>
  <c r="O1205" i="1"/>
  <c r="P1205" i="1" s="1"/>
  <c r="O1206" i="1"/>
  <c r="P1206" i="1" s="1"/>
  <c r="O1207" i="1"/>
  <c r="P1207" i="1" s="1"/>
  <c r="O1208" i="1"/>
  <c r="P1208" i="1" s="1"/>
  <c r="O1209" i="1"/>
  <c r="P1209" i="1" s="1"/>
  <c r="O1210" i="1"/>
  <c r="P1210" i="1" s="1"/>
  <c r="O1211" i="1"/>
  <c r="P1211" i="1" s="1"/>
  <c r="O1212" i="1"/>
  <c r="P1212" i="1" s="1"/>
  <c r="O1213" i="1"/>
  <c r="P1213" i="1" s="1"/>
  <c r="O1214" i="1"/>
  <c r="P1214" i="1" s="1"/>
  <c r="O1215" i="1"/>
  <c r="P1215" i="1" s="1"/>
  <c r="O1216" i="1"/>
  <c r="P1216" i="1" s="1"/>
  <c r="O1217" i="1"/>
  <c r="P1217" i="1" s="1"/>
  <c r="O1218" i="1"/>
  <c r="P1218" i="1" s="1"/>
  <c r="O1219" i="1"/>
  <c r="P1219" i="1" s="1"/>
  <c r="O1220" i="1"/>
  <c r="P1220" i="1" s="1"/>
  <c r="O1221" i="1"/>
  <c r="P1221" i="1" s="1"/>
  <c r="O1222" i="1"/>
  <c r="P1222" i="1" s="1"/>
  <c r="O1223" i="1"/>
  <c r="P1223" i="1" s="1"/>
  <c r="O1224" i="1"/>
  <c r="P1224" i="1" s="1"/>
  <c r="O1225" i="1"/>
  <c r="P1225" i="1" s="1"/>
  <c r="O1226" i="1"/>
  <c r="P1226" i="1" s="1"/>
  <c r="O1227" i="1"/>
  <c r="P1227" i="1" s="1"/>
  <c r="O1228" i="1"/>
  <c r="P1228" i="1" s="1"/>
  <c r="O1229" i="1"/>
  <c r="P1229" i="1" s="1"/>
  <c r="O1230" i="1"/>
  <c r="P1230" i="1" s="1"/>
  <c r="O1231" i="1"/>
  <c r="P1231" i="1" s="1"/>
  <c r="O1232" i="1"/>
  <c r="P1232" i="1" s="1"/>
  <c r="O1233" i="1"/>
  <c r="P1233" i="1" s="1"/>
  <c r="O1234" i="1"/>
  <c r="P1234" i="1" s="1"/>
  <c r="O1235" i="1"/>
  <c r="P1235" i="1" s="1"/>
  <c r="O1236" i="1"/>
  <c r="P1236" i="1" s="1"/>
  <c r="O1237" i="1"/>
  <c r="P1237" i="1" s="1"/>
  <c r="O1238" i="1"/>
  <c r="P1238" i="1" s="1"/>
  <c r="O1239" i="1"/>
  <c r="P1239" i="1" s="1"/>
  <c r="O1240" i="1"/>
  <c r="P1240" i="1" s="1"/>
  <c r="O1241" i="1"/>
  <c r="P1241" i="1" s="1"/>
  <c r="O1242" i="1"/>
  <c r="P1242" i="1" s="1"/>
  <c r="O1243" i="1"/>
  <c r="P1243" i="1" s="1"/>
  <c r="O1244" i="1"/>
  <c r="P1244" i="1" s="1"/>
  <c r="O1245" i="1"/>
  <c r="P1245" i="1" s="1"/>
  <c r="O1246" i="1"/>
  <c r="P1246" i="1" s="1"/>
  <c r="O1247" i="1"/>
  <c r="P1247" i="1" s="1"/>
  <c r="O1248" i="1"/>
  <c r="P1248" i="1" s="1"/>
  <c r="O1249" i="1"/>
  <c r="P1249" i="1" s="1"/>
  <c r="O1250" i="1"/>
  <c r="P1250" i="1" s="1"/>
  <c r="O1251" i="1"/>
  <c r="P1251" i="1" s="1"/>
  <c r="O1252" i="1"/>
  <c r="P1252" i="1" s="1"/>
  <c r="O1253" i="1"/>
  <c r="P1253" i="1" s="1"/>
  <c r="O1254" i="1"/>
  <c r="P1254" i="1" s="1"/>
  <c r="O1255" i="1"/>
  <c r="P1255" i="1" s="1"/>
  <c r="O1256" i="1"/>
  <c r="P1256" i="1" s="1"/>
  <c r="O1257" i="1"/>
  <c r="P1257" i="1" s="1"/>
  <c r="O1258" i="1"/>
  <c r="P1258" i="1" s="1"/>
  <c r="O1259" i="1"/>
  <c r="P1259" i="1" s="1"/>
  <c r="O1260" i="1"/>
  <c r="P1260" i="1" s="1"/>
  <c r="O1261" i="1"/>
  <c r="P1261" i="1" s="1"/>
  <c r="O1262" i="1"/>
  <c r="P1262" i="1" s="1"/>
  <c r="O1263" i="1"/>
  <c r="P1263" i="1" s="1"/>
  <c r="O1264" i="1"/>
  <c r="P1264" i="1" s="1"/>
  <c r="O1265" i="1"/>
  <c r="P1265" i="1" s="1"/>
  <c r="O1266" i="1"/>
  <c r="P1266" i="1" s="1"/>
  <c r="O1267" i="1"/>
  <c r="P1267" i="1" s="1"/>
  <c r="O1268" i="1"/>
  <c r="P1268" i="1" s="1"/>
  <c r="O1269" i="1"/>
  <c r="P1269" i="1" s="1"/>
  <c r="O1270" i="1"/>
  <c r="P1270" i="1" s="1"/>
  <c r="O1271" i="1"/>
  <c r="P1271" i="1" s="1"/>
  <c r="O1272" i="1"/>
  <c r="P1272" i="1" s="1"/>
  <c r="O1273" i="1"/>
  <c r="P1273" i="1" s="1"/>
  <c r="O1274" i="1"/>
  <c r="P1274" i="1" s="1"/>
  <c r="O1275" i="1"/>
  <c r="P1275" i="1" s="1"/>
  <c r="O1276" i="1"/>
  <c r="P1276" i="1" s="1"/>
  <c r="O1277" i="1"/>
  <c r="P1277" i="1" s="1"/>
  <c r="O1278" i="1"/>
  <c r="P1278" i="1" s="1"/>
  <c r="O1279" i="1"/>
  <c r="P1279" i="1" s="1"/>
  <c r="O1280" i="1"/>
  <c r="P1280" i="1" s="1"/>
  <c r="O1281" i="1"/>
  <c r="P1281" i="1" s="1"/>
  <c r="O1282" i="1"/>
  <c r="P1282" i="1" s="1"/>
  <c r="O1283" i="1"/>
  <c r="P1283" i="1" s="1"/>
  <c r="O1284" i="1"/>
  <c r="P1284" i="1" s="1"/>
  <c r="O1285" i="1"/>
  <c r="P1285" i="1" s="1"/>
  <c r="O1286" i="1"/>
  <c r="P1286" i="1" s="1"/>
  <c r="O1287" i="1"/>
  <c r="P1287" i="1" s="1"/>
  <c r="O1288" i="1"/>
  <c r="P1288" i="1" s="1"/>
  <c r="O1289" i="1"/>
  <c r="P1289" i="1" s="1"/>
  <c r="O1290" i="1"/>
  <c r="P1290" i="1" s="1"/>
  <c r="O1291" i="1"/>
  <c r="P1291" i="1" s="1"/>
  <c r="O1292" i="1"/>
  <c r="P1292" i="1" s="1"/>
  <c r="O1293" i="1"/>
  <c r="P1293" i="1" s="1"/>
  <c r="O1294" i="1"/>
  <c r="P1294" i="1" s="1"/>
  <c r="O1295" i="1"/>
  <c r="P1295" i="1" s="1"/>
  <c r="O1296" i="1"/>
  <c r="P1296" i="1" s="1"/>
  <c r="O1297" i="1"/>
  <c r="P1297" i="1" s="1"/>
  <c r="O1298" i="1"/>
  <c r="P1298" i="1" s="1"/>
  <c r="O1299" i="1"/>
  <c r="P1299" i="1" s="1"/>
  <c r="O1300" i="1"/>
  <c r="P1300" i="1" s="1"/>
  <c r="O1301" i="1"/>
  <c r="P1301" i="1" s="1"/>
  <c r="O1302" i="1"/>
  <c r="P1302" i="1" s="1"/>
  <c r="O1303" i="1"/>
  <c r="P1303" i="1" s="1"/>
  <c r="O1304" i="1"/>
  <c r="P1304" i="1" s="1"/>
  <c r="O1305" i="1"/>
  <c r="P1305" i="1" s="1"/>
  <c r="O1306" i="1"/>
  <c r="P1306" i="1" s="1"/>
  <c r="O1307" i="1"/>
  <c r="P1307" i="1" s="1"/>
  <c r="O1308" i="1"/>
  <c r="P1308" i="1" s="1"/>
  <c r="O1309" i="1"/>
  <c r="P1309" i="1" s="1"/>
  <c r="O1310" i="1"/>
  <c r="P1310" i="1" s="1"/>
  <c r="O1311" i="1"/>
  <c r="P1311" i="1" s="1"/>
  <c r="O1312" i="1"/>
  <c r="P1312" i="1" s="1"/>
  <c r="O1313" i="1"/>
  <c r="P1313" i="1" s="1"/>
  <c r="O1314" i="1"/>
  <c r="P1314" i="1" s="1"/>
  <c r="O1315" i="1"/>
  <c r="P1315" i="1" s="1"/>
  <c r="O1316" i="1"/>
  <c r="P1316" i="1" s="1"/>
  <c r="O1317" i="1"/>
  <c r="P1317" i="1" s="1"/>
  <c r="O1318" i="1"/>
  <c r="P1318" i="1" s="1"/>
  <c r="O1319" i="1"/>
  <c r="P1319" i="1" s="1"/>
  <c r="O1320" i="1"/>
  <c r="P1320" i="1" s="1"/>
  <c r="O1321" i="1"/>
  <c r="P1321" i="1" s="1"/>
  <c r="O1322" i="1"/>
  <c r="P1322" i="1" s="1"/>
  <c r="O1323" i="1"/>
  <c r="P1323" i="1" s="1"/>
  <c r="O1324" i="1"/>
  <c r="P1324" i="1" s="1"/>
  <c r="O1325" i="1"/>
  <c r="P1325" i="1" s="1"/>
  <c r="O1326" i="1"/>
  <c r="P1326" i="1" s="1"/>
  <c r="O1327" i="1"/>
  <c r="P1327" i="1" s="1"/>
  <c r="O1328" i="1"/>
  <c r="P1328" i="1" s="1"/>
  <c r="O1329" i="1"/>
  <c r="P1329" i="1" s="1"/>
  <c r="O1330" i="1"/>
  <c r="P1330" i="1" s="1"/>
  <c r="O1331" i="1"/>
  <c r="P1331" i="1" s="1"/>
  <c r="O1332" i="1"/>
  <c r="P1332" i="1" s="1"/>
  <c r="O1333" i="1"/>
  <c r="P1333" i="1" s="1"/>
  <c r="O1334" i="1"/>
  <c r="P1334" i="1" s="1"/>
  <c r="O1335" i="1"/>
  <c r="P1335" i="1" s="1"/>
  <c r="O1336" i="1"/>
  <c r="P1336" i="1" s="1"/>
  <c r="O1337" i="1"/>
  <c r="P1337" i="1" s="1"/>
  <c r="O1338" i="1"/>
  <c r="P1338" i="1" s="1"/>
  <c r="O1339" i="1"/>
  <c r="P1339" i="1" s="1"/>
  <c r="O1340" i="1"/>
  <c r="P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P1346" i="1" s="1"/>
  <c r="O1347" i="1"/>
  <c r="P1347" i="1" s="1"/>
  <c r="O1348" i="1"/>
  <c r="P1348" i="1" s="1"/>
  <c r="O1349" i="1"/>
  <c r="P1349" i="1" s="1"/>
  <c r="O1350" i="1"/>
  <c r="P1350" i="1" s="1"/>
  <c r="O1351" i="1"/>
  <c r="P1351" i="1" s="1"/>
  <c r="O1352" i="1"/>
  <c r="P1352" i="1" s="1"/>
  <c r="O1353" i="1"/>
  <c r="P1353" i="1" s="1"/>
  <c r="O1354" i="1"/>
  <c r="P1354" i="1" s="1"/>
  <c r="O1355" i="1"/>
  <c r="P1355" i="1" s="1"/>
  <c r="O1356" i="1"/>
  <c r="P1356" i="1" s="1"/>
  <c r="O1357" i="1"/>
  <c r="P1357" i="1" s="1"/>
  <c r="O1358" i="1"/>
  <c r="P1358" i="1" s="1"/>
  <c r="O1359" i="1"/>
  <c r="P1359" i="1" s="1"/>
  <c r="O1360" i="1"/>
  <c r="P1360" i="1" s="1"/>
  <c r="O1361" i="1"/>
  <c r="P1361" i="1" s="1"/>
  <c r="O1362" i="1"/>
  <c r="P1362" i="1" s="1"/>
  <c r="O1363" i="1"/>
  <c r="P1363" i="1" s="1"/>
  <c r="O1364" i="1"/>
  <c r="P1364" i="1" s="1"/>
  <c r="O1365" i="1"/>
  <c r="P1365" i="1" s="1"/>
  <c r="O1366" i="1"/>
  <c r="P1366" i="1" s="1"/>
  <c r="O1367" i="1"/>
  <c r="P1367" i="1" s="1"/>
  <c r="O1368" i="1"/>
  <c r="P1368" i="1" s="1"/>
  <c r="O1369" i="1"/>
  <c r="P1369" i="1" s="1"/>
  <c r="O1370" i="1"/>
  <c r="P1370" i="1" s="1"/>
  <c r="O1371" i="1"/>
  <c r="P1371" i="1" s="1"/>
  <c r="O1372" i="1"/>
  <c r="P1372" i="1" s="1"/>
  <c r="O1373" i="1"/>
  <c r="P1373" i="1" s="1"/>
  <c r="O1374" i="1"/>
  <c r="P1374" i="1" s="1"/>
  <c r="O1375" i="1"/>
  <c r="P1375" i="1" s="1"/>
  <c r="O1376" i="1"/>
  <c r="P1376" i="1" s="1"/>
  <c r="O1377" i="1"/>
  <c r="P1377" i="1" s="1"/>
  <c r="O1378" i="1"/>
  <c r="P1378" i="1" s="1"/>
  <c r="O1379" i="1"/>
  <c r="P1379" i="1" s="1"/>
  <c r="O1380" i="1"/>
  <c r="P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P1386" i="1" s="1"/>
  <c r="O1387" i="1"/>
  <c r="P1387" i="1" s="1"/>
  <c r="O1388" i="1"/>
  <c r="P1388" i="1" s="1"/>
  <c r="O1389" i="1"/>
  <c r="P1389" i="1" s="1"/>
  <c r="O1390" i="1"/>
  <c r="P1390" i="1" s="1"/>
  <c r="O1391" i="1"/>
  <c r="P1391" i="1" s="1"/>
  <c r="O1392" i="1"/>
  <c r="P1392" i="1" s="1"/>
  <c r="O1393" i="1"/>
  <c r="P1393" i="1" s="1"/>
  <c r="O1394" i="1"/>
  <c r="P1394" i="1" s="1"/>
  <c r="O1395" i="1"/>
  <c r="P1395" i="1" s="1"/>
  <c r="O1396" i="1"/>
  <c r="P1396" i="1" s="1"/>
  <c r="O1397" i="1"/>
  <c r="P1397" i="1" s="1"/>
  <c r="O1398" i="1"/>
  <c r="P1398" i="1" s="1"/>
  <c r="O1399" i="1"/>
  <c r="P1399" i="1" s="1"/>
  <c r="O1400" i="1"/>
  <c r="P1400" i="1" s="1"/>
  <c r="O1401" i="1"/>
  <c r="P1401" i="1" s="1"/>
  <c r="O1402" i="1"/>
  <c r="P1402" i="1" s="1"/>
  <c r="O1403" i="1"/>
  <c r="P1403" i="1" s="1"/>
  <c r="O1404" i="1"/>
  <c r="P1404" i="1" s="1"/>
  <c r="O1405" i="1"/>
  <c r="P1405" i="1" s="1"/>
  <c r="O1406" i="1"/>
  <c r="P1406" i="1" s="1"/>
  <c r="O1407" i="1"/>
  <c r="P1407" i="1" s="1"/>
  <c r="O1408" i="1"/>
  <c r="P1408" i="1" s="1"/>
  <c r="O1409" i="1"/>
  <c r="P1409" i="1" s="1"/>
  <c r="O1410" i="1"/>
  <c r="P1410" i="1" s="1"/>
  <c r="O1411" i="1"/>
  <c r="P1411" i="1" s="1"/>
  <c r="O1412" i="1"/>
  <c r="P1412" i="1" s="1"/>
  <c r="O1413" i="1"/>
  <c r="P1413" i="1" s="1"/>
  <c r="O1414" i="1"/>
  <c r="P1414" i="1" s="1"/>
  <c r="O1415" i="1"/>
  <c r="P1415" i="1" s="1"/>
  <c r="O1416" i="1"/>
  <c r="P1416" i="1" s="1"/>
  <c r="O1417" i="1"/>
  <c r="P1417" i="1" s="1"/>
  <c r="O1418" i="1"/>
  <c r="P1418" i="1" s="1"/>
  <c r="O1419" i="1"/>
  <c r="P1419" i="1" s="1"/>
  <c r="O1420" i="1"/>
  <c r="P1420" i="1" s="1"/>
  <c r="O1421" i="1"/>
  <c r="P1421" i="1" s="1"/>
  <c r="O1422" i="1"/>
  <c r="P1422" i="1" s="1"/>
  <c r="O1423" i="1"/>
  <c r="P1423" i="1" s="1"/>
  <c r="O1424" i="1"/>
  <c r="P1424" i="1" s="1"/>
  <c r="O1425" i="1"/>
  <c r="P1425" i="1" s="1"/>
  <c r="O1426" i="1"/>
  <c r="P1426" i="1" s="1"/>
  <c r="O1427" i="1"/>
  <c r="P1427" i="1" s="1"/>
  <c r="O1428" i="1"/>
  <c r="P1428" i="1" s="1"/>
  <c r="O1429" i="1"/>
  <c r="P1429" i="1" s="1"/>
  <c r="O1430" i="1"/>
  <c r="P1430" i="1" s="1"/>
  <c r="O1431" i="1"/>
  <c r="P1431" i="1" s="1"/>
  <c r="O1432" i="1"/>
  <c r="P1432" i="1" s="1"/>
  <c r="O1433" i="1"/>
  <c r="P1433" i="1" s="1"/>
  <c r="O1434" i="1"/>
  <c r="P1434" i="1" s="1"/>
  <c r="O1435" i="1"/>
  <c r="P1435" i="1" s="1"/>
  <c r="O1436" i="1"/>
  <c r="P1436" i="1" s="1"/>
  <c r="O1437" i="1"/>
  <c r="P1437" i="1" s="1"/>
  <c r="O1438" i="1"/>
  <c r="P1438" i="1" s="1"/>
  <c r="O1439" i="1"/>
  <c r="P1439" i="1" s="1"/>
  <c r="O1440" i="1"/>
  <c r="P1440" i="1" s="1"/>
  <c r="O1441" i="1"/>
  <c r="P1441" i="1" s="1"/>
  <c r="O1442" i="1"/>
  <c r="P1442" i="1" s="1"/>
  <c r="O1443" i="1"/>
  <c r="P1443" i="1" s="1"/>
  <c r="O1444" i="1"/>
  <c r="P1444" i="1" s="1"/>
  <c r="O1445" i="1"/>
  <c r="P1445" i="1" s="1"/>
  <c r="O1446" i="1"/>
  <c r="P1446" i="1" s="1"/>
  <c r="O1447" i="1"/>
  <c r="P1447" i="1" s="1"/>
  <c r="O1448" i="1"/>
  <c r="P1448" i="1" s="1"/>
  <c r="O1449" i="1"/>
  <c r="P1449" i="1" s="1"/>
  <c r="O1450" i="1"/>
  <c r="P1450" i="1" s="1"/>
  <c r="O1451" i="1"/>
  <c r="P1451" i="1" s="1"/>
  <c r="O1452" i="1"/>
  <c r="P1452" i="1" s="1"/>
  <c r="O1453" i="1"/>
  <c r="P1453" i="1" s="1"/>
  <c r="O1454" i="1"/>
  <c r="P1454" i="1" s="1"/>
  <c r="O1455" i="1"/>
  <c r="P1455" i="1" s="1"/>
  <c r="O1456" i="1"/>
  <c r="P1456" i="1" s="1"/>
  <c r="O1457" i="1"/>
  <c r="P1457" i="1" s="1"/>
  <c r="O1458" i="1"/>
  <c r="P1458" i="1" s="1"/>
  <c r="O1459" i="1"/>
  <c r="P1459" i="1" s="1"/>
  <c r="O1460" i="1"/>
  <c r="P1460" i="1" s="1"/>
  <c r="O1461" i="1"/>
  <c r="P1461" i="1" s="1"/>
  <c r="O1462" i="1"/>
  <c r="P1462" i="1" s="1"/>
  <c r="O1463" i="1"/>
  <c r="P1463" i="1" s="1"/>
  <c r="O1464" i="1"/>
  <c r="P1464" i="1" s="1"/>
  <c r="O1465" i="1"/>
  <c r="P1465" i="1" s="1"/>
  <c r="O1466" i="1"/>
  <c r="P1466" i="1" s="1"/>
  <c r="O1467" i="1"/>
  <c r="P1467" i="1" s="1"/>
  <c r="O1468" i="1"/>
  <c r="P1468" i="1" s="1"/>
  <c r="O1469" i="1"/>
  <c r="P1469" i="1" s="1"/>
  <c r="O1470" i="1"/>
  <c r="P1470" i="1" s="1"/>
  <c r="O1471" i="1"/>
  <c r="P1471" i="1" s="1"/>
  <c r="O1472" i="1"/>
  <c r="P1472" i="1" s="1"/>
  <c r="O1473" i="1"/>
  <c r="P1473" i="1" s="1"/>
  <c r="O1474" i="1"/>
  <c r="P1474" i="1" s="1"/>
  <c r="O1475" i="1"/>
  <c r="P1475" i="1" s="1"/>
  <c r="O1476" i="1"/>
  <c r="P1476" i="1" s="1"/>
  <c r="O1477" i="1"/>
  <c r="P1477" i="1" s="1"/>
  <c r="O1478" i="1"/>
  <c r="P1478" i="1" s="1"/>
  <c r="O1479" i="1"/>
  <c r="P1479" i="1" s="1"/>
  <c r="O1480" i="1"/>
  <c r="P1480" i="1" s="1"/>
  <c r="O1481" i="1"/>
  <c r="P1481" i="1" s="1"/>
  <c r="O1482" i="1"/>
  <c r="P1482" i="1" s="1"/>
  <c r="O1483" i="1"/>
  <c r="P1483" i="1" s="1"/>
  <c r="O1484" i="1"/>
  <c r="P1484" i="1" s="1"/>
  <c r="O1485" i="1"/>
  <c r="P1485" i="1" s="1"/>
  <c r="O1486" i="1"/>
  <c r="P1486" i="1" s="1"/>
  <c r="O1487" i="1"/>
  <c r="P1487" i="1" s="1"/>
  <c r="O1488" i="1"/>
  <c r="P1488" i="1" s="1"/>
  <c r="O1489" i="1"/>
  <c r="P1489" i="1" s="1"/>
  <c r="O1490" i="1"/>
  <c r="P1490" i="1" s="1"/>
  <c r="O1491" i="1"/>
  <c r="P1491" i="1" s="1"/>
  <c r="O1492" i="1"/>
  <c r="P1492" i="1" s="1"/>
  <c r="O1493" i="1"/>
  <c r="P1493" i="1" s="1"/>
  <c r="O1494" i="1"/>
  <c r="P1494" i="1" s="1"/>
  <c r="O1495" i="1"/>
  <c r="P1495" i="1" s="1"/>
  <c r="O1496" i="1"/>
  <c r="P1496" i="1" s="1"/>
  <c r="O1497" i="1"/>
  <c r="P1497" i="1" s="1"/>
  <c r="O1498" i="1"/>
  <c r="P1498" i="1" s="1"/>
  <c r="O1499" i="1"/>
  <c r="P1499" i="1" s="1"/>
  <c r="O1500" i="1"/>
  <c r="P1500" i="1" s="1"/>
  <c r="O1501" i="1"/>
  <c r="P1501" i="1" s="1"/>
  <c r="O1502" i="1"/>
  <c r="P1502" i="1" s="1"/>
  <c r="O1503" i="1"/>
  <c r="P1503" i="1" s="1"/>
  <c r="O1504" i="1"/>
  <c r="P1504" i="1" s="1"/>
  <c r="O1505" i="1"/>
  <c r="P1505" i="1" s="1"/>
  <c r="O1506" i="1"/>
  <c r="P1506" i="1" s="1"/>
  <c r="O1507" i="1"/>
  <c r="P1507" i="1" s="1"/>
  <c r="O1508" i="1"/>
  <c r="P1508" i="1" s="1"/>
  <c r="O1509" i="1"/>
  <c r="P1509" i="1" s="1"/>
  <c r="O1510" i="1"/>
  <c r="P1510" i="1" s="1"/>
  <c r="O1511" i="1"/>
  <c r="P1511" i="1" s="1"/>
  <c r="O1512" i="1"/>
  <c r="P1512" i="1" s="1"/>
  <c r="O1513" i="1"/>
  <c r="P1513" i="1" s="1"/>
  <c r="O1514" i="1"/>
  <c r="P1514" i="1" s="1"/>
  <c r="O1515" i="1"/>
  <c r="P1515" i="1" s="1"/>
  <c r="O1516" i="1"/>
  <c r="P1516" i="1" s="1"/>
  <c r="O1517" i="1"/>
  <c r="P1517" i="1" s="1"/>
  <c r="O1518" i="1"/>
  <c r="P1518" i="1" s="1"/>
  <c r="O1519" i="1"/>
  <c r="P1519" i="1" s="1"/>
  <c r="O1520" i="1"/>
  <c r="P1520" i="1" s="1"/>
  <c r="O1521" i="1"/>
  <c r="P1521" i="1" s="1"/>
  <c r="O1522" i="1"/>
  <c r="P1522" i="1" s="1"/>
  <c r="O1523" i="1"/>
  <c r="P1523" i="1" s="1"/>
  <c r="O1524" i="1"/>
  <c r="P1524" i="1" s="1"/>
  <c r="O1525" i="1"/>
  <c r="P1525" i="1" s="1"/>
  <c r="O1526" i="1"/>
  <c r="P1526" i="1" s="1"/>
  <c r="O1527" i="1"/>
  <c r="P1527" i="1" s="1"/>
  <c r="O1528" i="1"/>
  <c r="P1528" i="1" s="1"/>
  <c r="O1529" i="1"/>
  <c r="P1529" i="1" s="1"/>
  <c r="O1530" i="1"/>
  <c r="P1530" i="1" s="1"/>
  <c r="O1531" i="1"/>
  <c r="P1531" i="1" s="1"/>
  <c r="O1532" i="1"/>
  <c r="P1532" i="1" s="1"/>
  <c r="O1533" i="1"/>
  <c r="P1533" i="1" s="1"/>
  <c r="O1534" i="1"/>
  <c r="P1534" i="1" s="1"/>
  <c r="O1535" i="1"/>
  <c r="P1535" i="1" s="1"/>
  <c r="O1536" i="1"/>
  <c r="P1536" i="1" s="1"/>
  <c r="O1537" i="1"/>
  <c r="P1537" i="1" s="1"/>
  <c r="O1538" i="1"/>
  <c r="P1538" i="1" s="1"/>
  <c r="O1539" i="1"/>
  <c r="P1539" i="1" s="1"/>
  <c r="O1540" i="1"/>
  <c r="P1540" i="1" s="1"/>
  <c r="O1541" i="1"/>
  <c r="P1541" i="1" s="1"/>
  <c r="O1542" i="1"/>
  <c r="P1542" i="1" s="1"/>
  <c r="O1543" i="1"/>
  <c r="P1543" i="1" s="1"/>
  <c r="O1544" i="1"/>
  <c r="P1544" i="1" s="1"/>
  <c r="O1545" i="1"/>
  <c r="P1545" i="1" s="1"/>
  <c r="O1546" i="1"/>
  <c r="P1546" i="1" s="1"/>
  <c r="O1547" i="1"/>
  <c r="P1547" i="1" s="1"/>
  <c r="O1548" i="1"/>
  <c r="P1548" i="1" s="1"/>
  <c r="O1549" i="1"/>
  <c r="P1549" i="1" s="1"/>
  <c r="O1550" i="1"/>
  <c r="P1550" i="1" s="1"/>
  <c r="O1551" i="1"/>
  <c r="P1551" i="1" s="1"/>
  <c r="O1552" i="1"/>
  <c r="P1552" i="1" s="1"/>
  <c r="O1553" i="1"/>
  <c r="P1553" i="1" s="1"/>
  <c r="O1554" i="1"/>
  <c r="P1554" i="1" s="1"/>
  <c r="O1555" i="1"/>
  <c r="P1555" i="1" s="1"/>
  <c r="O1556" i="1"/>
  <c r="P1556" i="1" s="1"/>
  <c r="O1557" i="1"/>
  <c r="P1557" i="1" s="1"/>
  <c r="O1558" i="1"/>
  <c r="P1558" i="1" s="1"/>
  <c r="O1559" i="1"/>
  <c r="P1559" i="1" s="1"/>
  <c r="O1560" i="1"/>
  <c r="P1560" i="1" s="1"/>
  <c r="O1561" i="1"/>
  <c r="P1561" i="1" s="1"/>
  <c r="O1562" i="1"/>
  <c r="P1562" i="1" s="1"/>
  <c r="O1563" i="1"/>
  <c r="P1563" i="1" s="1"/>
  <c r="O1564" i="1"/>
  <c r="P1564" i="1" s="1"/>
  <c r="O1565" i="1"/>
  <c r="P1565" i="1" s="1"/>
  <c r="O1566" i="1"/>
  <c r="P1566" i="1" s="1"/>
  <c r="O1567" i="1"/>
  <c r="P1567" i="1" s="1"/>
  <c r="O1568" i="1"/>
  <c r="P1568" i="1" s="1"/>
  <c r="O1569" i="1"/>
  <c r="P1569" i="1" s="1"/>
  <c r="O1570" i="1"/>
  <c r="P1570" i="1" s="1"/>
  <c r="O1571" i="1"/>
  <c r="P1571" i="1" s="1"/>
  <c r="O1572" i="1"/>
  <c r="P1572" i="1" s="1"/>
  <c r="O1573" i="1"/>
  <c r="P1573" i="1" s="1"/>
  <c r="O1574" i="1"/>
  <c r="P1574" i="1" s="1"/>
  <c r="O1575" i="1"/>
  <c r="P1575" i="1" s="1"/>
  <c r="O1576" i="1"/>
  <c r="P1576" i="1" s="1"/>
  <c r="O1577" i="1"/>
  <c r="P1577" i="1" s="1"/>
  <c r="O1578" i="1"/>
  <c r="P1578" i="1" s="1"/>
  <c r="O1579" i="1"/>
  <c r="P1579" i="1" s="1"/>
  <c r="O1580" i="1"/>
  <c r="P1580" i="1" s="1"/>
  <c r="O1581" i="1"/>
  <c r="P1581" i="1" s="1"/>
  <c r="O1582" i="1"/>
  <c r="P1582" i="1" s="1"/>
  <c r="O1583" i="1"/>
  <c r="P1583" i="1" s="1"/>
  <c r="O1584" i="1"/>
  <c r="P1584" i="1" s="1"/>
  <c r="O1585" i="1"/>
  <c r="P1585" i="1" s="1"/>
  <c r="O1586" i="1"/>
  <c r="P1586" i="1" s="1"/>
  <c r="O1587" i="1"/>
  <c r="P1587" i="1" s="1"/>
  <c r="O1588" i="1"/>
  <c r="P1588" i="1" s="1"/>
  <c r="O1589" i="1"/>
  <c r="P1589" i="1" s="1"/>
  <c r="O1590" i="1"/>
  <c r="P1590" i="1" s="1"/>
  <c r="O1591" i="1"/>
  <c r="P1591" i="1" s="1"/>
  <c r="O1592" i="1"/>
  <c r="P1592" i="1" s="1"/>
  <c r="O1593" i="1"/>
  <c r="P1593" i="1" s="1"/>
  <c r="O1594" i="1"/>
  <c r="P1594" i="1" s="1"/>
  <c r="O1595" i="1"/>
  <c r="P1595" i="1" s="1"/>
  <c r="O1596" i="1"/>
  <c r="P1596" i="1" s="1"/>
  <c r="O1597" i="1"/>
  <c r="P1597" i="1" s="1"/>
  <c r="O1598" i="1"/>
  <c r="P1598" i="1" s="1"/>
  <c r="O1599" i="1"/>
  <c r="P1599" i="1" s="1"/>
  <c r="O1600" i="1"/>
  <c r="P1600" i="1" s="1"/>
  <c r="O1601" i="1"/>
  <c r="P1601" i="1" s="1"/>
  <c r="O1602" i="1"/>
  <c r="P1602" i="1" s="1"/>
  <c r="O1603" i="1"/>
  <c r="P1603" i="1" s="1"/>
  <c r="O1604" i="1"/>
  <c r="P1604" i="1" s="1"/>
  <c r="O1605" i="1"/>
  <c r="P1605" i="1" s="1"/>
  <c r="O1606" i="1"/>
  <c r="P1606" i="1" s="1"/>
  <c r="O1607" i="1"/>
  <c r="P1607" i="1" s="1"/>
  <c r="O1608" i="1"/>
  <c r="P1608" i="1" s="1"/>
  <c r="O1609" i="1"/>
  <c r="P1609" i="1" s="1"/>
  <c r="O1610" i="1"/>
  <c r="P1610" i="1" s="1"/>
  <c r="O1611" i="1"/>
  <c r="P1611" i="1" s="1"/>
  <c r="O1612" i="1"/>
  <c r="P1612" i="1" s="1"/>
  <c r="O1613" i="1"/>
  <c r="P1613" i="1" s="1"/>
  <c r="O1614" i="1"/>
  <c r="P1614" i="1" s="1"/>
  <c r="O1615" i="1"/>
  <c r="P1615" i="1" s="1"/>
  <c r="O1616" i="1"/>
  <c r="P1616" i="1" s="1"/>
  <c r="O1617" i="1"/>
  <c r="P1617" i="1" s="1"/>
  <c r="O1618" i="1"/>
  <c r="P1618" i="1" s="1"/>
  <c r="O1619" i="1"/>
  <c r="P1619" i="1" s="1"/>
  <c r="O1620" i="1"/>
  <c r="P1620" i="1" s="1"/>
  <c r="O1621" i="1"/>
  <c r="P1621" i="1" s="1"/>
  <c r="O1622" i="1"/>
  <c r="P1622" i="1" s="1"/>
  <c r="O1623" i="1"/>
  <c r="P1623" i="1" s="1"/>
  <c r="O1624" i="1"/>
  <c r="P1624" i="1" s="1"/>
  <c r="O1625" i="1"/>
  <c r="P1625" i="1" s="1"/>
  <c r="O1626" i="1"/>
  <c r="P1626" i="1" s="1"/>
  <c r="O1627" i="1"/>
  <c r="P1627" i="1" s="1"/>
  <c r="O1628" i="1"/>
  <c r="P1628" i="1" s="1"/>
  <c r="O1629" i="1"/>
  <c r="P1629" i="1" s="1"/>
  <c r="O1630" i="1"/>
  <c r="P1630" i="1" s="1"/>
  <c r="O1631" i="1"/>
  <c r="P1631" i="1" s="1"/>
  <c r="O1632" i="1"/>
  <c r="P1632" i="1" s="1"/>
  <c r="O1633" i="1"/>
  <c r="P1633" i="1" s="1"/>
  <c r="O1634" i="1"/>
  <c r="P1634" i="1" s="1"/>
  <c r="O1635" i="1"/>
  <c r="P1635" i="1" s="1"/>
  <c r="O1636" i="1"/>
  <c r="P1636" i="1" s="1"/>
  <c r="O1637" i="1"/>
  <c r="P1637" i="1" s="1"/>
  <c r="O1638" i="1"/>
  <c r="P1638" i="1" s="1"/>
  <c r="O1639" i="1"/>
  <c r="P1639" i="1" s="1"/>
  <c r="O1640" i="1"/>
  <c r="P1640" i="1" s="1"/>
  <c r="O1641" i="1"/>
  <c r="P1641" i="1" s="1"/>
  <c r="O1642" i="1"/>
  <c r="P1642" i="1" s="1"/>
  <c r="O1643" i="1"/>
  <c r="P1643" i="1" s="1"/>
  <c r="O1644" i="1"/>
  <c r="P1644" i="1" s="1"/>
  <c r="O1645" i="1"/>
  <c r="P1645" i="1" s="1"/>
  <c r="O1646" i="1"/>
  <c r="P1646" i="1" s="1"/>
  <c r="O1647" i="1"/>
  <c r="P1647" i="1" s="1"/>
  <c r="O1648" i="1"/>
  <c r="P1648" i="1" s="1"/>
  <c r="O1649" i="1"/>
  <c r="P1649" i="1" s="1"/>
  <c r="O1650" i="1"/>
  <c r="P1650" i="1" s="1"/>
  <c r="O1651" i="1"/>
  <c r="P1651" i="1" s="1"/>
  <c r="O1652" i="1"/>
  <c r="P1652" i="1" s="1"/>
  <c r="O1653" i="1"/>
  <c r="P1653" i="1" s="1"/>
  <c r="O1654" i="1"/>
  <c r="P1654" i="1" s="1"/>
  <c r="O1655" i="1"/>
  <c r="P1655" i="1" s="1"/>
  <c r="O1656" i="1"/>
  <c r="P1656" i="1" s="1"/>
  <c r="O1657" i="1"/>
  <c r="P1657" i="1" s="1"/>
  <c r="O1658" i="1"/>
  <c r="P1658" i="1" s="1"/>
  <c r="O1659" i="1"/>
  <c r="P1659" i="1" s="1"/>
  <c r="O1660" i="1"/>
  <c r="P1660" i="1" s="1"/>
  <c r="O1661" i="1"/>
  <c r="P1661" i="1" s="1"/>
  <c r="O1662" i="1"/>
  <c r="P1662" i="1" s="1"/>
  <c r="O1663" i="1"/>
  <c r="P1663" i="1" s="1"/>
  <c r="O1664" i="1"/>
  <c r="P1664" i="1" s="1"/>
  <c r="O1665" i="1"/>
  <c r="P1665" i="1" s="1"/>
  <c r="O1666" i="1"/>
  <c r="P1666" i="1" s="1"/>
  <c r="O1667" i="1"/>
  <c r="P1667" i="1" s="1"/>
  <c r="O1668" i="1"/>
  <c r="P1668" i="1" s="1"/>
  <c r="O1669" i="1"/>
  <c r="P1669" i="1" s="1"/>
  <c r="O1670" i="1"/>
  <c r="P1670" i="1" s="1"/>
  <c r="O1671" i="1"/>
  <c r="P1671" i="1" s="1"/>
  <c r="O1672" i="1"/>
  <c r="P1672" i="1" s="1"/>
  <c r="O1673" i="1"/>
  <c r="P1673" i="1" s="1"/>
  <c r="O1674" i="1"/>
  <c r="P1674" i="1" s="1"/>
  <c r="O1675" i="1"/>
  <c r="P1675" i="1" s="1"/>
  <c r="O1676" i="1"/>
  <c r="P1676" i="1" s="1"/>
  <c r="O1677" i="1"/>
  <c r="P1677" i="1" s="1"/>
  <c r="O1678" i="1"/>
  <c r="P1678" i="1" s="1"/>
  <c r="O1679" i="1"/>
  <c r="P1679" i="1" s="1"/>
  <c r="O1680" i="1"/>
  <c r="P1680" i="1" s="1"/>
  <c r="O1681" i="1"/>
  <c r="P1681" i="1" s="1"/>
  <c r="O1682" i="1"/>
  <c r="P1682" i="1" s="1"/>
  <c r="O1683" i="1"/>
  <c r="P1683" i="1" s="1"/>
  <c r="O1684" i="1"/>
  <c r="P1684" i="1" s="1"/>
  <c r="O1685" i="1"/>
  <c r="P1685" i="1" s="1"/>
  <c r="O1686" i="1"/>
  <c r="P1686" i="1" s="1"/>
  <c r="O1687" i="1"/>
  <c r="P1687" i="1" s="1"/>
  <c r="O1688" i="1"/>
  <c r="P1688" i="1" s="1"/>
  <c r="O1689" i="1"/>
  <c r="P1689" i="1" s="1"/>
  <c r="O1690" i="1"/>
  <c r="P1690" i="1" s="1"/>
  <c r="O1691" i="1"/>
  <c r="P1691" i="1" s="1"/>
  <c r="O1692" i="1"/>
  <c r="P1692" i="1" s="1"/>
  <c r="O1693" i="1"/>
  <c r="P1693" i="1" s="1"/>
  <c r="O1694" i="1"/>
  <c r="P1694" i="1" s="1"/>
  <c r="O1695" i="1"/>
  <c r="P1695" i="1" s="1"/>
  <c r="O1696" i="1"/>
  <c r="P1696" i="1" s="1"/>
  <c r="O1697" i="1"/>
  <c r="P1697" i="1" s="1"/>
  <c r="O1698" i="1"/>
  <c r="P1698" i="1" s="1"/>
  <c r="O1699" i="1"/>
  <c r="P1699" i="1" s="1"/>
  <c r="O1700" i="1"/>
  <c r="P1700" i="1" s="1"/>
  <c r="O1701" i="1"/>
  <c r="P1701" i="1" s="1"/>
  <c r="O1702" i="1"/>
  <c r="P1702" i="1" s="1"/>
  <c r="O1703" i="1"/>
  <c r="P1703" i="1" s="1"/>
  <c r="O1704" i="1"/>
  <c r="P1704" i="1" s="1"/>
  <c r="O1705" i="1"/>
  <c r="P1705" i="1" s="1"/>
  <c r="O1706" i="1"/>
  <c r="P1706" i="1" s="1"/>
  <c r="O1707" i="1"/>
  <c r="P1707" i="1" s="1"/>
  <c r="O1708" i="1"/>
  <c r="P1708" i="1" s="1"/>
  <c r="O1709" i="1"/>
  <c r="P1709" i="1" s="1"/>
  <c r="O1710" i="1"/>
  <c r="P1710" i="1" s="1"/>
  <c r="O1711" i="1"/>
  <c r="P1711" i="1" s="1"/>
  <c r="O1712" i="1"/>
  <c r="P1712" i="1" s="1"/>
  <c r="O1713" i="1"/>
  <c r="P1713" i="1" s="1"/>
  <c r="O1714" i="1"/>
  <c r="P1714" i="1" s="1"/>
  <c r="O1715" i="1"/>
  <c r="P1715" i="1" s="1"/>
  <c r="O1716" i="1"/>
  <c r="P1716" i="1" s="1"/>
  <c r="O1717" i="1"/>
  <c r="P1717" i="1" s="1"/>
  <c r="O1718" i="1"/>
  <c r="P1718" i="1" s="1"/>
  <c r="O1719" i="1"/>
  <c r="P1719" i="1" s="1"/>
  <c r="O1720" i="1"/>
  <c r="P1720" i="1" s="1"/>
  <c r="O1721" i="1"/>
  <c r="P1721" i="1" s="1"/>
  <c r="O1722" i="1"/>
  <c r="P1722" i="1" s="1"/>
  <c r="O1723" i="1"/>
  <c r="P1723" i="1" s="1"/>
  <c r="O1724" i="1"/>
  <c r="P1724" i="1" s="1"/>
  <c r="O1725" i="1"/>
  <c r="P1725" i="1" s="1"/>
  <c r="O1726" i="1"/>
  <c r="P1726" i="1" s="1"/>
  <c r="O1727" i="1"/>
  <c r="P1727" i="1" s="1"/>
  <c r="O1728" i="1"/>
  <c r="P1728" i="1" s="1"/>
  <c r="O1729" i="1"/>
  <c r="P1729" i="1" s="1"/>
  <c r="O1730" i="1"/>
  <c r="P1730" i="1" s="1"/>
  <c r="O1731" i="1"/>
  <c r="P1731" i="1" s="1"/>
  <c r="O1732" i="1"/>
  <c r="P1732" i="1" s="1"/>
  <c r="O1733" i="1"/>
  <c r="P1733" i="1" s="1"/>
  <c r="O1734" i="1"/>
  <c r="P1734" i="1" s="1"/>
  <c r="O1735" i="1"/>
  <c r="P1735" i="1" s="1"/>
  <c r="O1736" i="1"/>
  <c r="P1736" i="1" s="1"/>
  <c r="O1737" i="1"/>
  <c r="P1737" i="1" s="1"/>
  <c r="O1738" i="1"/>
  <c r="P1738" i="1" s="1"/>
  <c r="O1739" i="1"/>
  <c r="P1739" i="1" s="1"/>
  <c r="O1740" i="1"/>
  <c r="P1740" i="1" s="1"/>
  <c r="O1741" i="1"/>
  <c r="P1741" i="1" s="1"/>
  <c r="O1742" i="1"/>
  <c r="P1742" i="1" s="1"/>
  <c r="O1743" i="1"/>
  <c r="P1743" i="1" s="1"/>
  <c r="O1744" i="1"/>
  <c r="P1744" i="1" s="1"/>
  <c r="O1745" i="1"/>
  <c r="P1745" i="1" s="1"/>
  <c r="O1746" i="1"/>
  <c r="P1746" i="1" s="1"/>
  <c r="O1747" i="1"/>
  <c r="P1747" i="1" s="1"/>
  <c r="O1748" i="1"/>
  <c r="P1748" i="1" s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P1754" i="1" s="1"/>
  <c r="O1755" i="1"/>
  <c r="P1755" i="1" s="1"/>
  <c r="O1756" i="1"/>
  <c r="P1756" i="1" s="1"/>
  <c r="O1757" i="1"/>
  <c r="P1757" i="1" s="1"/>
  <c r="O1758" i="1"/>
  <c r="P1758" i="1" s="1"/>
  <c r="O1759" i="1"/>
  <c r="P1759" i="1" s="1"/>
  <c r="O1760" i="1"/>
  <c r="P1760" i="1" s="1"/>
  <c r="O1761" i="1"/>
  <c r="P1761" i="1" s="1"/>
  <c r="O1762" i="1"/>
  <c r="P1762" i="1" s="1"/>
  <c r="O1763" i="1"/>
  <c r="P1763" i="1" s="1"/>
  <c r="O1764" i="1"/>
  <c r="P1764" i="1" s="1"/>
  <c r="O1765" i="1"/>
  <c r="P1765" i="1" s="1"/>
  <c r="O1766" i="1"/>
  <c r="P1766" i="1" s="1"/>
  <c r="O1767" i="1"/>
  <c r="P1767" i="1" s="1"/>
  <c r="O1768" i="1"/>
  <c r="P1768" i="1" s="1"/>
  <c r="O1769" i="1"/>
  <c r="P1769" i="1" s="1"/>
  <c r="O1770" i="1"/>
  <c r="P1770" i="1" s="1"/>
  <c r="O1771" i="1"/>
  <c r="P1771" i="1" s="1"/>
  <c r="O1772" i="1"/>
  <c r="P1772" i="1" s="1"/>
  <c r="O1773" i="1"/>
  <c r="P1773" i="1" s="1"/>
  <c r="O1774" i="1"/>
  <c r="P1774" i="1" s="1"/>
  <c r="O1775" i="1"/>
  <c r="P1775" i="1" s="1"/>
  <c r="O1776" i="1"/>
  <c r="P1776" i="1" s="1"/>
  <c r="O1777" i="1"/>
  <c r="P1777" i="1" s="1"/>
  <c r="O1778" i="1"/>
  <c r="P1778" i="1" s="1"/>
  <c r="O1779" i="1"/>
  <c r="P1779" i="1" s="1"/>
  <c r="O1780" i="1"/>
  <c r="P1780" i="1" s="1"/>
  <c r="O1781" i="1"/>
  <c r="P1781" i="1" s="1"/>
  <c r="O1782" i="1"/>
  <c r="P1782" i="1" s="1"/>
  <c r="O1783" i="1"/>
  <c r="P1783" i="1" s="1"/>
  <c r="O1784" i="1"/>
  <c r="P1784" i="1" s="1"/>
  <c r="O1785" i="1"/>
  <c r="P1785" i="1" s="1"/>
  <c r="O1786" i="1"/>
  <c r="P1786" i="1" s="1"/>
  <c r="O1787" i="1"/>
  <c r="P1787" i="1" s="1"/>
  <c r="O1788" i="1"/>
  <c r="P1788" i="1" s="1"/>
  <c r="O1789" i="1"/>
  <c r="P1789" i="1" s="1"/>
  <c r="O1790" i="1"/>
  <c r="P1790" i="1" s="1"/>
  <c r="O1791" i="1"/>
  <c r="P1791" i="1" s="1"/>
  <c r="O1792" i="1"/>
  <c r="P1792" i="1" s="1"/>
  <c r="O1793" i="1"/>
  <c r="P1793" i="1" s="1"/>
  <c r="O1794" i="1"/>
  <c r="P1794" i="1" s="1"/>
  <c r="O1795" i="1"/>
  <c r="P1795" i="1" s="1"/>
  <c r="O1796" i="1"/>
  <c r="P1796" i="1" s="1"/>
  <c r="O1797" i="1"/>
  <c r="P1797" i="1" s="1"/>
  <c r="O1798" i="1"/>
  <c r="P1798" i="1" s="1"/>
  <c r="O1799" i="1"/>
  <c r="P1799" i="1" s="1"/>
  <c r="O1800" i="1"/>
  <c r="P1800" i="1" s="1"/>
  <c r="O1801" i="1"/>
  <c r="P1801" i="1" s="1"/>
  <c r="O1802" i="1"/>
  <c r="P1802" i="1" s="1"/>
  <c r="O1803" i="1"/>
  <c r="P1803" i="1" s="1"/>
  <c r="O1804" i="1"/>
  <c r="P1804" i="1" s="1"/>
  <c r="O1805" i="1"/>
  <c r="P1805" i="1" s="1"/>
  <c r="O1806" i="1"/>
  <c r="P1806" i="1" s="1"/>
  <c r="O1807" i="1"/>
  <c r="P1807" i="1" s="1"/>
  <c r="O1808" i="1"/>
  <c r="P1808" i="1" s="1"/>
  <c r="O1809" i="1"/>
  <c r="P1809" i="1" s="1"/>
  <c r="O1810" i="1"/>
  <c r="P1810" i="1" s="1"/>
  <c r="O1811" i="1"/>
  <c r="P1811" i="1" s="1"/>
  <c r="O1812" i="1"/>
  <c r="P1812" i="1" s="1"/>
  <c r="O1813" i="1"/>
  <c r="P1813" i="1" s="1"/>
  <c r="O1814" i="1"/>
  <c r="P1814" i="1" s="1"/>
  <c r="O1815" i="1"/>
  <c r="P1815" i="1" s="1"/>
  <c r="O1816" i="1"/>
  <c r="P1816" i="1" s="1"/>
  <c r="O1817" i="1"/>
  <c r="P1817" i="1" s="1"/>
  <c r="O1818" i="1"/>
  <c r="P1818" i="1" s="1"/>
  <c r="O1819" i="1"/>
  <c r="P1819" i="1" s="1"/>
  <c r="O1820" i="1"/>
  <c r="P1820" i="1" s="1"/>
  <c r="O1821" i="1"/>
  <c r="P1821" i="1" s="1"/>
  <c r="O1822" i="1"/>
  <c r="P1822" i="1" s="1"/>
  <c r="O1823" i="1"/>
  <c r="P1823" i="1" s="1"/>
  <c r="O1824" i="1"/>
  <c r="P1824" i="1" s="1"/>
  <c r="O1825" i="1"/>
  <c r="P1825" i="1" s="1"/>
  <c r="O1826" i="1"/>
  <c r="P1826" i="1" s="1"/>
  <c r="O1827" i="1"/>
  <c r="P1827" i="1" s="1"/>
  <c r="O1828" i="1"/>
  <c r="P1828" i="1" s="1"/>
  <c r="O1829" i="1"/>
  <c r="P1829" i="1" s="1"/>
  <c r="O1830" i="1"/>
  <c r="P1830" i="1" s="1"/>
  <c r="O1831" i="1"/>
  <c r="P1831" i="1" s="1"/>
  <c r="O1832" i="1"/>
  <c r="P1832" i="1" s="1"/>
  <c r="O1833" i="1"/>
  <c r="P1833" i="1" s="1"/>
  <c r="O1834" i="1"/>
  <c r="P1834" i="1" s="1"/>
  <c r="O1835" i="1"/>
  <c r="P1835" i="1" s="1"/>
  <c r="O1836" i="1"/>
  <c r="P1836" i="1" s="1"/>
  <c r="O1837" i="1"/>
  <c r="P1837" i="1" s="1"/>
  <c r="O1838" i="1"/>
  <c r="P1838" i="1" s="1"/>
  <c r="O1839" i="1"/>
  <c r="P1839" i="1" s="1"/>
  <c r="O1840" i="1"/>
  <c r="P1840" i="1" s="1"/>
  <c r="O1841" i="1"/>
  <c r="P1841" i="1" s="1"/>
  <c r="O1842" i="1"/>
  <c r="P1842" i="1" s="1"/>
  <c r="O1843" i="1"/>
  <c r="P1843" i="1" s="1"/>
  <c r="O1844" i="1"/>
  <c r="P1844" i="1" s="1"/>
  <c r="O1845" i="1"/>
  <c r="P1845" i="1" s="1"/>
  <c r="O1846" i="1"/>
  <c r="P1846" i="1" s="1"/>
  <c r="O1847" i="1"/>
  <c r="P1847" i="1" s="1"/>
  <c r="O1848" i="1"/>
  <c r="P1848" i="1" s="1"/>
  <c r="O1849" i="1"/>
  <c r="P1849" i="1" s="1"/>
  <c r="O1850" i="1"/>
  <c r="P1850" i="1" s="1"/>
  <c r="O1851" i="1"/>
  <c r="P1851" i="1" s="1"/>
  <c r="O1852" i="1"/>
  <c r="P1852" i="1" s="1"/>
  <c r="O1853" i="1"/>
  <c r="P1853" i="1" s="1"/>
  <c r="O1854" i="1"/>
  <c r="P1854" i="1" s="1"/>
  <c r="O1855" i="1"/>
  <c r="P1855" i="1" s="1"/>
  <c r="O1856" i="1"/>
  <c r="P1856" i="1" s="1"/>
  <c r="O1857" i="1"/>
  <c r="P1857" i="1" s="1"/>
  <c r="O1858" i="1"/>
  <c r="P1858" i="1" s="1"/>
  <c r="O1859" i="1"/>
  <c r="P1859" i="1" s="1"/>
  <c r="O1860" i="1"/>
  <c r="P1860" i="1" s="1"/>
  <c r="O1861" i="1"/>
  <c r="P1861" i="1" s="1"/>
  <c r="O1862" i="1"/>
  <c r="P1862" i="1" s="1"/>
  <c r="O1863" i="1"/>
  <c r="P1863" i="1" s="1"/>
  <c r="O1864" i="1"/>
  <c r="P1864" i="1" s="1"/>
  <c r="O1865" i="1"/>
  <c r="P1865" i="1" s="1"/>
  <c r="O1866" i="1"/>
  <c r="P1866" i="1" s="1"/>
  <c r="O1867" i="1"/>
  <c r="P1867" i="1" s="1"/>
  <c r="O1868" i="1"/>
  <c r="P1868" i="1" s="1"/>
  <c r="O1869" i="1"/>
  <c r="P1869" i="1" s="1"/>
  <c r="O1870" i="1"/>
  <c r="P1870" i="1" s="1"/>
  <c r="O1871" i="1"/>
  <c r="P1871" i="1" s="1"/>
  <c r="O1872" i="1"/>
  <c r="P1872" i="1" s="1"/>
  <c r="O1873" i="1"/>
  <c r="P1873" i="1" s="1"/>
  <c r="O1874" i="1"/>
  <c r="P1874" i="1" s="1"/>
  <c r="O1875" i="1"/>
  <c r="P1875" i="1" s="1"/>
  <c r="O1876" i="1"/>
  <c r="P1876" i="1" s="1"/>
  <c r="O1877" i="1"/>
  <c r="P1877" i="1" s="1"/>
  <c r="O1878" i="1"/>
  <c r="P1878" i="1" s="1"/>
  <c r="O1879" i="1"/>
  <c r="P1879" i="1" s="1"/>
  <c r="O1880" i="1"/>
  <c r="P1880" i="1" s="1"/>
  <c r="O1881" i="1"/>
  <c r="P1881" i="1" s="1"/>
  <c r="O1882" i="1"/>
  <c r="P1882" i="1" s="1"/>
  <c r="O1883" i="1"/>
  <c r="P1883" i="1" s="1"/>
  <c r="O1884" i="1"/>
  <c r="P1884" i="1" s="1"/>
  <c r="O1885" i="1"/>
  <c r="P1885" i="1" s="1"/>
  <c r="O1886" i="1"/>
  <c r="P1886" i="1" s="1"/>
  <c r="O1887" i="1"/>
  <c r="P1887" i="1" s="1"/>
  <c r="O1888" i="1"/>
  <c r="P1888" i="1" s="1"/>
  <c r="O1889" i="1"/>
  <c r="P1889" i="1" s="1"/>
  <c r="O1890" i="1"/>
  <c r="P1890" i="1" s="1"/>
  <c r="O1891" i="1"/>
  <c r="P1891" i="1" s="1"/>
  <c r="O1892" i="1"/>
  <c r="P1892" i="1" s="1"/>
  <c r="O1893" i="1"/>
  <c r="P1893" i="1" s="1"/>
  <c r="O1894" i="1"/>
  <c r="P1894" i="1" s="1"/>
  <c r="O1895" i="1"/>
  <c r="P1895" i="1" s="1"/>
  <c r="O1896" i="1"/>
  <c r="P1896" i="1" s="1"/>
  <c r="O1897" i="1"/>
  <c r="P1897" i="1" s="1"/>
  <c r="O1898" i="1"/>
  <c r="P1898" i="1" s="1"/>
  <c r="O1899" i="1"/>
  <c r="P1899" i="1" s="1"/>
  <c r="O1900" i="1"/>
  <c r="P1900" i="1" s="1"/>
  <c r="O1901" i="1"/>
  <c r="P1901" i="1" s="1"/>
  <c r="O1902" i="1"/>
  <c r="P1902" i="1" s="1"/>
  <c r="O1903" i="1"/>
  <c r="P1903" i="1" s="1"/>
  <c r="O1904" i="1"/>
  <c r="P1904" i="1" s="1"/>
  <c r="O1905" i="1"/>
  <c r="P1905" i="1" s="1"/>
  <c r="O1906" i="1"/>
  <c r="P1906" i="1" s="1"/>
  <c r="O1907" i="1"/>
  <c r="P1907" i="1" s="1"/>
  <c r="O1908" i="1"/>
  <c r="P1908" i="1" s="1"/>
  <c r="O1909" i="1"/>
  <c r="P1909" i="1" s="1"/>
  <c r="O1910" i="1"/>
  <c r="P1910" i="1" s="1"/>
  <c r="O1911" i="1"/>
  <c r="P1911" i="1" s="1"/>
  <c r="O1912" i="1"/>
  <c r="P1912" i="1" s="1"/>
  <c r="O1913" i="1"/>
  <c r="P1913" i="1" s="1"/>
  <c r="O1914" i="1"/>
  <c r="P1914" i="1" s="1"/>
  <c r="O1915" i="1"/>
  <c r="P1915" i="1" s="1"/>
  <c r="O1916" i="1"/>
  <c r="P1916" i="1" s="1"/>
  <c r="O1917" i="1"/>
  <c r="P1917" i="1" s="1"/>
  <c r="O1918" i="1"/>
  <c r="P1918" i="1" s="1"/>
  <c r="O1919" i="1"/>
  <c r="P1919" i="1" s="1"/>
  <c r="O1920" i="1"/>
  <c r="P1920" i="1" s="1"/>
  <c r="O1921" i="1"/>
  <c r="P1921" i="1" s="1"/>
  <c r="O1922" i="1"/>
  <c r="P1922" i="1" s="1"/>
  <c r="O1923" i="1"/>
  <c r="P1923" i="1" s="1"/>
  <c r="O1924" i="1"/>
  <c r="P1924" i="1" s="1"/>
  <c r="O1925" i="1"/>
  <c r="P1925" i="1" s="1"/>
  <c r="O1926" i="1"/>
  <c r="P1926" i="1" s="1"/>
  <c r="O1927" i="1"/>
  <c r="P1927" i="1" s="1"/>
  <c r="O1928" i="1"/>
  <c r="P1928" i="1" s="1"/>
  <c r="O1929" i="1"/>
  <c r="P1929" i="1" s="1"/>
  <c r="O1930" i="1"/>
  <c r="P1930" i="1" s="1"/>
  <c r="O1931" i="1"/>
  <c r="P1931" i="1" s="1"/>
  <c r="O1932" i="1"/>
  <c r="P1932" i="1" s="1"/>
  <c r="O1933" i="1"/>
  <c r="P1933" i="1" s="1"/>
  <c r="O1934" i="1"/>
  <c r="P1934" i="1" s="1"/>
  <c r="O1935" i="1"/>
  <c r="P1935" i="1" s="1"/>
  <c r="O1936" i="1"/>
  <c r="P1936" i="1" s="1"/>
  <c r="O1937" i="1"/>
  <c r="P1937" i="1" s="1"/>
  <c r="O1938" i="1"/>
  <c r="P1938" i="1" s="1"/>
  <c r="O1939" i="1"/>
  <c r="P1939" i="1" s="1"/>
  <c r="O1940" i="1"/>
  <c r="P1940" i="1" s="1"/>
  <c r="O1941" i="1"/>
  <c r="P1941" i="1" s="1"/>
  <c r="O1942" i="1"/>
  <c r="P1942" i="1" s="1"/>
  <c r="O1943" i="1"/>
  <c r="P1943" i="1" s="1"/>
  <c r="O1944" i="1"/>
  <c r="P1944" i="1" s="1"/>
  <c r="O1945" i="1"/>
  <c r="P1945" i="1" s="1"/>
  <c r="O1946" i="1"/>
  <c r="P1946" i="1" s="1"/>
  <c r="O1947" i="1"/>
  <c r="P1947" i="1" s="1"/>
  <c r="O1948" i="1"/>
  <c r="P1948" i="1" s="1"/>
  <c r="O1949" i="1"/>
  <c r="P1949" i="1" s="1"/>
  <c r="O1950" i="1"/>
  <c r="P1950" i="1" s="1"/>
  <c r="O1951" i="1"/>
  <c r="P1951" i="1" s="1"/>
  <c r="O1952" i="1"/>
  <c r="P1952" i="1" s="1"/>
  <c r="O1953" i="1"/>
  <c r="P1953" i="1" s="1"/>
  <c r="O1954" i="1"/>
  <c r="P1954" i="1" s="1"/>
  <c r="O1955" i="1"/>
  <c r="P1955" i="1" s="1"/>
  <c r="O1956" i="1"/>
  <c r="P1956" i="1" s="1"/>
  <c r="O1957" i="1"/>
  <c r="P1957" i="1" s="1"/>
  <c r="O1958" i="1"/>
  <c r="P1958" i="1" s="1"/>
  <c r="O1959" i="1"/>
  <c r="P1959" i="1" s="1"/>
  <c r="O1960" i="1"/>
  <c r="P1960" i="1" s="1"/>
  <c r="O1961" i="1"/>
  <c r="P1961" i="1" s="1"/>
  <c r="O1962" i="1"/>
  <c r="P1962" i="1" s="1"/>
  <c r="O1963" i="1"/>
  <c r="P1963" i="1" s="1"/>
  <c r="O1964" i="1"/>
  <c r="P1964" i="1" s="1"/>
  <c r="O1965" i="1"/>
  <c r="P1965" i="1" s="1"/>
  <c r="O1966" i="1"/>
  <c r="P1966" i="1" s="1"/>
  <c r="O1967" i="1"/>
  <c r="P1967" i="1" s="1"/>
  <c r="O1968" i="1"/>
  <c r="P1968" i="1" s="1"/>
  <c r="O1969" i="1"/>
  <c r="P1969" i="1" s="1"/>
  <c r="O1970" i="1"/>
  <c r="P1970" i="1" s="1"/>
  <c r="O1971" i="1"/>
  <c r="P1971" i="1" s="1"/>
  <c r="O1972" i="1"/>
  <c r="P1972" i="1" s="1"/>
  <c r="O1973" i="1"/>
  <c r="P1973" i="1" s="1"/>
  <c r="O1974" i="1"/>
  <c r="P1974" i="1" s="1"/>
  <c r="O1975" i="1"/>
  <c r="P1975" i="1" s="1"/>
  <c r="O1976" i="1"/>
  <c r="P1976" i="1" s="1"/>
  <c r="O1977" i="1"/>
  <c r="P1977" i="1" s="1"/>
  <c r="O1978" i="1"/>
  <c r="P1978" i="1" s="1"/>
  <c r="O1979" i="1"/>
  <c r="P1979" i="1" s="1"/>
  <c r="O1980" i="1"/>
  <c r="P1980" i="1" s="1"/>
  <c r="O1981" i="1"/>
  <c r="P1981" i="1" s="1"/>
  <c r="O1982" i="1"/>
  <c r="P1982" i="1" s="1"/>
  <c r="O1983" i="1"/>
  <c r="P1983" i="1" s="1"/>
  <c r="O1984" i="1"/>
  <c r="P1984" i="1" s="1"/>
  <c r="O1985" i="1"/>
  <c r="P1985" i="1" s="1"/>
  <c r="O1986" i="1"/>
  <c r="P1986" i="1" s="1"/>
  <c r="O1987" i="1"/>
  <c r="P1987" i="1" s="1"/>
  <c r="O1988" i="1"/>
  <c r="P1988" i="1" s="1"/>
  <c r="O1989" i="1"/>
  <c r="P1989" i="1" s="1"/>
  <c r="O1990" i="1"/>
  <c r="P1990" i="1" s="1"/>
  <c r="O1991" i="1"/>
  <c r="P1991" i="1" s="1"/>
  <c r="O1992" i="1"/>
  <c r="P1992" i="1" s="1"/>
  <c r="O1993" i="1"/>
  <c r="P1993" i="1" s="1"/>
  <c r="O1994" i="1"/>
  <c r="P1994" i="1" s="1"/>
  <c r="O1995" i="1"/>
  <c r="P1995" i="1" s="1"/>
  <c r="O1996" i="1"/>
  <c r="P1996" i="1" s="1"/>
  <c r="O1997" i="1"/>
  <c r="P1997" i="1" s="1"/>
  <c r="O1998" i="1"/>
  <c r="P1998" i="1" s="1"/>
  <c r="O1999" i="1"/>
  <c r="P1999" i="1" s="1"/>
  <c r="O2000" i="1"/>
  <c r="P2000" i="1" s="1"/>
  <c r="O2001" i="1"/>
  <c r="P2001" i="1" s="1"/>
  <c r="O2002" i="1"/>
  <c r="P2002" i="1" s="1"/>
  <c r="O2003" i="1"/>
  <c r="P2003" i="1" s="1"/>
  <c r="O2004" i="1"/>
  <c r="P2004" i="1" s="1"/>
  <c r="O2005" i="1"/>
  <c r="P2005" i="1" s="1"/>
  <c r="O2006" i="1"/>
  <c r="P2006" i="1" s="1"/>
  <c r="O2007" i="1"/>
  <c r="P2007" i="1" s="1"/>
  <c r="O2008" i="1"/>
  <c r="P2008" i="1" s="1"/>
  <c r="O2009" i="1"/>
  <c r="P2009" i="1" s="1"/>
  <c r="O2010" i="1"/>
  <c r="P2010" i="1" s="1"/>
  <c r="O2011" i="1"/>
  <c r="P2011" i="1" s="1"/>
  <c r="O2012" i="1"/>
  <c r="P2012" i="1" s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P2027" i="1" s="1"/>
  <c r="O2028" i="1"/>
  <c r="P2028" i="1" s="1"/>
  <c r="O2029" i="1"/>
  <c r="P2029" i="1" s="1"/>
  <c r="O2030" i="1"/>
  <c r="P2030" i="1" s="1"/>
  <c r="O2031" i="1"/>
  <c r="P2031" i="1" s="1"/>
  <c r="O2032" i="1"/>
  <c r="P2032" i="1" s="1"/>
  <c r="O2033" i="1"/>
  <c r="P2033" i="1" s="1"/>
  <c r="O2034" i="1"/>
  <c r="P2034" i="1" s="1"/>
  <c r="O2035" i="1"/>
  <c r="P2035" i="1" s="1"/>
  <c r="O2036" i="1"/>
  <c r="P2036" i="1" s="1"/>
  <c r="O2037" i="1"/>
  <c r="P2037" i="1" s="1"/>
  <c r="O2038" i="1"/>
  <c r="P2038" i="1" s="1"/>
  <c r="O2039" i="1"/>
  <c r="P2039" i="1" s="1"/>
  <c r="O2040" i="1"/>
  <c r="P2040" i="1" s="1"/>
  <c r="O2041" i="1"/>
  <c r="P2041" i="1" s="1"/>
  <c r="O2042" i="1"/>
  <c r="P2042" i="1" s="1"/>
  <c r="O2043" i="1"/>
  <c r="P2043" i="1" s="1"/>
  <c r="O2044" i="1"/>
  <c r="P2044" i="1" s="1"/>
  <c r="O2045" i="1"/>
  <c r="P2045" i="1" s="1"/>
  <c r="O2046" i="1"/>
  <c r="P2046" i="1" s="1"/>
  <c r="O2047" i="1"/>
  <c r="P2047" i="1" s="1"/>
  <c r="O2048" i="1"/>
  <c r="P2048" i="1" s="1"/>
  <c r="O2049" i="1"/>
  <c r="P2049" i="1" s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056" i="1"/>
  <c r="P2056" i="1" s="1"/>
  <c r="O2057" i="1"/>
  <c r="P2057" i="1" s="1"/>
  <c r="O2058" i="1"/>
  <c r="P2058" i="1" s="1"/>
  <c r="O2059" i="1"/>
  <c r="P2059" i="1" s="1"/>
  <c r="O2060" i="1"/>
  <c r="P2060" i="1" s="1"/>
  <c r="O2061" i="1"/>
  <c r="P2061" i="1" s="1"/>
  <c r="O2062" i="1"/>
  <c r="P2062" i="1" s="1"/>
  <c r="O2063" i="1"/>
  <c r="P2063" i="1" s="1"/>
  <c r="O2064" i="1"/>
  <c r="P2064" i="1" s="1"/>
  <c r="O2065" i="1"/>
  <c r="P2065" i="1" s="1"/>
  <c r="O2066" i="1"/>
  <c r="P2066" i="1" s="1"/>
  <c r="O2067" i="1"/>
  <c r="P2067" i="1" s="1"/>
  <c r="O2068" i="1"/>
  <c r="P2068" i="1" s="1"/>
  <c r="O2069" i="1"/>
  <c r="P2069" i="1" s="1"/>
  <c r="O2070" i="1"/>
  <c r="P2070" i="1" s="1"/>
  <c r="O2071" i="1"/>
  <c r="P2071" i="1" s="1"/>
  <c r="O2072" i="1"/>
  <c r="P2072" i="1" s="1"/>
  <c r="O2073" i="1"/>
  <c r="P2073" i="1" s="1"/>
  <c r="O2074" i="1"/>
  <c r="P2074" i="1" s="1"/>
  <c r="O2075" i="1"/>
  <c r="P2075" i="1" s="1"/>
  <c r="O2076" i="1"/>
  <c r="P2076" i="1" s="1"/>
  <c r="O2077" i="1"/>
  <c r="P2077" i="1" s="1"/>
  <c r="O2078" i="1"/>
  <c r="P2078" i="1" s="1"/>
  <c r="O2079" i="1"/>
  <c r="P2079" i="1" s="1"/>
  <c r="O2080" i="1"/>
  <c r="P2080" i="1" s="1"/>
  <c r="O2081" i="1"/>
  <c r="P2081" i="1" s="1"/>
  <c r="O2082" i="1"/>
  <c r="P2082" i="1" s="1"/>
  <c r="O2083" i="1"/>
  <c r="P2083" i="1" s="1"/>
  <c r="O2084" i="1"/>
  <c r="P2084" i="1" s="1"/>
  <c r="O2085" i="1"/>
  <c r="P2085" i="1" s="1"/>
  <c r="O2086" i="1"/>
  <c r="P2086" i="1" s="1"/>
  <c r="O2087" i="1"/>
  <c r="P2087" i="1" s="1"/>
  <c r="O2088" i="1"/>
  <c r="P2088" i="1" s="1"/>
  <c r="O2089" i="1"/>
  <c r="P2089" i="1" s="1"/>
  <c r="O2090" i="1"/>
  <c r="P2090" i="1" s="1"/>
  <c r="O2091" i="1"/>
  <c r="P2091" i="1" s="1"/>
  <c r="O2092" i="1"/>
  <c r="P2092" i="1" s="1"/>
  <c r="O2093" i="1"/>
  <c r="P2093" i="1" s="1"/>
  <c r="O2094" i="1"/>
  <c r="P2094" i="1" s="1"/>
  <c r="O2095" i="1"/>
  <c r="P2095" i="1" s="1"/>
  <c r="O2096" i="1"/>
  <c r="P2096" i="1" s="1"/>
  <c r="O2097" i="1"/>
  <c r="P2097" i="1" s="1"/>
  <c r="O2098" i="1"/>
  <c r="P2098" i="1" s="1"/>
  <c r="O2099" i="1"/>
  <c r="P2099" i="1" s="1"/>
  <c r="O2100" i="1"/>
  <c r="P2100" i="1" s="1"/>
  <c r="O2101" i="1"/>
  <c r="P2101" i="1" s="1"/>
  <c r="O2102" i="1"/>
  <c r="P2102" i="1" s="1"/>
  <c r="O2103" i="1"/>
  <c r="P2103" i="1" s="1"/>
  <c r="O2104" i="1"/>
  <c r="P2104" i="1" s="1"/>
  <c r="O2105" i="1"/>
  <c r="P2105" i="1" s="1"/>
  <c r="O2106" i="1"/>
  <c r="P2106" i="1" s="1"/>
  <c r="O2107" i="1"/>
  <c r="P2107" i="1" s="1"/>
  <c r="O2108" i="1"/>
  <c r="P2108" i="1" s="1"/>
  <c r="O2109" i="1"/>
  <c r="P2109" i="1" s="1"/>
  <c r="O2110" i="1"/>
  <c r="P2110" i="1" s="1"/>
  <c r="O2111" i="1"/>
  <c r="P2111" i="1" s="1"/>
  <c r="O2112" i="1"/>
  <c r="P2112" i="1" s="1"/>
  <c r="O2" i="1"/>
  <c r="P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" i="1"/>
  <c r="M2" i="1" s="1"/>
  <c r="AD3" i="1"/>
  <c r="AE3" i="1" s="1"/>
  <c r="AD4" i="1"/>
  <c r="AE4" i="1" s="1"/>
  <c r="AD5" i="1"/>
  <c r="AE5" i="1" s="1"/>
  <c r="AD6" i="1"/>
  <c r="AE6" i="1" s="1"/>
  <c r="AD7" i="1"/>
  <c r="AE7" i="1" s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E30" i="1" s="1"/>
  <c r="AD31" i="1"/>
  <c r="AE31" i="1" s="1"/>
  <c r="AD32" i="1"/>
  <c r="AE32" i="1" s="1"/>
  <c r="AD33" i="1"/>
  <c r="AE33" i="1" s="1"/>
  <c r="AD34" i="1"/>
  <c r="AE34" i="1" s="1"/>
  <c r="AD35" i="1"/>
  <c r="AE35" i="1" s="1"/>
  <c r="AD36" i="1"/>
  <c r="AE36" i="1" s="1"/>
  <c r="AD37" i="1"/>
  <c r="AE37" i="1" s="1"/>
  <c r="AD38" i="1"/>
  <c r="AE38" i="1" s="1"/>
  <c r="AD39" i="1"/>
  <c r="AE39" i="1" s="1"/>
  <c r="AD40" i="1"/>
  <c r="AE40" i="1" s="1"/>
  <c r="AD41" i="1"/>
  <c r="AE41" i="1" s="1"/>
  <c r="AD42" i="1"/>
  <c r="AE42" i="1" s="1"/>
  <c r="AD43" i="1"/>
  <c r="AE43" i="1" s="1"/>
  <c r="AD44" i="1"/>
  <c r="AE44" i="1" s="1"/>
  <c r="AD45" i="1"/>
  <c r="AE45" i="1" s="1"/>
  <c r="AD46" i="1"/>
  <c r="AE46" i="1" s="1"/>
  <c r="AD47" i="1"/>
  <c r="AE47" i="1" s="1"/>
  <c r="AD48" i="1"/>
  <c r="AE48" i="1" s="1"/>
  <c r="AD49" i="1"/>
  <c r="AE49" i="1" s="1"/>
  <c r="AD50" i="1"/>
  <c r="AE50" i="1" s="1"/>
  <c r="AD51" i="1"/>
  <c r="AE51" i="1" s="1"/>
  <c r="AD52" i="1"/>
  <c r="AE52" i="1" s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1" i="1"/>
  <c r="AE61" i="1" s="1"/>
  <c r="AD62" i="1"/>
  <c r="AE62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69" i="1"/>
  <c r="AE69" i="1" s="1"/>
  <c r="AD70" i="1"/>
  <c r="AE70" i="1" s="1"/>
  <c r="AD71" i="1"/>
  <c r="AE71" i="1" s="1"/>
  <c r="AD72" i="1"/>
  <c r="AE72" i="1" s="1"/>
  <c r="AD73" i="1"/>
  <c r="AE73" i="1" s="1"/>
  <c r="AD74" i="1"/>
  <c r="AE74" i="1" s="1"/>
  <c r="AD75" i="1"/>
  <c r="AE75" i="1" s="1"/>
  <c r="AD76" i="1"/>
  <c r="AE76" i="1" s="1"/>
  <c r="AD77" i="1"/>
  <c r="AE77" i="1" s="1"/>
  <c r="AD78" i="1"/>
  <c r="AE78" i="1" s="1"/>
  <c r="AD79" i="1"/>
  <c r="AE79" i="1" s="1"/>
  <c r="AD80" i="1"/>
  <c r="AE80" i="1" s="1"/>
  <c r="AD81" i="1"/>
  <c r="AE81" i="1" s="1"/>
  <c r="AD82" i="1"/>
  <c r="AE82" i="1" s="1"/>
  <c r="AD83" i="1"/>
  <c r="AE83" i="1" s="1"/>
  <c r="AD84" i="1"/>
  <c r="AE84" i="1" s="1"/>
  <c r="AD85" i="1"/>
  <c r="AE85" i="1" s="1"/>
  <c r="AD86" i="1"/>
  <c r="AE86" i="1" s="1"/>
  <c r="AD87" i="1"/>
  <c r="AE87" i="1" s="1"/>
  <c r="AD88" i="1"/>
  <c r="AE88" i="1" s="1"/>
  <c r="AD89" i="1"/>
  <c r="AE89" i="1" s="1"/>
  <c r="AD90" i="1"/>
  <c r="AE90" i="1" s="1"/>
  <c r="AD91" i="1"/>
  <c r="AE91" i="1" s="1"/>
  <c r="AD92" i="1"/>
  <c r="AE92" i="1" s="1"/>
  <c r="AD93" i="1"/>
  <c r="AE93" i="1" s="1"/>
  <c r="AD94" i="1"/>
  <c r="AE94" i="1" s="1"/>
  <c r="AD95" i="1"/>
  <c r="AE95" i="1" s="1"/>
  <c r="AD96" i="1"/>
  <c r="AE96" i="1" s="1"/>
  <c r="AD97" i="1"/>
  <c r="AE97" i="1" s="1"/>
  <c r="AD98" i="1"/>
  <c r="AE98" i="1" s="1"/>
  <c r="AD99" i="1"/>
  <c r="AE99" i="1" s="1"/>
  <c r="AD100" i="1"/>
  <c r="AE100" i="1" s="1"/>
  <c r="AD101" i="1"/>
  <c r="AE101" i="1" s="1"/>
  <c r="AD102" i="1"/>
  <c r="AE102" i="1" s="1"/>
  <c r="AD103" i="1"/>
  <c r="AE103" i="1" s="1"/>
  <c r="AD104" i="1"/>
  <c r="AE104" i="1" s="1"/>
  <c r="AD105" i="1"/>
  <c r="AE105" i="1" s="1"/>
  <c r="AD106" i="1"/>
  <c r="AE106" i="1" s="1"/>
  <c r="AD107" i="1"/>
  <c r="AE107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AD114" i="1"/>
  <c r="AE114" i="1" s="1"/>
  <c r="AD115" i="1"/>
  <c r="AE115" i="1" s="1"/>
  <c r="AD116" i="1"/>
  <c r="AE116" i="1" s="1"/>
  <c r="AD117" i="1"/>
  <c r="AE117" i="1" s="1"/>
  <c r="AD118" i="1"/>
  <c r="AE118" i="1" s="1"/>
  <c r="AD119" i="1"/>
  <c r="AE119" i="1" s="1"/>
  <c r="AD120" i="1"/>
  <c r="AE120" i="1" s="1"/>
  <c r="AD121" i="1"/>
  <c r="AE121" i="1" s="1"/>
  <c r="AD122" i="1"/>
  <c r="AE122" i="1" s="1"/>
  <c r="AD123" i="1"/>
  <c r="AE123" i="1" s="1"/>
  <c r="AD124" i="1"/>
  <c r="AE124" i="1" s="1"/>
  <c r="AD125" i="1"/>
  <c r="AE125" i="1" s="1"/>
  <c r="AD126" i="1"/>
  <c r="AE126" i="1" s="1"/>
  <c r="AD127" i="1"/>
  <c r="AE127" i="1" s="1"/>
  <c r="AD128" i="1"/>
  <c r="AE128" i="1" s="1"/>
  <c r="AD129" i="1"/>
  <c r="AE129" i="1" s="1"/>
  <c r="AD130" i="1"/>
  <c r="AE130" i="1" s="1"/>
  <c r="AD131" i="1"/>
  <c r="AE131" i="1" s="1"/>
  <c r="AD132" i="1"/>
  <c r="AE132" i="1" s="1"/>
  <c r="AD133" i="1"/>
  <c r="AE133" i="1" s="1"/>
  <c r="AD134" i="1"/>
  <c r="AE134" i="1" s="1"/>
  <c r="AD135" i="1"/>
  <c r="AE135" i="1" s="1"/>
  <c r="AD136" i="1"/>
  <c r="AE136" i="1" s="1"/>
  <c r="AD137" i="1"/>
  <c r="AE137" i="1" s="1"/>
  <c r="AD138" i="1"/>
  <c r="AE138" i="1" s="1"/>
  <c r="AD139" i="1"/>
  <c r="AE139" i="1" s="1"/>
  <c r="AD140" i="1"/>
  <c r="AE140" i="1" s="1"/>
  <c r="AD141" i="1"/>
  <c r="AE141" i="1" s="1"/>
  <c r="AD142" i="1"/>
  <c r="AE142" i="1" s="1"/>
  <c r="AD143" i="1"/>
  <c r="AE143" i="1" s="1"/>
  <c r="AD144" i="1"/>
  <c r="AE144" i="1" s="1"/>
  <c r="AD145" i="1"/>
  <c r="AE145" i="1" s="1"/>
  <c r="AD146" i="1"/>
  <c r="AE146" i="1" s="1"/>
  <c r="AD147" i="1"/>
  <c r="AE147" i="1" s="1"/>
  <c r="AD148" i="1"/>
  <c r="AE148" i="1" s="1"/>
  <c r="AD149" i="1"/>
  <c r="AE149" i="1" s="1"/>
  <c r="AD150" i="1"/>
  <c r="AE150" i="1" s="1"/>
  <c r="AD151" i="1"/>
  <c r="AE151" i="1" s="1"/>
  <c r="AD152" i="1"/>
  <c r="AE152" i="1" s="1"/>
  <c r="AD153" i="1"/>
  <c r="AE153" i="1" s="1"/>
  <c r="AD154" i="1"/>
  <c r="AE154" i="1" s="1"/>
  <c r="AD155" i="1"/>
  <c r="AE155" i="1" s="1"/>
  <c r="AD156" i="1"/>
  <c r="AE156" i="1" s="1"/>
  <c r="AD157" i="1"/>
  <c r="AE157" i="1" s="1"/>
  <c r="AD158" i="1"/>
  <c r="AE158" i="1" s="1"/>
  <c r="AD159" i="1"/>
  <c r="AE159" i="1" s="1"/>
  <c r="AD160" i="1"/>
  <c r="AE160" i="1" s="1"/>
  <c r="AD161" i="1"/>
  <c r="AE161" i="1" s="1"/>
  <c r="AD162" i="1"/>
  <c r="AE162" i="1" s="1"/>
  <c r="AD163" i="1"/>
  <c r="AE163" i="1" s="1"/>
  <c r="AD164" i="1"/>
  <c r="AE164" i="1" s="1"/>
  <c r="AD165" i="1"/>
  <c r="AE165" i="1" s="1"/>
  <c r="AD166" i="1"/>
  <c r="AE166" i="1" s="1"/>
  <c r="AD167" i="1"/>
  <c r="AE167" i="1" s="1"/>
  <c r="AD168" i="1"/>
  <c r="AE168" i="1" s="1"/>
  <c r="AD169" i="1"/>
  <c r="AE169" i="1" s="1"/>
  <c r="AD170" i="1"/>
  <c r="AE170" i="1" s="1"/>
  <c r="AD171" i="1"/>
  <c r="AE171" i="1" s="1"/>
  <c r="AD172" i="1"/>
  <c r="AE172" i="1" s="1"/>
  <c r="AD173" i="1"/>
  <c r="AE173" i="1" s="1"/>
  <c r="AD174" i="1"/>
  <c r="AE174" i="1" s="1"/>
  <c r="AD175" i="1"/>
  <c r="AE175" i="1" s="1"/>
  <c r="AD176" i="1"/>
  <c r="AE176" i="1" s="1"/>
  <c r="AD177" i="1"/>
  <c r="AE177" i="1" s="1"/>
  <c r="AD178" i="1"/>
  <c r="AE178" i="1" s="1"/>
  <c r="AD179" i="1"/>
  <c r="AE179" i="1" s="1"/>
  <c r="AD180" i="1"/>
  <c r="AE180" i="1" s="1"/>
  <c r="AD181" i="1"/>
  <c r="AE181" i="1" s="1"/>
  <c r="AD182" i="1"/>
  <c r="AE182" i="1" s="1"/>
  <c r="AD183" i="1"/>
  <c r="AE183" i="1" s="1"/>
  <c r="AD184" i="1"/>
  <c r="AE184" i="1" s="1"/>
  <c r="AD185" i="1"/>
  <c r="AE185" i="1" s="1"/>
  <c r="AD186" i="1"/>
  <c r="AE186" i="1" s="1"/>
  <c r="AD187" i="1"/>
  <c r="AE187" i="1" s="1"/>
  <c r="AD188" i="1"/>
  <c r="AE188" i="1" s="1"/>
  <c r="AD189" i="1"/>
  <c r="AE189" i="1" s="1"/>
  <c r="AD190" i="1"/>
  <c r="AE190" i="1" s="1"/>
  <c r="AD191" i="1"/>
  <c r="AE191" i="1" s="1"/>
  <c r="AD192" i="1"/>
  <c r="AE192" i="1" s="1"/>
  <c r="AD193" i="1"/>
  <c r="AE193" i="1" s="1"/>
  <c r="AD194" i="1"/>
  <c r="AE194" i="1" s="1"/>
  <c r="AD195" i="1"/>
  <c r="AE195" i="1" s="1"/>
  <c r="AD196" i="1"/>
  <c r="AE196" i="1" s="1"/>
  <c r="AD197" i="1"/>
  <c r="AE197" i="1" s="1"/>
  <c r="AD198" i="1"/>
  <c r="AE198" i="1" s="1"/>
  <c r="AD199" i="1"/>
  <c r="AE199" i="1" s="1"/>
  <c r="AD200" i="1"/>
  <c r="AE200" i="1" s="1"/>
  <c r="AD201" i="1"/>
  <c r="AE201" i="1" s="1"/>
  <c r="AD202" i="1"/>
  <c r="AE202" i="1" s="1"/>
  <c r="AD203" i="1"/>
  <c r="AE203" i="1" s="1"/>
  <c r="AD204" i="1"/>
  <c r="AE204" i="1" s="1"/>
  <c r="AD205" i="1"/>
  <c r="AE205" i="1" s="1"/>
  <c r="AD206" i="1"/>
  <c r="AE206" i="1" s="1"/>
  <c r="AD207" i="1"/>
  <c r="AE207" i="1" s="1"/>
  <c r="AD208" i="1"/>
  <c r="AE208" i="1" s="1"/>
  <c r="AD209" i="1"/>
  <c r="AE209" i="1" s="1"/>
  <c r="AD210" i="1"/>
  <c r="AE210" i="1" s="1"/>
  <c r="AD211" i="1"/>
  <c r="AE211" i="1" s="1"/>
  <c r="AD212" i="1"/>
  <c r="AE212" i="1" s="1"/>
  <c r="AD213" i="1"/>
  <c r="AE213" i="1" s="1"/>
  <c r="AD214" i="1"/>
  <c r="AE214" i="1" s="1"/>
  <c r="AD215" i="1"/>
  <c r="AE215" i="1" s="1"/>
  <c r="AD216" i="1"/>
  <c r="AE216" i="1" s="1"/>
  <c r="AD217" i="1"/>
  <c r="AE217" i="1" s="1"/>
  <c r="AD218" i="1"/>
  <c r="AE218" i="1" s="1"/>
  <c r="AD219" i="1"/>
  <c r="AE219" i="1" s="1"/>
  <c r="AD220" i="1"/>
  <c r="AE220" i="1" s="1"/>
  <c r="AD221" i="1"/>
  <c r="AE221" i="1" s="1"/>
  <c r="AD222" i="1"/>
  <c r="AE222" i="1" s="1"/>
  <c r="AD223" i="1"/>
  <c r="AE223" i="1" s="1"/>
  <c r="AD224" i="1"/>
  <c r="AE224" i="1" s="1"/>
  <c r="AD225" i="1"/>
  <c r="AE225" i="1" s="1"/>
  <c r="AD226" i="1"/>
  <c r="AE226" i="1" s="1"/>
  <c r="AD227" i="1"/>
  <c r="AE227" i="1" s="1"/>
  <c r="AD228" i="1"/>
  <c r="AE228" i="1" s="1"/>
  <c r="AD229" i="1"/>
  <c r="AE229" i="1" s="1"/>
  <c r="AD230" i="1"/>
  <c r="AE230" i="1" s="1"/>
  <c r="AD231" i="1"/>
  <c r="AE231" i="1" s="1"/>
  <c r="AD232" i="1"/>
  <c r="AE232" i="1" s="1"/>
  <c r="AD233" i="1"/>
  <c r="AE233" i="1" s="1"/>
  <c r="AD234" i="1"/>
  <c r="AE234" i="1" s="1"/>
  <c r="AD235" i="1"/>
  <c r="AE235" i="1" s="1"/>
  <c r="AD236" i="1"/>
  <c r="AE236" i="1" s="1"/>
  <c r="AD237" i="1"/>
  <c r="AE237" i="1" s="1"/>
  <c r="AD238" i="1"/>
  <c r="AE238" i="1" s="1"/>
  <c r="AD239" i="1"/>
  <c r="AE239" i="1" s="1"/>
  <c r="AD240" i="1"/>
  <c r="AE240" i="1" s="1"/>
  <c r="AD241" i="1"/>
  <c r="AE241" i="1" s="1"/>
  <c r="AD242" i="1"/>
  <c r="AE242" i="1" s="1"/>
  <c r="AD243" i="1"/>
  <c r="AE243" i="1" s="1"/>
  <c r="AD244" i="1"/>
  <c r="AE244" i="1" s="1"/>
  <c r="AD245" i="1"/>
  <c r="AE245" i="1" s="1"/>
  <c r="AD246" i="1"/>
  <c r="AE246" i="1" s="1"/>
  <c r="AD247" i="1"/>
  <c r="AE247" i="1" s="1"/>
  <c r="AD248" i="1"/>
  <c r="AE248" i="1" s="1"/>
  <c r="AD249" i="1"/>
  <c r="AE249" i="1" s="1"/>
  <c r="AD250" i="1"/>
  <c r="AE250" i="1" s="1"/>
  <c r="AD251" i="1"/>
  <c r="AE251" i="1" s="1"/>
  <c r="AD252" i="1"/>
  <c r="AE252" i="1" s="1"/>
  <c r="AD253" i="1"/>
  <c r="AE253" i="1" s="1"/>
  <c r="AD254" i="1"/>
  <c r="AE254" i="1" s="1"/>
  <c r="AD255" i="1"/>
  <c r="AE255" i="1" s="1"/>
  <c r="AD256" i="1"/>
  <c r="AE256" i="1" s="1"/>
  <c r="AD257" i="1"/>
  <c r="AE257" i="1" s="1"/>
  <c r="AD258" i="1"/>
  <c r="AE258" i="1" s="1"/>
  <c r="AD259" i="1"/>
  <c r="AE259" i="1" s="1"/>
  <c r="AD260" i="1"/>
  <c r="AE260" i="1" s="1"/>
  <c r="AD261" i="1"/>
  <c r="AE261" i="1" s="1"/>
  <c r="AD262" i="1"/>
  <c r="AE262" i="1" s="1"/>
  <c r="AD263" i="1"/>
  <c r="AE263" i="1" s="1"/>
  <c r="AD264" i="1"/>
  <c r="AE264" i="1" s="1"/>
  <c r="AD265" i="1"/>
  <c r="AE265" i="1" s="1"/>
  <c r="AD266" i="1"/>
  <c r="AE266" i="1" s="1"/>
  <c r="AD267" i="1"/>
  <c r="AE267" i="1" s="1"/>
  <c r="AD268" i="1"/>
  <c r="AE268" i="1" s="1"/>
  <c r="AD269" i="1"/>
  <c r="AE269" i="1" s="1"/>
  <c r="AD270" i="1"/>
  <c r="AE270" i="1" s="1"/>
  <c r="AD271" i="1"/>
  <c r="AE271" i="1" s="1"/>
  <c r="AD272" i="1"/>
  <c r="AE272" i="1" s="1"/>
  <c r="AD273" i="1"/>
  <c r="AE273" i="1" s="1"/>
  <c r="AD274" i="1"/>
  <c r="AE274" i="1" s="1"/>
  <c r="AD275" i="1"/>
  <c r="AE275" i="1" s="1"/>
  <c r="AD276" i="1"/>
  <c r="AE276" i="1" s="1"/>
  <c r="AD277" i="1"/>
  <c r="AE277" i="1" s="1"/>
  <c r="AD278" i="1"/>
  <c r="AE278" i="1" s="1"/>
  <c r="AD279" i="1"/>
  <c r="AE279" i="1" s="1"/>
  <c r="AD280" i="1"/>
  <c r="AE280" i="1" s="1"/>
  <c r="AD281" i="1"/>
  <c r="AE281" i="1" s="1"/>
  <c r="AD282" i="1"/>
  <c r="AE282" i="1" s="1"/>
  <c r="AD283" i="1"/>
  <c r="AE283" i="1" s="1"/>
  <c r="AD284" i="1"/>
  <c r="AE284" i="1" s="1"/>
  <c r="AD285" i="1"/>
  <c r="AE285" i="1" s="1"/>
  <c r="AD286" i="1"/>
  <c r="AE286" i="1" s="1"/>
  <c r="AD287" i="1"/>
  <c r="AE287" i="1" s="1"/>
  <c r="AD288" i="1"/>
  <c r="AE288" i="1" s="1"/>
  <c r="AD289" i="1"/>
  <c r="AE289" i="1" s="1"/>
  <c r="AD290" i="1"/>
  <c r="AE290" i="1" s="1"/>
  <c r="AD291" i="1"/>
  <c r="AE291" i="1" s="1"/>
  <c r="AD292" i="1"/>
  <c r="AE292" i="1" s="1"/>
  <c r="AD293" i="1"/>
  <c r="AE293" i="1" s="1"/>
  <c r="AD294" i="1"/>
  <c r="AE294" i="1" s="1"/>
  <c r="AD295" i="1"/>
  <c r="AE295" i="1" s="1"/>
  <c r="AD296" i="1"/>
  <c r="AE296" i="1" s="1"/>
  <c r="AD297" i="1"/>
  <c r="AE297" i="1" s="1"/>
  <c r="AD298" i="1"/>
  <c r="AE298" i="1" s="1"/>
  <c r="AD299" i="1"/>
  <c r="AE299" i="1" s="1"/>
  <c r="AD300" i="1"/>
  <c r="AE300" i="1" s="1"/>
  <c r="AD301" i="1"/>
  <c r="AE301" i="1" s="1"/>
  <c r="AD302" i="1"/>
  <c r="AE302" i="1" s="1"/>
  <c r="AD303" i="1"/>
  <c r="AE303" i="1" s="1"/>
  <c r="AD304" i="1"/>
  <c r="AE304" i="1" s="1"/>
  <c r="AD305" i="1"/>
  <c r="AE305" i="1" s="1"/>
  <c r="AD306" i="1"/>
  <c r="AE306" i="1" s="1"/>
  <c r="AD307" i="1"/>
  <c r="AE307" i="1" s="1"/>
  <c r="AD308" i="1"/>
  <c r="AE308" i="1" s="1"/>
  <c r="AD309" i="1"/>
  <c r="AE309" i="1" s="1"/>
  <c r="AD310" i="1"/>
  <c r="AE310" i="1" s="1"/>
  <c r="AD311" i="1"/>
  <c r="AE311" i="1" s="1"/>
  <c r="AD312" i="1"/>
  <c r="AE312" i="1" s="1"/>
  <c r="AD313" i="1"/>
  <c r="AE313" i="1" s="1"/>
  <c r="AD314" i="1"/>
  <c r="AE314" i="1" s="1"/>
  <c r="AD315" i="1"/>
  <c r="AE315" i="1" s="1"/>
  <c r="AD316" i="1"/>
  <c r="AE316" i="1" s="1"/>
  <c r="AD317" i="1"/>
  <c r="AE317" i="1" s="1"/>
  <c r="AD318" i="1"/>
  <c r="AE318" i="1" s="1"/>
  <c r="AD319" i="1"/>
  <c r="AE319" i="1" s="1"/>
  <c r="AD320" i="1"/>
  <c r="AE320" i="1" s="1"/>
  <c r="AD321" i="1"/>
  <c r="AE321" i="1" s="1"/>
  <c r="AD322" i="1"/>
  <c r="AE322" i="1" s="1"/>
  <c r="AD323" i="1"/>
  <c r="AE323" i="1" s="1"/>
  <c r="AD324" i="1"/>
  <c r="AE324" i="1" s="1"/>
  <c r="AD325" i="1"/>
  <c r="AE325" i="1" s="1"/>
  <c r="AD326" i="1"/>
  <c r="AE326" i="1" s="1"/>
  <c r="AD327" i="1"/>
  <c r="AE327" i="1" s="1"/>
  <c r="AD328" i="1"/>
  <c r="AE328" i="1" s="1"/>
  <c r="AD329" i="1"/>
  <c r="AE329" i="1" s="1"/>
  <c r="AD330" i="1"/>
  <c r="AE330" i="1" s="1"/>
  <c r="AD331" i="1"/>
  <c r="AE331" i="1" s="1"/>
  <c r="AD332" i="1"/>
  <c r="AE332" i="1" s="1"/>
  <c r="AD333" i="1"/>
  <c r="AE333" i="1" s="1"/>
  <c r="AD334" i="1"/>
  <c r="AE334" i="1" s="1"/>
  <c r="AD335" i="1"/>
  <c r="AE335" i="1" s="1"/>
  <c r="AD336" i="1"/>
  <c r="AE336" i="1" s="1"/>
  <c r="AD337" i="1"/>
  <c r="AE337" i="1" s="1"/>
  <c r="AD338" i="1"/>
  <c r="AE338" i="1" s="1"/>
  <c r="AD339" i="1"/>
  <c r="AE339" i="1" s="1"/>
  <c r="AD340" i="1"/>
  <c r="AE340" i="1" s="1"/>
  <c r="AD341" i="1"/>
  <c r="AE341" i="1" s="1"/>
  <c r="AD342" i="1"/>
  <c r="AE342" i="1" s="1"/>
  <c r="AD343" i="1"/>
  <c r="AE343" i="1" s="1"/>
  <c r="AD344" i="1"/>
  <c r="AE344" i="1" s="1"/>
  <c r="AD345" i="1"/>
  <c r="AE345" i="1" s="1"/>
  <c r="AD346" i="1"/>
  <c r="AE346" i="1" s="1"/>
  <c r="AD347" i="1"/>
  <c r="AE347" i="1" s="1"/>
  <c r="AD348" i="1"/>
  <c r="AE348" i="1" s="1"/>
  <c r="AD349" i="1"/>
  <c r="AE349" i="1" s="1"/>
  <c r="AD350" i="1"/>
  <c r="AE350" i="1" s="1"/>
  <c r="AD351" i="1"/>
  <c r="AE351" i="1" s="1"/>
  <c r="AD352" i="1"/>
  <c r="AE352" i="1" s="1"/>
  <c r="AD353" i="1"/>
  <c r="AE353" i="1" s="1"/>
  <c r="AD354" i="1"/>
  <c r="AE354" i="1" s="1"/>
  <c r="AD355" i="1"/>
  <c r="AE355" i="1" s="1"/>
  <c r="AD356" i="1"/>
  <c r="AE356" i="1" s="1"/>
  <c r="AD357" i="1"/>
  <c r="AE357" i="1" s="1"/>
  <c r="AD358" i="1"/>
  <c r="AE358" i="1" s="1"/>
  <c r="AD359" i="1"/>
  <c r="AE359" i="1" s="1"/>
  <c r="AD360" i="1"/>
  <c r="AE360" i="1" s="1"/>
  <c r="AD361" i="1"/>
  <c r="AE361" i="1" s="1"/>
  <c r="AD362" i="1"/>
  <c r="AE362" i="1" s="1"/>
  <c r="AD363" i="1"/>
  <c r="AE363" i="1" s="1"/>
  <c r="AD364" i="1"/>
  <c r="AE364" i="1" s="1"/>
  <c r="AD365" i="1"/>
  <c r="AE365" i="1" s="1"/>
  <c r="AD366" i="1"/>
  <c r="AE366" i="1" s="1"/>
  <c r="AD367" i="1"/>
  <c r="AE367" i="1" s="1"/>
  <c r="AD368" i="1"/>
  <c r="AE368" i="1" s="1"/>
  <c r="AD369" i="1"/>
  <c r="AE369" i="1" s="1"/>
  <c r="AD370" i="1"/>
  <c r="AE370" i="1" s="1"/>
  <c r="AD371" i="1"/>
  <c r="AE371" i="1" s="1"/>
  <c r="AD372" i="1"/>
  <c r="AE372" i="1" s="1"/>
  <c r="AD373" i="1"/>
  <c r="AE373" i="1" s="1"/>
  <c r="AD374" i="1"/>
  <c r="AE374" i="1" s="1"/>
  <c r="AD375" i="1"/>
  <c r="AE375" i="1" s="1"/>
  <c r="AD376" i="1"/>
  <c r="AE376" i="1" s="1"/>
  <c r="AD377" i="1"/>
  <c r="AE377" i="1" s="1"/>
  <c r="AD378" i="1"/>
  <c r="AE378" i="1" s="1"/>
  <c r="AD379" i="1"/>
  <c r="AE379" i="1" s="1"/>
  <c r="AD380" i="1"/>
  <c r="AE380" i="1" s="1"/>
  <c r="AD381" i="1"/>
  <c r="AE381" i="1" s="1"/>
  <c r="AD382" i="1"/>
  <c r="AE382" i="1" s="1"/>
  <c r="AD383" i="1"/>
  <c r="AE383" i="1" s="1"/>
  <c r="AD384" i="1"/>
  <c r="AE384" i="1" s="1"/>
  <c r="AD385" i="1"/>
  <c r="AE385" i="1" s="1"/>
  <c r="AD386" i="1"/>
  <c r="AE386" i="1" s="1"/>
  <c r="AD387" i="1"/>
  <c r="AE387" i="1" s="1"/>
  <c r="AD388" i="1"/>
  <c r="AE388" i="1" s="1"/>
  <c r="AD389" i="1"/>
  <c r="AE389" i="1" s="1"/>
  <c r="AD390" i="1"/>
  <c r="AE390" i="1" s="1"/>
  <c r="AD391" i="1"/>
  <c r="AE391" i="1" s="1"/>
  <c r="AD392" i="1"/>
  <c r="AE392" i="1" s="1"/>
  <c r="AD393" i="1"/>
  <c r="AE393" i="1" s="1"/>
  <c r="AD394" i="1"/>
  <c r="AE394" i="1" s="1"/>
  <c r="AD395" i="1"/>
  <c r="AE395" i="1" s="1"/>
  <c r="AD396" i="1"/>
  <c r="AE396" i="1" s="1"/>
  <c r="AD397" i="1"/>
  <c r="AE397" i="1" s="1"/>
  <c r="AD398" i="1"/>
  <c r="AE398" i="1" s="1"/>
  <c r="AD399" i="1"/>
  <c r="AE399" i="1" s="1"/>
  <c r="AD400" i="1"/>
  <c r="AE400" i="1" s="1"/>
  <c r="AD401" i="1"/>
  <c r="AE401" i="1" s="1"/>
  <c r="AD402" i="1"/>
  <c r="AE402" i="1" s="1"/>
  <c r="AD403" i="1"/>
  <c r="AE403" i="1" s="1"/>
  <c r="AD404" i="1"/>
  <c r="AE404" i="1" s="1"/>
  <c r="AD405" i="1"/>
  <c r="AE405" i="1" s="1"/>
  <c r="AD406" i="1"/>
  <c r="AE406" i="1" s="1"/>
  <c r="AD407" i="1"/>
  <c r="AE407" i="1" s="1"/>
  <c r="AD408" i="1"/>
  <c r="AE408" i="1" s="1"/>
  <c r="AD409" i="1"/>
  <c r="AE409" i="1" s="1"/>
  <c r="AD410" i="1"/>
  <c r="AE410" i="1" s="1"/>
  <c r="AD411" i="1"/>
  <c r="AE411" i="1" s="1"/>
  <c r="AD412" i="1"/>
  <c r="AE412" i="1" s="1"/>
  <c r="AD413" i="1"/>
  <c r="AE413" i="1" s="1"/>
  <c r="AD414" i="1"/>
  <c r="AE414" i="1" s="1"/>
  <c r="AD415" i="1"/>
  <c r="AE415" i="1" s="1"/>
  <c r="AD416" i="1"/>
  <c r="AE416" i="1" s="1"/>
  <c r="AD417" i="1"/>
  <c r="AE417" i="1" s="1"/>
  <c r="AD418" i="1"/>
  <c r="AE418" i="1" s="1"/>
  <c r="AD419" i="1"/>
  <c r="AE419" i="1" s="1"/>
  <c r="AD420" i="1"/>
  <c r="AE420" i="1" s="1"/>
  <c r="AD421" i="1"/>
  <c r="AE421" i="1" s="1"/>
  <c r="AD422" i="1"/>
  <c r="AE422" i="1" s="1"/>
  <c r="AD423" i="1"/>
  <c r="AE423" i="1" s="1"/>
  <c r="AD424" i="1"/>
  <c r="AE424" i="1" s="1"/>
  <c r="AD425" i="1"/>
  <c r="AE425" i="1" s="1"/>
  <c r="AD426" i="1"/>
  <c r="AE426" i="1" s="1"/>
  <c r="AD427" i="1"/>
  <c r="AE427" i="1" s="1"/>
  <c r="AD428" i="1"/>
  <c r="AE428" i="1" s="1"/>
  <c r="AD429" i="1"/>
  <c r="AE429" i="1" s="1"/>
  <c r="AD430" i="1"/>
  <c r="AE430" i="1" s="1"/>
  <c r="AD431" i="1"/>
  <c r="AE431" i="1" s="1"/>
  <c r="AD432" i="1"/>
  <c r="AE432" i="1" s="1"/>
  <c r="AD433" i="1"/>
  <c r="AE433" i="1" s="1"/>
  <c r="AD434" i="1"/>
  <c r="AE434" i="1" s="1"/>
  <c r="AD435" i="1"/>
  <c r="AE435" i="1" s="1"/>
  <c r="AD436" i="1"/>
  <c r="AE436" i="1" s="1"/>
  <c r="AD437" i="1"/>
  <c r="AE437" i="1" s="1"/>
  <c r="AD438" i="1"/>
  <c r="AE438" i="1" s="1"/>
  <c r="AD439" i="1"/>
  <c r="AE439" i="1" s="1"/>
  <c r="AD440" i="1"/>
  <c r="AE440" i="1" s="1"/>
  <c r="AD441" i="1"/>
  <c r="AE441" i="1" s="1"/>
  <c r="AD442" i="1"/>
  <c r="AE442" i="1" s="1"/>
  <c r="AD443" i="1"/>
  <c r="AE443" i="1" s="1"/>
  <c r="AD444" i="1"/>
  <c r="AE444" i="1" s="1"/>
  <c r="AD445" i="1"/>
  <c r="AE445" i="1" s="1"/>
  <c r="AD446" i="1"/>
  <c r="AE446" i="1" s="1"/>
  <c r="AD447" i="1"/>
  <c r="AE447" i="1" s="1"/>
  <c r="AD448" i="1"/>
  <c r="AE448" i="1" s="1"/>
  <c r="AD449" i="1"/>
  <c r="AE449" i="1" s="1"/>
  <c r="AD450" i="1"/>
  <c r="AE450" i="1" s="1"/>
  <c r="AD451" i="1"/>
  <c r="AE451" i="1" s="1"/>
  <c r="AD452" i="1"/>
  <c r="AE452" i="1" s="1"/>
  <c r="AD453" i="1"/>
  <c r="AE453" i="1" s="1"/>
  <c r="AD454" i="1"/>
  <c r="AE454" i="1" s="1"/>
  <c r="AD455" i="1"/>
  <c r="AE455" i="1" s="1"/>
  <c r="AD456" i="1"/>
  <c r="AE456" i="1" s="1"/>
  <c r="AD457" i="1"/>
  <c r="AE457" i="1" s="1"/>
  <c r="AD458" i="1"/>
  <c r="AE458" i="1" s="1"/>
  <c r="AD459" i="1"/>
  <c r="AE459" i="1" s="1"/>
  <c r="AD460" i="1"/>
  <c r="AE460" i="1" s="1"/>
  <c r="AD461" i="1"/>
  <c r="AE461" i="1" s="1"/>
  <c r="AD462" i="1"/>
  <c r="AE462" i="1" s="1"/>
  <c r="AD463" i="1"/>
  <c r="AE463" i="1" s="1"/>
  <c r="AD464" i="1"/>
  <c r="AE464" i="1" s="1"/>
  <c r="AD465" i="1"/>
  <c r="AE465" i="1" s="1"/>
  <c r="AD466" i="1"/>
  <c r="AE466" i="1" s="1"/>
  <c r="AD467" i="1"/>
  <c r="AE467" i="1" s="1"/>
  <c r="AD468" i="1"/>
  <c r="AE468" i="1" s="1"/>
  <c r="AD469" i="1"/>
  <c r="AE469" i="1" s="1"/>
  <c r="AD470" i="1"/>
  <c r="AE470" i="1" s="1"/>
  <c r="AD471" i="1"/>
  <c r="AE471" i="1" s="1"/>
  <c r="AD472" i="1"/>
  <c r="AE472" i="1" s="1"/>
  <c r="AD473" i="1"/>
  <c r="AE473" i="1" s="1"/>
  <c r="AD474" i="1"/>
  <c r="AE474" i="1" s="1"/>
  <c r="AD475" i="1"/>
  <c r="AE475" i="1" s="1"/>
  <c r="AD476" i="1"/>
  <c r="AE476" i="1" s="1"/>
  <c r="AD477" i="1"/>
  <c r="AE477" i="1" s="1"/>
  <c r="AD478" i="1"/>
  <c r="AE478" i="1" s="1"/>
  <c r="AD479" i="1"/>
  <c r="AE479" i="1" s="1"/>
  <c r="AD480" i="1"/>
  <c r="AE480" i="1" s="1"/>
  <c r="AD481" i="1"/>
  <c r="AE481" i="1" s="1"/>
  <c r="AD482" i="1"/>
  <c r="AE482" i="1" s="1"/>
  <c r="AD483" i="1"/>
  <c r="AE483" i="1" s="1"/>
  <c r="AD484" i="1"/>
  <c r="AE484" i="1" s="1"/>
  <c r="AD485" i="1"/>
  <c r="AE485" i="1" s="1"/>
  <c r="AD486" i="1"/>
  <c r="AE486" i="1" s="1"/>
  <c r="AD487" i="1"/>
  <c r="AE487" i="1" s="1"/>
  <c r="AD488" i="1"/>
  <c r="AE488" i="1" s="1"/>
  <c r="AD489" i="1"/>
  <c r="AE489" i="1" s="1"/>
  <c r="AD490" i="1"/>
  <c r="AE490" i="1" s="1"/>
  <c r="AD491" i="1"/>
  <c r="AE491" i="1" s="1"/>
  <c r="AD492" i="1"/>
  <c r="AE492" i="1" s="1"/>
  <c r="AD493" i="1"/>
  <c r="AE493" i="1" s="1"/>
  <c r="AD494" i="1"/>
  <c r="AE494" i="1" s="1"/>
  <c r="AD495" i="1"/>
  <c r="AE495" i="1" s="1"/>
  <c r="AD496" i="1"/>
  <c r="AE496" i="1" s="1"/>
  <c r="AD497" i="1"/>
  <c r="AE497" i="1" s="1"/>
  <c r="AD498" i="1"/>
  <c r="AE498" i="1" s="1"/>
  <c r="AD499" i="1"/>
  <c r="AE499" i="1" s="1"/>
  <c r="AD500" i="1"/>
  <c r="AE500" i="1" s="1"/>
  <c r="AD501" i="1"/>
  <c r="AE501" i="1" s="1"/>
  <c r="AD502" i="1"/>
  <c r="AE502" i="1" s="1"/>
  <c r="AD503" i="1"/>
  <c r="AE503" i="1" s="1"/>
  <c r="AD504" i="1"/>
  <c r="AE504" i="1" s="1"/>
  <c r="AD505" i="1"/>
  <c r="AE505" i="1" s="1"/>
  <c r="AD506" i="1"/>
  <c r="AE506" i="1" s="1"/>
  <c r="AD507" i="1"/>
  <c r="AE507" i="1" s="1"/>
  <c r="AD508" i="1"/>
  <c r="AE508" i="1" s="1"/>
  <c r="AD509" i="1"/>
  <c r="AE509" i="1" s="1"/>
  <c r="AD510" i="1"/>
  <c r="AE510" i="1" s="1"/>
  <c r="AD511" i="1"/>
  <c r="AE511" i="1" s="1"/>
  <c r="AD512" i="1"/>
  <c r="AE512" i="1" s="1"/>
  <c r="AD513" i="1"/>
  <c r="AE513" i="1" s="1"/>
  <c r="AD514" i="1"/>
  <c r="AE514" i="1" s="1"/>
  <c r="AD515" i="1"/>
  <c r="AE515" i="1" s="1"/>
  <c r="AD516" i="1"/>
  <c r="AE516" i="1" s="1"/>
  <c r="AD517" i="1"/>
  <c r="AE517" i="1" s="1"/>
  <c r="AD518" i="1"/>
  <c r="AE518" i="1" s="1"/>
  <c r="AD519" i="1"/>
  <c r="AE519" i="1" s="1"/>
  <c r="AD520" i="1"/>
  <c r="AE520" i="1" s="1"/>
  <c r="AD521" i="1"/>
  <c r="AE521" i="1" s="1"/>
  <c r="AD522" i="1"/>
  <c r="AE522" i="1" s="1"/>
  <c r="AD523" i="1"/>
  <c r="AE523" i="1" s="1"/>
  <c r="AD524" i="1"/>
  <c r="AE524" i="1" s="1"/>
  <c r="AD525" i="1"/>
  <c r="AE525" i="1" s="1"/>
  <c r="AD526" i="1"/>
  <c r="AE526" i="1" s="1"/>
  <c r="AD527" i="1"/>
  <c r="AE527" i="1" s="1"/>
  <c r="AD528" i="1"/>
  <c r="AE528" i="1" s="1"/>
  <c r="AD529" i="1"/>
  <c r="AE529" i="1" s="1"/>
  <c r="AD530" i="1"/>
  <c r="AE530" i="1" s="1"/>
  <c r="AD531" i="1"/>
  <c r="AE531" i="1" s="1"/>
  <c r="AD532" i="1"/>
  <c r="AE532" i="1" s="1"/>
  <c r="AD533" i="1"/>
  <c r="AE533" i="1" s="1"/>
  <c r="AD534" i="1"/>
  <c r="AE534" i="1" s="1"/>
  <c r="AD535" i="1"/>
  <c r="AE535" i="1" s="1"/>
  <c r="AD536" i="1"/>
  <c r="AE536" i="1" s="1"/>
  <c r="AD537" i="1"/>
  <c r="AE537" i="1" s="1"/>
  <c r="AD538" i="1"/>
  <c r="AE538" i="1" s="1"/>
  <c r="AD539" i="1"/>
  <c r="AE539" i="1" s="1"/>
  <c r="AD540" i="1"/>
  <c r="AE540" i="1" s="1"/>
  <c r="AD541" i="1"/>
  <c r="AE541" i="1" s="1"/>
  <c r="AD542" i="1"/>
  <c r="AE542" i="1" s="1"/>
  <c r="AD543" i="1"/>
  <c r="AE543" i="1" s="1"/>
  <c r="AD544" i="1"/>
  <c r="AE544" i="1" s="1"/>
  <c r="AD545" i="1"/>
  <c r="AE545" i="1" s="1"/>
  <c r="AD546" i="1"/>
  <c r="AE546" i="1" s="1"/>
  <c r="AD547" i="1"/>
  <c r="AE547" i="1" s="1"/>
  <c r="AD548" i="1"/>
  <c r="AE548" i="1" s="1"/>
  <c r="AD549" i="1"/>
  <c r="AE549" i="1" s="1"/>
  <c r="AD550" i="1"/>
  <c r="AE550" i="1" s="1"/>
  <c r="AD551" i="1"/>
  <c r="AE551" i="1" s="1"/>
  <c r="AD552" i="1"/>
  <c r="AE552" i="1" s="1"/>
  <c r="AD553" i="1"/>
  <c r="AE553" i="1" s="1"/>
  <c r="AD554" i="1"/>
  <c r="AE554" i="1" s="1"/>
  <c r="AD555" i="1"/>
  <c r="AE555" i="1" s="1"/>
  <c r="AD556" i="1"/>
  <c r="AE556" i="1" s="1"/>
  <c r="AD557" i="1"/>
  <c r="AE557" i="1" s="1"/>
  <c r="AD558" i="1"/>
  <c r="AE558" i="1" s="1"/>
  <c r="AD559" i="1"/>
  <c r="AE559" i="1" s="1"/>
  <c r="AD560" i="1"/>
  <c r="AE560" i="1" s="1"/>
  <c r="AD561" i="1"/>
  <c r="AE561" i="1" s="1"/>
  <c r="AD562" i="1"/>
  <c r="AE562" i="1" s="1"/>
  <c r="AD563" i="1"/>
  <c r="AE563" i="1" s="1"/>
  <c r="AD564" i="1"/>
  <c r="AE564" i="1" s="1"/>
  <c r="AD565" i="1"/>
  <c r="AE565" i="1" s="1"/>
  <c r="AD566" i="1"/>
  <c r="AE566" i="1" s="1"/>
  <c r="AD567" i="1"/>
  <c r="AE567" i="1" s="1"/>
  <c r="AD568" i="1"/>
  <c r="AE568" i="1" s="1"/>
  <c r="AD569" i="1"/>
  <c r="AE569" i="1" s="1"/>
  <c r="AD570" i="1"/>
  <c r="AE570" i="1" s="1"/>
  <c r="AD571" i="1"/>
  <c r="AE571" i="1" s="1"/>
  <c r="AD572" i="1"/>
  <c r="AE572" i="1" s="1"/>
  <c r="AD573" i="1"/>
  <c r="AE573" i="1" s="1"/>
  <c r="AD574" i="1"/>
  <c r="AE574" i="1" s="1"/>
  <c r="AD575" i="1"/>
  <c r="AE575" i="1" s="1"/>
  <c r="AD576" i="1"/>
  <c r="AE576" i="1" s="1"/>
  <c r="AD577" i="1"/>
  <c r="AE577" i="1" s="1"/>
  <c r="AD578" i="1"/>
  <c r="AE578" i="1" s="1"/>
  <c r="AD579" i="1"/>
  <c r="AE579" i="1" s="1"/>
  <c r="AD580" i="1"/>
  <c r="AE580" i="1" s="1"/>
  <c r="AD581" i="1"/>
  <c r="AE581" i="1" s="1"/>
  <c r="AD582" i="1"/>
  <c r="AE582" i="1" s="1"/>
  <c r="AD583" i="1"/>
  <c r="AE583" i="1" s="1"/>
  <c r="AD584" i="1"/>
  <c r="AE584" i="1" s="1"/>
  <c r="AD585" i="1"/>
  <c r="AE585" i="1" s="1"/>
  <c r="AD586" i="1"/>
  <c r="AE586" i="1" s="1"/>
  <c r="AD587" i="1"/>
  <c r="AE587" i="1" s="1"/>
  <c r="AD588" i="1"/>
  <c r="AE588" i="1" s="1"/>
  <c r="AD589" i="1"/>
  <c r="AE589" i="1" s="1"/>
  <c r="AD590" i="1"/>
  <c r="AE590" i="1" s="1"/>
  <c r="AD591" i="1"/>
  <c r="AE591" i="1" s="1"/>
  <c r="AD592" i="1"/>
  <c r="AE592" i="1" s="1"/>
  <c r="AD593" i="1"/>
  <c r="AE593" i="1" s="1"/>
  <c r="AD594" i="1"/>
  <c r="AE594" i="1" s="1"/>
  <c r="AD595" i="1"/>
  <c r="AE595" i="1" s="1"/>
  <c r="AD596" i="1"/>
  <c r="AE596" i="1" s="1"/>
  <c r="AD597" i="1"/>
  <c r="AE597" i="1" s="1"/>
  <c r="AD598" i="1"/>
  <c r="AE598" i="1" s="1"/>
  <c r="AD599" i="1"/>
  <c r="AE599" i="1" s="1"/>
  <c r="AD600" i="1"/>
  <c r="AE600" i="1" s="1"/>
  <c r="AD601" i="1"/>
  <c r="AE601" i="1" s="1"/>
  <c r="AD602" i="1"/>
  <c r="AE602" i="1" s="1"/>
  <c r="AD603" i="1"/>
  <c r="AE603" i="1" s="1"/>
  <c r="AD604" i="1"/>
  <c r="AE604" i="1" s="1"/>
  <c r="AD605" i="1"/>
  <c r="AE605" i="1" s="1"/>
  <c r="AD606" i="1"/>
  <c r="AE606" i="1" s="1"/>
  <c r="AD607" i="1"/>
  <c r="AE607" i="1" s="1"/>
  <c r="AD608" i="1"/>
  <c r="AE608" i="1" s="1"/>
  <c r="AD609" i="1"/>
  <c r="AE609" i="1" s="1"/>
  <c r="AD610" i="1"/>
  <c r="AE610" i="1" s="1"/>
  <c r="AD611" i="1"/>
  <c r="AE611" i="1" s="1"/>
  <c r="AD612" i="1"/>
  <c r="AE612" i="1" s="1"/>
  <c r="AD613" i="1"/>
  <c r="AE613" i="1" s="1"/>
  <c r="AD614" i="1"/>
  <c r="AE614" i="1" s="1"/>
  <c r="AD615" i="1"/>
  <c r="AE615" i="1" s="1"/>
  <c r="AD616" i="1"/>
  <c r="AE616" i="1" s="1"/>
  <c r="AD617" i="1"/>
  <c r="AE617" i="1" s="1"/>
  <c r="AD618" i="1"/>
  <c r="AE618" i="1" s="1"/>
  <c r="AD619" i="1"/>
  <c r="AE619" i="1" s="1"/>
  <c r="AD620" i="1"/>
  <c r="AE620" i="1" s="1"/>
  <c r="AD621" i="1"/>
  <c r="AE621" i="1" s="1"/>
  <c r="AD622" i="1"/>
  <c r="AE622" i="1" s="1"/>
  <c r="AD623" i="1"/>
  <c r="AE623" i="1" s="1"/>
  <c r="AD624" i="1"/>
  <c r="AE624" i="1" s="1"/>
  <c r="AD625" i="1"/>
  <c r="AE625" i="1" s="1"/>
  <c r="AD626" i="1"/>
  <c r="AE626" i="1" s="1"/>
  <c r="AD627" i="1"/>
  <c r="AE627" i="1" s="1"/>
  <c r="AD628" i="1"/>
  <c r="AE628" i="1" s="1"/>
  <c r="AD629" i="1"/>
  <c r="AE629" i="1" s="1"/>
  <c r="AD630" i="1"/>
  <c r="AE630" i="1" s="1"/>
  <c r="AD631" i="1"/>
  <c r="AE631" i="1" s="1"/>
  <c r="AD632" i="1"/>
  <c r="AE632" i="1" s="1"/>
  <c r="AD633" i="1"/>
  <c r="AE633" i="1" s="1"/>
  <c r="AD634" i="1"/>
  <c r="AE634" i="1" s="1"/>
  <c r="AD635" i="1"/>
  <c r="AE635" i="1" s="1"/>
  <c r="AD636" i="1"/>
  <c r="AE636" i="1" s="1"/>
  <c r="AD637" i="1"/>
  <c r="AE637" i="1" s="1"/>
  <c r="AD638" i="1"/>
  <c r="AE638" i="1" s="1"/>
  <c r="AD639" i="1"/>
  <c r="AE639" i="1" s="1"/>
  <c r="AD640" i="1"/>
  <c r="AE640" i="1" s="1"/>
  <c r="AD641" i="1"/>
  <c r="AE641" i="1" s="1"/>
  <c r="AD642" i="1"/>
  <c r="AE642" i="1" s="1"/>
  <c r="AD643" i="1"/>
  <c r="AE643" i="1" s="1"/>
  <c r="AD644" i="1"/>
  <c r="AE644" i="1" s="1"/>
  <c r="AD645" i="1"/>
  <c r="AE645" i="1" s="1"/>
  <c r="AD646" i="1"/>
  <c r="AE646" i="1" s="1"/>
  <c r="AD647" i="1"/>
  <c r="AE647" i="1" s="1"/>
  <c r="AD648" i="1"/>
  <c r="AE648" i="1" s="1"/>
  <c r="AD649" i="1"/>
  <c r="AE649" i="1" s="1"/>
  <c r="AD650" i="1"/>
  <c r="AE650" i="1" s="1"/>
  <c r="AD651" i="1"/>
  <c r="AE651" i="1" s="1"/>
  <c r="AD652" i="1"/>
  <c r="AE652" i="1" s="1"/>
  <c r="AD653" i="1"/>
  <c r="AE653" i="1" s="1"/>
  <c r="AD654" i="1"/>
  <c r="AE654" i="1" s="1"/>
  <c r="AD655" i="1"/>
  <c r="AE655" i="1" s="1"/>
  <c r="AD656" i="1"/>
  <c r="AE656" i="1" s="1"/>
  <c r="AD657" i="1"/>
  <c r="AE657" i="1" s="1"/>
  <c r="AD658" i="1"/>
  <c r="AE658" i="1" s="1"/>
  <c r="AD659" i="1"/>
  <c r="AE659" i="1" s="1"/>
  <c r="AD660" i="1"/>
  <c r="AE660" i="1" s="1"/>
  <c r="AD661" i="1"/>
  <c r="AE661" i="1" s="1"/>
  <c r="AD662" i="1"/>
  <c r="AE662" i="1" s="1"/>
  <c r="AD663" i="1"/>
  <c r="AE663" i="1" s="1"/>
  <c r="AD664" i="1"/>
  <c r="AE664" i="1" s="1"/>
  <c r="AD665" i="1"/>
  <c r="AE665" i="1" s="1"/>
  <c r="AD666" i="1"/>
  <c r="AE666" i="1" s="1"/>
  <c r="AD667" i="1"/>
  <c r="AE667" i="1" s="1"/>
  <c r="AD668" i="1"/>
  <c r="AE668" i="1" s="1"/>
  <c r="AD669" i="1"/>
  <c r="AE669" i="1" s="1"/>
  <c r="AD670" i="1"/>
  <c r="AE670" i="1" s="1"/>
  <c r="AD671" i="1"/>
  <c r="AE671" i="1" s="1"/>
  <c r="AD672" i="1"/>
  <c r="AE672" i="1" s="1"/>
  <c r="AD673" i="1"/>
  <c r="AE673" i="1" s="1"/>
  <c r="AD674" i="1"/>
  <c r="AE674" i="1" s="1"/>
  <c r="AD675" i="1"/>
  <c r="AE675" i="1" s="1"/>
  <c r="AD676" i="1"/>
  <c r="AE676" i="1" s="1"/>
  <c r="AD677" i="1"/>
  <c r="AE677" i="1" s="1"/>
  <c r="AD678" i="1"/>
  <c r="AE678" i="1" s="1"/>
  <c r="AD679" i="1"/>
  <c r="AE679" i="1" s="1"/>
  <c r="AD680" i="1"/>
  <c r="AE680" i="1" s="1"/>
  <c r="AD681" i="1"/>
  <c r="AE681" i="1" s="1"/>
  <c r="AD682" i="1"/>
  <c r="AE682" i="1" s="1"/>
  <c r="AD683" i="1"/>
  <c r="AE683" i="1" s="1"/>
  <c r="AD684" i="1"/>
  <c r="AE684" i="1" s="1"/>
  <c r="AD685" i="1"/>
  <c r="AE685" i="1" s="1"/>
  <c r="AD686" i="1"/>
  <c r="AE686" i="1" s="1"/>
  <c r="AD687" i="1"/>
  <c r="AE687" i="1" s="1"/>
  <c r="AD688" i="1"/>
  <c r="AE688" i="1" s="1"/>
  <c r="AD689" i="1"/>
  <c r="AE689" i="1" s="1"/>
  <c r="AD690" i="1"/>
  <c r="AE690" i="1" s="1"/>
  <c r="AD691" i="1"/>
  <c r="AE691" i="1" s="1"/>
  <c r="AD692" i="1"/>
  <c r="AE692" i="1" s="1"/>
  <c r="AD693" i="1"/>
  <c r="AE693" i="1" s="1"/>
  <c r="AD694" i="1"/>
  <c r="AE694" i="1" s="1"/>
  <c r="AD695" i="1"/>
  <c r="AE695" i="1" s="1"/>
  <c r="AD696" i="1"/>
  <c r="AE696" i="1" s="1"/>
  <c r="AD697" i="1"/>
  <c r="AE697" i="1" s="1"/>
  <c r="AD698" i="1"/>
  <c r="AE698" i="1" s="1"/>
  <c r="AD699" i="1"/>
  <c r="AE699" i="1" s="1"/>
  <c r="AD700" i="1"/>
  <c r="AE700" i="1" s="1"/>
  <c r="AD701" i="1"/>
  <c r="AE701" i="1" s="1"/>
  <c r="AD702" i="1"/>
  <c r="AE702" i="1" s="1"/>
  <c r="AD703" i="1"/>
  <c r="AE703" i="1" s="1"/>
  <c r="AD704" i="1"/>
  <c r="AE704" i="1" s="1"/>
  <c r="AD705" i="1"/>
  <c r="AE705" i="1" s="1"/>
  <c r="AD706" i="1"/>
  <c r="AE706" i="1" s="1"/>
  <c r="AD707" i="1"/>
  <c r="AE707" i="1" s="1"/>
  <c r="AD708" i="1"/>
  <c r="AE708" i="1" s="1"/>
  <c r="AD709" i="1"/>
  <c r="AE709" i="1" s="1"/>
  <c r="AD710" i="1"/>
  <c r="AE710" i="1" s="1"/>
  <c r="AD711" i="1"/>
  <c r="AE711" i="1" s="1"/>
  <c r="AD712" i="1"/>
  <c r="AE712" i="1" s="1"/>
  <c r="AD713" i="1"/>
  <c r="AE713" i="1" s="1"/>
  <c r="AD714" i="1"/>
  <c r="AE714" i="1" s="1"/>
  <c r="AD715" i="1"/>
  <c r="AE715" i="1" s="1"/>
  <c r="AD716" i="1"/>
  <c r="AE716" i="1" s="1"/>
  <c r="AD717" i="1"/>
  <c r="AE717" i="1" s="1"/>
  <c r="AD718" i="1"/>
  <c r="AE718" i="1" s="1"/>
  <c r="AD719" i="1"/>
  <c r="AE719" i="1" s="1"/>
  <c r="AD720" i="1"/>
  <c r="AE720" i="1" s="1"/>
  <c r="AD721" i="1"/>
  <c r="AE721" i="1" s="1"/>
  <c r="AD722" i="1"/>
  <c r="AE722" i="1" s="1"/>
  <c r="AD723" i="1"/>
  <c r="AE723" i="1" s="1"/>
  <c r="AD724" i="1"/>
  <c r="AE724" i="1" s="1"/>
  <c r="AD725" i="1"/>
  <c r="AE725" i="1" s="1"/>
  <c r="AD726" i="1"/>
  <c r="AE726" i="1" s="1"/>
  <c r="AD727" i="1"/>
  <c r="AE727" i="1" s="1"/>
  <c r="AD728" i="1"/>
  <c r="AE728" i="1" s="1"/>
  <c r="AD729" i="1"/>
  <c r="AE729" i="1" s="1"/>
  <c r="AD730" i="1"/>
  <c r="AE730" i="1" s="1"/>
  <c r="AD731" i="1"/>
  <c r="AE731" i="1" s="1"/>
  <c r="AD732" i="1"/>
  <c r="AE732" i="1" s="1"/>
  <c r="AD733" i="1"/>
  <c r="AE733" i="1" s="1"/>
  <c r="AD734" i="1"/>
  <c r="AE734" i="1" s="1"/>
  <c r="AD735" i="1"/>
  <c r="AE735" i="1" s="1"/>
  <c r="AD736" i="1"/>
  <c r="AE736" i="1" s="1"/>
  <c r="AD737" i="1"/>
  <c r="AE737" i="1" s="1"/>
  <c r="AD738" i="1"/>
  <c r="AE738" i="1" s="1"/>
  <c r="AD739" i="1"/>
  <c r="AE739" i="1" s="1"/>
  <c r="AD740" i="1"/>
  <c r="AE740" i="1" s="1"/>
  <c r="AD741" i="1"/>
  <c r="AE741" i="1" s="1"/>
  <c r="AD742" i="1"/>
  <c r="AE742" i="1" s="1"/>
  <c r="AD743" i="1"/>
  <c r="AE743" i="1" s="1"/>
  <c r="AD744" i="1"/>
  <c r="AE744" i="1" s="1"/>
  <c r="AD745" i="1"/>
  <c r="AE745" i="1" s="1"/>
  <c r="AD746" i="1"/>
  <c r="AE746" i="1" s="1"/>
  <c r="AD747" i="1"/>
  <c r="AE747" i="1" s="1"/>
  <c r="AD748" i="1"/>
  <c r="AE748" i="1" s="1"/>
  <c r="AD749" i="1"/>
  <c r="AE749" i="1" s="1"/>
  <c r="AD750" i="1"/>
  <c r="AE750" i="1" s="1"/>
  <c r="AD751" i="1"/>
  <c r="AE751" i="1" s="1"/>
  <c r="AD752" i="1"/>
  <c r="AE752" i="1" s="1"/>
  <c r="AD753" i="1"/>
  <c r="AE753" i="1" s="1"/>
  <c r="AD754" i="1"/>
  <c r="AE754" i="1" s="1"/>
  <c r="AD755" i="1"/>
  <c r="AE755" i="1" s="1"/>
  <c r="AD756" i="1"/>
  <c r="AE756" i="1" s="1"/>
  <c r="AD757" i="1"/>
  <c r="AE757" i="1" s="1"/>
  <c r="AD758" i="1"/>
  <c r="AE758" i="1" s="1"/>
  <c r="AD759" i="1"/>
  <c r="AE759" i="1" s="1"/>
  <c r="AD760" i="1"/>
  <c r="AE760" i="1" s="1"/>
  <c r="AD761" i="1"/>
  <c r="AE761" i="1" s="1"/>
  <c r="AD762" i="1"/>
  <c r="AE762" i="1" s="1"/>
  <c r="AD763" i="1"/>
  <c r="AE763" i="1" s="1"/>
  <c r="AD764" i="1"/>
  <c r="AE764" i="1" s="1"/>
  <c r="AD765" i="1"/>
  <c r="AE765" i="1" s="1"/>
  <c r="AD766" i="1"/>
  <c r="AE766" i="1" s="1"/>
  <c r="AD767" i="1"/>
  <c r="AE767" i="1" s="1"/>
  <c r="AD768" i="1"/>
  <c r="AE768" i="1" s="1"/>
  <c r="AD769" i="1"/>
  <c r="AE769" i="1" s="1"/>
  <c r="AD770" i="1"/>
  <c r="AE770" i="1" s="1"/>
  <c r="AD771" i="1"/>
  <c r="AE771" i="1" s="1"/>
  <c r="AD772" i="1"/>
  <c r="AE772" i="1" s="1"/>
  <c r="AD773" i="1"/>
  <c r="AE773" i="1" s="1"/>
  <c r="AD774" i="1"/>
  <c r="AE774" i="1" s="1"/>
  <c r="AD775" i="1"/>
  <c r="AE775" i="1" s="1"/>
  <c r="AD776" i="1"/>
  <c r="AE776" i="1" s="1"/>
  <c r="AD777" i="1"/>
  <c r="AE777" i="1" s="1"/>
  <c r="AD778" i="1"/>
  <c r="AE778" i="1" s="1"/>
  <c r="AD779" i="1"/>
  <c r="AE779" i="1" s="1"/>
  <c r="AD780" i="1"/>
  <c r="AE780" i="1" s="1"/>
  <c r="AD781" i="1"/>
  <c r="AE781" i="1" s="1"/>
  <c r="AD782" i="1"/>
  <c r="AE782" i="1" s="1"/>
  <c r="AD783" i="1"/>
  <c r="AE783" i="1" s="1"/>
  <c r="AD784" i="1"/>
  <c r="AE784" i="1" s="1"/>
  <c r="AD785" i="1"/>
  <c r="AE785" i="1" s="1"/>
  <c r="AD786" i="1"/>
  <c r="AE786" i="1" s="1"/>
  <c r="AD787" i="1"/>
  <c r="AE787" i="1" s="1"/>
  <c r="AD788" i="1"/>
  <c r="AE788" i="1" s="1"/>
  <c r="AD789" i="1"/>
  <c r="AE789" i="1" s="1"/>
  <c r="AD790" i="1"/>
  <c r="AE790" i="1" s="1"/>
  <c r="AD791" i="1"/>
  <c r="AE791" i="1" s="1"/>
  <c r="AD792" i="1"/>
  <c r="AE792" i="1" s="1"/>
  <c r="AD793" i="1"/>
  <c r="AE793" i="1" s="1"/>
  <c r="AD794" i="1"/>
  <c r="AE794" i="1" s="1"/>
  <c r="AD795" i="1"/>
  <c r="AE795" i="1" s="1"/>
  <c r="AD796" i="1"/>
  <c r="AE796" i="1" s="1"/>
  <c r="AD797" i="1"/>
  <c r="AE797" i="1" s="1"/>
  <c r="AD798" i="1"/>
  <c r="AE798" i="1" s="1"/>
  <c r="AD799" i="1"/>
  <c r="AE799" i="1" s="1"/>
  <c r="AD800" i="1"/>
  <c r="AE800" i="1" s="1"/>
  <c r="AD801" i="1"/>
  <c r="AE801" i="1" s="1"/>
  <c r="AD802" i="1"/>
  <c r="AE802" i="1" s="1"/>
  <c r="AD803" i="1"/>
  <c r="AE803" i="1" s="1"/>
  <c r="AD804" i="1"/>
  <c r="AE804" i="1" s="1"/>
  <c r="AD805" i="1"/>
  <c r="AE805" i="1" s="1"/>
  <c r="AD806" i="1"/>
  <c r="AE806" i="1" s="1"/>
  <c r="AD807" i="1"/>
  <c r="AE807" i="1" s="1"/>
  <c r="AD808" i="1"/>
  <c r="AE808" i="1" s="1"/>
  <c r="AD809" i="1"/>
  <c r="AE809" i="1" s="1"/>
  <c r="AD810" i="1"/>
  <c r="AE810" i="1" s="1"/>
  <c r="AD811" i="1"/>
  <c r="AE811" i="1" s="1"/>
  <c r="AD812" i="1"/>
  <c r="AE812" i="1" s="1"/>
  <c r="AD813" i="1"/>
  <c r="AE813" i="1" s="1"/>
  <c r="AD814" i="1"/>
  <c r="AE814" i="1" s="1"/>
  <c r="AD815" i="1"/>
  <c r="AE815" i="1" s="1"/>
  <c r="AD816" i="1"/>
  <c r="AE816" i="1" s="1"/>
  <c r="AD817" i="1"/>
  <c r="AE817" i="1" s="1"/>
  <c r="AD818" i="1"/>
  <c r="AE818" i="1" s="1"/>
  <c r="AD819" i="1"/>
  <c r="AE819" i="1" s="1"/>
  <c r="AD820" i="1"/>
  <c r="AE820" i="1" s="1"/>
  <c r="AD821" i="1"/>
  <c r="AE821" i="1" s="1"/>
  <c r="AD822" i="1"/>
  <c r="AE822" i="1" s="1"/>
  <c r="AD823" i="1"/>
  <c r="AE823" i="1" s="1"/>
  <c r="AD824" i="1"/>
  <c r="AE824" i="1" s="1"/>
  <c r="AD825" i="1"/>
  <c r="AE825" i="1" s="1"/>
  <c r="AD826" i="1"/>
  <c r="AE826" i="1" s="1"/>
  <c r="AD827" i="1"/>
  <c r="AE827" i="1" s="1"/>
  <c r="AD828" i="1"/>
  <c r="AE828" i="1" s="1"/>
  <c r="AD829" i="1"/>
  <c r="AE829" i="1" s="1"/>
  <c r="AD830" i="1"/>
  <c r="AE830" i="1" s="1"/>
  <c r="AD831" i="1"/>
  <c r="AE831" i="1" s="1"/>
  <c r="AD832" i="1"/>
  <c r="AE832" i="1" s="1"/>
  <c r="AD833" i="1"/>
  <c r="AE833" i="1" s="1"/>
  <c r="AD834" i="1"/>
  <c r="AE834" i="1" s="1"/>
  <c r="AD835" i="1"/>
  <c r="AE835" i="1" s="1"/>
  <c r="AD836" i="1"/>
  <c r="AE836" i="1" s="1"/>
  <c r="AD837" i="1"/>
  <c r="AE837" i="1" s="1"/>
  <c r="AD838" i="1"/>
  <c r="AE838" i="1" s="1"/>
  <c r="AD839" i="1"/>
  <c r="AE839" i="1" s="1"/>
  <c r="AD840" i="1"/>
  <c r="AE840" i="1" s="1"/>
  <c r="AD841" i="1"/>
  <c r="AE841" i="1" s="1"/>
  <c r="AD842" i="1"/>
  <c r="AE842" i="1" s="1"/>
  <c r="AD843" i="1"/>
  <c r="AE843" i="1" s="1"/>
  <c r="AD844" i="1"/>
  <c r="AE844" i="1" s="1"/>
  <c r="AD845" i="1"/>
  <c r="AE845" i="1" s="1"/>
  <c r="AD846" i="1"/>
  <c r="AE846" i="1" s="1"/>
  <c r="AD847" i="1"/>
  <c r="AE847" i="1" s="1"/>
  <c r="AD848" i="1"/>
  <c r="AE848" i="1" s="1"/>
  <c r="AD849" i="1"/>
  <c r="AE849" i="1" s="1"/>
  <c r="AD850" i="1"/>
  <c r="AE850" i="1" s="1"/>
  <c r="AD851" i="1"/>
  <c r="AE851" i="1" s="1"/>
  <c r="AD852" i="1"/>
  <c r="AE852" i="1" s="1"/>
  <c r="AD853" i="1"/>
  <c r="AE853" i="1" s="1"/>
  <c r="AD854" i="1"/>
  <c r="AE854" i="1" s="1"/>
  <c r="AD855" i="1"/>
  <c r="AE855" i="1" s="1"/>
  <c r="AD856" i="1"/>
  <c r="AE856" i="1" s="1"/>
  <c r="AD857" i="1"/>
  <c r="AE857" i="1" s="1"/>
  <c r="AD858" i="1"/>
  <c r="AE858" i="1" s="1"/>
  <c r="AD859" i="1"/>
  <c r="AE859" i="1" s="1"/>
  <c r="AD860" i="1"/>
  <c r="AE860" i="1" s="1"/>
  <c r="AD861" i="1"/>
  <c r="AE861" i="1" s="1"/>
  <c r="AD862" i="1"/>
  <c r="AE862" i="1" s="1"/>
  <c r="AD863" i="1"/>
  <c r="AE863" i="1" s="1"/>
  <c r="AD864" i="1"/>
  <c r="AE864" i="1" s="1"/>
  <c r="AD865" i="1"/>
  <c r="AE865" i="1" s="1"/>
  <c r="AD866" i="1"/>
  <c r="AE866" i="1" s="1"/>
  <c r="AD867" i="1"/>
  <c r="AE867" i="1" s="1"/>
  <c r="AD868" i="1"/>
  <c r="AE868" i="1" s="1"/>
  <c r="AD869" i="1"/>
  <c r="AE869" i="1" s="1"/>
  <c r="AD870" i="1"/>
  <c r="AE870" i="1" s="1"/>
  <c r="AD871" i="1"/>
  <c r="AE871" i="1" s="1"/>
  <c r="AD872" i="1"/>
  <c r="AE872" i="1" s="1"/>
  <c r="AD873" i="1"/>
  <c r="AE873" i="1" s="1"/>
  <c r="AD874" i="1"/>
  <c r="AE874" i="1" s="1"/>
  <c r="AD875" i="1"/>
  <c r="AE875" i="1" s="1"/>
  <c r="AD876" i="1"/>
  <c r="AE876" i="1" s="1"/>
  <c r="AD877" i="1"/>
  <c r="AE877" i="1" s="1"/>
  <c r="AD878" i="1"/>
  <c r="AE878" i="1" s="1"/>
  <c r="AD879" i="1"/>
  <c r="AE879" i="1" s="1"/>
  <c r="AD880" i="1"/>
  <c r="AE880" i="1" s="1"/>
  <c r="AD881" i="1"/>
  <c r="AE881" i="1" s="1"/>
  <c r="AD882" i="1"/>
  <c r="AE882" i="1" s="1"/>
  <c r="AD883" i="1"/>
  <c r="AE883" i="1" s="1"/>
  <c r="AD884" i="1"/>
  <c r="AE884" i="1" s="1"/>
  <c r="AD885" i="1"/>
  <c r="AE885" i="1" s="1"/>
  <c r="AD886" i="1"/>
  <c r="AE886" i="1" s="1"/>
  <c r="AD887" i="1"/>
  <c r="AE887" i="1" s="1"/>
  <c r="AD888" i="1"/>
  <c r="AE888" i="1" s="1"/>
  <c r="AD889" i="1"/>
  <c r="AE889" i="1" s="1"/>
  <c r="AD890" i="1"/>
  <c r="AE890" i="1" s="1"/>
  <c r="AD891" i="1"/>
  <c r="AE891" i="1" s="1"/>
  <c r="AD892" i="1"/>
  <c r="AE892" i="1" s="1"/>
  <c r="AD893" i="1"/>
  <c r="AE893" i="1" s="1"/>
  <c r="AD894" i="1"/>
  <c r="AE894" i="1" s="1"/>
  <c r="AD895" i="1"/>
  <c r="AE895" i="1" s="1"/>
  <c r="AD896" i="1"/>
  <c r="AE896" i="1" s="1"/>
  <c r="AD897" i="1"/>
  <c r="AE897" i="1" s="1"/>
  <c r="AD898" i="1"/>
  <c r="AE898" i="1" s="1"/>
  <c r="AD899" i="1"/>
  <c r="AE899" i="1" s="1"/>
  <c r="AD900" i="1"/>
  <c r="AE900" i="1" s="1"/>
  <c r="AD901" i="1"/>
  <c r="AE901" i="1" s="1"/>
  <c r="AD902" i="1"/>
  <c r="AE902" i="1" s="1"/>
  <c r="AD903" i="1"/>
  <c r="AE903" i="1" s="1"/>
  <c r="AD904" i="1"/>
  <c r="AE904" i="1" s="1"/>
  <c r="AD905" i="1"/>
  <c r="AE905" i="1" s="1"/>
  <c r="AD906" i="1"/>
  <c r="AE906" i="1" s="1"/>
  <c r="AD907" i="1"/>
  <c r="AE907" i="1" s="1"/>
  <c r="AD908" i="1"/>
  <c r="AE908" i="1" s="1"/>
  <c r="AD909" i="1"/>
  <c r="AE909" i="1" s="1"/>
  <c r="AD910" i="1"/>
  <c r="AE910" i="1" s="1"/>
  <c r="AD911" i="1"/>
  <c r="AE911" i="1" s="1"/>
  <c r="AD912" i="1"/>
  <c r="AE912" i="1" s="1"/>
  <c r="AD913" i="1"/>
  <c r="AE913" i="1" s="1"/>
  <c r="AD914" i="1"/>
  <c r="AE914" i="1" s="1"/>
  <c r="AD915" i="1"/>
  <c r="AE915" i="1" s="1"/>
  <c r="AD916" i="1"/>
  <c r="AE916" i="1" s="1"/>
  <c r="AD917" i="1"/>
  <c r="AE917" i="1" s="1"/>
  <c r="AD918" i="1"/>
  <c r="AE918" i="1" s="1"/>
  <c r="AD919" i="1"/>
  <c r="AE919" i="1" s="1"/>
  <c r="AD920" i="1"/>
  <c r="AE920" i="1" s="1"/>
  <c r="AD921" i="1"/>
  <c r="AE921" i="1" s="1"/>
  <c r="AD922" i="1"/>
  <c r="AE922" i="1" s="1"/>
  <c r="AD923" i="1"/>
  <c r="AE923" i="1" s="1"/>
  <c r="AD924" i="1"/>
  <c r="AE924" i="1" s="1"/>
  <c r="AD925" i="1"/>
  <c r="AE925" i="1" s="1"/>
  <c r="AD926" i="1"/>
  <c r="AE926" i="1" s="1"/>
  <c r="AD927" i="1"/>
  <c r="AE927" i="1" s="1"/>
  <c r="AD928" i="1"/>
  <c r="AE928" i="1" s="1"/>
  <c r="AD929" i="1"/>
  <c r="AE929" i="1" s="1"/>
  <c r="AD930" i="1"/>
  <c r="AE930" i="1" s="1"/>
  <c r="AD931" i="1"/>
  <c r="AE931" i="1" s="1"/>
  <c r="AD932" i="1"/>
  <c r="AE932" i="1" s="1"/>
  <c r="AD933" i="1"/>
  <c r="AE933" i="1" s="1"/>
  <c r="AD934" i="1"/>
  <c r="AE934" i="1" s="1"/>
  <c r="AD935" i="1"/>
  <c r="AE935" i="1" s="1"/>
  <c r="AD936" i="1"/>
  <c r="AE936" i="1" s="1"/>
  <c r="AD937" i="1"/>
  <c r="AE937" i="1" s="1"/>
  <c r="AD938" i="1"/>
  <c r="AE938" i="1" s="1"/>
  <c r="AD939" i="1"/>
  <c r="AE939" i="1" s="1"/>
  <c r="AD940" i="1"/>
  <c r="AE940" i="1" s="1"/>
  <c r="AD941" i="1"/>
  <c r="AE941" i="1" s="1"/>
  <c r="AD942" i="1"/>
  <c r="AE942" i="1" s="1"/>
  <c r="AD943" i="1"/>
  <c r="AE943" i="1" s="1"/>
  <c r="AD944" i="1"/>
  <c r="AE944" i="1" s="1"/>
  <c r="AD945" i="1"/>
  <c r="AE945" i="1" s="1"/>
  <c r="AD946" i="1"/>
  <c r="AE946" i="1" s="1"/>
  <c r="AD947" i="1"/>
  <c r="AE947" i="1" s="1"/>
  <c r="AD948" i="1"/>
  <c r="AE948" i="1" s="1"/>
  <c r="AD949" i="1"/>
  <c r="AE949" i="1" s="1"/>
  <c r="AD950" i="1"/>
  <c r="AE950" i="1" s="1"/>
  <c r="AD951" i="1"/>
  <c r="AE951" i="1" s="1"/>
  <c r="AD952" i="1"/>
  <c r="AE952" i="1" s="1"/>
  <c r="AD953" i="1"/>
  <c r="AE953" i="1" s="1"/>
  <c r="AD954" i="1"/>
  <c r="AE954" i="1" s="1"/>
  <c r="AD955" i="1"/>
  <c r="AE955" i="1" s="1"/>
  <c r="AD956" i="1"/>
  <c r="AE956" i="1" s="1"/>
  <c r="AD957" i="1"/>
  <c r="AE957" i="1" s="1"/>
  <c r="AD958" i="1"/>
  <c r="AE958" i="1" s="1"/>
  <c r="AD959" i="1"/>
  <c r="AE959" i="1" s="1"/>
  <c r="AD960" i="1"/>
  <c r="AE960" i="1" s="1"/>
  <c r="AD961" i="1"/>
  <c r="AE961" i="1" s="1"/>
  <c r="AD962" i="1"/>
  <c r="AE962" i="1" s="1"/>
  <c r="AD963" i="1"/>
  <c r="AE963" i="1" s="1"/>
  <c r="AD964" i="1"/>
  <c r="AE964" i="1" s="1"/>
  <c r="AD965" i="1"/>
  <c r="AE965" i="1" s="1"/>
  <c r="AD966" i="1"/>
  <c r="AE966" i="1" s="1"/>
  <c r="AD967" i="1"/>
  <c r="AE967" i="1" s="1"/>
  <c r="AD968" i="1"/>
  <c r="AE968" i="1" s="1"/>
  <c r="AD969" i="1"/>
  <c r="AE969" i="1" s="1"/>
  <c r="AD970" i="1"/>
  <c r="AE970" i="1" s="1"/>
  <c r="AD971" i="1"/>
  <c r="AE971" i="1" s="1"/>
  <c r="AD972" i="1"/>
  <c r="AE972" i="1" s="1"/>
  <c r="AD973" i="1"/>
  <c r="AE973" i="1" s="1"/>
  <c r="AD974" i="1"/>
  <c r="AE974" i="1" s="1"/>
  <c r="AD975" i="1"/>
  <c r="AE975" i="1" s="1"/>
  <c r="AD976" i="1"/>
  <c r="AE976" i="1" s="1"/>
  <c r="AD977" i="1"/>
  <c r="AE977" i="1" s="1"/>
  <c r="AD978" i="1"/>
  <c r="AE978" i="1" s="1"/>
  <c r="AD979" i="1"/>
  <c r="AE979" i="1" s="1"/>
  <c r="AD980" i="1"/>
  <c r="AE980" i="1" s="1"/>
  <c r="AD981" i="1"/>
  <c r="AE981" i="1" s="1"/>
  <c r="AD982" i="1"/>
  <c r="AE982" i="1" s="1"/>
  <c r="AD983" i="1"/>
  <c r="AE983" i="1" s="1"/>
  <c r="AD984" i="1"/>
  <c r="AE984" i="1" s="1"/>
  <c r="AD985" i="1"/>
  <c r="AE985" i="1" s="1"/>
  <c r="AD986" i="1"/>
  <c r="AE986" i="1" s="1"/>
  <c r="AD987" i="1"/>
  <c r="AE987" i="1" s="1"/>
  <c r="AD988" i="1"/>
  <c r="AE988" i="1" s="1"/>
  <c r="AD989" i="1"/>
  <c r="AE989" i="1" s="1"/>
  <c r="AD990" i="1"/>
  <c r="AE990" i="1" s="1"/>
  <c r="AD991" i="1"/>
  <c r="AE991" i="1" s="1"/>
  <c r="AD992" i="1"/>
  <c r="AE992" i="1" s="1"/>
  <c r="AD993" i="1"/>
  <c r="AE993" i="1" s="1"/>
  <c r="AD994" i="1"/>
  <c r="AE994" i="1" s="1"/>
  <c r="AD995" i="1"/>
  <c r="AE995" i="1" s="1"/>
  <c r="AD996" i="1"/>
  <c r="AE996" i="1" s="1"/>
  <c r="AD997" i="1"/>
  <c r="AE997" i="1" s="1"/>
  <c r="AD998" i="1"/>
  <c r="AE998" i="1" s="1"/>
  <c r="AD999" i="1"/>
  <c r="AE999" i="1" s="1"/>
  <c r="AD1000" i="1"/>
  <c r="AE1000" i="1" s="1"/>
  <c r="AD1001" i="1"/>
  <c r="AE1001" i="1" s="1"/>
  <c r="AD1002" i="1"/>
  <c r="AE1002" i="1" s="1"/>
  <c r="AD1003" i="1"/>
  <c r="AE1003" i="1" s="1"/>
  <c r="AD1004" i="1"/>
  <c r="AE1004" i="1" s="1"/>
  <c r="AD1005" i="1"/>
  <c r="AE1005" i="1" s="1"/>
  <c r="AD1006" i="1"/>
  <c r="AE1006" i="1" s="1"/>
  <c r="AD1007" i="1"/>
  <c r="AE1007" i="1" s="1"/>
  <c r="AD1008" i="1"/>
  <c r="AE1008" i="1" s="1"/>
  <c r="AD1009" i="1"/>
  <c r="AE1009" i="1" s="1"/>
  <c r="AD1010" i="1"/>
  <c r="AE1010" i="1" s="1"/>
  <c r="AD1011" i="1"/>
  <c r="AE1011" i="1" s="1"/>
  <c r="AD1012" i="1"/>
  <c r="AE1012" i="1" s="1"/>
  <c r="AD1013" i="1"/>
  <c r="AE1013" i="1" s="1"/>
  <c r="AD1014" i="1"/>
  <c r="AE1014" i="1" s="1"/>
  <c r="AD1015" i="1"/>
  <c r="AE1015" i="1" s="1"/>
  <c r="AD1016" i="1"/>
  <c r="AE1016" i="1" s="1"/>
  <c r="AD1017" i="1"/>
  <c r="AE1017" i="1" s="1"/>
  <c r="AD1018" i="1"/>
  <c r="AE1018" i="1" s="1"/>
  <c r="AD1019" i="1"/>
  <c r="AE1019" i="1" s="1"/>
  <c r="AD1020" i="1"/>
  <c r="AE1020" i="1" s="1"/>
  <c r="AD1021" i="1"/>
  <c r="AE1021" i="1" s="1"/>
  <c r="AD1022" i="1"/>
  <c r="AE1022" i="1" s="1"/>
  <c r="AD1023" i="1"/>
  <c r="AE1023" i="1" s="1"/>
  <c r="AD1024" i="1"/>
  <c r="AE1024" i="1" s="1"/>
  <c r="AD1025" i="1"/>
  <c r="AE1025" i="1" s="1"/>
  <c r="AD1026" i="1"/>
  <c r="AE1026" i="1" s="1"/>
  <c r="AD1027" i="1"/>
  <c r="AE1027" i="1" s="1"/>
  <c r="AD1028" i="1"/>
  <c r="AE1028" i="1" s="1"/>
  <c r="AD1029" i="1"/>
  <c r="AE1029" i="1" s="1"/>
  <c r="AD1030" i="1"/>
  <c r="AE1030" i="1" s="1"/>
  <c r="AD1031" i="1"/>
  <c r="AE1031" i="1" s="1"/>
  <c r="AD1032" i="1"/>
  <c r="AE1032" i="1" s="1"/>
  <c r="AD1033" i="1"/>
  <c r="AE1033" i="1" s="1"/>
  <c r="AD1034" i="1"/>
  <c r="AE1034" i="1" s="1"/>
  <c r="AD1035" i="1"/>
  <c r="AE1035" i="1" s="1"/>
  <c r="AD1036" i="1"/>
  <c r="AE1036" i="1" s="1"/>
  <c r="AD1037" i="1"/>
  <c r="AE1037" i="1" s="1"/>
  <c r="AD1038" i="1"/>
  <c r="AE1038" i="1" s="1"/>
  <c r="AD1039" i="1"/>
  <c r="AE1039" i="1" s="1"/>
  <c r="AD1040" i="1"/>
  <c r="AE1040" i="1" s="1"/>
  <c r="AD1041" i="1"/>
  <c r="AE1041" i="1" s="1"/>
  <c r="AD1042" i="1"/>
  <c r="AE1042" i="1" s="1"/>
  <c r="AD1043" i="1"/>
  <c r="AE1043" i="1" s="1"/>
  <c r="AD1044" i="1"/>
  <c r="AE1044" i="1" s="1"/>
  <c r="AD1045" i="1"/>
  <c r="AE1045" i="1" s="1"/>
  <c r="AD1046" i="1"/>
  <c r="AE1046" i="1" s="1"/>
  <c r="AD1047" i="1"/>
  <c r="AE1047" i="1" s="1"/>
  <c r="AD1048" i="1"/>
  <c r="AE1048" i="1" s="1"/>
  <c r="AD1049" i="1"/>
  <c r="AE1049" i="1" s="1"/>
  <c r="AD1050" i="1"/>
  <c r="AE1050" i="1" s="1"/>
  <c r="AD1051" i="1"/>
  <c r="AE1051" i="1" s="1"/>
  <c r="AD1052" i="1"/>
  <c r="AE1052" i="1" s="1"/>
  <c r="AD1053" i="1"/>
  <c r="AE1053" i="1" s="1"/>
  <c r="AD1054" i="1"/>
  <c r="AE1054" i="1" s="1"/>
  <c r="AD1055" i="1"/>
  <c r="AE1055" i="1" s="1"/>
  <c r="AD1056" i="1"/>
  <c r="AE1056" i="1" s="1"/>
  <c r="AD1057" i="1"/>
  <c r="AE1057" i="1" s="1"/>
  <c r="AD1058" i="1"/>
  <c r="AE1058" i="1" s="1"/>
  <c r="AD1059" i="1"/>
  <c r="AE1059" i="1" s="1"/>
  <c r="AD1060" i="1"/>
  <c r="AE1060" i="1" s="1"/>
  <c r="AD1061" i="1"/>
  <c r="AE1061" i="1" s="1"/>
  <c r="AD1062" i="1"/>
  <c r="AE1062" i="1" s="1"/>
  <c r="AD1063" i="1"/>
  <c r="AE1063" i="1" s="1"/>
  <c r="AD1064" i="1"/>
  <c r="AE1064" i="1" s="1"/>
  <c r="AD1065" i="1"/>
  <c r="AE1065" i="1" s="1"/>
  <c r="AD1066" i="1"/>
  <c r="AE1066" i="1" s="1"/>
  <c r="AD1067" i="1"/>
  <c r="AE1067" i="1" s="1"/>
  <c r="AD1068" i="1"/>
  <c r="AE1068" i="1" s="1"/>
  <c r="AD1069" i="1"/>
  <c r="AE1069" i="1" s="1"/>
  <c r="AD1070" i="1"/>
  <c r="AE1070" i="1" s="1"/>
  <c r="AD1071" i="1"/>
  <c r="AE1071" i="1" s="1"/>
  <c r="AD1072" i="1"/>
  <c r="AE1072" i="1" s="1"/>
  <c r="AD1073" i="1"/>
  <c r="AE1073" i="1" s="1"/>
  <c r="AD1074" i="1"/>
  <c r="AE1074" i="1" s="1"/>
  <c r="AD1075" i="1"/>
  <c r="AE1075" i="1" s="1"/>
  <c r="AD1076" i="1"/>
  <c r="AE1076" i="1" s="1"/>
  <c r="AD1077" i="1"/>
  <c r="AE1077" i="1" s="1"/>
  <c r="AD1078" i="1"/>
  <c r="AE1078" i="1" s="1"/>
  <c r="AD1079" i="1"/>
  <c r="AE1079" i="1" s="1"/>
  <c r="AD1080" i="1"/>
  <c r="AE1080" i="1" s="1"/>
  <c r="AD1081" i="1"/>
  <c r="AE1081" i="1" s="1"/>
  <c r="AD1082" i="1"/>
  <c r="AE1082" i="1" s="1"/>
  <c r="AD1083" i="1"/>
  <c r="AE1083" i="1" s="1"/>
  <c r="AD1084" i="1"/>
  <c r="AE1084" i="1" s="1"/>
  <c r="AD1085" i="1"/>
  <c r="AE1085" i="1" s="1"/>
  <c r="AD1086" i="1"/>
  <c r="AE1086" i="1" s="1"/>
  <c r="AD1087" i="1"/>
  <c r="AE1087" i="1" s="1"/>
  <c r="AD1088" i="1"/>
  <c r="AE1088" i="1" s="1"/>
  <c r="AD1089" i="1"/>
  <c r="AE1089" i="1" s="1"/>
  <c r="AD1090" i="1"/>
  <c r="AE1090" i="1" s="1"/>
  <c r="AD1091" i="1"/>
  <c r="AE1091" i="1" s="1"/>
  <c r="AD1092" i="1"/>
  <c r="AE1092" i="1" s="1"/>
  <c r="AD1093" i="1"/>
  <c r="AE1093" i="1" s="1"/>
  <c r="AD1094" i="1"/>
  <c r="AE1094" i="1" s="1"/>
  <c r="AD1095" i="1"/>
  <c r="AE1095" i="1" s="1"/>
  <c r="AD1096" i="1"/>
  <c r="AE1096" i="1" s="1"/>
  <c r="AD1097" i="1"/>
  <c r="AE1097" i="1" s="1"/>
  <c r="AD1098" i="1"/>
  <c r="AE1098" i="1" s="1"/>
  <c r="AD1099" i="1"/>
  <c r="AE1099" i="1" s="1"/>
  <c r="AD1100" i="1"/>
  <c r="AE1100" i="1" s="1"/>
  <c r="AD1101" i="1"/>
  <c r="AE1101" i="1" s="1"/>
  <c r="AD1102" i="1"/>
  <c r="AE1102" i="1" s="1"/>
  <c r="AD1103" i="1"/>
  <c r="AE1103" i="1" s="1"/>
  <c r="AD1104" i="1"/>
  <c r="AE1104" i="1" s="1"/>
  <c r="AD1105" i="1"/>
  <c r="AE1105" i="1" s="1"/>
  <c r="AD1106" i="1"/>
  <c r="AE1106" i="1" s="1"/>
  <c r="AD1107" i="1"/>
  <c r="AE1107" i="1" s="1"/>
  <c r="AD1108" i="1"/>
  <c r="AE1108" i="1" s="1"/>
  <c r="AD1109" i="1"/>
  <c r="AE1109" i="1" s="1"/>
  <c r="AD1110" i="1"/>
  <c r="AE1110" i="1" s="1"/>
  <c r="AD1111" i="1"/>
  <c r="AE1111" i="1" s="1"/>
  <c r="AD1112" i="1"/>
  <c r="AE1112" i="1" s="1"/>
  <c r="AD1113" i="1"/>
  <c r="AE1113" i="1" s="1"/>
  <c r="AD1114" i="1"/>
  <c r="AE1114" i="1" s="1"/>
  <c r="AD1115" i="1"/>
  <c r="AE1115" i="1" s="1"/>
  <c r="AD1116" i="1"/>
  <c r="AE1116" i="1" s="1"/>
  <c r="AD1117" i="1"/>
  <c r="AE1117" i="1" s="1"/>
  <c r="AD1118" i="1"/>
  <c r="AE1118" i="1" s="1"/>
  <c r="AD1119" i="1"/>
  <c r="AE1119" i="1" s="1"/>
  <c r="AD1120" i="1"/>
  <c r="AE1120" i="1" s="1"/>
  <c r="AD1121" i="1"/>
  <c r="AE1121" i="1" s="1"/>
  <c r="AD1122" i="1"/>
  <c r="AE1122" i="1" s="1"/>
  <c r="AD1123" i="1"/>
  <c r="AE1123" i="1" s="1"/>
  <c r="AD1124" i="1"/>
  <c r="AE1124" i="1" s="1"/>
  <c r="AD1125" i="1"/>
  <c r="AE1125" i="1" s="1"/>
  <c r="AD1126" i="1"/>
  <c r="AE1126" i="1" s="1"/>
  <c r="AD1127" i="1"/>
  <c r="AE1127" i="1" s="1"/>
  <c r="AD1128" i="1"/>
  <c r="AE1128" i="1" s="1"/>
  <c r="AD1129" i="1"/>
  <c r="AE1129" i="1" s="1"/>
  <c r="AD1130" i="1"/>
  <c r="AE1130" i="1" s="1"/>
  <c r="AD1131" i="1"/>
  <c r="AE1131" i="1" s="1"/>
  <c r="AD1132" i="1"/>
  <c r="AE1132" i="1" s="1"/>
  <c r="AD1133" i="1"/>
  <c r="AE1133" i="1" s="1"/>
  <c r="AD1134" i="1"/>
  <c r="AE1134" i="1" s="1"/>
  <c r="AD1135" i="1"/>
  <c r="AE1135" i="1" s="1"/>
  <c r="AD1136" i="1"/>
  <c r="AE1136" i="1" s="1"/>
  <c r="AD1137" i="1"/>
  <c r="AE1137" i="1" s="1"/>
  <c r="AD1138" i="1"/>
  <c r="AE1138" i="1" s="1"/>
  <c r="AD1139" i="1"/>
  <c r="AE1139" i="1" s="1"/>
  <c r="AD1140" i="1"/>
  <c r="AE1140" i="1" s="1"/>
  <c r="AD1141" i="1"/>
  <c r="AE1141" i="1" s="1"/>
  <c r="AD1142" i="1"/>
  <c r="AE1142" i="1" s="1"/>
  <c r="AD1143" i="1"/>
  <c r="AE1143" i="1" s="1"/>
  <c r="AD1144" i="1"/>
  <c r="AE1144" i="1" s="1"/>
  <c r="AD1145" i="1"/>
  <c r="AE1145" i="1" s="1"/>
  <c r="AD1146" i="1"/>
  <c r="AE1146" i="1" s="1"/>
  <c r="AD1147" i="1"/>
  <c r="AE1147" i="1" s="1"/>
  <c r="AD1148" i="1"/>
  <c r="AE1148" i="1" s="1"/>
  <c r="AD1149" i="1"/>
  <c r="AE1149" i="1" s="1"/>
  <c r="AD1150" i="1"/>
  <c r="AE1150" i="1" s="1"/>
  <c r="AD1151" i="1"/>
  <c r="AE1151" i="1" s="1"/>
  <c r="AD1152" i="1"/>
  <c r="AE1152" i="1" s="1"/>
  <c r="AD1153" i="1"/>
  <c r="AE1153" i="1" s="1"/>
  <c r="AD1154" i="1"/>
  <c r="AE1154" i="1" s="1"/>
  <c r="AD1155" i="1"/>
  <c r="AE1155" i="1" s="1"/>
  <c r="AD1156" i="1"/>
  <c r="AE1156" i="1" s="1"/>
  <c r="AD1157" i="1"/>
  <c r="AE1157" i="1" s="1"/>
  <c r="AD1158" i="1"/>
  <c r="AE1158" i="1" s="1"/>
  <c r="AD1159" i="1"/>
  <c r="AE1159" i="1" s="1"/>
  <c r="AD1160" i="1"/>
  <c r="AE1160" i="1" s="1"/>
  <c r="AD1161" i="1"/>
  <c r="AE1161" i="1" s="1"/>
  <c r="AD1162" i="1"/>
  <c r="AE1162" i="1" s="1"/>
  <c r="AD1163" i="1"/>
  <c r="AE1163" i="1" s="1"/>
  <c r="AD1164" i="1"/>
  <c r="AE1164" i="1" s="1"/>
  <c r="AD1165" i="1"/>
  <c r="AE1165" i="1" s="1"/>
  <c r="AD1166" i="1"/>
  <c r="AE1166" i="1" s="1"/>
  <c r="AD1167" i="1"/>
  <c r="AE1167" i="1" s="1"/>
  <c r="AD1168" i="1"/>
  <c r="AE1168" i="1" s="1"/>
  <c r="AD1169" i="1"/>
  <c r="AE1169" i="1" s="1"/>
  <c r="AD1170" i="1"/>
  <c r="AE1170" i="1" s="1"/>
  <c r="AD1171" i="1"/>
  <c r="AE1171" i="1" s="1"/>
  <c r="AD1172" i="1"/>
  <c r="AE1172" i="1" s="1"/>
  <c r="AD1173" i="1"/>
  <c r="AE1173" i="1" s="1"/>
  <c r="AD1174" i="1"/>
  <c r="AE1174" i="1" s="1"/>
  <c r="AD1175" i="1"/>
  <c r="AE1175" i="1" s="1"/>
  <c r="AD1176" i="1"/>
  <c r="AE1176" i="1" s="1"/>
  <c r="AD1177" i="1"/>
  <c r="AE1177" i="1" s="1"/>
  <c r="AD1178" i="1"/>
  <c r="AE1178" i="1" s="1"/>
  <c r="AD1179" i="1"/>
  <c r="AE1179" i="1" s="1"/>
  <c r="AD1180" i="1"/>
  <c r="AE1180" i="1" s="1"/>
  <c r="AD1181" i="1"/>
  <c r="AE1181" i="1" s="1"/>
  <c r="AD1182" i="1"/>
  <c r="AE1182" i="1" s="1"/>
  <c r="AD1183" i="1"/>
  <c r="AE1183" i="1" s="1"/>
  <c r="AD1184" i="1"/>
  <c r="AE1184" i="1" s="1"/>
  <c r="AD1185" i="1"/>
  <c r="AE1185" i="1" s="1"/>
  <c r="AD1186" i="1"/>
  <c r="AE1186" i="1" s="1"/>
  <c r="AD1187" i="1"/>
  <c r="AE1187" i="1" s="1"/>
  <c r="AD1188" i="1"/>
  <c r="AE1188" i="1" s="1"/>
  <c r="AD1189" i="1"/>
  <c r="AE1189" i="1" s="1"/>
  <c r="AD1190" i="1"/>
  <c r="AE1190" i="1" s="1"/>
  <c r="AD1191" i="1"/>
  <c r="AE1191" i="1" s="1"/>
  <c r="AD1192" i="1"/>
  <c r="AE1192" i="1" s="1"/>
  <c r="AD1193" i="1"/>
  <c r="AE1193" i="1" s="1"/>
  <c r="AD1194" i="1"/>
  <c r="AE1194" i="1" s="1"/>
  <c r="AD1195" i="1"/>
  <c r="AE1195" i="1" s="1"/>
  <c r="AD1196" i="1"/>
  <c r="AE1196" i="1" s="1"/>
  <c r="AD1197" i="1"/>
  <c r="AE1197" i="1" s="1"/>
  <c r="AD1198" i="1"/>
  <c r="AE1198" i="1" s="1"/>
  <c r="AD1199" i="1"/>
  <c r="AE1199" i="1" s="1"/>
  <c r="AD1200" i="1"/>
  <c r="AE1200" i="1" s="1"/>
  <c r="AD1201" i="1"/>
  <c r="AE1201" i="1" s="1"/>
  <c r="AD1202" i="1"/>
  <c r="AE1202" i="1" s="1"/>
  <c r="AD1203" i="1"/>
  <c r="AE1203" i="1" s="1"/>
  <c r="AD1204" i="1"/>
  <c r="AE1204" i="1" s="1"/>
  <c r="AD1205" i="1"/>
  <c r="AE1205" i="1" s="1"/>
  <c r="AD1206" i="1"/>
  <c r="AE1206" i="1" s="1"/>
  <c r="AD1207" i="1"/>
  <c r="AE1207" i="1" s="1"/>
  <c r="AD1208" i="1"/>
  <c r="AE1208" i="1" s="1"/>
  <c r="AD1209" i="1"/>
  <c r="AE1209" i="1" s="1"/>
  <c r="AD1210" i="1"/>
  <c r="AE1210" i="1" s="1"/>
  <c r="AD1211" i="1"/>
  <c r="AE1211" i="1" s="1"/>
  <c r="AD1212" i="1"/>
  <c r="AE1212" i="1" s="1"/>
  <c r="AD1213" i="1"/>
  <c r="AE1213" i="1" s="1"/>
  <c r="AD1214" i="1"/>
  <c r="AE1214" i="1" s="1"/>
  <c r="AD1215" i="1"/>
  <c r="AE1215" i="1" s="1"/>
  <c r="AD1216" i="1"/>
  <c r="AE1216" i="1" s="1"/>
  <c r="AD1217" i="1"/>
  <c r="AE1217" i="1" s="1"/>
  <c r="AD1218" i="1"/>
  <c r="AE1218" i="1" s="1"/>
  <c r="AD1219" i="1"/>
  <c r="AE1219" i="1" s="1"/>
  <c r="AD1220" i="1"/>
  <c r="AE1220" i="1" s="1"/>
  <c r="AD1221" i="1"/>
  <c r="AE1221" i="1" s="1"/>
  <c r="AD1222" i="1"/>
  <c r="AE1222" i="1" s="1"/>
  <c r="AD1223" i="1"/>
  <c r="AE1223" i="1" s="1"/>
  <c r="AD1224" i="1"/>
  <c r="AE1224" i="1" s="1"/>
  <c r="AD1225" i="1"/>
  <c r="AE1225" i="1" s="1"/>
  <c r="AD1226" i="1"/>
  <c r="AE1226" i="1" s="1"/>
  <c r="AD1227" i="1"/>
  <c r="AE1227" i="1" s="1"/>
  <c r="AD1228" i="1"/>
  <c r="AE1228" i="1" s="1"/>
  <c r="AD1229" i="1"/>
  <c r="AE1229" i="1" s="1"/>
  <c r="AD1230" i="1"/>
  <c r="AE1230" i="1" s="1"/>
  <c r="AD1231" i="1"/>
  <c r="AE1231" i="1" s="1"/>
  <c r="AD1232" i="1"/>
  <c r="AE1232" i="1" s="1"/>
  <c r="AD1233" i="1"/>
  <c r="AE1233" i="1" s="1"/>
  <c r="AD1234" i="1"/>
  <c r="AE1234" i="1" s="1"/>
  <c r="AD1235" i="1"/>
  <c r="AE1235" i="1" s="1"/>
  <c r="AD1236" i="1"/>
  <c r="AE1236" i="1" s="1"/>
  <c r="AD1237" i="1"/>
  <c r="AE1237" i="1" s="1"/>
  <c r="AD1238" i="1"/>
  <c r="AE1238" i="1" s="1"/>
  <c r="AD1239" i="1"/>
  <c r="AE1239" i="1" s="1"/>
  <c r="AD1240" i="1"/>
  <c r="AE1240" i="1" s="1"/>
  <c r="AD1241" i="1"/>
  <c r="AE1241" i="1" s="1"/>
  <c r="AD1242" i="1"/>
  <c r="AE1242" i="1" s="1"/>
  <c r="AD1243" i="1"/>
  <c r="AE1243" i="1" s="1"/>
  <c r="AD1244" i="1"/>
  <c r="AE1244" i="1" s="1"/>
  <c r="AD1245" i="1"/>
  <c r="AE1245" i="1" s="1"/>
  <c r="AD1246" i="1"/>
  <c r="AE1246" i="1" s="1"/>
  <c r="AD1247" i="1"/>
  <c r="AE1247" i="1" s="1"/>
  <c r="AD1248" i="1"/>
  <c r="AE1248" i="1" s="1"/>
  <c r="AD1249" i="1"/>
  <c r="AE1249" i="1" s="1"/>
  <c r="AD1250" i="1"/>
  <c r="AE1250" i="1" s="1"/>
  <c r="AD1251" i="1"/>
  <c r="AE1251" i="1" s="1"/>
  <c r="AD1252" i="1"/>
  <c r="AE1252" i="1" s="1"/>
  <c r="AD1253" i="1"/>
  <c r="AE1253" i="1" s="1"/>
  <c r="AD1254" i="1"/>
  <c r="AE1254" i="1" s="1"/>
  <c r="AD1255" i="1"/>
  <c r="AE1255" i="1" s="1"/>
  <c r="AD1256" i="1"/>
  <c r="AE1256" i="1" s="1"/>
  <c r="AD1257" i="1"/>
  <c r="AE1257" i="1" s="1"/>
  <c r="AD1258" i="1"/>
  <c r="AE1258" i="1" s="1"/>
  <c r="AD1259" i="1"/>
  <c r="AE1259" i="1" s="1"/>
  <c r="AD1260" i="1"/>
  <c r="AE1260" i="1" s="1"/>
  <c r="AD1261" i="1"/>
  <c r="AE1261" i="1" s="1"/>
  <c r="AD1262" i="1"/>
  <c r="AE1262" i="1" s="1"/>
  <c r="AD1263" i="1"/>
  <c r="AE1263" i="1" s="1"/>
  <c r="AD1264" i="1"/>
  <c r="AE1264" i="1" s="1"/>
  <c r="AD1265" i="1"/>
  <c r="AE1265" i="1" s="1"/>
  <c r="AD1266" i="1"/>
  <c r="AE1266" i="1" s="1"/>
  <c r="AD1267" i="1"/>
  <c r="AE1267" i="1" s="1"/>
  <c r="AD1268" i="1"/>
  <c r="AE1268" i="1" s="1"/>
  <c r="AD1269" i="1"/>
  <c r="AE1269" i="1" s="1"/>
  <c r="AD1270" i="1"/>
  <c r="AE1270" i="1" s="1"/>
  <c r="AD1271" i="1"/>
  <c r="AE1271" i="1" s="1"/>
  <c r="AD1272" i="1"/>
  <c r="AE1272" i="1" s="1"/>
  <c r="AD1273" i="1"/>
  <c r="AE1273" i="1" s="1"/>
  <c r="AD1274" i="1"/>
  <c r="AE1274" i="1" s="1"/>
  <c r="AD1275" i="1"/>
  <c r="AE1275" i="1" s="1"/>
  <c r="AD1276" i="1"/>
  <c r="AE1276" i="1" s="1"/>
  <c r="AD1277" i="1"/>
  <c r="AE1277" i="1" s="1"/>
  <c r="AD1278" i="1"/>
  <c r="AE1278" i="1" s="1"/>
  <c r="AD1279" i="1"/>
  <c r="AE1279" i="1" s="1"/>
  <c r="AD1280" i="1"/>
  <c r="AE1280" i="1" s="1"/>
  <c r="AD1281" i="1"/>
  <c r="AE1281" i="1" s="1"/>
  <c r="AD1282" i="1"/>
  <c r="AE1282" i="1" s="1"/>
  <c r="AD1283" i="1"/>
  <c r="AE1283" i="1" s="1"/>
  <c r="AD1284" i="1"/>
  <c r="AE1284" i="1" s="1"/>
  <c r="AD1285" i="1"/>
  <c r="AE1285" i="1" s="1"/>
  <c r="AD1286" i="1"/>
  <c r="AE1286" i="1" s="1"/>
  <c r="AD1287" i="1"/>
  <c r="AE1287" i="1" s="1"/>
  <c r="AD1288" i="1"/>
  <c r="AE1288" i="1" s="1"/>
  <c r="AD1289" i="1"/>
  <c r="AE1289" i="1" s="1"/>
  <c r="AD1290" i="1"/>
  <c r="AE1290" i="1" s="1"/>
  <c r="AD1291" i="1"/>
  <c r="AE1291" i="1" s="1"/>
  <c r="AD1292" i="1"/>
  <c r="AE1292" i="1" s="1"/>
  <c r="AD1293" i="1"/>
  <c r="AE1293" i="1" s="1"/>
  <c r="AD1294" i="1"/>
  <c r="AE1294" i="1" s="1"/>
  <c r="AD1295" i="1"/>
  <c r="AE1295" i="1" s="1"/>
  <c r="AD1296" i="1"/>
  <c r="AE1296" i="1" s="1"/>
  <c r="AD1297" i="1"/>
  <c r="AE1297" i="1" s="1"/>
  <c r="AD1298" i="1"/>
  <c r="AE1298" i="1" s="1"/>
  <c r="AD1299" i="1"/>
  <c r="AE1299" i="1" s="1"/>
  <c r="AD1300" i="1"/>
  <c r="AE1300" i="1" s="1"/>
  <c r="AD1301" i="1"/>
  <c r="AE1301" i="1" s="1"/>
  <c r="AD1302" i="1"/>
  <c r="AE1302" i="1" s="1"/>
  <c r="AD1303" i="1"/>
  <c r="AE1303" i="1" s="1"/>
  <c r="AD1304" i="1"/>
  <c r="AE1304" i="1" s="1"/>
  <c r="AD1305" i="1"/>
  <c r="AE1305" i="1" s="1"/>
  <c r="AD1306" i="1"/>
  <c r="AE1306" i="1" s="1"/>
  <c r="AD1307" i="1"/>
  <c r="AE1307" i="1" s="1"/>
  <c r="AD1308" i="1"/>
  <c r="AE1308" i="1" s="1"/>
  <c r="AD1309" i="1"/>
  <c r="AE1309" i="1" s="1"/>
  <c r="AD1310" i="1"/>
  <c r="AE1310" i="1" s="1"/>
  <c r="AD1311" i="1"/>
  <c r="AE1311" i="1" s="1"/>
  <c r="AD1312" i="1"/>
  <c r="AE1312" i="1" s="1"/>
  <c r="AD1313" i="1"/>
  <c r="AE1313" i="1" s="1"/>
  <c r="AD1314" i="1"/>
  <c r="AE1314" i="1" s="1"/>
  <c r="AD1315" i="1"/>
  <c r="AE1315" i="1" s="1"/>
  <c r="AD1316" i="1"/>
  <c r="AE1316" i="1" s="1"/>
  <c r="AD1317" i="1"/>
  <c r="AE1317" i="1" s="1"/>
  <c r="AD1318" i="1"/>
  <c r="AE1318" i="1" s="1"/>
  <c r="AD1319" i="1"/>
  <c r="AE1319" i="1" s="1"/>
  <c r="AD1320" i="1"/>
  <c r="AE1320" i="1" s="1"/>
  <c r="AD1321" i="1"/>
  <c r="AE1321" i="1" s="1"/>
  <c r="AD1322" i="1"/>
  <c r="AE1322" i="1" s="1"/>
  <c r="AD1323" i="1"/>
  <c r="AE1323" i="1" s="1"/>
  <c r="AD1324" i="1"/>
  <c r="AE1324" i="1" s="1"/>
  <c r="AD1325" i="1"/>
  <c r="AE1325" i="1" s="1"/>
  <c r="AD1326" i="1"/>
  <c r="AE1326" i="1" s="1"/>
  <c r="AD1327" i="1"/>
  <c r="AE1327" i="1" s="1"/>
  <c r="AD1328" i="1"/>
  <c r="AE1328" i="1" s="1"/>
  <c r="AD1329" i="1"/>
  <c r="AE1329" i="1" s="1"/>
  <c r="AD1330" i="1"/>
  <c r="AE1330" i="1" s="1"/>
  <c r="AD1331" i="1"/>
  <c r="AE1331" i="1" s="1"/>
  <c r="AD1332" i="1"/>
  <c r="AE1332" i="1" s="1"/>
  <c r="AD1333" i="1"/>
  <c r="AE1333" i="1" s="1"/>
  <c r="AD1334" i="1"/>
  <c r="AE1334" i="1" s="1"/>
  <c r="AD1335" i="1"/>
  <c r="AE1335" i="1" s="1"/>
  <c r="AD1336" i="1"/>
  <c r="AE1336" i="1" s="1"/>
  <c r="AD1337" i="1"/>
  <c r="AE1337" i="1" s="1"/>
  <c r="AD1338" i="1"/>
  <c r="AE1338" i="1" s="1"/>
  <c r="AD1339" i="1"/>
  <c r="AE1339" i="1" s="1"/>
  <c r="AD1340" i="1"/>
  <c r="AE1340" i="1" s="1"/>
  <c r="AD1341" i="1"/>
  <c r="AE1341" i="1" s="1"/>
  <c r="AD1342" i="1"/>
  <c r="AE1342" i="1" s="1"/>
  <c r="AD1343" i="1"/>
  <c r="AE1343" i="1" s="1"/>
  <c r="AD1344" i="1"/>
  <c r="AE1344" i="1" s="1"/>
  <c r="AD1345" i="1"/>
  <c r="AE1345" i="1" s="1"/>
  <c r="AD1346" i="1"/>
  <c r="AE1346" i="1" s="1"/>
  <c r="AD1347" i="1"/>
  <c r="AE1347" i="1" s="1"/>
  <c r="AD1348" i="1"/>
  <c r="AE1348" i="1" s="1"/>
  <c r="AD1349" i="1"/>
  <c r="AE1349" i="1" s="1"/>
  <c r="AD1350" i="1"/>
  <c r="AE1350" i="1" s="1"/>
  <c r="AD1351" i="1"/>
  <c r="AE1351" i="1" s="1"/>
  <c r="AD1352" i="1"/>
  <c r="AE1352" i="1" s="1"/>
  <c r="AD1353" i="1"/>
  <c r="AE1353" i="1" s="1"/>
  <c r="AD1354" i="1"/>
  <c r="AE1354" i="1" s="1"/>
  <c r="AD1355" i="1"/>
  <c r="AE1355" i="1" s="1"/>
  <c r="AD1356" i="1"/>
  <c r="AE1356" i="1" s="1"/>
  <c r="AD1357" i="1"/>
  <c r="AE1357" i="1" s="1"/>
  <c r="AD1358" i="1"/>
  <c r="AE1358" i="1" s="1"/>
  <c r="AD1359" i="1"/>
  <c r="AE1359" i="1" s="1"/>
  <c r="AD1360" i="1"/>
  <c r="AE1360" i="1" s="1"/>
  <c r="AD1361" i="1"/>
  <c r="AE1361" i="1" s="1"/>
  <c r="AD1362" i="1"/>
  <c r="AE1362" i="1" s="1"/>
  <c r="AD1363" i="1"/>
  <c r="AE1363" i="1" s="1"/>
  <c r="AD1364" i="1"/>
  <c r="AE1364" i="1" s="1"/>
  <c r="AD1365" i="1"/>
  <c r="AE1365" i="1" s="1"/>
  <c r="AD1366" i="1"/>
  <c r="AE1366" i="1" s="1"/>
  <c r="AD1367" i="1"/>
  <c r="AE1367" i="1" s="1"/>
  <c r="AD1368" i="1"/>
  <c r="AE1368" i="1" s="1"/>
  <c r="AD1369" i="1"/>
  <c r="AE1369" i="1" s="1"/>
  <c r="AD1370" i="1"/>
  <c r="AE1370" i="1" s="1"/>
  <c r="AD1371" i="1"/>
  <c r="AE1371" i="1" s="1"/>
  <c r="AD1372" i="1"/>
  <c r="AE1372" i="1" s="1"/>
  <c r="AD1373" i="1"/>
  <c r="AE1373" i="1" s="1"/>
  <c r="AD1374" i="1"/>
  <c r="AE1374" i="1" s="1"/>
  <c r="AD1375" i="1"/>
  <c r="AE1375" i="1" s="1"/>
  <c r="AD1376" i="1"/>
  <c r="AE1376" i="1" s="1"/>
  <c r="AD1377" i="1"/>
  <c r="AE1377" i="1" s="1"/>
  <c r="AD1378" i="1"/>
  <c r="AE1378" i="1" s="1"/>
  <c r="AD1379" i="1"/>
  <c r="AE1379" i="1" s="1"/>
  <c r="AD1380" i="1"/>
  <c r="AE1380" i="1" s="1"/>
  <c r="AD1381" i="1"/>
  <c r="AE1381" i="1" s="1"/>
  <c r="AD1382" i="1"/>
  <c r="AE1382" i="1" s="1"/>
  <c r="AD1383" i="1"/>
  <c r="AE1383" i="1" s="1"/>
  <c r="AD1384" i="1"/>
  <c r="AE1384" i="1" s="1"/>
  <c r="AD1385" i="1"/>
  <c r="AE1385" i="1" s="1"/>
  <c r="AD1386" i="1"/>
  <c r="AE1386" i="1" s="1"/>
  <c r="AD1387" i="1"/>
  <c r="AE1387" i="1" s="1"/>
  <c r="AD1388" i="1"/>
  <c r="AE1388" i="1" s="1"/>
  <c r="AD1389" i="1"/>
  <c r="AE1389" i="1" s="1"/>
  <c r="AD1390" i="1"/>
  <c r="AE1390" i="1" s="1"/>
  <c r="AD1391" i="1"/>
  <c r="AE1391" i="1" s="1"/>
  <c r="AD1392" i="1"/>
  <c r="AE1392" i="1" s="1"/>
  <c r="AD1393" i="1"/>
  <c r="AE1393" i="1" s="1"/>
  <c r="AD1394" i="1"/>
  <c r="AE1394" i="1" s="1"/>
  <c r="AD1395" i="1"/>
  <c r="AE1395" i="1" s="1"/>
  <c r="AD1396" i="1"/>
  <c r="AE1396" i="1" s="1"/>
  <c r="AD1397" i="1"/>
  <c r="AE1397" i="1" s="1"/>
  <c r="AD1398" i="1"/>
  <c r="AE1398" i="1" s="1"/>
  <c r="AD1399" i="1"/>
  <c r="AE1399" i="1" s="1"/>
  <c r="AD1400" i="1"/>
  <c r="AE1400" i="1" s="1"/>
  <c r="AD1401" i="1"/>
  <c r="AE1401" i="1" s="1"/>
  <c r="AD1402" i="1"/>
  <c r="AE1402" i="1" s="1"/>
  <c r="AD1403" i="1"/>
  <c r="AE1403" i="1" s="1"/>
  <c r="AD1404" i="1"/>
  <c r="AE1404" i="1" s="1"/>
  <c r="AD1405" i="1"/>
  <c r="AE1405" i="1" s="1"/>
  <c r="AD1406" i="1"/>
  <c r="AE1406" i="1" s="1"/>
  <c r="AD1407" i="1"/>
  <c r="AE1407" i="1" s="1"/>
  <c r="AD1408" i="1"/>
  <c r="AE1408" i="1" s="1"/>
  <c r="AD1409" i="1"/>
  <c r="AE1409" i="1" s="1"/>
  <c r="AD1410" i="1"/>
  <c r="AE1410" i="1" s="1"/>
  <c r="AD1411" i="1"/>
  <c r="AE1411" i="1" s="1"/>
  <c r="AD1412" i="1"/>
  <c r="AE1412" i="1" s="1"/>
  <c r="AD1413" i="1"/>
  <c r="AE1413" i="1" s="1"/>
  <c r="AD1414" i="1"/>
  <c r="AE1414" i="1" s="1"/>
  <c r="AD1415" i="1"/>
  <c r="AE1415" i="1" s="1"/>
  <c r="AD1416" i="1"/>
  <c r="AE1416" i="1" s="1"/>
  <c r="AD1417" i="1"/>
  <c r="AE1417" i="1" s="1"/>
  <c r="AD1418" i="1"/>
  <c r="AE1418" i="1" s="1"/>
  <c r="AD1419" i="1"/>
  <c r="AE1419" i="1" s="1"/>
  <c r="AD1420" i="1"/>
  <c r="AE1420" i="1" s="1"/>
  <c r="AD1421" i="1"/>
  <c r="AE1421" i="1" s="1"/>
  <c r="AD1422" i="1"/>
  <c r="AE1422" i="1" s="1"/>
  <c r="AD1423" i="1"/>
  <c r="AE1423" i="1" s="1"/>
  <c r="AD1424" i="1"/>
  <c r="AE1424" i="1" s="1"/>
  <c r="AD1425" i="1"/>
  <c r="AE1425" i="1" s="1"/>
  <c r="AD1426" i="1"/>
  <c r="AE1426" i="1" s="1"/>
  <c r="AD1427" i="1"/>
  <c r="AE1427" i="1" s="1"/>
  <c r="AD1428" i="1"/>
  <c r="AE1428" i="1" s="1"/>
  <c r="AD1429" i="1"/>
  <c r="AE1429" i="1" s="1"/>
  <c r="AD1430" i="1"/>
  <c r="AE1430" i="1" s="1"/>
  <c r="AD1431" i="1"/>
  <c r="AE1431" i="1" s="1"/>
  <c r="AD1432" i="1"/>
  <c r="AE1432" i="1" s="1"/>
  <c r="AD1433" i="1"/>
  <c r="AE1433" i="1" s="1"/>
  <c r="AD1434" i="1"/>
  <c r="AE1434" i="1" s="1"/>
  <c r="AD1435" i="1"/>
  <c r="AE1435" i="1" s="1"/>
  <c r="AD1436" i="1"/>
  <c r="AE1436" i="1" s="1"/>
  <c r="AD1437" i="1"/>
  <c r="AE1437" i="1" s="1"/>
  <c r="AD1438" i="1"/>
  <c r="AE1438" i="1" s="1"/>
  <c r="AD1439" i="1"/>
  <c r="AE1439" i="1" s="1"/>
  <c r="AD1440" i="1"/>
  <c r="AE1440" i="1" s="1"/>
  <c r="AD1441" i="1"/>
  <c r="AE1441" i="1" s="1"/>
  <c r="AD1442" i="1"/>
  <c r="AE1442" i="1" s="1"/>
  <c r="AD1443" i="1"/>
  <c r="AE1443" i="1" s="1"/>
  <c r="AD1444" i="1"/>
  <c r="AE1444" i="1" s="1"/>
  <c r="AD1445" i="1"/>
  <c r="AE1445" i="1" s="1"/>
  <c r="AD1446" i="1"/>
  <c r="AE1446" i="1" s="1"/>
  <c r="AD1447" i="1"/>
  <c r="AE1447" i="1" s="1"/>
  <c r="AD1448" i="1"/>
  <c r="AE1448" i="1" s="1"/>
  <c r="AD1449" i="1"/>
  <c r="AE1449" i="1" s="1"/>
  <c r="AD1450" i="1"/>
  <c r="AE1450" i="1" s="1"/>
  <c r="AD1451" i="1"/>
  <c r="AE1451" i="1" s="1"/>
  <c r="AD1452" i="1"/>
  <c r="AE1452" i="1" s="1"/>
  <c r="AD1453" i="1"/>
  <c r="AE1453" i="1" s="1"/>
  <c r="AD1454" i="1"/>
  <c r="AE1454" i="1" s="1"/>
  <c r="AD1455" i="1"/>
  <c r="AE1455" i="1" s="1"/>
  <c r="AD1456" i="1"/>
  <c r="AE1456" i="1" s="1"/>
  <c r="AD1457" i="1"/>
  <c r="AE1457" i="1" s="1"/>
  <c r="AD1458" i="1"/>
  <c r="AE1458" i="1" s="1"/>
  <c r="AD1459" i="1"/>
  <c r="AE1459" i="1" s="1"/>
  <c r="AD1460" i="1"/>
  <c r="AE1460" i="1" s="1"/>
  <c r="AD1461" i="1"/>
  <c r="AE1461" i="1" s="1"/>
  <c r="AD1462" i="1"/>
  <c r="AE1462" i="1" s="1"/>
  <c r="AD1463" i="1"/>
  <c r="AE1463" i="1" s="1"/>
  <c r="AD1464" i="1"/>
  <c r="AE1464" i="1" s="1"/>
  <c r="AD1465" i="1"/>
  <c r="AE1465" i="1" s="1"/>
  <c r="AD1466" i="1"/>
  <c r="AE1466" i="1" s="1"/>
  <c r="AD1467" i="1"/>
  <c r="AE1467" i="1" s="1"/>
  <c r="AD1468" i="1"/>
  <c r="AE1468" i="1" s="1"/>
  <c r="AD1469" i="1"/>
  <c r="AE1469" i="1" s="1"/>
  <c r="AD1470" i="1"/>
  <c r="AE1470" i="1" s="1"/>
  <c r="AD1471" i="1"/>
  <c r="AE1471" i="1" s="1"/>
  <c r="AD1472" i="1"/>
  <c r="AE1472" i="1" s="1"/>
  <c r="AD1473" i="1"/>
  <c r="AE1473" i="1" s="1"/>
  <c r="AD1474" i="1"/>
  <c r="AE1474" i="1" s="1"/>
  <c r="AD1475" i="1"/>
  <c r="AE1475" i="1" s="1"/>
  <c r="AD1476" i="1"/>
  <c r="AE1476" i="1" s="1"/>
  <c r="AD1477" i="1"/>
  <c r="AE1477" i="1" s="1"/>
  <c r="AD1478" i="1"/>
  <c r="AE1478" i="1" s="1"/>
  <c r="AD1479" i="1"/>
  <c r="AE1479" i="1" s="1"/>
  <c r="AD1480" i="1"/>
  <c r="AE1480" i="1" s="1"/>
  <c r="AD1481" i="1"/>
  <c r="AE1481" i="1" s="1"/>
  <c r="AD1482" i="1"/>
  <c r="AE1482" i="1" s="1"/>
  <c r="AD1483" i="1"/>
  <c r="AE1483" i="1" s="1"/>
  <c r="AD1484" i="1"/>
  <c r="AE1484" i="1" s="1"/>
  <c r="AD1485" i="1"/>
  <c r="AE1485" i="1" s="1"/>
  <c r="AD1486" i="1"/>
  <c r="AE1486" i="1" s="1"/>
  <c r="AD1487" i="1"/>
  <c r="AE1487" i="1" s="1"/>
  <c r="AD1488" i="1"/>
  <c r="AE1488" i="1" s="1"/>
  <c r="AD1489" i="1"/>
  <c r="AE1489" i="1" s="1"/>
  <c r="AD1490" i="1"/>
  <c r="AE1490" i="1" s="1"/>
  <c r="AD1491" i="1"/>
  <c r="AE1491" i="1" s="1"/>
  <c r="AD1492" i="1"/>
  <c r="AE1492" i="1" s="1"/>
  <c r="AD1493" i="1"/>
  <c r="AE1493" i="1" s="1"/>
  <c r="AD1494" i="1"/>
  <c r="AE1494" i="1" s="1"/>
  <c r="AD1495" i="1"/>
  <c r="AE1495" i="1" s="1"/>
  <c r="AD1496" i="1"/>
  <c r="AE1496" i="1" s="1"/>
  <c r="AD1497" i="1"/>
  <c r="AE1497" i="1" s="1"/>
  <c r="AD1498" i="1"/>
  <c r="AE1498" i="1" s="1"/>
  <c r="AD1499" i="1"/>
  <c r="AE1499" i="1" s="1"/>
  <c r="AD1500" i="1"/>
  <c r="AE1500" i="1" s="1"/>
  <c r="AD1501" i="1"/>
  <c r="AE1501" i="1" s="1"/>
  <c r="AD1502" i="1"/>
  <c r="AE1502" i="1" s="1"/>
  <c r="AD1503" i="1"/>
  <c r="AE1503" i="1" s="1"/>
  <c r="AD1504" i="1"/>
  <c r="AE1504" i="1" s="1"/>
  <c r="AD1505" i="1"/>
  <c r="AE1505" i="1" s="1"/>
  <c r="AD1506" i="1"/>
  <c r="AE1506" i="1" s="1"/>
  <c r="AD1507" i="1"/>
  <c r="AE1507" i="1" s="1"/>
  <c r="AD1508" i="1"/>
  <c r="AE1508" i="1" s="1"/>
  <c r="AD1509" i="1"/>
  <c r="AE1509" i="1" s="1"/>
  <c r="AD1510" i="1"/>
  <c r="AE1510" i="1" s="1"/>
  <c r="AD1511" i="1"/>
  <c r="AE1511" i="1" s="1"/>
  <c r="AD1512" i="1"/>
  <c r="AE1512" i="1" s="1"/>
  <c r="AD1513" i="1"/>
  <c r="AE1513" i="1" s="1"/>
  <c r="AD1514" i="1"/>
  <c r="AE1514" i="1" s="1"/>
  <c r="AD1515" i="1"/>
  <c r="AE1515" i="1" s="1"/>
  <c r="AD1516" i="1"/>
  <c r="AE1516" i="1" s="1"/>
  <c r="AD1517" i="1"/>
  <c r="AE1517" i="1" s="1"/>
  <c r="AD1518" i="1"/>
  <c r="AE1518" i="1" s="1"/>
  <c r="AD1519" i="1"/>
  <c r="AE1519" i="1" s="1"/>
  <c r="AD1520" i="1"/>
  <c r="AE1520" i="1" s="1"/>
  <c r="AD1521" i="1"/>
  <c r="AE1521" i="1" s="1"/>
  <c r="AD1522" i="1"/>
  <c r="AE1522" i="1" s="1"/>
  <c r="AD1523" i="1"/>
  <c r="AE1523" i="1" s="1"/>
  <c r="AD1524" i="1"/>
  <c r="AE1524" i="1" s="1"/>
  <c r="AD1525" i="1"/>
  <c r="AE1525" i="1" s="1"/>
  <c r="AD1526" i="1"/>
  <c r="AE1526" i="1" s="1"/>
  <c r="AD1527" i="1"/>
  <c r="AE1527" i="1" s="1"/>
  <c r="AD1528" i="1"/>
  <c r="AE1528" i="1" s="1"/>
  <c r="AD1529" i="1"/>
  <c r="AE1529" i="1" s="1"/>
  <c r="AD1530" i="1"/>
  <c r="AE1530" i="1" s="1"/>
  <c r="AD1531" i="1"/>
  <c r="AE1531" i="1" s="1"/>
  <c r="AD1532" i="1"/>
  <c r="AE1532" i="1" s="1"/>
  <c r="AD1533" i="1"/>
  <c r="AE1533" i="1" s="1"/>
  <c r="AD1534" i="1"/>
  <c r="AE1534" i="1" s="1"/>
  <c r="AD1535" i="1"/>
  <c r="AE1535" i="1" s="1"/>
  <c r="AD1536" i="1"/>
  <c r="AE1536" i="1" s="1"/>
  <c r="AD1537" i="1"/>
  <c r="AE1537" i="1" s="1"/>
  <c r="AD1538" i="1"/>
  <c r="AE1538" i="1" s="1"/>
  <c r="AD1539" i="1"/>
  <c r="AE1539" i="1" s="1"/>
  <c r="AD1540" i="1"/>
  <c r="AE1540" i="1" s="1"/>
  <c r="AD1541" i="1"/>
  <c r="AE1541" i="1" s="1"/>
  <c r="AD1542" i="1"/>
  <c r="AE1542" i="1" s="1"/>
  <c r="AD1543" i="1"/>
  <c r="AE1543" i="1" s="1"/>
  <c r="AD1544" i="1"/>
  <c r="AE1544" i="1" s="1"/>
  <c r="AD1545" i="1"/>
  <c r="AE1545" i="1" s="1"/>
  <c r="AD1546" i="1"/>
  <c r="AE1546" i="1" s="1"/>
  <c r="AD1547" i="1"/>
  <c r="AE1547" i="1" s="1"/>
  <c r="AD1548" i="1"/>
  <c r="AE1548" i="1" s="1"/>
  <c r="AD1549" i="1"/>
  <c r="AE1549" i="1" s="1"/>
  <c r="AD1550" i="1"/>
  <c r="AE1550" i="1" s="1"/>
  <c r="AD1551" i="1"/>
  <c r="AE1551" i="1" s="1"/>
  <c r="AD1552" i="1"/>
  <c r="AE1552" i="1" s="1"/>
  <c r="AD1553" i="1"/>
  <c r="AE1553" i="1" s="1"/>
  <c r="AD1554" i="1"/>
  <c r="AE1554" i="1" s="1"/>
  <c r="AD1555" i="1"/>
  <c r="AE1555" i="1" s="1"/>
  <c r="AD1556" i="1"/>
  <c r="AE1556" i="1" s="1"/>
  <c r="AD1557" i="1"/>
  <c r="AE1557" i="1" s="1"/>
  <c r="AD1558" i="1"/>
  <c r="AE1558" i="1" s="1"/>
  <c r="AD1559" i="1"/>
  <c r="AE1559" i="1" s="1"/>
  <c r="AD1560" i="1"/>
  <c r="AE1560" i="1" s="1"/>
  <c r="AD1561" i="1"/>
  <c r="AE1561" i="1" s="1"/>
  <c r="AD1562" i="1"/>
  <c r="AE1562" i="1" s="1"/>
  <c r="AD1563" i="1"/>
  <c r="AE1563" i="1" s="1"/>
  <c r="AD1564" i="1"/>
  <c r="AE1564" i="1" s="1"/>
  <c r="AD1565" i="1"/>
  <c r="AE1565" i="1" s="1"/>
  <c r="AD1566" i="1"/>
  <c r="AE1566" i="1" s="1"/>
  <c r="AD1567" i="1"/>
  <c r="AE1567" i="1" s="1"/>
  <c r="AD1568" i="1"/>
  <c r="AE1568" i="1" s="1"/>
  <c r="AD1569" i="1"/>
  <c r="AE1569" i="1" s="1"/>
  <c r="AD1570" i="1"/>
  <c r="AE1570" i="1" s="1"/>
  <c r="AD1571" i="1"/>
  <c r="AE1571" i="1" s="1"/>
  <c r="AD1572" i="1"/>
  <c r="AE1572" i="1" s="1"/>
  <c r="AD1573" i="1"/>
  <c r="AE1573" i="1" s="1"/>
  <c r="AD1574" i="1"/>
  <c r="AE1574" i="1" s="1"/>
  <c r="AD1575" i="1"/>
  <c r="AE1575" i="1" s="1"/>
  <c r="AD1576" i="1"/>
  <c r="AE1576" i="1" s="1"/>
  <c r="AD1577" i="1"/>
  <c r="AE1577" i="1" s="1"/>
  <c r="AD1578" i="1"/>
  <c r="AE1578" i="1" s="1"/>
  <c r="AD1579" i="1"/>
  <c r="AE1579" i="1" s="1"/>
  <c r="AD1580" i="1"/>
  <c r="AE1580" i="1" s="1"/>
  <c r="AD1581" i="1"/>
  <c r="AE1581" i="1" s="1"/>
  <c r="AD1582" i="1"/>
  <c r="AE1582" i="1" s="1"/>
  <c r="AD1583" i="1"/>
  <c r="AE1583" i="1" s="1"/>
  <c r="AD1584" i="1"/>
  <c r="AE1584" i="1" s="1"/>
  <c r="AD1585" i="1"/>
  <c r="AE1585" i="1" s="1"/>
  <c r="AD1586" i="1"/>
  <c r="AE1586" i="1" s="1"/>
  <c r="AD1587" i="1"/>
  <c r="AE1587" i="1" s="1"/>
  <c r="AD1588" i="1"/>
  <c r="AE1588" i="1" s="1"/>
  <c r="AD1589" i="1"/>
  <c r="AE1589" i="1" s="1"/>
  <c r="AD1590" i="1"/>
  <c r="AE1590" i="1" s="1"/>
  <c r="AD1591" i="1"/>
  <c r="AE1591" i="1" s="1"/>
  <c r="AD1592" i="1"/>
  <c r="AE1592" i="1" s="1"/>
  <c r="AD1593" i="1"/>
  <c r="AE1593" i="1" s="1"/>
  <c r="AD1594" i="1"/>
  <c r="AE1594" i="1" s="1"/>
  <c r="AD1595" i="1"/>
  <c r="AE1595" i="1" s="1"/>
  <c r="AD1596" i="1"/>
  <c r="AE1596" i="1" s="1"/>
  <c r="AD1597" i="1"/>
  <c r="AE1597" i="1" s="1"/>
  <c r="AD1598" i="1"/>
  <c r="AE1598" i="1" s="1"/>
  <c r="AD1599" i="1"/>
  <c r="AE1599" i="1" s="1"/>
  <c r="AD1600" i="1"/>
  <c r="AE1600" i="1" s="1"/>
  <c r="AD1601" i="1"/>
  <c r="AE1601" i="1" s="1"/>
  <c r="AD1602" i="1"/>
  <c r="AE1602" i="1" s="1"/>
  <c r="AD1603" i="1"/>
  <c r="AE1603" i="1" s="1"/>
  <c r="AD1604" i="1"/>
  <c r="AE1604" i="1" s="1"/>
  <c r="AD1605" i="1"/>
  <c r="AE1605" i="1" s="1"/>
  <c r="AD1606" i="1"/>
  <c r="AE1606" i="1" s="1"/>
  <c r="AD1607" i="1"/>
  <c r="AE1607" i="1" s="1"/>
  <c r="AD1608" i="1"/>
  <c r="AE1608" i="1" s="1"/>
  <c r="AD1609" i="1"/>
  <c r="AE1609" i="1" s="1"/>
  <c r="AD1610" i="1"/>
  <c r="AE1610" i="1" s="1"/>
  <c r="AD1611" i="1"/>
  <c r="AE1611" i="1" s="1"/>
  <c r="AD1612" i="1"/>
  <c r="AE1612" i="1" s="1"/>
  <c r="AD1613" i="1"/>
  <c r="AE1613" i="1" s="1"/>
  <c r="AD1614" i="1"/>
  <c r="AE1614" i="1" s="1"/>
  <c r="AD1615" i="1"/>
  <c r="AE1615" i="1" s="1"/>
  <c r="AD1616" i="1"/>
  <c r="AE1616" i="1" s="1"/>
  <c r="AD1617" i="1"/>
  <c r="AE1617" i="1" s="1"/>
  <c r="AD1618" i="1"/>
  <c r="AE1618" i="1" s="1"/>
  <c r="AD1619" i="1"/>
  <c r="AE1619" i="1" s="1"/>
  <c r="AD1620" i="1"/>
  <c r="AE1620" i="1" s="1"/>
  <c r="AD1621" i="1"/>
  <c r="AE1621" i="1" s="1"/>
  <c r="AD1622" i="1"/>
  <c r="AE1622" i="1" s="1"/>
  <c r="AD1623" i="1"/>
  <c r="AE1623" i="1" s="1"/>
  <c r="AD1624" i="1"/>
  <c r="AE1624" i="1" s="1"/>
  <c r="AD1625" i="1"/>
  <c r="AE1625" i="1" s="1"/>
  <c r="AD1626" i="1"/>
  <c r="AE1626" i="1" s="1"/>
  <c r="AD1627" i="1"/>
  <c r="AE1627" i="1" s="1"/>
  <c r="AD1628" i="1"/>
  <c r="AE1628" i="1" s="1"/>
  <c r="AD1629" i="1"/>
  <c r="AE1629" i="1" s="1"/>
  <c r="AD1630" i="1"/>
  <c r="AE1630" i="1" s="1"/>
  <c r="AD1631" i="1"/>
  <c r="AE1631" i="1" s="1"/>
  <c r="AD1632" i="1"/>
  <c r="AE1632" i="1" s="1"/>
  <c r="AD1633" i="1"/>
  <c r="AE1633" i="1" s="1"/>
  <c r="AD1634" i="1"/>
  <c r="AE1634" i="1" s="1"/>
  <c r="AD1635" i="1"/>
  <c r="AE1635" i="1" s="1"/>
  <c r="AD1636" i="1"/>
  <c r="AE1636" i="1" s="1"/>
  <c r="AD1637" i="1"/>
  <c r="AE1637" i="1" s="1"/>
  <c r="AD1638" i="1"/>
  <c r="AE1638" i="1" s="1"/>
  <c r="AD1639" i="1"/>
  <c r="AE1639" i="1" s="1"/>
  <c r="AD1640" i="1"/>
  <c r="AE1640" i="1" s="1"/>
  <c r="AD1641" i="1"/>
  <c r="AE1641" i="1" s="1"/>
  <c r="AD1642" i="1"/>
  <c r="AE1642" i="1" s="1"/>
  <c r="AD1643" i="1"/>
  <c r="AE1643" i="1" s="1"/>
  <c r="AD1644" i="1"/>
  <c r="AE1644" i="1" s="1"/>
  <c r="AD1645" i="1"/>
  <c r="AE1645" i="1" s="1"/>
  <c r="AD1646" i="1"/>
  <c r="AE1646" i="1" s="1"/>
  <c r="AD1647" i="1"/>
  <c r="AE1647" i="1" s="1"/>
  <c r="AD1648" i="1"/>
  <c r="AE1648" i="1" s="1"/>
  <c r="AD1649" i="1"/>
  <c r="AE1649" i="1" s="1"/>
  <c r="AD1650" i="1"/>
  <c r="AE1650" i="1" s="1"/>
  <c r="AD1651" i="1"/>
  <c r="AE1651" i="1" s="1"/>
  <c r="AD1652" i="1"/>
  <c r="AE1652" i="1" s="1"/>
  <c r="AD1653" i="1"/>
  <c r="AE1653" i="1" s="1"/>
  <c r="AD1654" i="1"/>
  <c r="AE1654" i="1" s="1"/>
  <c r="AD1655" i="1"/>
  <c r="AE1655" i="1" s="1"/>
  <c r="AD1656" i="1"/>
  <c r="AE1656" i="1" s="1"/>
  <c r="AD1657" i="1"/>
  <c r="AE1657" i="1" s="1"/>
  <c r="AD1658" i="1"/>
  <c r="AE1658" i="1" s="1"/>
  <c r="AD1659" i="1"/>
  <c r="AE1659" i="1" s="1"/>
  <c r="AD1660" i="1"/>
  <c r="AE1660" i="1" s="1"/>
  <c r="AD1661" i="1"/>
  <c r="AE1661" i="1" s="1"/>
  <c r="AD1662" i="1"/>
  <c r="AE1662" i="1" s="1"/>
  <c r="AD1663" i="1"/>
  <c r="AE1663" i="1" s="1"/>
  <c r="AD1664" i="1"/>
  <c r="AE1664" i="1" s="1"/>
  <c r="AD1665" i="1"/>
  <c r="AE1665" i="1" s="1"/>
  <c r="AD1666" i="1"/>
  <c r="AE1666" i="1" s="1"/>
  <c r="AD1667" i="1"/>
  <c r="AE1667" i="1" s="1"/>
  <c r="AD1668" i="1"/>
  <c r="AE1668" i="1" s="1"/>
  <c r="AD1669" i="1"/>
  <c r="AE1669" i="1" s="1"/>
  <c r="AD1670" i="1"/>
  <c r="AE1670" i="1" s="1"/>
  <c r="AD1671" i="1"/>
  <c r="AE1671" i="1" s="1"/>
  <c r="AD1672" i="1"/>
  <c r="AE1672" i="1" s="1"/>
  <c r="AD1673" i="1"/>
  <c r="AE1673" i="1" s="1"/>
  <c r="AD1674" i="1"/>
  <c r="AE1674" i="1" s="1"/>
  <c r="AD1675" i="1"/>
  <c r="AE1675" i="1" s="1"/>
  <c r="AD1676" i="1"/>
  <c r="AE1676" i="1" s="1"/>
  <c r="AD1677" i="1"/>
  <c r="AE1677" i="1" s="1"/>
  <c r="AD1678" i="1"/>
  <c r="AE1678" i="1" s="1"/>
  <c r="AD1679" i="1"/>
  <c r="AE1679" i="1" s="1"/>
  <c r="AD1680" i="1"/>
  <c r="AE1680" i="1" s="1"/>
  <c r="AD1681" i="1"/>
  <c r="AE1681" i="1" s="1"/>
  <c r="AD1682" i="1"/>
  <c r="AE1682" i="1" s="1"/>
  <c r="AD1683" i="1"/>
  <c r="AE1683" i="1" s="1"/>
  <c r="AD1684" i="1"/>
  <c r="AE1684" i="1" s="1"/>
  <c r="AD1685" i="1"/>
  <c r="AE1685" i="1" s="1"/>
  <c r="AD1686" i="1"/>
  <c r="AE1686" i="1" s="1"/>
  <c r="AD1687" i="1"/>
  <c r="AE1687" i="1" s="1"/>
  <c r="AD1688" i="1"/>
  <c r="AE1688" i="1" s="1"/>
  <c r="AD1689" i="1"/>
  <c r="AE1689" i="1" s="1"/>
  <c r="AD1690" i="1"/>
  <c r="AE1690" i="1" s="1"/>
  <c r="AD1691" i="1"/>
  <c r="AE1691" i="1" s="1"/>
  <c r="AD1692" i="1"/>
  <c r="AE1692" i="1" s="1"/>
  <c r="AD1693" i="1"/>
  <c r="AE1693" i="1" s="1"/>
  <c r="AD1694" i="1"/>
  <c r="AE1694" i="1" s="1"/>
  <c r="AD1695" i="1"/>
  <c r="AE1695" i="1" s="1"/>
  <c r="AD1696" i="1"/>
  <c r="AE1696" i="1" s="1"/>
  <c r="AD1697" i="1"/>
  <c r="AE1697" i="1" s="1"/>
  <c r="AD1698" i="1"/>
  <c r="AE1698" i="1" s="1"/>
  <c r="AD1699" i="1"/>
  <c r="AE1699" i="1" s="1"/>
  <c r="AD1700" i="1"/>
  <c r="AE1700" i="1" s="1"/>
  <c r="AD1701" i="1"/>
  <c r="AE1701" i="1" s="1"/>
  <c r="AD1702" i="1"/>
  <c r="AE1702" i="1" s="1"/>
  <c r="AD1703" i="1"/>
  <c r="AE1703" i="1" s="1"/>
  <c r="AD1704" i="1"/>
  <c r="AE1704" i="1" s="1"/>
  <c r="AD1705" i="1"/>
  <c r="AE1705" i="1" s="1"/>
  <c r="AD1706" i="1"/>
  <c r="AE1706" i="1" s="1"/>
  <c r="AD1707" i="1"/>
  <c r="AE1707" i="1" s="1"/>
  <c r="AD1708" i="1"/>
  <c r="AE1708" i="1" s="1"/>
  <c r="AD1709" i="1"/>
  <c r="AE1709" i="1" s="1"/>
  <c r="AD1710" i="1"/>
  <c r="AE1710" i="1" s="1"/>
  <c r="AD1711" i="1"/>
  <c r="AE1711" i="1" s="1"/>
  <c r="AD1712" i="1"/>
  <c r="AE1712" i="1" s="1"/>
  <c r="AD1713" i="1"/>
  <c r="AE1713" i="1" s="1"/>
  <c r="AD1714" i="1"/>
  <c r="AE1714" i="1" s="1"/>
  <c r="AD1715" i="1"/>
  <c r="AE1715" i="1" s="1"/>
  <c r="AD1716" i="1"/>
  <c r="AE1716" i="1" s="1"/>
  <c r="AD1717" i="1"/>
  <c r="AE1717" i="1" s="1"/>
  <c r="AD1718" i="1"/>
  <c r="AE1718" i="1" s="1"/>
  <c r="AD1719" i="1"/>
  <c r="AE1719" i="1" s="1"/>
  <c r="AD1720" i="1"/>
  <c r="AE1720" i="1" s="1"/>
  <c r="AD1721" i="1"/>
  <c r="AE1721" i="1" s="1"/>
  <c r="AD1722" i="1"/>
  <c r="AE1722" i="1" s="1"/>
  <c r="AD1723" i="1"/>
  <c r="AE1723" i="1" s="1"/>
  <c r="AD1724" i="1"/>
  <c r="AE1724" i="1" s="1"/>
  <c r="AD1725" i="1"/>
  <c r="AE1725" i="1" s="1"/>
  <c r="AD1726" i="1"/>
  <c r="AE1726" i="1" s="1"/>
  <c r="AD1727" i="1"/>
  <c r="AE1727" i="1" s="1"/>
  <c r="AD1728" i="1"/>
  <c r="AE1728" i="1" s="1"/>
  <c r="AD1729" i="1"/>
  <c r="AE1729" i="1" s="1"/>
  <c r="AD1730" i="1"/>
  <c r="AE1730" i="1" s="1"/>
  <c r="AD1731" i="1"/>
  <c r="AE1731" i="1" s="1"/>
  <c r="AD1732" i="1"/>
  <c r="AE1732" i="1" s="1"/>
  <c r="AD1733" i="1"/>
  <c r="AE1733" i="1" s="1"/>
  <c r="AD1734" i="1"/>
  <c r="AE1734" i="1" s="1"/>
  <c r="AD1735" i="1"/>
  <c r="AE1735" i="1" s="1"/>
  <c r="AD1736" i="1"/>
  <c r="AE1736" i="1" s="1"/>
  <c r="AD1737" i="1"/>
  <c r="AE1737" i="1" s="1"/>
  <c r="AD1738" i="1"/>
  <c r="AE1738" i="1" s="1"/>
  <c r="AD1739" i="1"/>
  <c r="AE1739" i="1" s="1"/>
  <c r="AD1740" i="1"/>
  <c r="AE1740" i="1" s="1"/>
  <c r="AD1741" i="1"/>
  <c r="AE1741" i="1" s="1"/>
  <c r="AD1742" i="1"/>
  <c r="AE1742" i="1" s="1"/>
  <c r="AD1743" i="1"/>
  <c r="AE1743" i="1" s="1"/>
  <c r="AD1744" i="1"/>
  <c r="AE1744" i="1" s="1"/>
  <c r="AD1745" i="1"/>
  <c r="AE1745" i="1" s="1"/>
  <c r="AD1746" i="1"/>
  <c r="AE1746" i="1" s="1"/>
  <c r="AD1747" i="1"/>
  <c r="AE1747" i="1" s="1"/>
  <c r="AD1748" i="1"/>
  <c r="AE1748" i="1" s="1"/>
  <c r="AD1749" i="1"/>
  <c r="AE1749" i="1" s="1"/>
  <c r="AD1750" i="1"/>
  <c r="AE1750" i="1" s="1"/>
  <c r="AD1751" i="1"/>
  <c r="AE1751" i="1" s="1"/>
  <c r="AD1752" i="1"/>
  <c r="AE1752" i="1" s="1"/>
  <c r="AD1753" i="1"/>
  <c r="AE1753" i="1" s="1"/>
  <c r="AD1754" i="1"/>
  <c r="AE1754" i="1" s="1"/>
  <c r="AD1755" i="1"/>
  <c r="AE1755" i="1" s="1"/>
  <c r="AD1756" i="1"/>
  <c r="AE1756" i="1" s="1"/>
  <c r="AD1757" i="1"/>
  <c r="AE1757" i="1" s="1"/>
  <c r="AD1758" i="1"/>
  <c r="AE1758" i="1" s="1"/>
  <c r="AD1759" i="1"/>
  <c r="AE1759" i="1" s="1"/>
  <c r="AD1760" i="1"/>
  <c r="AE1760" i="1" s="1"/>
  <c r="AD1761" i="1"/>
  <c r="AE1761" i="1" s="1"/>
  <c r="AD1762" i="1"/>
  <c r="AE1762" i="1" s="1"/>
  <c r="AD1763" i="1"/>
  <c r="AE1763" i="1" s="1"/>
  <c r="AD1764" i="1"/>
  <c r="AE1764" i="1" s="1"/>
  <c r="AD1765" i="1"/>
  <c r="AE1765" i="1" s="1"/>
  <c r="AD1766" i="1"/>
  <c r="AE1766" i="1" s="1"/>
  <c r="AD1767" i="1"/>
  <c r="AE1767" i="1" s="1"/>
  <c r="AD1768" i="1"/>
  <c r="AE1768" i="1" s="1"/>
  <c r="AD1769" i="1"/>
  <c r="AE1769" i="1" s="1"/>
  <c r="AD1770" i="1"/>
  <c r="AE1770" i="1" s="1"/>
  <c r="AD1771" i="1"/>
  <c r="AE1771" i="1" s="1"/>
  <c r="AD1772" i="1"/>
  <c r="AE1772" i="1" s="1"/>
  <c r="AD1773" i="1"/>
  <c r="AE1773" i="1" s="1"/>
  <c r="AD1774" i="1"/>
  <c r="AE1774" i="1" s="1"/>
  <c r="AD1775" i="1"/>
  <c r="AE1775" i="1" s="1"/>
  <c r="AD1776" i="1"/>
  <c r="AE1776" i="1" s="1"/>
  <c r="AD1777" i="1"/>
  <c r="AE1777" i="1" s="1"/>
  <c r="AD1778" i="1"/>
  <c r="AE1778" i="1" s="1"/>
  <c r="AD1779" i="1"/>
  <c r="AE1779" i="1" s="1"/>
  <c r="AD1780" i="1"/>
  <c r="AE1780" i="1" s="1"/>
  <c r="AD1781" i="1"/>
  <c r="AE1781" i="1" s="1"/>
  <c r="AD1782" i="1"/>
  <c r="AE1782" i="1" s="1"/>
  <c r="AD1783" i="1"/>
  <c r="AE1783" i="1" s="1"/>
  <c r="AD1784" i="1"/>
  <c r="AE1784" i="1" s="1"/>
  <c r="AD1785" i="1"/>
  <c r="AE1785" i="1" s="1"/>
  <c r="AD1786" i="1"/>
  <c r="AE1786" i="1" s="1"/>
  <c r="AD1787" i="1"/>
  <c r="AE1787" i="1" s="1"/>
  <c r="AD1788" i="1"/>
  <c r="AE1788" i="1" s="1"/>
  <c r="AD1789" i="1"/>
  <c r="AE1789" i="1" s="1"/>
  <c r="AD1790" i="1"/>
  <c r="AE1790" i="1" s="1"/>
  <c r="AD1791" i="1"/>
  <c r="AE1791" i="1" s="1"/>
  <c r="AD1792" i="1"/>
  <c r="AE1792" i="1" s="1"/>
  <c r="AD1793" i="1"/>
  <c r="AE1793" i="1" s="1"/>
  <c r="AD1794" i="1"/>
  <c r="AE1794" i="1" s="1"/>
  <c r="AD1795" i="1"/>
  <c r="AE1795" i="1" s="1"/>
  <c r="AD1796" i="1"/>
  <c r="AE1796" i="1" s="1"/>
  <c r="AD1797" i="1"/>
  <c r="AE1797" i="1" s="1"/>
  <c r="AD1798" i="1"/>
  <c r="AE1798" i="1" s="1"/>
  <c r="AD1799" i="1"/>
  <c r="AE1799" i="1" s="1"/>
  <c r="AD1800" i="1"/>
  <c r="AE1800" i="1" s="1"/>
  <c r="AD1801" i="1"/>
  <c r="AE1801" i="1" s="1"/>
  <c r="AD1802" i="1"/>
  <c r="AE1802" i="1" s="1"/>
  <c r="AD1803" i="1"/>
  <c r="AE1803" i="1" s="1"/>
  <c r="AD1804" i="1"/>
  <c r="AE1804" i="1" s="1"/>
  <c r="AD1805" i="1"/>
  <c r="AE1805" i="1" s="1"/>
  <c r="AD1806" i="1"/>
  <c r="AE1806" i="1" s="1"/>
  <c r="AD1807" i="1"/>
  <c r="AE1807" i="1" s="1"/>
  <c r="AD1808" i="1"/>
  <c r="AE1808" i="1" s="1"/>
  <c r="AD1809" i="1"/>
  <c r="AE1809" i="1" s="1"/>
  <c r="AD1810" i="1"/>
  <c r="AE1810" i="1" s="1"/>
  <c r="AD1811" i="1"/>
  <c r="AE1811" i="1" s="1"/>
  <c r="AD1812" i="1"/>
  <c r="AE1812" i="1" s="1"/>
  <c r="AD1813" i="1"/>
  <c r="AE1813" i="1" s="1"/>
  <c r="AD1814" i="1"/>
  <c r="AE1814" i="1" s="1"/>
  <c r="AD1815" i="1"/>
  <c r="AE1815" i="1" s="1"/>
  <c r="AD1816" i="1"/>
  <c r="AE1816" i="1" s="1"/>
  <c r="AD1817" i="1"/>
  <c r="AE1817" i="1" s="1"/>
  <c r="AD1818" i="1"/>
  <c r="AE1818" i="1" s="1"/>
  <c r="AD1819" i="1"/>
  <c r="AE1819" i="1" s="1"/>
  <c r="AD1820" i="1"/>
  <c r="AE1820" i="1" s="1"/>
  <c r="AD1821" i="1"/>
  <c r="AE1821" i="1" s="1"/>
  <c r="AD1822" i="1"/>
  <c r="AE1822" i="1" s="1"/>
  <c r="AD1823" i="1"/>
  <c r="AE1823" i="1" s="1"/>
  <c r="AD1824" i="1"/>
  <c r="AE1824" i="1" s="1"/>
  <c r="AD1825" i="1"/>
  <c r="AE1825" i="1" s="1"/>
  <c r="AD1826" i="1"/>
  <c r="AE1826" i="1" s="1"/>
  <c r="AD1827" i="1"/>
  <c r="AE1827" i="1" s="1"/>
  <c r="AD1828" i="1"/>
  <c r="AE1828" i="1" s="1"/>
  <c r="AD1829" i="1"/>
  <c r="AE1829" i="1" s="1"/>
  <c r="AD1830" i="1"/>
  <c r="AE1830" i="1" s="1"/>
  <c r="AD1831" i="1"/>
  <c r="AE1831" i="1" s="1"/>
  <c r="AD1832" i="1"/>
  <c r="AE1832" i="1" s="1"/>
  <c r="AD1833" i="1"/>
  <c r="AE1833" i="1" s="1"/>
  <c r="AD1834" i="1"/>
  <c r="AE1834" i="1" s="1"/>
  <c r="AD1835" i="1"/>
  <c r="AE1835" i="1" s="1"/>
  <c r="AD1836" i="1"/>
  <c r="AE1836" i="1" s="1"/>
  <c r="AD1837" i="1"/>
  <c r="AE1837" i="1" s="1"/>
  <c r="AD1838" i="1"/>
  <c r="AE1838" i="1" s="1"/>
  <c r="AD1839" i="1"/>
  <c r="AE1839" i="1" s="1"/>
  <c r="AD1840" i="1"/>
  <c r="AE1840" i="1" s="1"/>
  <c r="AD1841" i="1"/>
  <c r="AE1841" i="1" s="1"/>
  <c r="AD1842" i="1"/>
  <c r="AE1842" i="1" s="1"/>
  <c r="AD1843" i="1"/>
  <c r="AE1843" i="1" s="1"/>
  <c r="AD1844" i="1"/>
  <c r="AE1844" i="1" s="1"/>
  <c r="AD1845" i="1"/>
  <c r="AE1845" i="1" s="1"/>
  <c r="AD1846" i="1"/>
  <c r="AE1846" i="1" s="1"/>
  <c r="AD1847" i="1"/>
  <c r="AE1847" i="1" s="1"/>
  <c r="AD1848" i="1"/>
  <c r="AE1848" i="1" s="1"/>
  <c r="AD1849" i="1"/>
  <c r="AE1849" i="1" s="1"/>
  <c r="AD1850" i="1"/>
  <c r="AE1850" i="1" s="1"/>
  <c r="AD1851" i="1"/>
  <c r="AE1851" i="1" s="1"/>
  <c r="AD1852" i="1"/>
  <c r="AE1852" i="1" s="1"/>
  <c r="AD1853" i="1"/>
  <c r="AE1853" i="1" s="1"/>
  <c r="AD1854" i="1"/>
  <c r="AE1854" i="1" s="1"/>
  <c r="AD1855" i="1"/>
  <c r="AE1855" i="1" s="1"/>
  <c r="AD1856" i="1"/>
  <c r="AE1856" i="1" s="1"/>
  <c r="AD1857" i="1"/>
  <c r="AE1857" i="1" s="1"/>
  <c r="AD1858" i="1"/>
  <c r="AE1858" i="1" s="1"/>
  <c r="AD1859" i="1"/>
  <c r="AE1859" i="1" s="1"/>
  <c r="AD1860" i="1"/>
  <c r="AE1860" i="1" s="1"/>
  <c r="AD1861" i="1"/>
  <c r="AE1861" i="1" s="1"/>
  <c r="AD1862" i="1"/>
  <c r="AE1862" i="1" s="1"/>
  <c r="AD1863" i="1"/>
  <c r="AE1863" i="1" s="1"/>
  <c r="AD1864" i="1"/>
  <c r="AE1864" i="1" s="1"/>
  <c r="AD1865" i="1"/>
  <c r="AE1865" i="1" s="1"/>
  <c r="AD1866" i="1"/>
  <c r="AE1866" i="1" s="1"/>
  <c r="AD1867" i="1"/>
  <c r="AE1867" i="1" s="1"/>
  <c r="AD1868" i="1"/>
  <c r="AE1868" i="1" s="1"/>
  <c r="AD1869" i="1"/>
  <c r="AE1869" i="1" s="1"/>
  <c r="AD1870" i="1"/>
  <c r="AE1870" i="1" s="1"/>
  <c r="AD1871" i="1"/>
  <c r="AE1871" i="1" s="1"/>
  <c r="AD1872" i="1"/>
  <c r="AE1872" i="1" s="1"/>
  <c r="AD1873" i="1"/>
  <c r="AE1873" i="1" s="1"/>
  <c r="AD1874" i="1"/>
  <c r="AE1874" i="1" s="1"/>
  <c r="AD1875" i="1"/>
  <c r="AE1875" i="1" s="1"/>
  <c r="AD1876" i="1"/>
  <c r="AE1876" i="1" s="1"/>
  <c r="AD1877" i="1"/>
  <c r="AE1877" i="1" s="1"/>
  <c r="AD1878" i="1"/>
  <c r="AE1878" i="1" s="1"/>
  <c r="AD1879" i="1"/>
  <c r="AE1879" i="1" s="1"/>
  <c r="AD1880" i="1"/>
  <c r="AE1880" i="1" s="1"/>
  <c r="AD1881" i="1"/>
  <c r="AE1881" i="1" s="1"/>
  <c r="AD1882" i="1"/>
  <c r="AE1882" i="1" s="1"/>
  <c r="AD1883" i="1"/>
  <c r="AE1883" i="1" s="1"/>
  <c r="AD1884" i="1"/>
  <c r="AE1884" i="1" s="1"/>
  <c r="AD1885" i="1"/>
  <c r="AE1885" i="1" s="1"/>
  <c r="AD1886" i="1"/>
  <c r="AE1886" i="1" s="1"/>
  <c r="AD1887" i="1"/>
  <c r="AE1887" i="1" s="1"/>
  <c r="AD1888" i="1"/>
  <c r="AE1888" i="1" s="1"/>
  <c r="AD1889" i="1"/>
  <c r="AE1889" i="1" s="1"/>
  <c r="AD1890" i="1"/>
  <c r="AE1890" i="1" s="1"/>
  <c r="AD1891" i="1"/>
  <c r="AE1891" i="1" s="1"/>
  <c r="AD1892" i="1"/>
  <c r="AE1892" i="1" s="1"/>
  <c r="AD1893" i="1"/>
  <c r="AE1893" i="1" s="1"/>
  <c r="AD1894" i="1"/>
  <c r="AE1894" i="1" s="1"/>
  <c r="AD1895" i="1"/>
  <c r="AE1895" i="1" s="1"/>
  <c r="AD1896" i="1"/>
  <c r="AE1896" i="1" s="1"/>
  <c r="AD1897" i="1"/>
  <c r="AE1897" i="1" s="1"/>
  <c r="AD1898" i="1"/>
  <c r="AE1898" i="1" s="1"/>
  <c r="AD1899" i="1"/>
  <c r="AE1899" i="1" s="1"/>
  <c r="AD1900" i="1"/>
  <c r="AE1900" i="1" s="1"/>
  <c r="AD1901" i="1"/>
  <c r="AE1901" i="1" s="1"/>
  <c r="AD1902" i="1"/>
  <c r="AE1902" i="1" s="1"/>
  <c r="AD1903" i="1"/>
  <c r="AE1903" i="1" s="1"/>
  <c r="AD1904" i="1"/>
  <c r="AE1904" i="1" s="1"/>
  <c r="AD1905" i="1"/>
  <c r="AE1905" i="1" s="1"/>
  <c r="AD1906" i="1"/>
  <c r="AE1906" i="1" s="1"/>
  <c r="AD1907" i="1"/>
  <c r="AE1907" i="1" s="1"/>
  <c r="AD1908" i="1"/>
  <c r="AE1908" i="1" s="1"/>
  <c r="AD1909" i="1"/>
  <c r="AE1909" i="1" s="1"/>
  <c r="AD1910" i="1"/>
  <c r="AE1910" i="1" s="1"/>
  <c r="AD1911" i="1"/>
  <c r="AE1911" i="1" s="1"/>
  <c r="AD1912" i="1"/>
  <c r="AE1912" i="1" s="1"/>
  <c r="AD1913" i="1"/>
  <c r="AE1913" i="1" s="1"/>
  <c r="AD1914" i="1"/>
  <c r="AE1914" i="1" s="1"/>
  <c r="AD1915" i="1"/>
  <c r="AE1915" i="1" s="1"/>
  <c r="AD1916" i="1"/>
  <c r="AE1916" i="1" s="1"/>
  <c r="AD1917" i="1"/>
  <c r="AE1917" i="1" s="1"/>
  <c r="AD1918" i="1"/>
  <c r="AE1918" i="1" s="1"/>
  <c r="AD1919" i="1"/>
  <c r="AE1919" i="1" s="1"/>
  <c r="AD1920" i="1"/>
  <c r="AE1920" i="1" s="1"/>
  <c r="AD1921" i="1"/>
  <c r="AE1921" i="1" s="1"/>
  <c r="AD1922" i="1"/>
  <c r="AE1922" i="1" s="1"/>
  <c r="AD1923" i="1"/>
  <c r="AE1923" i="1" s="1"/>
  <c r="AD1924" i="1"/>
  <c r="AE1924" i="1" s="1"/>
  <c r="AD1925" i="1"/>
  <c r="AE1925" i="1" s="1"/>
  <c r="AD1926" i="1"/>
  <c r="AE1926" i="1" s="1"/>
  <c r="AD1927" i="1"/>
  <c r="AE1927" i="1" s="1"/>
  <c r="AD1928" i="1"/>
  <c r="AE1928" i="1" s="1"/>
  <c r="AD1929" i="1"/>
  <c r="AE1929" i="1" s="1"/>
  <c r="AD1930" i="1"/>
  <c r="AE1930" i="1" s="1"/>
  <c r="AD1931" i="1"/>
  <c r="AE1931" i="1" s="1"/>
  <c r="AD1932" i="1"/>
  <c r="AE1932" i="1" s="1"/>
  <c r="AD1933" i="1"/>
  <c r="AE1933" i="1" s="1"/>
  <c r="AD1934" i="1"/>
  <c r="AE1934" i="1" s="1"/>
  <c r="AD1935" i="1"/>
  <c r="AE1935" i="1" s="1"/>
  <c r="AD1936" i="1"/>
  <c r="AE1936" i="1" s="1"/>
  <c r="AD1937" i="1"/>
  <c r="AE1937" i="1" s="1"/>
  <c r="AD1938" i="1"/>
  <c r="AE1938" i="1" s="1"/>
  <c r="AD1939" i="1"/>
  <c r="AE1939" i="1" s="1"/>
  <c r="AD1940" i="1"/>
  <c r="AE1940" i="1" s="1"/>
  <c r="AD1941" i="1"/>
  <c r="AE1941" i="1" s="1"/>
  <c r="AD1942" i="1"/>
  <c r="AE1942" i="1" s="1"/>
  <c r="AD1943" i="1"/>
  <c r="AE1943" i="1" s="1"/>
  <c r="AD1944" i="1"/>
  <c r="AE1944" i="1" s="1"/>
  <c r="AD1945" i="1"/>
  <c r="AE1945" i="1" s="1"/>
  <c r="AD1946" i="1"/>
  <c r="AE1946" i="1" s="1"/>
  <c r="AD1947" i="1"/>
  <c r="AE1947" i="1" s="1"/>
  <c r="AD1948" i="1"/>
  <c r="AE1948" i="1" s="1"/>
  <c r="AD1949" i="1"/>
  <c r="AE1949" i="1" s="1"/>
  <c r="AD1950" i="1"/>
  <c r="AE1950" i="1" s="1"/>
  <c r="AD1951" i="1"/>
  <c r="AE1951" i="1" s="1"/>
  <c r="AD1952" i="1"/>
  <c r="AE1952" i="1" s="1"/>
  <c r="AD1953" i="1"/>
  <c r="AE1953" i="1" s="1"/>
  <c r="AD1954" i="1"/>
  <c r="AE1954" i="1" s="1"/>
  <c r="AD1955" i="1"/>
  <c r="AE1955" i="1" s="1"/>
  <c r="AD1956" i="1"/>
  <c r="AE1956" i="1" s="1"/>
  <c r="AD1957" i="1"/>
  <c r="AE1957" i="1" s="1"/>
  <c r="AD1958" i="1"/>
  <c r="AE1958" i="1" s="1"/>
  <c r="AD1959" i="1"/>
  <c r="AE1959" i="1" s="1"/>
  <c r="AD1960" i="1"/>
  <c r="AE1960" i="1" s="1"/>
  <c r="AD1961" i="1"/>
  <c r="AE1961" i="1" s="1"/>
  <c r="AD1962" i="1"/>
  <c r="AE1962" i="1" s="1"/>
  <c r="AD1963" i="1"/>
  <c r="AE1963" i="1" s="1"/>
  <c r="AD1964" i="1"/>
  <c r="AE1964" i="1" s="1"/>
  <c r="AD1965" i="1"/>
  <c r="AE1965" i="1" s="1"/>
  <c r="AD1966" i="1"/>
  <c r="AE1966" i="1" s="1"/>
  <c r="AD1967" i="1"/>
  <c r="AE1967" i="1" s="1"/>
  <c r="AD1968" i="1"/>
  <c r="AE1968" i="1" s="1"/>
  <c r="AD1969" i="1"/>
  <c r="AE1969" i="1" s="1"/>
  <c r="AD1970" i="1"/>
  <c r="AE1970" i="1" s="1"/>
  <c r="AD1971" i="1"/>
  <c r="AE1971" i="1" s="1"/>
  <c r="AD1972" i="1"/>
  <c r="AE1972" i="1" s="1"/>
  <c r="AD1973" i="1"/>
  <c r="AE1973" i="1" s="1"/>
  <c r="AD1974" i="1"/>
  <c r="AE1974" i="1" s="1"/>
  <c r="AD1975" i="1"/>
  <c r="AE1975" i="1" s="1"/>
  <c r="AD1976" i="1"/>
  <c r="AE1976" i="1" s="1"/>
  <c r="AD1977" i="1"/>
  <c r="AE1977" i="1" s="1"/>
  <c r="AD1978" i="1"/>
  <c r="AE1978" i="1" s="1"/>
  <c r="AD1979" i="1"/>
  <c r="AE1979" i="1" s="1"/>
  <c r="AD1980" i="1"/>
  <c r="AE1980" i="1" s="1"/>
  <c r="AD1981" i="1"/>
  <c r="AE1981" i="1" s="1"/>
  <c r="AD1982" i="1"/>
  <c r="AE1982" i="1" s="1"/>
  <c r="AD1983" i="1"/>
  <c r="AE1983" i="1" s="1"/>
  <c r="AD1984" i="1"/>
  <c r="AE1984" i="1" s="1"/>
  <c r="AD1985" i="1"/>
  <c r="AE1985" i="1" s="1"/>
  <c r="AD1986" i="1"/>
  <c r="AE1986" i="1" s="1"/>
  <c r="AD1987" i="1"/>
  <c r="AE1987" i="1" s="1"/>
  <c r="AD1988" i="1"/>
  <c r="AE1988" i="1" s="1"/>
  <c r="AD1989" i="1"/>
  <c r="AE1989" i="1" s="1"/>
  <c r="AD1990" i="1"/>
  <c r="AE1990" i="1" s="1"/>
  <c r="AD1991" i="1"/>
  <c r="AE1991" i="1" s="1"/>
  <c r="AD1992" i="1"/>
  <c r="AE1992" i="1" s="1"/>
  <c r="AD1993" i="1"/>
  <c r="AE1993" i="1" s="1"/>
  <c r="AD1994" i="1"/>
  <c r="AE1994" i="1" s="1"/>
  <c r="AD1995" i="1"/>
  <c r="AE1995" i="1" s="1"/>
  <c r="AD1996" i="1"/>
  <c r="AE1996" i="1" s="1"/>
  <c r="AD1997" i="1"/>
  <c r="AE1997" i="1" s="1"/>
  <c r="AD1998" i="1"/>
  <c r="AE1998" i="1" s="1"/>
  <c r="AD1999" i="1"/>
  <c r="AE1999" i="1" s="1"/>
  <c r="AD2000" i="1"/>
  <c r="AE2000" i="1" s="1"/>
  <c r="AD2001" i="1"/>
  <c r="AE2001" i="1" s="1"/>
  <c r="AD2002" i="1"/>
  <c r="AE2002" i="1" s="1"/>
  <c r="AD2003" i="1"/>
  <c r="AE2003" i="1" s="1"/>
  <c r="AD2004" i="1"/>
  <c r="AE2004" i="1" s="1"/>
  <c r="AD2005" i="1"/>
  <c r="AE2005" i="1" s="1"/>
  <c r="AD2006" i="1"/>
  <c r="AE2006" i="1" s="1"/>
  <c r="AD2007" i="1"/>
  <c r="AE2007" i="1" s="1"/>
  <c r="AD2008" i="1"/>
  <c r="AE2008" i="1" s="1"/>
  <c r="AD2009" i="1"/>
  <c r="AE2009" i="1" s="1"/>
  <c r="AD2010" i="1"/>
  <c r="AE2010" i="1" s="1"/>
  <c r="AD2011" i="1"/>
  <c r="AE2011" i="1" s="1"/>
  <c r="AD2012" i="1"/>
  <c r="AE2012" i="1" s="1"/>
  <c r="AD2013" i="1"/>
  <c r="AE2013" i="1" s="1"/>
  <c r="AD2014" i="1"/>
  <c r="AE2014" i="1" s="1"/>
  <c r="AD2015" i="1"/>
  <c r="AE2015" i="1" s="1"/>
  <c r="AD2016" i="1"/>
  <c r="AE2016" i="1" s="1"/>
  <c r="AD2017" i="1"/>
  <c r="AE2017" i="1" s="1"/>
  <c r="AD2018" i="1"/>
  <c r="AE2018" i="1" s="1"/>
  <c r="AD2019" i="1"/>
  <c r="AE2019" i="1" s="1"/>
  <c r="AD2020" i="1"/>
  <c r="AE2020" i="1" s="1"/>
  <c r="AD2021" i="1"/>
  <c r="AE2021" i="1" s="1"/>
  <c r="AD2022" i="1"/>
  <c r="AE2022" i="1" s="1"/>
  <c r="AD2023" i="1"/>
  <c r="AE2023" i="1" s="1"/>
  <c r="AD2024" i="1"/>
  <c r="AE2024" i="1" s="1"/>
  <c r="AD2025" i="1"/>
  <c r="AE2025" i="1" s="1"/>
  <c r="AD2026" i="1"/>
  <c r="AE2026" i="1" s="1"/>
  <c r="AD2027" i="1"/>
  <c r="AE2027" i="1" s="1"/>
  <c r="AD2028" i="1"/>
  <c r="AE2028" i="1" s="1"/>
  <c r="AD2029" i="1"/>
  <c r="AE2029" i="1" s="1"/>
  <c r="AD2030" i="1"/>
  <c r="AE2030" i="1" s="1"/>
  <c r="AD2031" i="1"/>
  <c r="AE2031" i="1" s="1"/>
  <c r="AD2032" i="1"/>
  <c r="AE2032" i="1" s="1"/>
  <c r="AD2033" i="1"/>
  <c r="AE2033" i="1" s="1"/>
  <c r="AD2034" i="1"/>
  <c r="AE2034" i="1" s="1"/>
  <c r="AD2035" i="1"/>
  <c r="AE2035" i="1" s="1"/>
  <c r="AD2036" i="1"/>
  <c r="AE2036" i="1" s="1"/>
  <c r="AD2037" i="1"/>
  <c r="AE2037" i="1" s="1"/>
  <c r="AD2038" i="1"/>
  <c r="AE2038" i="1" s="1"/>
  <c r="AD2039" i="1"/>
  <c r="AE2039" i="1" s="1"/>
  <c r="AD2040" i="1"/>
  <c r="AE2040" i="1" s="1"/>
  <c r="AD2041" i="1"/>
  <c r="AE2041" i="1" s="1"/>
  <c r="AD2042" i="1"/>
  <c r="AE2042" i="1" s="1"/>
  <c r="AD2043" i="1"/>
  <c r="AE2043" i="1" s="1"/>
  <c r="AD2044" i="1"/>
  <c r="AE2044" i="1" s="1"/>
  <c r="AD2045" i="1"/>
  <c r="AE2045" i="1" s="1"/>
  <c r="AD2046" i="1"/>
  <c r="AE2046" i="1" s="1"/>
  <c r="AD2047" i="1"/>
  <c r="AE2047" i="1" s="1"/>
  <c r="AD2048" i="1"/>
  <c r="AE2048" i="1" s="1"/>
  <c r="AD2049" i="1"/>
  <c r="AE2049" i="1" s="1"/>
  <c r="AD2050" i="1"/>
  <c r="AE2050" i="1" s="1"/>
  <c r="AD2051" i="1"/>
  <c r="AE2051" i="1" s="1"/>
  <c r="AD2052" i="1"/>
  <c r="AE2052" i="1" s="1"/>
  <c r="AD2053" i="1"/>
  <c r="AE2053" i="1" s="1"/>
  <c r="AD2054" i="1"/>
  <c r="AE2054" i="1" s="1"/>
  <c r="AD2055" i="1"/>
  <c r="AE2055" i="1" s="1"/>
  <c r="AD2056" i="1"/>
  <c r="AE2056" i="1" s="1"/>
  <c r="AD2057" i="1"/>
  <c r="AE2057" i="1" s="1"/>
  <c r="AD2058" i="1"/>
  <c r="AE2058" i="1" s="1"/>
  <c r="AD2059" i="1"/>
  <c r="AE2059" i="1" s="1"/>
  <c r="AD2060" i="1"/>
  <c r="AE2060" i="1" s="1"/>
  <c r="AD2061" i="1"/>
  <c r="AE2061" i="1" s="1"/>
  <c r="AD2062" i="1"/>
  <c r="AE2062" i="1" s="1"/>
  <c r="AD2063" i="1"/>
  <c r="AE2063" i="1" s="1"/>
  <c r="AD2064" i="1"/>
  <c r="AE2064" i="1" s="1"/>
  <c r="AD2065" i="1"/>
  <c r="AE2065" i="1" s="1"/>
  <c r="AD2066" i="1"/>
  <c r="AE2066" i="1" s="1"/>
  <c r="AD2067" i="1"/>
  <c r="AE2067" i="1" s="1"/>
  <c r="AD2068" i="1"/>
  <c r="AE2068" i="1" s="1"/>
  <c r="AD2069" i="1"/>
  <c r="AE2069" i="1" s="1"/>
  <c r="AD2070" i="1"/>
  <c r="AE2070" i="1" s="1"/>
  <c r="AD2071" i="1"/>
  <c r="AE2071" i="1" s="1"/>
  <c r="AD2072" i="1"/>
  <c r="AE2072" i="1" s="1"/>
  <c r="AD2073" i="1"/>
  <c r="AE2073" i="1" s="1"/>
  <c r="AD2074" i="1"/>
  <c r="AE2074" i="1" s="1"/>
  <c r="AD2075" i="1"/>
  <c r="AE2075" i="1" s="1"/>
  <c r="AD2076" i="1"/>
  <c r="AE2076" i="1" s="1"/>
  <c r="AD2077" i="1"/>
  <c r="AE2077" i="1" s="1"/>
  <c r="AD2078" i="1"/>
  <c r="AE2078" i="1" s="1"/>
  <c r="AD2079" i="1"/>
  <c r="AE2079" i="1" s="1"/>
  <c r="AD2080" i="1"/>
  <c r="AE2080" i="1" s="1"/>
  <c r="AD2081" i="1"/>
  <c r="AE2081" i="1" s="1"/>
  <c r="AD2082" i="1"/>
  <c r="AE2082" i="1" s="1"/>
  <c r="AD2083" i="1"/>
  <c r="AE2083" i="1" s="1"/>
  <c r="AD2084" i="1"/>
  <c r="AE2084" i="1" s="1"/>
  <c r="AD2085" i="1"/>
  <c r="AE2085" i="1" s="1"/>
  <c r="AD2086" i="1"/>
  <c r="AE2086" i="1" s="1"/>
  <c r="AD2087" i="1"/>
  <c r="AE2087" i="1" s="1"/>
  <c r="AD2088" i="1"/>
  <c r="AE2088" i="1" s="1"/>
  <c r="AD2089" i="1"/>
  <c r="AE2089" i="1" s="1"/>
  <c r="AD2090" i="1"/>
  <c r="AE2090" i="1" s="1"/>
  <c r="AD2091" i="1"/>
  <c r="AE2091" i="1" s="1"/>
  <c r="AD2092" i="1"/>
  <c r="AE2092" i="1" s="1"/>
  <c r="AD2093" i="1"/>
  <c r="AE2093" i="1" s="1"/>
  <c r="AD2094" i="1"/>
  <c r="AE2094" i="1" s="1"/>
  <c r="AD2095" i="1"/>
  <c r="AE2095" i="1" s="1"/>
  <c r="AD2096" i="1"/>
  <c r="AE2096" i="1" s="1"/>
  <c r="AD2097" i="1"/>
  <c r="AE2097" i="1" s="1"/>
  <c r="AD2098" i="1"/>
  <c r="AE2098" i="1" s="1"/>
  <c r="AD2099" i="1"/>
  <c r="AE2099" i="1" s="1"/>
  <c r="AD2100" i="1"/>
  <c r="AE2100" i="1" s="1"/>
  <c r="AD2101" i="1"/>
  <c r="AE2101" i="1" s="1"/>
  <c r="AD2102" i="1"/>
  <c r="AE2102" i="1" s="1"/>
  <c r="AD2103" i="1"/>
  <c r="AE2103" i="1" s="1"/>
  <c r="AD2104" i="1"/>
  <c r="AE2104" i="1" s="1"/>
  <c r="AD2105" i="1"/>
  <c r="AE2105" i="1" s="1"/>
  <c r="AD2106" i="1"/>
  <c r="AE2106" i="1" s="1"/>
  <c r="AD2107" i="1"/>
  <c r="AE2107" i="1" s="1"/>
  <c r="AD2108" i="1"/>
  <c r="AE2108" i="1" s="1"/>
  <c r="AD2109" i="1"/>
  <c r="AE2109" i="1" s="1"/>
  <c r="AD2110" i="1"/>
  <c r="AE2110" i="1" s="1"/>
  <c r="AD2111" i="1"/>
  <c r="AE2111" i="1" s="1"/>
  <c r="AD2112" i="1"/>
  <c r="AE2112" i="1" s="1"/>
  <c r="AD2" i="1"/>
  <c r="AE2" i="1" s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3" i="1"/>
  <c r="AB163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3" i="1"/>
  <c r="AB313" i="1" s="1"/>
  <c r="AA314" i="1"/>
  <c r="AB314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A513" i="1"/>
  <c r="AB513" i="1" s="1"/>
  <c r="AA514" i="1"/>
  <c r="AB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59" i="1"/>
  <c r="AB559" i="1" s="1"/>
  <c r="AA560" i="1"/>
  <c r="AB560" i="1" s="1"/>
  <c r="AA561" i="1"/>
  <c r="AB561" i="1" s="1"/>
  <c r="AA562" i="1"/>
  <c r="AB562" i="1" s="1"/>
  <c r="AA563" i="1"/>
  <c r="AB563" i="1" s="1"/>
  <c r="AA564" i="1"/>
  <c r="AB564" i="1" s="1"/>
  <c r="AA565" i="1"/>
  <c r="AB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AA601" i="1"/>
  <c r="AB601" i="1" s="1"/>
  <c r="AA602" i="1"/>
  <c r="AB602" i="1" s="1"/>
  <c r="AA603" i="1"/>
  <c r="AB603" i="1" s="1"/>
  <c r="AA604" i="1"/>
  <c r="AB604" i="1" s="1"/>
  <c r="AA605" i="1"/>
  <c r="AB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A614" i="1"/>
  <c r="AB614" i="1" s="1"/>
  <c r="AA615" i="1"/>
  <c r="AB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A641" i="1"/>
  <c r="AB641" i="1" s="1"/>
  <c r="AA642" i="1"/>
  <c r="AB642" i="1" s="1"/>
  <c r="AA643" i="1"/>
  <c r="AB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650" i="1"/>
  <c r="AB650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8" i="1"/>
  <c r="AB678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A704" i="1"/>
  <c r="AB704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0" i="1"/>
  <c r="AB730" i="1" s="1"/>
  <c r="AA731" i="1"/>
  <c r="AB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A756" i="1"/>
  <c r="AB756" i="1" s="1"/>
  <c r="AA757" i="1"/>
  <c r="AB757" i="1" s="1"/>
  <c r="AA758" i="1"/>
  <c r="AB758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6" i="1"/>
  <c r="AB796" i="1" s="1"/>
  <c r="AA797" i="1"/>
  <c r="AB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A812" i="1"/>
  <c r="AB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818" i="1"/>
  <c r="AB818" i="1" s="1"/>
  <c r="AA819" i="1"/>
  <c r="AB819" i="1" s="1"/>
  <c r="AA820" i="1"/>
  <c r="AB820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0" i="1"/>
  <c r="AB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2" i="1"/>
  <c r="AB862" i="1" s="1"/>
  <c r="AA863" i="1"/>
  <c r="AB863" i="1" s="1"/>
  <c r="AA864" i="1"/>
  <c r="AB864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B912" i="1" s="1"/>
  <c r="AA913" i="1"/>
  <c r="AB913" i="1" s="1"/>
  <c r="AA914" i="1"/>
  <c r="AB914" i="1" s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B922" i="1" s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B934" i="1" s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B942" i="1" s="1"/>
  <c r="AA943" i="1"/>
  <c r="AB943" i="1" s="1"/>
  <c r="AA944" i="1"/>
  <c r="AB944" i="1" s="1"/>
  <c r="AA945" i="1"/>
  <c r="AB945" i="1" s="1"/>
  <c r="AA946" i="1"/>
  <c r="AB946" i="1" s="1"/>
  <c r="AA947" i="1"/>
  <c r="AB947" i="1" s="1"/>
  <c r="AA948" i="1"/>
  <c r="AB948" i="1" s="1"/>
  <c r="AA949" i="1"/>
  <c r="AB949" i="1" s="1"/>
  <c r="AA950" i="1"/>
  <c r="AB950" i="1" s="1"/>
  <c r="AA951" i="1"/>
  <c r="AB951" i="1" s="1"/>
  <c r="AA952" i="1"/>
  <c r="AB952" i="1" s="1"/>
  <c r="AA953" i="1"/>
  <c r="AB953" i="1" s="1"/>
  <c r="AA954" i="1"/>
  <c r="AB954" i="1" s="1"/>
  <c r="AA955" i="1"/>
  <c r="AB955" i="1" s="1"/>
  <c r="AA956" i="1"/>
  <c r="AB956" i="1" s="1"/>
  <c r="AA957" i="1"/>
  <c r="AB957" i="1" s="1"/>
  <c r="AA958" i="1"/>
  <c r="AB958" i="1" s="1"/>
  <c r="AA959" i="1"/>
  <c r="AB959" i="1" s="1"/>
  <c r="AA960" i="1"/>
  <c r="AB960" i="1" s="1"/>
  <c r="AA961" i="1"/>
  <c r="AB961" i="1" s="1"/>
  <c r="AA962" i="1"/>
  <c r="AB962" i="1" s="1"/>
  <c r="AA963" i="1"/>
  <c r="AB963" i="1" s="1"/>
  <c r="AA964" i="1"/>
  <c r="AB964" i="1" s="1"/>
  <c r="AA965" i="1"/>
  <c r="AB965" i="1" s="1"/>
  <c r="AA966" i="1"/>
  <c r="AB966" i="1" s="1"/>
  <c r="AA967" i="1"/>
  <c r="AB967" i="1" s="1"/>
  <c r="AA968" i="1"/>
  <c r="AB968" i="1" s="1"/>
  <c r="AA969" i="1"/>
  <c r="AB969" i="1" s="1"/>
  <c r="AA970" i="1"/>
  <c r="AB970" i="1" s="1"/>
  <c r="AA971" i="1"/>
  <c r="AB971" i="1" s="1"/>
  <c r="AA972" i="1"/>
  <c r="AB972" i="1" s="1"/>
  <c r="AA973" i="1"/>
  <c r="AB973" i="1" s="1"/>
  <c r="AA974" i="1"/>
  <c r="AB974" i="1" s="1"/>
  <c r="AA975" i="1"/>
  <c r="AB975" i="1" s="1"/>
  <c r="AA976" i="1"/>
  <c r="AB976" i="1" s="1"/>
  <c r="AA977" i="1"/>
  <c r="AB977" i="1" s="1"/>
  <c r="AA978" i="1"/>
  <c r="AB978" i="1" s="1"/>
  <c r="AA979" i="1"/>
  <c r="AB979" i="1" s="1"/>
  <c r="AA980" i="1"/>
  <c r="AB980" i="1" s="1"/>
  <c r="AA981" i="1"/>
  <c r="AB981" i="1" s="1"/>
  <c r="AA982" i="1"/>
  <c r="AB982" i="1" s="1"/>
  <c r="AA983" i="1"/>
  <c r="AB983" i="1" s="1"/>
  <c r="AA984" i="1"/>
  <c r="AB984" i="1" s="1"/>
  <c r="AA985" i="1"/>
  <c r="AB985" i="1" s="1"/>
  <c r="AA986" i="1"/>
  <c r="AB986" i="1" s="1"/>
  <c r="AA987" i="1"/>
  <c r="AB987" i="1" s="1"/>
  <c r="AA988" i="1"/>
  <c r="AB988" i="1" s="1"/>
  <c r="AA989" i="1"/>
  <c r="AB989" i="1" s="1"/>
  <c r="AA990" i="1"/>
  <c r="AB990" i="1" s="1"/>
  <c r="AA991" i="1"/>
  <c r="AB991" i="1" s="1"/>
  <c r="AA992" i="1"/>
  <c r="AB992" i="1" s="1"/>
  <c r="AA993" i="1"/>
  <c r="AB993" i="1" s="1"/>
  <c r="AA994" i="1"/>
  <c r="AB994" i="1" s="1"/>
  <c r="AA995" i="1"/>
  <c r="AB995" i="1" s="1"/>
  <c r="AA996" i="1"/>
  <c r="AB996" i="1" s="1"/>
  <c r="AA997" i="1"/>
  <c r="AB997" i="1" s="1"/>
  <c r="AA998" i="1"/>
  <c r="AB998" i="1" s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B1004" i="1" s="1"/>
  <c r="AA1005" i="1"/>
  <c r="AB1005" i="1" s="1"/>
  <c r="AA1006" i="1"/>
  <c r="AB1006" i="1" s="1"/>
  <c r="AA1007" i="1"/>
  <c r="AB1007" i="1" s="1"/>
  <c r="AA1008" i="1"/>
  <c r="AB1008" i="1" s="1"/>
  <c r="AA1009" i="1"/>
  <c r="AB1009" i="1" s="1"/>
  <c r="AA1010" i="1"/>
  <c r="AB1010" i="1" s="1"/>
  <c r="AA1011" i="1"/>
  <c r="AB1011" i="1" s="1"/>
  <c r="AA1012" i="1"/>
  <c r="AB1012" i="1" s="1"/>
  <c r="AA1013" i="1"/>
  <c r="AB1013" i="1" s="1"/>
  <c r="AA1014" i="1"/>
  <c r="AB1014" i="1" s="1"/>
  <c r="AA1015" i="1"/>
  <c r="AB1015" i="1" s="1"/>
  <c r="AA1016" i="1"/>
  <c r="AB1016" i="1" s="1"/>
  <c r="AA1017" i="1"/>
  <c r="AB1017" i="1" s="1"/>
  <c r="AA1018" i="1"/>
  <c r="AB1018" i="1" s="1"/>
  <c r="AA1019" i="1"/>
  <c r="AB1019" i="1" s="1"/>
  <c r="AA1020" i="1"/>
  <c r="AB1020" i="1" s="1"/>
  <c r="AA1021" i="1"/>
  <c r="AB1021" i="1" s="1"/>
  <c r="AA1022" i="1"/>
  <c r="AB1022" i="1" s="1"/>
  <c r="AA1023" i="1"/>
  <c r="AB1023" i="1" s="1"/>
  <c r="AA1024" i="1"/>
  <c r="AB1024" i="1" s="1"/>
  <c r="AA1025" i="1"/>
  <c r="AB1025" i="1" s="1"/>
  <c r="AA1026" i="1"/>
  <c r="AB1026" i="1" s="1"/>
  <c r="AA1027" i="1"/>
  <c r="AB1027" i="1" s="1"/>
  <c r="AA1028" i="1"/>
  <c r="AB1028" i="1" s="1"/>
  <c r="AA1029" i="1"/>
  <c r="AB1029" i="1" s="1"/>
  <c r="AA1030" i="1"/>
  <c r="AB1030" i="1" s="1"/>
  <c r="AA1031" i="1"/>
  <c r="AB1031" i="1" s="1"/>
  <c r="AA1032" i="1"/>
  <c r="AB1032" i="1" s="1"/>
  <c r="AA1033" i="1"/>
  <c r="AB1033" i="1" s="1"/>
  <c r="AA1034" i="1"/>
  <c r="AB1034" i="1" s="1"/>
  <c r="AA1035" i="1"/>
  <c r="AB1035" i="1" s="1"/>
  <c r="AA1036" i="1"/>
  <c r="AB1036" i="1" s="1"/>
  <c r="AA1037" i="1"/>
  <c r="AB1037" i="1" s="1"/>
  <c r="AA1038" i="1"/>
  <c r="AB1038" i="1" s="1"/>
  <c r="AA1039" i="1"/>
  <c r="AB1039" i="1" s="1"/>
  <c r="AA1040" i="1"/>
  <c r="AB1040" i="1" s="1"/>
  <c r="AA1041" i="1"/>
  <c r="AB1041" i="1" s="1"/>
  <c r="AA1042" i="1"/>
  <c r="AB1042" i="1" s="1"/>
  <c r="AA1043" i="1"/>
  <c r="AB1043" i="1" s="1"/>
  <c r="AA1044" i="1"/>
  <c r="AB1044" i="1" s="1"/>
  <c r="AA1045" i="1"/>
  <c r="AB1045" i="1" s="1"/>
  <c r="AA1046" i="1"/>
  <c r="AB1046" i="1" s="1"/>
  <c r="AA1047" i="1"/>
  <c r="AB1047" i="1" s="1"/>
  <c r="AA1048" i="1"/>
  <c r="AB1048" i="1" s="1"/>
  <c r="AA1049" i="1"/>
  <c r="AB1049" i="1" s="1"/>
  <c r="AA1050" i="1"/>
  <c r="AB1050" i="1" s="1"/>
  <c r="AA1051" i="1"/>
  <c r="AB1051" i="1" s="1"/>
  <c r="AA1052" i="1"/>
  <c r="AB1052" i="1" s="1"/>
  <c r="AA1053" i="1"/>
  <c r="AB1053" i="1" s="1"/>
  <c r="AA1054" i="1"/>
  <c r="AB1054" i="1" s="1"/>
  <c r="AA1055" i="1"/>
  <c r="AB1055" i="1" s="1"/>
  <c r="AA1056" i="1"/>
  <c r="AB1056" i="1" s="1"/>
  <c r="AA1057" i="1"/>
  <c r="AB1057" i="1" s="1"/>
  <c r="AA1058" i="1"/>
  <c r="AB1058" i="1" s="1"/>
  <c r="AA1059" i="1"/>
  <c r="AB1059" i="1" s="1"/>
  <c r="AA1060" i="1"/>
  <c r="AB1060" i="1" s="1"/>
  <c r="AA1061" i="1"/>
  <c r="AB1061" i="1" s="1"/>
  <c r="AA1062" i="1"/>
  <c r="AB1062" i="1" s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B1070" i="1" s="1"/>
  <c r="AA1071" i="1"/>
  <c r="AB1071" i="1" s="1"/>
  <c r="AA1072" i="1"/>
  <c r="AB1072" i="1" s="1"/>
  <c r="AA1073" i="1"/>
  <c r="AB1073" i="1" s="1"/>
  <c r="AA1074" i="1"/>
  <c r="AB1074" i="1" s="1"/>
  <c r="AA1075" i="1"/>
  <c r="AB1075" i="1" s="1"/>
  <c r="AA1076" i="1"/>
  <c r="AB1076" i="1" s="1"/>
  <c r="AA1077" i="1"/>
  <c r="AB1077" i="1" s="1"/>
  <c r="AA1078" i="1"/>
  <c r="AB1078" i="1" s="1"/>
  <c r="AA1079" i="1"/>
  <c r="AB1079" i="1" s="1"/>
  <c r="AA1080" i="1"/>
  <c r="AB1080" i="1" s="1"/>
  <c r="AA1081" i="1"/>
  <c r="AB1081" i="1" s="1"/>
  <c r="AA1082" i="1"/>
  <c r="AB1082" i="1" s="1"/>
  <c r="AA1083" i="1"/>
  <c r="AB1083" i="1" s="1"/>
  <c r="AA1084" i="1"/>
  <c r="AB1084" i="1" s="1"/>
  <c r="AA1085" i="1"/>
  <c r="AB1085" i="1" s="1"/>
  <c r="AA1086" i="1"/>
  <c r="AB1086" i="1" s="1"/>
  <c r="AA1087" i="1"/>
  <c r="AB1087" i="1" s="1"/>
  <c r="AA1088" i="1"/>
  <c r="AB1088" i="1" s="1"/>
  <c r="AA1089" i="1"/>
  <c r="AB1089" i="1" s="1"/>
  <c r="AA1090" i="1"/>
  <c r="AB1090" i="1" s="1"/>
  <c r="AA1091" i="1"/>
  <c r="AB1091" i="1" s="1"/>
  <c r="AA1092" i="1"/>
  <c r="AB1092" i="1" s="1"/>
  <c r="AA1093" i="1"/>
  <c r="AB1093" i="1" s="1"/>
  <c r="AA1094" i="1"/>
  <c r="AB1094" i="1" s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B1100" i="1" s="1"/>
  <c r="AA1101" i="1"/>
  <c r="AB1101" i="1" s="1"/>
  <c r="AA1102" i="1"/>
  <c r="AB1102" i="1" s="1"/>
  <c r="AA1103" i="1"/>
  <c r="AB1103" i="1" s="1"/>
  <c r="AA1104" i="1"/>
  <c r="AB1104" i="1" s="1"/>
  <c r="AA1105" i="1"/>
  <c r="AB1105" i="1" s="1"/>
  <c r="AA1106" i="1"/>
  <c r="AB1106" i="1" s="1"/>
  <c r="AA1107" i="1"/>
  <c r="AB1107" i="1" s="1"/>
  <c r="AA1108" i="1"/>
  <c r="AB1108" i="1" s="1"/>
  <c r="AA1109" i="1"/>
  <c r="AB1109" i="1" s="1"/>
  <c r="AA1110" i="1"/>
  <c r="AB1110" i="1" s="1"/>
  <c r="AA1111" i="1"/>
  <c r="AB1111" i="1" s="1"/>
  <c r="AA1112" i="1"/>
  <c r="AB1112" i="1" s="1"/>
  <c r="AA1113" i="1"/>
  <c r="AB1113" i="1" s="1"/>
  <c r="AA1114" i="1"/>
  <c r="AB1114" i="1" s="1"/>
  <c r="AA1115" i="1"/>
  <c r="AB1115" i="1" s="1"/>
  <c r="AA1116" i="1"/>
  <c r="AB1116" i="1" s="1"/>
  <c r="AA1117" i="1"/>
  <c r="AB1117" i="1" s="1"/>
  <c r="AA1118" i="1"/>
  <c r="AB1118" i="1" s="1"/>
  <c r="AA1119" i="1"/>
  <c r="AB1119" i="1" s="1"/>
  <c r="AA1120" i="1"/>
  <c r="AB1120" i="1" s="1"/>
  <c r="AA1121" i="1"/>
  <c r="AB1121" i="1" s="1"/>
  <c r="AA1122" i="1"/>
  <c r="AB1122" i="1" s="1"/>
  <c r="AA1123" i="1"/>
  <c r="AB1123" i="1" s="1"/>
  <c r="AA1124" i="1"/>
  <c r="AB1124" i="1" s="1"/>
  <c r="AA1125" i="1"/>
  <c r="AB1125" i="1" s="1"/>
  <c r="AA1126" i="1"/>
  <c r="AB1126" i="1" s="1"/>
  <c r="AA1127" i="1"/>
  <c r="AB1127" i="1" s="1"/>
  <c r="AA1128" i="1"/>
  <c r="AB1128" i="1" s="1"/>
  <c r="AA1129" i="1"/>
  <c r="AB1129" i="1" s="1"/>
  <c r="AA1130" i="1"/>
  <c r="AB1130" i="1" s="1"/>
  <c r="AA1131" i="1"/>
  <c r="AB1131" i="1" s="1"/>
  <c r="AA1132" i="1"/>
  <c r="AB1132" i="1" s="1"/>
  <c r="AA1133" i="1"/>
  <c r="AB1133" i="1" s="1"/>
  <c r="AA1134" i="1"/>
  <c r="AB1134" i="1" s="1"/>
  <c r="AA1135" i="1"/>
  <c r="AB1135" i="1" s="1"/>
  <c r="AA1136" i="1"/>
  <c r="AB1136" i="1" s="1"/>
  <c r="AA1137" i="1"/>
  <c r="AB1137" i="1" s="1"/>
  <c r="AA1138" i="1"/>
  <c r="AB1138" i="1" s="1"/>
  <c r="AA1139" i="1"/>
  <c r="AB1139" i="1" s="1"/>
  <c r="AA1140" i="1"/>
  <c r="AB1140" i="1" s="1"/>
  <c r="AA1141" i="1"/>
  <c r="AB1141" i="1" s="1"/>
  <c r="AA1142" i="1"/>
  <c r="AB1142" i="1" s="1"/>
  <c r="AA1143" i="1"/>
  <c r="AB1143" i="1" s="1"/>
  <c r="AA1144" i="1"/>
  <c r="AB1144" i="1" s="1"/>
  <c r="AA1145" i="1"/>
  <c r="AB1145" i="1" s="1"/>
  <c r="AA1146" i="1"/>
  <c r="AB1146" i="1" s="1"/>
  <c r="AA1147" i="1"/>
  <c r="AB1147" i="1" s="1"/>
  <c r="AA1148" i="1"/>
  <c r="AB1148" i="1" s="1"/>
  <c r="AA1149" i="1"/>
  <c r="AB1149" i="1" s="1"/>
  <c r="AA1150" i="1"/>
  <c r="AB1150" i="1" s="1"/>
  <c r="AA1151" i="1"/>
  <c r="AB1151" i="1" s="1"/>
  <c r="AA1152" i="1"/>
  <c r="AB1152" i="1" s="1"/>
  <c r="AA1153" i="1"/>
  <c r="AB1153" i="1" s="1"/>
  <c r="AA1154" i="1"/>
  <c r="AB1154" i="1" s="1"/>
  <c r="AA1155" i="1"/>
  <c r="AB1155" i="1" s="1"/>
  <c r="AA1156" i="1"/>
  <c r="AB1156" i="1" s="1"/>
  <c r="AA1157" i="1"/>
  <c r="AB1157" i="1" s="1"/>
  <c r="AA1158" i="1"/>
  <c r="AB1158" i="1" s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B1164" i="1" s="1"/>
  <c r="AA1165" i="1"/>
  <c r="AB1165" i="1" s="1"/>
  <c r="AA1166" i="1"/>
  <c r="AB1166" i="1" s="1"/>
  <c r="AA1167" i="1"/>
  <c r="AB1167" i="1" s="1"/>
  <c r="AA1168" i="1"/>
  <c r="AB1168" i="1" s="1"/>
  <c r="AA1169" i="1"/>
  <c r="AB1169" i="1" s="1"/>
  <c r="AA1170" i="1"/>
  <c r="AB1170" i="1" s="1"/>
  <c r="AA1171" i="1"/>
  <c r="AB1171" i="1" s="1"/>
  <c r="AA1172" i="1"/>
  <c r="AB1172" i="1" s="1"/>
  <c r="AA1173" i="1"/>
  <c r="AB1173" i="1" s="1"/>
  <c r="AA1174" i="1"/>
  <c r="AB1174" i="1" s="1"/>
  <c r="AA1175" i="1"/>
  <c r="AB1175" i="1" s="1"/>
  <c r="AA1176" i="1"/>
  <c r="AB1176" i="1" s="1"/>
  <c r="AA1177" i="1"/>
  <c r="AB1177" i="1" s="1"/>
  <c r="AA1178" i="1"/>
  <c r="AB1178" i="1" s="1"/>
  <c r="AA1179" i="1"/>
  <c r="AB1179" i="1" s="1"/>
  <c r="AA1180" i="1"/>
  <c r="AB1180" i="1" s="1"/>
  <c r="AA1181" i="1"/>
  <c r="AB1181" i="1" s="1"/>
  <c r="AA1182" i="1"/>
  <c r="AB1182" i="1" s="1"/>
  <c r="AA1183" i="1"/>
  <c r="AB1183" i="1" s="1"/>
  <c r="AA1184" i="1"/>
  <c r="AB1184" i="1" s="1"/>
  <c r="AA1185" i="1"/>
  <c r="AB1185" i="1" s="1"/>
  <c r="AA1186" i="1"/>
  <c r="AB1186" i="1" s="1"/>
  <c r="AA1187" i="1"/>
  <c r="AB1187" i="1" s="1"/>
  <c r="AA1188" i="1"/>
  <c r="AB1188" i="1" s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B1195" i="1" s="1"/>
  <c r="AA1196" i="1"/>
  <c r="AB1196" i="1" s="1"/>
  <c r="AA1197" i="1"/>
  <c r="AB1197" i="1" s="1"/>
  <c r="AA1198" i="1"/>
  <c r="AB1198" i="1" s="1"/>
  <c r="AA1199" i="1"/>
  <c r="AB1199" i="1" s="1"/>
  <c r="AA1200" i="1"/>
  <c r="AB1200" i="1" s="1"/>
  <c r="AA1201" i="1"/>
  <c r="AB1201" i="1" s="1"/>
  <c r="AA1202" i="1"/>
  <c r="AB1202" i="1" s="1"/>
  <c r="AA1203" i="1"/>
  <c r="AB1203" i="1" s="1"/>
  <c r="AA1204" i="1"/>
  <c r="AB1204" i="1" s="1"/>
  <c r="AA1205" i="1"/>
  <c r="AB1205" i="1" s="1"/>
  <c r="AA1206" i="1"/>
  <c r="AB1206" i="1" s="1"/>
  <c r="AA1207" i="1"/>
  <c r="AB1207" i="1" s="1"/>
  <c r="AA1208" i="1"/>
  <c r="AB1208" i="1" s="1"/>
  <c r="AA1209" i="1"/>
  <c r="AB1209" i="1" s="1"/>
  <c r="AA1210" i="1"/>
  <c r="AB1210" i="1" s="1"/>
  <c r="AA1211" i="1"/>
  <c r="AB1211" i="1" s="1"/>
  <c r="AA1212" i="1"/>
  <c r="AB1212" i="1" s="1"/>
  <c r="AA1213" i="1"/>
  <c r="AB1213" i="1" s="1"/>
  <c r="AA1214" i="1"/>
  <c r="AB1214" i="1" s="1"/>
  <c r="AA1215" i="1"/>
  <c r="AB1215" i="1" s="1"/>
  <c r="AA1216" i="1"/>
  <c r="AB1216" i="1" s="1"/>
  <c r="AA1217" i="1"/>
  <c r="AB1217" i="1" s="1"/>
  <c r="AA1218" i="1"/>
  <c r="AB1218" i="1" s="1"/>
  <c r="AA1219" i="1"/>
  <c r="AB1219" i="1" s="1"/>
  <c r="AA1220" i="1"/>
  <c r="AB1220" i="1" s="1"/>
  <c r="AA1221" i="1"/>
  <c r="AB1221" i="1" s="1"/>
  <c r="AA1222" i="1"/>
  <c r="AB1222" i="1" s="1"/>
  <c r="AA1223" i="1"/>
  <c r="AB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B1232" i="1" s="1"/>
  <c r="AA1233" i="1"/>
  <c r="AB1233" i="1" s="1"/>
  <c r="AA1234" i="1"/>
  <c r="AB1234" i="1" s="1"/>
  <c r="AA1235" i="1"/>
  <c r="AB1235" i="1" s="1"/>
  <c r="AA1236" i="1"/>
  <c r="AB1236" i="1" s="1"/>
  <c r="AA1237" i="1"/>
  <c r="AB1237" i="1" s="1"/>
  <c r="AA1238" i="1"/>
  <c r="AB1238" i="1" s="1"/>
  <c r="AA1239" i="1"/>
  <c r="AB1239" i="1" s="1"/>
  <c r="AA1240" i="1"/>
  <c r="AB1240" i="1" s="1"/>
  <c r="AA1241" i="1"/>
  <c r="AB1241" i="1" s="1"/>
  <c r="AA1242" i="1"/>
  <c r="AB1242" i="1" s="1"/>
  <c r="AA1243" i="1"/>
  <c r="AB1243" i="1" s="1"/>
  <c r="AA1244" i="1"/>
  <c r="AB1244" i="1" s="1"/>
  <c r="AA1245" i="1"/>
  <c r="AB1245" i="1" s="1"/>
  <c r="AA1246" i="1"/>
  <c r="AB1246" i="1" s="1"/>
  <c r="AA1247" i="1"/>
  <c r="AB1247" i="1" s="1"/>
  <c r="AA1248" i="1"/>
  <c r="AB1248" i="1" s="1"/>
  <c r="AA1249" i="1"/>
  <c r="AB1249" i="1" s="1"/>
  <c r="AA1250" i="1"/>
  <c r="AB1250" i="1" s="1"/>
  <c r="AA1251" i="1"/>
  <c r="AB1251" i="1" s="1"/>
  <c r="AA1252" i="1"/>
  <c r="AB1252" i="1" s="1"/>
  <c r="AA1253" i="1"/>
  <c r="AB1253" i="1" s="1"/>
  <c r="AA1254" i="1"/>
  <c r="AB1254" i="1" s="1"/>
  <c r="AA1255" i="1"/>
  <c r="AB1255" i="1" s="1"/>
  <c r="AA1256" i="1"/>
  <c r="AB1256" i="1" s="1"/>
  <c r="AA1257" i="1"/>
  <c r="AB1257" i="1" s="1"/>
  <c r="AA1258" i="1"/>
  <c r="AB1258" i="1" s="1"/>
  <c r="AA1259" i="1"/>
  <c r="AB1259" i="1" s="1"/>
  <c r="AA1260" i="1"/>
  <c r="AB1260" i="1" s="1"/>
  <c r="AA1261" i="1"/>
  <c r="AB1261" i="1" s="1"/>
  <c r="AA1262" i="1"/>
  <c r="AB1262" i="1" s="1"/>
  <c r="AA1263" i="1"/>
  <c r="AB1263" i="1" s="1"/>
  <c r="AA1264" i="1"/>
  <c r="AB1264" i="1" s="1"/>
  <c r="AA1265" i="1"/>
  <c r="AB1265" i="1" s="1"/>
  <c r="AA1266" i="1"/>
  <c r="AB1266" i="1" s="1"/>
  <c r="AA1267" i="1"/>
  <c r="AB1267" i="1" s="1"/>
  <c r="AA1268" i="1"/>
  <c r="AB1268" i="1" s="1"/>
  <c r="AA1269" i="1"/>
  <c r="AB1269" i="1" s="1"/>
  <c r="AA1270" i="1"/>
  <c r="AB1270" i="1" s="1"/>
  <c r="AA1271" i="1"/>
  <c r="AB1271" i="1" s="1"/>
  <c r="AA1272" i="1"/>
  <c r="AB1272" i="1" s="1"/>
  <c r="AA1273" i="1"/>
  <c r="AB1273" i="1" s="1"/>
  <c r="AA1274" i="1"/>
  <c r="AB1274" i="1" s="1"/>
  <c r="AA1275" i="1"/>
  <c r="AB1275" i="1" s="1"/>
  <c r="AA1276" i="1"/>
  <c r="AB1276" i="1" s="1"/>
  <c r="AA1277" i="1"/>
  <c r="AB1277" i="1" s="1"/>
  <c r="AA1278" i="1"/>
  <c r="AB1278" i="1" s="1"/>
  <c r="AA1279" i="1"/>
  <c r="AB1279" i="1" s="1"/>
  <c r="AA1280" i="1"/>
  <c r="AB1280" i="1" s="1"/>
  <c r="AA1281" i="1"/>
  <c r="AB1281" i="1" s="1"/>
  <c r="AA1282" i="1"/>
  <c r="AB1282" i="1" s="1"/>
  <c r="AA1283" i="1"/>
  <c r="AB1283" i="1" s="1"/>
  <c r="AA1284" i="1"/>
  <c r="AB1284" i="1" s="1"/>
  <c r="AA1285" i="1"/>
  <c r="AB1285" i="1" s="1"/>
  <c r="AA1286" i="1"/>
  <c r="AB1286" i="1" s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B1292" i="1" s="1"/>
  <c r="AA1293" i="1"/>
  <c r="AB1293" i="1" s="1"/>
  <c r="AA1294" i="1"/>
  <c r="AB1294" i="1" s="1"/>
  <c r="AA1295" i="1"/>
  <c r="AB1295" i="1" s="1"/>
  <c r="AA1296" i="1"/>
  <c r="AB1296" i="1" s="1"/>
  <c r="AA1297" i="1"/>
  <c r="AB1297" i="1" s="1"/>
  <c r="AA1298" i="1"/>
  <c r="AB1298" i="1" s="1"/>
  <c r="AA1299" i="1"/>
  <c r="AB1299" i="1" s="1"/>
  <c r="AA1300" i="1"/>
  <c r="AB1300" i="1" s="1"/>
  <c r="AA1301" i="1"/>
  <c r="AB1301" i="1" s="1"/>
  <c r="AA1302" i="1"/>
  <c r="AB1302" i="1" s="1"/>
  <c r="AA1303" i="1"/>
  <c r="AB1303" i="1" s="1"/>
  <c r="AA1304" i="1"/>
  <c r="AB1304" i="1" s="1"/>
  <c r="AA1305" i="1"/>
  <c r="AB1305" i="1" s="1"/>
  <c r="AA1306" i="1"/>
  <c r="AB1306" i="1" s="1"/>
  <c r="AA1307" i="1"/>
  <c r="AB1307" i="1" s="1"/>
  <c r="AA1308" i="1"/>
  <c r="AB1308" i="1" s="1"/>
  <c r="AA1309" i="1"/>
  <c r="AB1309" i="1" s="1"/>
  <c r="AA1310" i="1"/>
  <c r="AB1310" i="1" s="1"/>
  <c r="AA1311" i="1"/>
  <c r="AB1311" i="1" s="1"/>
  <c r="AA1312" i="1"/>
  <c r="AB1312" i="1" s="1"/>
  <c r="AA1313" i="1"/>
  <c r="AB1313" i="1" s="1"/>
  <c r="AA1314" i="1"/>
  <c r="AB1314" i="1" s="1"/>
  <c r="AA1315" i="1"/>
  <c r="AB1315" i="1" s="1"/>
  <c r="AA1316" i="1"/>
  <c r="AB1316" i="1" s="1"/>
  <c r="AA1317" i="1"/>
  <c r="AB1317" i="1" s="1"/>
  <c r="AA1318" i="1"/>
  <c r="AB1318" i="1" s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B1324" i="1" s="1"/>
  <c r="AA1325" i="1"/>
  <c r="AB1325" i="1" s="1"/>
  <c r="AA1326" i="1"/>
  <c r="AB1326" i="1" s="1"/>
  <c r="AA1327" i="1"/>
  <c r="AB1327" i="1" s="1"/>
  <c r="AA1328" i="1"/>
  <c r="AB1328" i="1" s="1"/>
  <c r="AA1329" i="1"/>
  <c r="AB1329" i="1" s="1"/>
  <c r="AA1330" i="1"/>
  <c r="AB1330" i="1" s="1"/>
  <c r="AA1331" i="1"/>
  <c r="AB1331" i="1" s="1"/>
  <c r="AA1332" i="1"/>
  <c r="AB1332" i="1" s="1"/>
  <c r="AA1333" i="1"/>
  <c r="AB1333" i="1" s="1"/>
  <c r="AA1334" i="1"/>
  <c r="AB1334" i="1" s="1"/>
  <c r="AA1335" i="1"/>
  <c r="AB1335" i="1" s="1"/>
  <c r="AA1336" i="1"/>
  <c r="AB1336" i="1" s="1"/>
  <c r="AA1337" i="1"/>
  <c r="AB1337" i="1" s="1"/>
  <c r="AA1338" i="1"/>
  <c r="AB1338" i="1" s="1"/>
  <c r="AA1339" i="1"/>
  <c r="AB1339" i="1" s="1"/>
  <c r="AA1340" i="1"/>
  <c r="AB1340" i="1" s="1"/>
  <c r="AA1341" i="1"/>
  <c r="AB1341" i="1" s="1"/>
  <c r="AA1342" i="1"/>
  <c r="AB1342" i="1" s="1"/>
  <c r="AA1343" i="1"/>
  <c r="AB1343" i="1" s="1"/>
  <c r="AA1344" i="1"/>
  <c r="AB1344" i="1" s="1"/>
  <c r="AA1345" i="1"/>
  <c r="AB1345" i="1" s="1"/>
  <c r="AA1346" i="1"/>
  <c r="AB1346" i="1" s="1"/>
  <c r="AA1347" i="1"/>
  <c r="AB1347" i="1" s="1"/>
  <c r="AA1348" i="1"/>
  <c r="AB1348" i="1" s="1"/>
  <c r="AA1349" i="1"/>
  <c r="AB1349" i="1" s="1"/>
  <c r="AA1350" i="1"/>
  <c r="AB1350" i="1" s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B1356" i="1" s="1"/>
  <c r="AA1357" i="1"/>
  <c r="AB1357" i="1" s="1"/>
  <c r="AA1358" i="1"/>
  <c r="AB1358" i="1" s="1"/>
  <c r="AA1359" i="1"/>
  <c r="AB1359" i="1" s="1"/>
  <c r="AA1360" i="1"/>
  <c r="AB1360" i="1" s="1"/>
  <c r="AA1361" i="1"/>
  <c r="AB1361" i="1" s="1"/>
  <c r="AA1362" i="1"/>
  <c r="AB1362" i="1" s="1"/>
  <c r="AA1363" i="1"/>
  <c r="AB1363" i="1" s="1"/>
  <c r="AA1364" i="1"/>
  <c r="AB1364" i="1" s="1"/>
  <c r="AA1365" i="1"/>
  <c r="AB1365" i="1" s="1"/>
  <c r="AA1366" i="1"/>
  <c r="AB1366" i="1" s="1"/>
  <c r="AA1367" i="1"/>
  <c r="AB1367" i="1" s="1"/>
  <c r="AA1368" i="1"/>
  <c r="AB1368" i="1" s="1"/>
  <c r="AA1369" i="1"/>
  <c r="AB1369" i="1" s="1"/>
  <c r="AA1370" i="1"/>
  <c r="AB1370" i="1" s="1"/>
  <c r="AA1371" i="1"/>
  <c r="AB1371" i="1" s="1"/>
  <c r="AA1372" i="1"/>
  <c r="AB1372" i="1" s="1"/>
  <c r="AA1373" i="1"/>
  <c r="AB1373" i="1" s="1"/>
  <c r="AA1374" i="1"/>
  <c r="AB1374" i="1" s="1"/>
  <c r="AA1375" i="1"/>
  <c r="AB1375" i="1" s="1"/>
  <c r="AA1376" i="1"/>
  <c r="AB1376" i="1" s="1"/>
  <c r="AA1377" i="1"/>
  <c r="AB1377" i="1" s="1"/>
  <c r="AA1378" i="1"/>
  <c r="AB1378" i="1" s="1"/>
  <c r="AA1379" i="1"/>
  <c r="AB1379" i="1" s="1"/>
  <c r="AA1380" i="1"/>
  <c r="AB1380" i="1" s="1"/>
  <c r="AA1381" i="1"/>
  <c r="AB1381" i="1" s="1"/>
  <c r="AA1382" i="1"/>
  <c r="AB1382" i="1" s="1"/>
  <c r="AA1383" i="1"/>
  <c r="AB1383" i="1" s="1"/>
  <c r="AA1384" i="1"/>
  <c r="AB1384" i="1" s="1"/>
  <c r="AA1385" i="1"/>
  <c r="AB1385" i="1" s="1"/>
  <c r="AA1386" i="1"/>
  <c r="AB1386" i="1" s="1"/>
  <c r="AA1387" i="1"/>
  <c r="AB1387" i="1" s="1"/>
  <c r="AA1388" i="1"/>
  <c r="AB1388" i="1" s="1"/>
  <c r="AA1389" i="1"/>
  <c r="AB1389" i="1" s="1"/>
  <c r="AA1390" i="1"/>
  <c r="AB1390" i="1" s="1"/>
  <c r="AA1391" i="1"/>
  <c r="AB1391" i="1" s="1"/>
  <c r="AA1392" i="1"/>
  <c r="AB1392" i="1" s="1"/>
  <c r="AA1393" i="1"/>
  <c r="AB1393" i="1" s="1"/>
  <c r="AA1394" i="1"/>
  <c r="AB1394" i="1" s="1"/>
  <c r="AA1395" i="1"/>
  <c r="AB1395" i="1" s="1"/>
  <c r="AA1396" i="1"/>
  <c r="AB1396" i="1" s="1"/>
  <c r="AA1397" i="1"/>
  <c r="AB1397" i="1" s="1"/>
  <c r="AA1398" i="1"/>
  <c r="AB1398" i="1" s="1"/>
  <c r="AA1399" i="1"/>
  <c r="AB1399" i="1" s="1"/>
  <c r="AA1400" i="1"/>
  <c r="AB1400" i="1" s="1"/>
  <c r="AA1401" i="1"/>
  <c r="AB1401" i="1" s="1"/>
  <c r="AA1402" i="1"/>
  <c r="AB1402" i="1" s="1"/>
  <c r="AA1403" i="1"/>
  <c r="AB1403" i="1" s="1"/>
  <c r="AA1404" i="1"/>
  <c r="AB1404" i="1" s="1"/>
  <c r="AA1405" i="1"/>
  <c r="AB1405" i="1" s="1"/>
  <c r="AA1406" i="1"/>
  <c r="AB1406" i="1" s="1"/>
  <c r="AA1407" i="1"/>
  <c r="AB1407" i="1" s="1"/>
  <c r="AA1408" i="1"/>
  <c r="AB1408" i="1" s="1"/>
  <c r="AA1409" i="1"/>
  <c r="AB1409" i="1" s="1"/>
  <c r="AA1410" i="1"/>
  <c r="AB1410" i="1" s="1"/>
  <c r="AA1411" i="1"/>
  <c r="AB1411" i="1" s="1"/>
  <c r="AA1412" i="1"/>
  <c r="AB1412" i="1" s="1"/>
  <c r="AA1413" i="1"/>
  <c r="AB1413" i="1" s="1"/>
  <c r="AA1414" i="1"/>
  <c r="AB1414" i="1" s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B1422" i="1" s="1"/>
  <c r="AA1423" i="1"/>
  <c r="AB1423" i="1" s="1"/>
  <c r="AA1424" i="1"/>
  <c r="AB1424" i="1" s="1"/>
  <c r="AA1425" i="1"/>
  <c r="AB1425" i="1" s="1"/>
  <c r="AA1426" i="1"/>
  <c r="AB1426" i="1" s="1"/>
  <c r="AA1427" i="1"/>
  <c r="AB1427" i="1" s="1"/>
  <c r="AA1428" i="1"/>
  <c r="AB1428" i="1" s="1"/>
  <c r="AA1429" i="1"/>
  <c r="AB1429" i="1" s="1"/>
  <c r="AA1430" i="1"/>
  <c r="AB1430" i="1" s="1"/>
  <c r="AA1431" i="1"/>
  <c r="AB1431" i="1" s="1"/>
  <c r="AA1432" i="1"/>
  <c r="AB1432" i="1" s="1"/>
  <c r="AA1433" i="1"/>
  <c r="AB1433" i="1" s="1"/>
  <c r="AA1434" i="1"/>
  <c r="AB1434" i="1" s="1"/>
  <c r="AA1435" i="1"/>
  <c r="AB1435" i="1" s="1"/>
  <c r="AA1436" i="1"/>
  <c r="AB1436" i="1" s="1"/>
  <c r="AA1437" i="1"/>
  <c r="AB1437" i="1" s="1"/>
  <c r="AA1438" i="1"/>
  <c r="AB1438" i="1" s="1"/>
  <c r="AA1439" i="1"/>
  <c r="AB1439" i="1" s="1"/>
  <c r="AA1440" i="1"/>
  <c r="AB1440" i="1" s="1"/>
  <c r="AA1441" i="1"/>
  <c r="AB1441" i="1" s="1"/>
  <c r="AA1442" i="1"/>
  <c r="AB1442" i="1" s="1"/>
  <c r="AA1443" i="1"/>
  <c r="AB1443" i="1" s="1"/>
  <c r="AA1444" i="1"/>
  <c r="AB1444" i="1" s="1"/>
  <c r="AA1445" i="1"/>
  <c r="AB1445" i="1" s="1"/>
  <c r="AA1446" i="1"/>
  <c r="AB1446" i="1" s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B1456" i="1" s="1"/>
  <c r="AA1457" i="1"/>
  <c r="AB1457" i="1" s="1"/>
  <c r="AA1458" i="1"/>
  <c r="AB1458" i="1" s="1"/>
  <c r="AA1459" i="1"/>
  <c r="AB1459" i="1" s="1"/>
  <c r="AA1460" i="1"/>
  <c r="AB1460" i="1" s="1"/>
  <c r="AA1461" i="1"/>
  <c r="AB1461" i="1" s="1"/>
  <c r="AA1462" i="1"/>
  <c r="AB1462" i="1" s="1"/>
  <c r="AA1463" i="1"/>
  <c r="AB1463" i="1" s="1"/>
  <c r="AA1464" i="1"/>
  <c r="AB1464" i="1" s="1"/>
  <c r="AA1465" i="1"/>
  <c r="AB1465" i="1" s="1"/>
  <c r="AA1466" i="1"/>
  <c r="AB1466" i="1" s="1"/>
  <c r="AA1467" i="1"/>
  <c r="AB1467" i="1" s="1"/>
  <c r="AA1468" i="1"/>
  <c r="AB1468" i="1" s="1"/>
  <c r="AA1469" i="1"/>
  <c r="AB1469" i="1" s="1"/>
  <c r="AA1470" i="1"/>
  <c r="AB1470" i="1" s="1"/>
  <c r="AA1471" i="1"/>
  <c r="AB1471" i="1" s="1"/>
  <c r="AA1472" i="1"/>
  <c r="AB1472" i="1" s="1"/>
  <c r="AA1473" i="1"/>
  <c r="AB1473" i="1" s="1"/>
  <c r="AA1474" i="1"/>
  <c r="AB1474" i="1" s="1"/>
  <c r="AA1475" i="1"/>
  <c r="AB1475" i="1" s="1"/>
  <c r="AA1476" i="1"/>
  <c r="AB1476" i="1" s="1"/>
  <c r="AA1477" i="1"/>
  <c r="AB1477" i="1" s="1"/>
  <c r="AA1478" i="1"/>
  <c r="AB1478" i="1" s="1"/>
  <c r="AA1479" i="1"/>
  <c r="AB1479" i="1" s="1"/>
  <c r="AA1480" i="1"/>
  <c r="AB1480" i="1" s="1"/>
  <c r="AA1481" i="1"/>
  <c r="AB1481" i="1" s="1"/>
  <c r="AA1482" i="1"/>
  <c r="AB1482" i="1" s="1"/>
  <c r="AA1483" i="1"/>
  <c r="AB1483" i="1" s="1"/>
  <c r="AA1484" i="1"/>
  <c r="AB1484" i="1" s="1"/>
  <c r="AA1485" i="1"/>
  <c r="AB1485" i="1" s="1"/>
  <c r="AA1486" i="1"/>
  <c r="AB1486" i="1" s="1"/>
  <c r="AA1487" i="1"/>
  <c r="AB1487" i="1" s="1"/>
  <c r="AA1488" i="1"/>
  <c r="AB1488" i="1" s="1"/>
  <c r="AA1489" i="1"/>
  <c r="AB1489" i="1" s="1"/>
  <c r="AA1490" i="1"/>
  <c r="AB1490" i="1" s="1"/>
  <c r="AA1491" i="1"/>
  <c r="AB1491" i="1" s="1"/>
  <c r="AA1492" i="1"/>
  <c r="AB1492" i="1" s="1"/>
  <c r="AA1493" i="1"/>
  <c r="AB1493" i="1" s="1"/>
  <c r="AA1494" i="1"/>
  <c r="AB1494" i="1" s="1"/>
  <c r="AA1495" i="1"/>
  <c r="AB1495" i="1" s="1"/>
  <c r="AA1496" i="1"/>
  <c r="AB1496" i="1" s="1"/>
  <c r="AA1497" i="1"/>
  <c r="AB1497" i="1" s="1"/>
  <c r="AA1498" i="1"/>
  <c r="AB1498" i="1" s="1"/>
  <c r="AA1499" i="1"/>
  <c r="AB1499" i="1" s="1"/>
  <c r="AA1500" i="1"/>
  <c r="AB1500" i="1" s="1"/>
  <c r="AA1501" i="1"/>
  <c r="AB1501" i="1" s="1"/>
  <c r="AA1502" i="1"/>
  <c r="AB1502" i="1" s="1"/>
  <c r="AA1503" i="1"/>
  <c r="AB1503" i="1" s="1"/>
  <c r="AA1504" i="1"/>
  <c r="AB1504" i="1" s="1"/>
  <c r="AA1505" i="1"/>
  <c r="AB1505" i="1" s="1"/>
  <c r="AA1506" i="1"/>
  <c r="AB1506" i="1" s="1"/>
  <c r="AA1507" i="1"/>
  <c r="AB1507" i="1" s="1"/>
  <c r="AA1508" i="1"/>
  <c r="AB1508" i="1" s="1"/>
  <c r="AA1509" i="1"/>
  <c r="AB1509" i="1" s="1"/>
  <c r="AA1510" i="1"/>
  <c r="AB1510" i="1" s="1"/>
  <c r="AA1511" i="1"/>
  <c r="AB1511" i="1" s="1"/>
  <c r="AA1512" i="1"/>
  <c r="AB1512" i="1" s="1"/>
  <c r="AA1513" i="1"/>
  <c r="AB1513" i="1" s="1"/>
  <c r="AA1514" i="1"/>
  <c r="AB1514" i="1" s="1"/>
  <c r="AA1515" i="1"/>
  <c r="AB1515" i="1" s="1"/>
  <c r="AA1516" i="1"/>
  <c r="AB1516" i="1" s="1"/>
  <c r="AA1517" i="1"/>
  <c r="AB1517" i="1" s="1"/>
  <c r="AA1518" i="1"/>
  <c r="AB1518" i="1" s="1"/>
  <c r="AA1519" i="1"/>
  <c r="AB1519" i="1" s="1"/>
  <c r="AA1520" i="1"/>
  <c r="AB1520" i="1" s="1"/>
  <c r="AA1521" i="1"/>
  <c r="AB1521" i="1" s="1"/>
  <c r="AA1522" i="1"/>
  <c r="AB1522" i="1" s="1"/>
  <c r="AA1523" i="1"/>
  <c r="AB1523" i="1" s="1"/>
  <c r="AA1524" i="1"/>
  <c r="AB1524" i="1" s="1"/>
  <c r="AA1525" i="1"/>
  <c r="AB1525" i="1" s="1"/>
  <c r="AA1526" i="1"/>
  <c r="AB1526" i="1" s="1"/>
  <c r="AA1527" i="1"/>
  <c r="AB1527" i="1" s="1"/>
  <c r="AA1528" i="1"/>
  <c r="AB1528" i="1" s="1"/>
  <c r="AA1529" i="1"/>
  <c r="AB1529" i="1" s="1"/>
  <c r="AA1530" i="1"/>
  <c r="AB1530" i="1" s="1"/>
  <c r="AA1531" i="1"/>
  <c r="AB1531" i="1" s="1"/>
  <c r="AA1532" i="1"/>
  <c r="AB1532" i="1" s="1"/>
  <c r="AA1533" i="1"/>
  <c r="AB1533" i="1" s="1"/>
  <c r="AA1534" i="1"/>
  <c r="AB1534" i="1" s="1"/>
  <c r="AA1535" i="1"/>
  <c r="AB1535" i="1" s="1"/>
  <c r="AA1536" i="1"/>
  <c r="AB1536" i="1" s="1"/>
  <c r="AA1537" i="1"/>
  <c r="AB1537" i="1" s="1"/>
  <c r="AA1538" i="1"/>
  <c r="AB1538" i="1" s="1"/>
  <c r="AA1539" i="1"/>
  <c r="AB1539" i="1" s="1"/>
  <c r="AA1540" i="1"/>
  <c r="AB1540" i="1" s="1"/>
  <c r="AA1541" i="1"/>
  <c r="AB1541" i="1" s="1"/>
  <c r="AA1542" i="1"/>
  <c r="AB1542" i="1" s="1"/>
  <c r="AA1543" i="1"/>
  <c r="AB1543" i="1" s="1"/>
  <c r="AA1544" i="1"/>
  <c r="AB1544" i="1" s="1"/>
  <c r="AA1545" i="1"/>
  <c r="AB1545" i="1" s="1"/>
  <c r="AA1546" i="1"/>
  <c r="AB1546" i="1" s="1"/>
  <c r="AA1547" i="1"/>
  <c r="AB1547" i="1" s="1"/>
  <c r="AA1548" i="1"/>
  <c r="AB1548" i="1" s="1"/>
  <c r="AA1549" i="1"/>
  <c r="AB1549" i="1" s="1"/>
  <c r="AA1550" i="1"/>
  <c r="AB1550" i="1" s="1"/>
  <c r="AA1551" i="1"/>
  <c r="AB1551" i="1" s="1"/>
  <c r="AA1552" i="1"/>
  <c r="AB1552" i="1" s="1"/>
  <c r="AA1553" i="1"/>
  <c r="AB1553" i="1" s="1"/>
  <c r="AA1554" i="1"/>
  <c r="AB1554" i="1" s="1"/>
  <c r="AA1555" i="1"/>
  <c r="AB1555" i="1" s="1"/>
  <c r="AA1556" i="1"/>
  <c r="AB1556" i="1" s="1"/>
  <c r="AA1557" i="1"/>
  <c r="AB1557" i="1" s="1"/>
  <c r="AA1558" i="1"/>
  <c r="AB1558" i="1" s="1"/>
  <c r="AA1559" i="1"/>
  <c r="AB1559" i="1" s="1"/>
  <c r="AA1560" i="1"/>
  <c r="AB1560" i="1" s="1"/>
  <c r="AA1561" i="1"/>
  <c r="AB1561" i="1" s="1"/>
  <c r="AA1562" i="1"/>
  <c r="AB1562" i="1" s="1"/>
  <c r="AA1563" i="1"/>
  <c r="AB1563" i="1" s="1"/>
  <c r="AA1564" i="1"/>
  <c r="AB1564" i="1" s="1"/>
  <c r="AA1565" i="1"/>
  <c r="AB1565" i="1" s="1"/>
  <c r="AA1566" i="1"/>
  <c r="AB1566" i="1" s="1"/>
  <c r="AA1567" i="1"/>
  <c r="AB1567" i="1" s="1"/>
  <c r="AA1568" i="1"/>
  <c r="AB1568" i="1" s="1"/>
  <c r="AA1569" i="1"/>
  <c r="AB1569" i="1" s="1"/>
  <c r="AA1570" i="1"/>
  <c r="AB1570" i="1" s="1"/>
  <c r="AA1571" i="1"/>
  <c r="AB1571" i="1" s="1"/>
  <c r="AA1572" i="1"/>
  <c r="AB1572" i="1" s="1"/>
  <c r="AA1573" i="1"/>
  <c r="AB1573" i="1" s="1"/>
  <c r="AA1574" i="1"/>
  <c r="AB1574" i="1" s="1"/>
  <c r="AA1575" i="1"/>
  <c r="AB1575" i="1" s="1"/>
  <c r="AA1576" i="1"/>
  <c r="AB1576" i="1" s="1"/>
  <c r="AA1577" i="1"/>
  <c r="AB1577" i="1" s="1"/>
  <c r="AA1578" i="1"/>
  <c r="AB1578" i="1" s="1"/>
  <c r="AA1579" i="1"/>
  <c r="AB1579" i="1" s="1"/>
  <c r="AA1580" i="1"/>
  <c r="AB1580" i="1" s="1"/>
  <c r="AA1581" i="1"/>
  <c r="AB1581" i="1" s="1"/>
  <c r="AA1582" i="1"/>
  <c r="AB1582" i="1" s="1"/>
  <c r="AA1583" i="1"/>
  <c r="AB1583" i="1" s="1"/>
  <c r="AA1584" i="1"/>
  <c r="AB1584" i="1" s="1"/>
  <c r="AA1585" i="1"/>
  <c r="AB1585" i="1" s="1"/>
  <c r="AA1586" i="1"/>
  <c r="AB1586" i="1" s="1"/>
  <c r="AA1587" i="1"/>
  <c r="AB1587" i="1" s="1"/>
  <c r="AA1588" i="1"/>
  <c r="AB1588" i="1" s="1"/>
  <c r="AA1589" i="1"/>
  <c r="AB1589" i="1" s="1"/>
  <c r="AA1590" i="1"/>
  <c r="AB1590" i="1" s="1"/>
  <c r="AA1591" i="1"/>
  <c r="AB1591" i="1" s="1"/>
  <c r="AA1592" i="1"/>
  <c r="AB1592" i="1" s="1"/>
  <c r="AA1593" i="1"/>
  <c r="AB1593" i="1" s="1"/>
  <c r="AA1594" i="1"/>
  <c r="AB1594" i="1" s="1"/>
  <c r="AA1595" i="1"/>
  <c r="AB1595" i="1" s="1"/>
  <c r="AA1596" i="1"/>
  <c r="AB1596" i="1" s="1"/>
  <c r="AA1597" i="1"/>
  <c r="AB1597" i="1" s="1"/>
  <c r="AA1598" i="1"/>
  <c r="AB1598" i="1" s="1"/>
  <c r="AA1599" i="1"/>
  <c r="AB1599" i="1" s="1"/>
  <c r="AA1600" i="1"/>
  <c r="AB1600" i="1" s="1"/>
  <c r="AA1601" i="1"/>
  <c r="AB1601" i="1" s="1"/>
  <c r="AA1602" i="1"/>
  <c r="AB1602" i="1" s="1"/>
  <c r="AA1603" i="1"/>
  <c r="AB1603" i="1" s="1"/>
  <c r="AA1604" i="1"/>
  <c r="AB1604" i="1" s="1"/>
  <c r="AA1605" i="1"/>
  <c r="AB1605" i="1" s="1"/>
  <c r="AA1606" i="1"/>
  <c r="AB1606" i="1" s="1"/>
  <c r="AA1607" i="1"/>
  <c r="AB1607" i="1" s="1"/>
  <c r="AA1608" i="1"/>
  <c r="AB1608" i="1" s="1"/>
  <c r="AA1609" i="1"/>
  <c r="AB1609" i="1" s="1"/>
  <c r="AA1610" i="1"/>
  <c r="AB1610" i="1" s="1"/>
  <c r="AA1611" i="1"/>
  <c r="AB1611" i="1" s="1"/>
  <c r="AA1612" i="1"/>
  <c r="AB1612" i="1" s="1"/>
  <c r="AA1613" i="1"/>
  <c r="AB1613" i="1" s="1"/>
  <c r="AA1614" i="1"/>
  <c r="AB1614" i="1" s="1"/>
  <c r="AA1615" i="1"/>
  <c r="AB1615" i="1" s="1"/>
  <c r="AA1616" i="1"/>
  <c r="AB1616" i="1" s="1"/>
  <c r="AA1617" i="1"/>
  <c r="AB1617" i="1" s="1"/>
  <c r="AA1618" i="1"/>
  <c r="AB1618" i="1" s="1"/>
  <c r="AA1619" i="1"/>
  <c r="AB1619" i="1" s="1"/>
  <c r="AA1620" i="1"/>
  <c r="AB1620" i="1" s="1"/>
  <c r="AA1621" i="1"/>
  <c r="AB1621" i="1" s="1"/>
  <c r="AA1622" i="1"/>
  <c r="AB1622" i="1" s="1"/>
  <c r="AA1623" i="1"/>
  <c r="AB1623" i="1" s="1"/>
  <c r="AA1624" i="1"/>
  <c r="AB1624" i="1" s="1"/>
  <c r="AA1625" i="1"/>
  <c r="AB1625" i="1" s="1"/>
  <c r="AA1626" i="1"/>
  <c r="AB1626" i="1" s="1"/>
  <c r="AA1627" i="1"/>
  <c r="AB1627" i="1" s="1"/>
  <c r="AA1628" i="1"/>
  <c r="AB1628" i="1" s="1"/>
  <c r="AA1629" i="1"/>
  <c r="AB1629" i="1" s="1"/>
  <c r="AA1630" i="1"/>
  <c r="AB1630" i="1" s="1"/>
  <c r="AA1631" i="1"/>
  <c r="AB1631" i="1" s="1"/>
  <c r="AA1632" i="1"/>
  <c r="AB1632" i="1" s="1"/>
  <c r="AA1633" i="1"/>
  <c r="AB1633" i="1" s="1"/>
  <c r="AA1634" i="1"/>
  <c r="AB1634" i="1" s="1"/>
  <c r="AA1635" i="1"/>
  <c r="AB1635" i="1" s="1"/>
  <c r="AA1636" i="1"/>
  <c r="AB1636" i="1" s="1"/>
  <c r="AA1637" i="1"/>
  <c r="AB1637" i="1" s="1"/>
  <c r="AA1638" i="1"/>
  <c r="AB1638" i="1" s="1"/>
  <c r="AA1639" i="1"/>
  <c r="AB1639" i="1" s="1"/>
  <c r="AA1640" i="1"/>
  <c r="AB1640" i="1" s="1"/>
  <c r="AA1641" i="1"/>
  <c r="AB1641" i="1" s="1"/>
  <c r="AA1642" i="1"/>
  <c r="AB1642" i="1" s="1"/>
  <c r="AA1643" i="1"/>
  <c r="AB1643" i="1" s="1"/>
  <c r="AA1644" i="1"/>
  <c r="AB1644" i="1" s="1"/>
  <c r="AA1645" i="1"/>
  <c r="AB1645" i="1" s="1"/>
  <c r="AA1646" i="1"/>
  <c r="AB1646" i="1" s="1"/>
  <c r="AA1647" i="1"/>
  <c r="AB1647" i="1" s="1"/>
  <c r="AA1648" i="1"/>
  <c r="AB1648" i="1" s="1"/>
  <c r="AA1649" i="1"/>
  <c r="AB1649" i="1" s="1"/>
  <c r="AA1650" i="1"/>
  <c r="AB1650" i="1" s="1"/>
  <c r="AA1651" i="1"/>
  <c r="AB1651" i="1" s="1"/>
  <c r="AA1652" i="1"/>
  <c r="AB1652" i="1" s="1"/>
  <c r="AA1653" i="1"/>
  <c r="AB1653" i="1" s="1"/>
  <c r="AA1654" i="1"/>
  <c r="AB1654" i="1" s="1"/>
  <c r="AA1655" i="1"/>
  <c r="AB1655" i="1" s="1"/>
  <c r="AA1656" i="1"/>
  <c r="AB1656" i="1" s="1"/>
  <c r="AA1657" i="1"/>
  <c r="AB1657" i="1" s="1"/>
  <c r="AA1658" i="1"/>
  <c r="AB1658" i="1" s="1"/>
  <c r="AA1659" i="1"/>
  <c r="AB1659" i="1" s="1"/>
  <c r="AA1660" i="1"/>
  <c r="AB1660" i="1" s="1"/>
  <c r="AA1661" i="1"/>
  <c r="AB1661" i="1" s="1"/>
  <c r="AA1662" i="1"/>
  <c r="AB1662" i="1" s="1"/>
  <c r="AA1663" i="1"/>
  <c r="AB1663" i="1" s="1"/>
  <c r="AA1664" i="1"/>
  <c r="AB1664" i="1" s="1"/>
  <c r="AA1665" i="1"/>
  <c r="AB1665" i="1" s="1"/>
  <c r="AA1666" i="1"/>
  <c r="AB1666" i="1" s="1"/>
  <c r="AA1667" i="1"/>
  <c r="AB1667" i="1" s="1"/>
  <c r="AA1668" i="1"/>
  <c r="AB1668" i="1" s="1"/>
  <c r="AA1669" i="1"/>
  <c r="AB1669" i="1" s="1"/>
  <c r="AA1670" i="1"/>
  <c r="AB1670" i="1" s="1"/>
  <c r="AA1671" i="1"/>
  <c r="AB1671" i="1" s="1"/>
  <c r="AA1672" i="1"/>
  <c r="AB1672" i="1" s="1"/>
  <c r="AA1673" i="1"/>
  <c r="AB1673" i="1" s="1"/>
  <c r="AA1674" i="1"/>
  <c r="AB1674" i="1" s="1"/>
  <c r="AA1675" i="1"/>
  <c r="AB1675" i="1" s="1"/>
  <c r="AA1676" i="1"/>
  <c r="AB1676" i="1" s="1"/>
  <c r="AA1677" i="1"/>
  <c r="AB1677" i="1" s="1"/>
  <c r="AA1678" i="1"/>
  <c r="AB1678" i="1" s="1"/>
  <c r="AA1679" i="1"/>
  <c r="AB1679" i="1" s="1"/>
  <c r="AA1680" i="1"/>
  <c r="AB1680" i="1" s="1"/>
  <c r="AA1681" i="1"/>
  <c r="AB1681" i="1" s="1"/>
  <c r="AA1682" i="1"/>
  <c r="AB1682" i="1" s="1"/>
  <c r="AA1683" i="1"/>
  <c r="AB1683" i="1" s="1"/>
  <c r="AA1684" i="1"/>
  <c r="AB1684" i="1" s="1"/>
  <c r="AA1685" i="1"/>
  <c r="AB1685" i="1" s="1"/>
  <c r="AA1686" i="1"/>
  <c r="AB1686" i="1" s="1"/>
  <c r="AA1687" i="1"/>
  <c r="AB1687" i="1" s="1"/>
  <c r="AA1688" i="1"/>
  <c r="AB1688" i="1" s="1"/>
  <c r="AA1689" i="1"/>
  <c r="AB1689" i="1" s="1"/>
  <c r="AA1690" i="1"/>
  <c r="AB1690" i="1" s="1"/>
  <c r="AA1691" i="1"/>
  <c r="AB1691" i="1" s="1"/>
  <c r="AA1692" i="1"/>
  <c r="AB1692" i="1" s="1"/>
  <c r="AA1693" i="1"/>
  <c r="AB1693" i="1" s="1"/>
  <c r="AA1694" i="1"/>
  <c r="AB1694" i="1" s="1"/>
  <c r="AA1695" i="1"/>
  <c r="AB1695" i="1" s="1"/>
  <c r="AA1696" i="1"/>
  <c r="AB1696" i="1" s="1"/>
  <c r="AA1697" i="1"/>
  <c r="AB1697" i="1" s="1"/>
  <c r="AA1698" i="1"/>
  <c r="AB1698" i="1" s="1"/>
  <c r="AA1699" i="1"/>
  <c r="AB1699" i="1" s="1"/>
  <c r="AA1700" i="1"/>
  <c r="AB1700" i="1" s="1"/>
  <c r="AA1701" i="1"/>
  <c r="AB1701" i="1" s="1"/>
  <c r="AA1702" i="1"/>
  <c r="AB1702" i="1" s="1"/>
  <c r="AA1703" i="1"/>
  <c r="AB1703" i="1" s="1"/>
  <c r="AA1704" i="1"/>
  <c r="AB1704" i="1" s="1"/>
  <c r="AA1705" i="1"/>
  <c r="AB1705" i="1" s="1"/>
  <c r="AA1706" i="1"/>
  <c r="AB1706" i="1" s="1"/>
  <c r="AA1707" i="1"/>
  <c r="AB1707" i="1" s="1"/>
  <c r="AA1708" i="1"/>
  <c r="AB1708" i="1" s="1"/>
  <c r="AA1709" i="1"/>
  <c r="AB1709" i="1" s="1"/>
  <c r="AA1710" i="1"/>
  <c r="AB1710" i="1" s="1"/>
  <c r="AA1711" i="1"/>
  <c r="AB1711" i="1" s="1"/>
  <c r="AA1712" i="1"/>
  <c r="AB1712" i="1" s="1"/>
  <c r="AA1713" i="1"/>
  <c r="AB1713" i="1" s="1"/>
  <c r="AA1714" i="1"/>
  <c r="AB1714" i="1" s="1"/>
  <c r="AA1715" i="1"/>
  <c r="AB1715" i="1" s="1"/>
  <c r="AA1716" i="1"/>
  <c r="AB1716" i="1" s="1"/>
  <c r="AA1717" i="1"/>
  <c r="AB1717" i="1" s="1"/>
  <c r="AA1718" i="1"/>
  <c r="AB1718" i="1" s="1"/>
  <c r="AA1719" i="1"/>
  <c r="AB1719" i="1" s="1"/>
  <c r="AA1720" i="1"/>
  <c r="AB1720" i="1" s="1"/>
  <c r="AA1721" i="1"/>
  <c r="AB1721" i="1" s="1"/>
  <c r="AA1722" i="1"/>
  <c r="AB1722" i="1" s="1"/>
  <c r="AA1723" i="1"/>
  <c r="AB1723" i="1" s="1"/>
  <c r="AA1724" i="1"/>
  <c r="AB1724" i="1" s="1"/>
  <c r="AA1725" i="1"/>
  <c r="AB1725" i="1" s="1"/>
  <c r="AA1726" i="1"/>
  <c r="AB1726" i="1" s="1"/>
  <c r="AA1727" i="1"/>
  <c r="AB1727" i="1" s="1"/>
  <c r="AA1728" i="1"/>
  <c r="AB1728" i="1" s="1"/>
  <c r="AA1729" i="1"/>
  <c r="AB1729" i="1" s="1"/>
  <c r="AA1730" i="1"/>
  <c r="AB1730" i="1" s="1"/>
  <c r="AA1731" i="1"/>
  <c r="AB1731" i="1" s="1"/>
  <c r="AA1732" i="1"/>
  <c r="AB1732" i="1" s="1"/>
  <c r="AA1733" i="1"/>
  <c r="AB1733" i="1" s="1"/>
  <c r="AA1734" i="1"/>
  <c r="AB1734" i="1" s="1"/>
  <c r="AA1735" i="1"/>
  <c r="AB1735" i="1" s="1"/>
  <c r="AA1736" i="1"/>
  <c r="AB1736" i="1" s="1"/>
  <c r="AA1737" i="1"/>
  <c r="AB1737" i="1" s="1"/>
  <c r="AA1738" i="1"/>
  <c r="AB1738" i="1" s="1"/>
  <c r="AA1739" i="1"/>
  <c r="AB1739" i="1" s="1"/>
  <c r="AA1740" i="1"/>
  <c r="AB1740" i="1" s="1"/>
  <c r="AA1741" i="1"/>
  <c r="AB1741" i="1" s="1"/>
  <c r="AA1742" i="1"/>
  <c r="AB1742" i="1" s="1"/>
  <c r="AA1743" i="1"/>
  <c r="AB1743" i="1" s="1"/>
  <c r="AA1744" i="1"/>
  <c r="AB1744" i="1" s="1"/>
  <c r="AA1745" i="1"/>
  <c r="AB1745" i="1" s="1"/>
  <c r="AA1746" i="1"/>
  <c r="AB1746" i="1" s="1"/>
  <c r="AA1747" i="1"/>
  <c r="AB1747" i="1" s="1"/>
  <c r="AA1748" i="1"/>
  <c r="AB1748" i="1" s="1"/>
  <c r="AA1749" i="1"/>
  <c r="AB1749" i="1" s="1"/>
  <c r="AA1750" i="1"/>
  <c r="AB1750" i="1" s="1"/>
  <c r="AA1751" i="1"/>
  <c r="AB1751" i="1" s="1"/>
  <c r="AA1752" i="1"/>
  <c r="AB1752" i="1" s="1"/>
  <c r="AA1753" i="1"/>
  <c r="AB1753" i="1" s="1"/>
  <c r="AA1754" i="1"/>
  <c r="AB1754" i="1" s="1"/>
  <c r="AA1755" i="1"/>
  <c r="AB1755" i="1" s="1"/>
  <c r="AA1756" i="1"/>
  <c r="AB1756" i="1" s="1"/>
  <c r="AA1757" i="1"/>
  <c r="AB1757" i="1" s="1"/>
  <c r="AA1758" i="1"/>
  <c r="AB1758" i="1" s="1"/>
  <c r="AA1759" i="1"/>
  <c r="AB1759" i="1" s="1"/>
  <c r="AA1760" i="1"/>
  <c r="AB1760" i="1" s="1"/>
  <c r="AA1761" i="1"/>
  <c r="AB1761" i="1" s="1"/>
  <c r="AA1762" i="1"/>
  <c r="AB1762" i="1" s="1"/>
  <c r="AA1763" i="1"/>
  <c r="AB1763" i="1" s="1"/>
  <c r="AA1764" i="1"/>
  <c r="AB1764" i="1" s="1"/>
  <c r="AA1765" i="1"/>
  <c r="AB1765" i="1" s="1"/>
  <c r="AA1766" i="1"/>
  <c r="AB1766" i="1" s="1"/>
  <c r="AA1767" i="1"/>
  <c r="AB1767" i="1" s="1"/>
  <c r="AA1768" i="1"/>
  <c r="AB1768" i="1" s="1"/>
  <c r="AA1769" i="1"/>
  <c r="AB1769" i="1" s="1"/>
  <c r="AA1770" i="1"/>
  <c r="AB1770" i="1" s="1"/>
  <c r="AA1771" i="1"/>
  <c r="AB1771" i="1" s="1"/>
  <c r="AA1772" i="1"/>
  <c r="AB1772" i="1" s="1"/>
  <c r="AA1773" i="1"/>
  <c r="AB1773" i="1" s="1"/>
  <c r="AA1774" i="1"/>
  <c r="AB1774" i="1" s="1"/>
  <c r="AA1775" i="1"/>
  <c r="AB1775" i="1" s="1"/>
  <c r="AA1776" i="1"/>
  <c r="AB1776" i="1" s="1"/>
  <c r="AA1777" i="1"/>
  <c r="AB1777" i="1" s="1"/>
  <c r="AA1778" i="1"/>
  <c r="AB1778" i="1" s="1"/>
  <c r="AA1779" i="1"/>
  <c r="AB1779" i="1" s="1"/>
  <c r="AA1780" i="1"/>
  <c r="AB1780" i="1" s="1"/>
  <c r="AA1781" i="1"/>
  <c r="AB1781" i="1" s="1"/>
  <c r="AA1782" i="1"/>
  <c r="AB1782" i="1" s="1"/>
  <c r="AA1783" i="1"/>
  <c r="AB1783" i="1" s="1"/>
  <c r="AA1784" i="1"/>
  <c r="AB1784" i="1" s="1"/>
  <c r="AA1785" i="1"/>
  <c r="AB1785" i="1" s="1"/>
  <c r="AA1786" i="1"/>
  <c r="AB1786" i="1" s="1"/>
  <c r="AA1787" i="1"/>
  <c r="AB1787" i="1" s="1"/>
  <c r="AA1788" i="1"/>
  <c r="AB1788" i="1" s="1"/>
  <c r="AA1789" i="1"/>
  <c r="AB1789" i="1" s="1"/>
  <c r="AA1790" i="1"/>
  <c r="AB1790" i="1" s="1"/>
  <c r="AA1791" i="1"/>
  <c r="AB1791" i="1" s="1"/>
  <c r="AA1792" i="1"/>
  <c r="AB1792" i="1" s="1"/>
  <c r="AA1793" i="1"/>
  <c r="AB1793" i="1" s="1"/>
  <c r="AA1794" i="1"/>
  <c r="AB1794" i="1" s="1"/>
  <c r="AA1795" i="1"/>
  <c r="AB1795" i="1" s="1"/>
  <c r="AA1796" i="1"/>
  <c r="AB1796" i="1" s="1"/>
  <c r="AA1797" i="1"/>
  <c r="AB1797" i="1" s="1"/>
  <c r="AA1798" i="1"/>
  <c r="AB1798" i="1" s="1"/>
  <c r="AA1799" i="1"/>
  <c r="AB1799" i="1" s="1"/>
  <c r="AA1800" i="1"/>
  <c r="AB1800" i="1" s="1"/>
  <c r="AA1801" i="1"/>
  <c r="AB1801" i="1" s="1"/>
  <c r="AA1802" i="1"/>
  <c r="AB1802" i="1" s="1"/>
  <c r="AA1803" i="1"/>
  <c r="AB1803" i="1" s="1"/>
  <c r="AA1804" i="1"/>
  <c r="AB1804" i="1" s="1"/>
  <c r="AA1805" i="1"/>
  <c r="AB1805" i="1" s="1"/>
  <c r="AA1806" i="1"/>
  <c r="AB1806" i="1" s="1"/>
  <c r="AA1807" i="1"/>
  <c r="AB1807" i="1" s="1"/>
  <c r="AA1808" i="1"/>
  <c r="AB1808" i="1" s="1"/>
  <c r="AA1809" i="1"/>
  <c r="AB1809" i="1" s="1"/>
  <c r="AA1810" i="1"/>
  <c r="AB1810" i="1" s="1"/>
  <c r="AA1811" i="1"/>
  <c r="AB1811" i="1" s="1"/>
  <c r="AA1812" i="1"/>
  <c r="AB1812" i="1" s="1"/>
  <c r="AA1813" i="1"/>
  <c r="AB1813" i="1" s="1"/>
  <c r="AA1814" i="1"/>
  <c r="AB1814" i="1" s="1"/>
  <c r="AA1815" i="1"/>
  <c r="AB1815" i="1" s="1"/>
  <c r="AA1816" i="1"/>
  <c r="AB1816" i="1" s="1"/>
  <c r="AA1817" i="1"/>
  <c r="AB1817" i="1" s="1"/>
  <c r="AA1818" i="1"/>
  <c r="AB1818" i="1" s="1"/>
  <c r="AA1819" i="1"/>
  <c r="AB1819" i="1" s="1"/>
  <c r="AA1820" i="1"/>
  <c r="AB1820" i="1" s="1"/>
  <c r="AA1821" i="1"/>
  <c r="AB1821" i="1" s="1"/>
  <c r="AA1822" i="1"/>
  <c r="AB1822" i="1" s="1"/>
  <c r="AA1823" i="1"/>
  <c r="AB1823" i="1" s="1"/>
  <c r="AA1824" i="1"/>
  <c r="AB1824" i="1" s="1"/>
  <c r="AA1825" i="1"/>
  <c r="AB1825" i="1" s="1"/>
  <c r="AA1826" i="1"/>
  <c r="AB1826" i="1" s="1"/>
  <c r="AA1827" i="1"/>
  <c r="AB1827" i="1" s="1"/>
  <c r="AA1828" i="1"/>
  <c r="AB1828" i="1" s="1"/>
  <c r="AA1829" i="1"/>
  <c r="AB1829" i="1" s="1"/>
  <c r="AA1830" i="1"/>
  <c r="AB1830" i="1" s="1"/>
  <c r="AA1831" i="1"/>
  <c r="AB1831" i="1" s="1"/>
  <c r="AA1832" i="1"/>
  <c r="AB1832" i="1" s="1"/>
  <c r="AA1833" i="1"/>
  <c r="AB1833" i="1" s="1"/>
  <c r="AA1834" i="1"/>
  <c r="AB1834" i="1" s="1"/>
  <c r="AA1835" i="1"/>
  <c r="AB1835" i="1" s="1"/>
  <c r="AA1836" i="1"/>
  <c r="AB1836" i="1" s="1"/>
  <c r="AA1837" i="1"/>
  <c r="AB1837" i="1" s="1"/>
  <c r="AA1838" i="1"/>
  <c r="AB1838" i="1" s="1"/>
  <c r="AA1839" i="1"/>
  <c r="AB1839" i="1" s="1"/>
  <c r="AA1840" i="1"/>
  <c r="AB1840" i="1" s="1"/>
  <c r="AA1841" i="1"/>
  <c r="AB1841" i="1" s="1"/>
  <c r="AA1842" i="1"/>
  <c r="AB1842" i="1" s="1"/>
  <c r="AA1843" i="1"/>
  <c r="AB1843" i="1" s="1"/>
  <c r="AA1844" i="1"/>
  <c r="AB1844" i="1" s="1"/>
  <c r="AA1845" i="1"/>
  <c r="AB1845" i="1" s="1"/>
  <c r="AA1846" i="1"/>
  <c r="AB1846" i="1" s="1"/>
  <c r="AA1847" i="1"/>
  <c r="AB1847" i="1" s="1"/>
  <c r="AA1848" i="1"/>
  <c r="AB1848" i="1" s="1"/>
  <c r="AA1849" i="1"/>
  <c r="AB1849" i="1" s="1"/>
  <c r="AA1850" i="1"/>
  <c r="AB1850" i="1" s="1"/>
  <c r="AA1851" i="1"/>
  <c r="AB1851" i="1" s="1"/>
  <c r="AA1852" i="1"/>
  <c r="AB1852" i="1" s="1"/>
  <c r="AA1853" i="1"/>
  <c r="AB1853" i="1" s="1"/>
  <c r="AA1854" i="1"/>
  <c r="AB1854" i="1" s="1"/>
  <c r="AA1855" i="1"/>
  <c r="AB1855" i="1" s="1"/>
  <c r="AA1856" i="1"/>
  <c r="AB1856" i="1" s="1"/>
  <c r="AA1857" i="1"/>
  <c r="AB1857" i="1" s="1"/>
  <c r="AA1858" i="1"/>
  <c r="AB1858" i="1" s="1"/>
  <c r="AA1859" i="1"/>
  <c r="AB1859" i="1" s="1"/>
  <c r="AA1860" i="1"/>
  <c r="AB1860" i="1" s="1"/>
  <c r="AA1861" i="1"/>
  <c r="AB1861" i="1" s="1"/>
  <c r="AA1862" i="1"/>
  <c r="AB1862" i="1" s="1"/>
  <c r="AA1863" i="1"/>
  <c r="AB1863" i="1" s="1"/>
  <c r="AA1864" i="1"/>
  <c r="AB1864" i="1" s="1"/>
  <c r="AA1865" i="1"/>
  <c r="AB1865" i="1" s="1"/>
  <c r="AA1866" i="1"/>
  <c r="AB1866" i="1" s="1"/>
  <c r="AA1867" i="1"/>
  <c r="AB1867" i="1" s="1"/>
  <c r="AA1868" i="1"/>
  <c r="AB1868" i="1" s="1"/>
  <c r="AA1869" i="1"/>
  <c r="AB1869" i="1" s="1"/>
  <c r="AA1870" i="1"/>
  <c r="AB1870" i="1" s="1"/>
  <c r="AA1871" i="1"/>
  <c r="AB1871" i="1" s="1"/>
  <c r="AA1872" i="1"/>
  <c r="AB1872" i="1" s="1"/>
  <c r="AA1873" i="1"/>
  <c r="AB1873" i="1" s="1"/>
  <c r="AA1874" i="1"/>
  <c r="AB1874" i="1" s="1"/>
  <c r="AA1875" i="1"/>
  <c r="AB1875" i="1" s="1"/>
  <c r="AA1876" i="1"/>
  <c r="AB1876" i="1" s="1"/>
  <c r="AA1877" i="1"/>
  <c r="AB1877" i="1" s="1"/>
  <c r="AA1878" i="1"/>
  <c r="AB1878" i="1" s="1"/>
  <c r="AA1879" i="1"/>
  <c r="AB1879" i="1" s="1"/>
  <c r="AA1880" i="1"/>
  <c r="AB1880" i="1" s="1"/>
  <c r="AA1881" i="1"/>
  <c r="AB1881" i="1" s="1"/>
  <c r="AA1882" i="1"/>
  <c r="AB1882" i="1" s="1"/>
  <c r="AA1883" i="1"/>
  <c r="AB1883" i="1" s="1"/>
  <c r="AA1884" i="1"/>
  <c r="AB1884" i="1" s="1"/>
  <c r="AA1885" i="1"/>
  <c r="AB1885" i="1" s="1"/>
  <c r="AA1886" i="1"/>
  <c r="AB1886" i="1" s="1"/>
  <c r="AA1887" i="1"/>
  <c r="AB1887" i="1" s="1"/>
  <c r="AA1888" i="1"/>
  <c r="AB1888" i="1" s="1"/>
  <c r="AA1889" i="1"/>
  <c r="AB1889" i="1" s="1"/>
  <c r="AA1890" i="1"/>
  <c r="AB1890" i="1" s="1"/>
  <c r="AA1891" i="1"/>
  <c r="AB1891" i="1" s="1"/>
  <c r="AA1892" i="1"/>
  <c r="AB1892" i="1" s="1"/>
  <c r="AA1893" i="1"/>
  <c r="AB1893" i="1" s="1"/>
  <c r="AA1894" i="1"/>
  <c r="AB1894" i="1" s="1"/>
  <c r="AA1895" i="1"/>
  <c r="AB1895" i="1" s="1"/>
  <c r="AA1896" i="1"/>
  <c r="AB1896" i="1" s="1"/>
  <c r="AA1897" i="1"/>
  <c r="AB1897" i="1" s="1"/>
  <c r="AA1898" i="1"/>
  <c r="AB1898" i="1" s="1"/>
  <c r="AA1899" i="1"/>
  <c r="AB1899" i="1" s="1"/>
  <c r="AA1900" i="1"/>
  <c r="AB1900" i="1" s="1"/>
  <c r="AA1901" i="1"/>
  <c r="AB1901" i="1" s="1"/>
  <c r="AA1902" i="1"/>
  <c r="AB1902" i="1" s="1"/>
  <c r="AA1903" i="1"/>
  <c r="AB1903" i="1" s="1"/>
  <c r="AA1904" i="1"/>
  <c r="AB1904" i="1" s="1"/>
  <c r="AA1905" i="1"/>
  <c r="AB1905" i="1" s="1"/>
  <c r="AA1906" i="1"/>
  <c r="AB1906" i="1" s="1"/>
  <c r="AA1907" i="1"/>
  <c r="AB1907" i="1" s="1"/>
  <c r="AA1908" i="1"/>
  <c r="AB1908" i="1" s="1"/>
  <c r="AA1909" i="1"/>
  <c r="AB1909" i="1" s="1"/>
  <c r="AA1910" i="1"/>
  <c r="AB1910" i="1" s="1"/>
  <c r="AA1911" i="1"/>
  <c r="AB1911" i="1" s="1"/>
  <c r="AA1912" i="1"/>
  <c r="AB1912" i="1" s="1"/>
  <c r="AA1913" i="1"/>
  <c r="AB1913" i="1" s="1"/>
  <c r="AA1914" i="1"/>
  <c r="AB1914" i="1" s="1"/>
  <c r="AA1915" i="1"/>
  <c r="AB1915" i="1" s="1"/>
  <c r="AA1916" i="1"/>
  <c r="AB1916" i="1" s="1"/>
  <c r="AA1917" i="1"/>
  <c r="AB1917" i="1" s="1"/>
  <c r="AA1918" i="1"/>
  <c r="AB1918" i="1" s="1"/>
  <c r="AA1919" i="1"/>
  <c r="AB1919" i="1" s="1"/>
  <c r="AA1920" i="1"/>
  <c r="AB1920" i="1" s="1"/>
  <c r="AA1921" i="1"/>
  <c r="AB1921" i="1" s="1"/>
  <c r="AA1922" i="1"/>
  <c r="AB1922" i="1" s="1"/>
  <c r="AA1923" i="1"/>
  <c r="AB1923" i="1" s="1"/>
  <c r="AA1924" i="1"/>
  <c r="AB1924" i="1" s="1"/>
  <c r="AA1925" i="1"/>
  <c r="AB1925" i="1" s="1"/>
  <c r="AA1926" i="1"/>
  <c r="AB1926" i="1" s="1"/>
  <c r="AA1927" i="1"/>
  <c r="AB1927" i="1" s="1"/>
  <c r="AA1928" i="1"/>
  <c r="AB1928" i="1" s="1"/>
  <c r="AA1929" i="1"/>
  <c r="AB1929" i="1" s="1"/>
  <c r="AA1930" i="1"/>
  <c r="AB1930" i="1" s="1"/>
  <c r="AA1931" i="1"/>
  <c r="AB1931" i="1" s="1"/>
  <c r="AA1932" i="1"/>
  <c r="AB1932" i="1" s="1"/>
  <c r="AA1933" i="1"/>
  <c r="AB1933" i="1" s="1"/>
  <c r="AA1934" i="1"/>
  <c r="AB1934" i="1" s="1"/>
  <c r="AA1935" i="1"/>
  <c r="AB1935" i="1" s="1"/>
  <c r="AA1936" i="1"/>
  <c r="AB1936" i="1" s="1"/>
  <c r="AA1937" i="1"/>
  <c r="AB1937" i="1" s="1"/>
  <c r="AA1938" i="1"/>
  <c r="AB1938" i="1" s="1"/>
  <c r="AA1939" i="1"/>
  <c r="AB1939" i="1" s="1"/>
  <c r="AA1940" i="1"/>
  <c r="AB1940" i="1" s="1"/>
  <c r="AA1941" i="1"/>
  <c r="AB1941" i="1" s="1"/>
  <c r="AA1942" i="1"/>
  <c r="AB1942" i="1" s="1"/>
  <c r="AA1943" i="1"/>
  <c r="AB1943" i="1" s="1"/>
  <c r="AA1944" i="1"/>
  <c r="AB1944" i="1" s="1"/>
  <c r="AA1945" i="1"/>
  <c r="AB1945" i="1" s="1"/>
  <c r="AA1946" i="1"/>
  <c r="AB1946" i="1" s="1"/>
  <c r="AA1947" i="1"/>
  <c r="AB1947" i="1" s="1"/>
  <c r="AA1948" i="1"/>
  <c r="AB1948" i="1" s="1"/>
  <c r="AA1949" i="1"/>
  <c r="AB1949" i="1" s="1"/>
  <c r="AA1950" i="1"/>
  <c r="AB1950" i="1" s="1"/>
  <c r="AA1951" i="1"/>
  <c r="AB1951" i="1" s="1"/>
  <c r="AA1952" i="1"/>
  <c r="AB1952" i="1" s="1"/>
  <c r="AA1953" i="1"/>
  <c r="AB1953" i="1" s="1"/>
  <c r="AA1954" i="1"/>
  <c r="AB1954" i="1" s="1"/>
  <c r="AA1955" i="1"/>
  <c r="AB1955" i="1" s="1"/>
  <c r="AA1956" i="1"/>
  <c r="AB1956" i="1" s="1"/>
  <c r="AA1957" i="1"/>
  <c r="AB1957" i="1" s="1"/>
  <c r="AA1958" i="1"/>
  <c r="AB1958" i="1" s="1"/>
  <c r="AA1959" i="1"/>
  <c r="AB1959" i="1" s="1"/>
  <c r="AA1960" i="1"/>
  <c r="AB1960" i="1" s="1"/>
  <c r="AA1961" i="1"/>
  <c r="AB1961" i="1" s="1"/>
  <c r="AA1962" i="1"/>
  <c r="AB1962" i="1" s="1"/>
  <c r="AA1963" i="1"/>
  <c r="AB1963" i="1" s="1"/>
  <c r="AA1964" i="1"/>
  <c r="AB1964" i="1" s="1"/>
  <c r="AA1965" i="1"/>
  <c r="AB1965" i="1" s="1"/>
  <c r="AA1966" i="1"/>
  <c r="AB1966" i="1" s="1"/>
  <c r="AA1967" i="1"/>
  <c r="AB1967" i="1" s="1"/>
  <c r="AA1968" i="1"/>
  <c r="AB1968" i="1" s="1"/>
  <c r="AA1969" i="1"/>
  <c r="AB1969" i="1" s="1"/>
  <c r="AA1970" i="1"/>
  <c r="AB1970" i="1" s="1"/>
  <c r="AA1971" i="1"/>
  <c r="AB1971" i="1" s="1"/>
  <c r="AA1972" i="1"/>
  <c r="AB1972" i="1" s="1"/>
  <c r="AA1973" i="1"/>
  <c r="AB1973" i="1" s="1"/>
  <c r="AA1974" i="1"/>
  <c r="AB1974" i="1" s="1"/>
  <c r="AA1975" i="1"/>
  <c r="AB1975" i="1" s="1"/>
  <c r="AA1976" i="1"/>
  <c r="AB1976" i="1" s="1"/>
  <c r="AA1977" i="1"/>
  <c r="AB1977" i="1" s="1"/>
  <c r="AA1978" i="1"/>
  <c r="AB1978" i="1" s="1"/>
  <c r="AA1979" i="1"/>
  <c r="AB1979" i="1" s="1"/>
  <c r="AA1980" i="1"/>
  <c r="AB1980" i="1" s="1"/>
  <c r="AA1981" i="1"/>
  <c r="AB1981" i="1" s="1"/>
  <c r="AA1982" i="1"/>
  <c r="AB1982" i="1" s="1"/>
  <c r="AA1983" i="1"/>
  <c r="AB1983" i="1" s="1"/>
  <c r="AA1984" i="1"/>
  <c r="AB1984" i="1" s="1"/>
  <c r="AA1985" i="1"/>
  <c r="AB1985" i="1" s="1"/>
  <c r="AA1986" i="1"/>
  <c r="AB1986" i="1" s="1"/>
  <c r="AA1987" i="1"/>
  <c r="AB1987" i="1" s="1"/>
  <c r="AA1988" i="1"/>
  <c r="AB1988" i="1" s="1"/>
  <c r="AA1989" i="1"/>
  <c r="AB1989" i="1" s="1"/>
  <c r="AA1990" i="1"/>
  <c r="AB1990" i="1" s="1"/>
  <c r="AA1991" i="1"/>
  <c r="AB1991" i="1" s="1"/>
  <c r="AA1992" i="1"/>
  <c r="AB1992" i="1" s="1"/>
  <c r="AA1993" i="1"/>
  <c r="AB1993" i="1" s="1"/>
  <c r="AA1994" i="1"/>
  <c r="AB1994" i="1" s="1"/>
  <c r="AA1995" i="1"/>
  <c r="AB1995" i="1" s="1"/>
  <c r="AA1996" i="1"/>
  <c r="AB1996" i="1" s="1"/>
  <c r="AA1997" i="1"/>
  <c r="AB1997" i="1" s="1"/>
  <c r="AA1998" i="1"/>
  <c r="AB1998" i="1" s="1"/>
  <c r="AA1999" i="1"/>
  <c r="AB1999" i="1" s="1"/>
  <c r="AA2000" i="1"/>
  <c r="AB2000" i="1" s="1"/>
  <c r="AA2001" i="1"/>
  <c r="AB2001" i="1" s="1"/>
  <c r="AA2002" i="1"/>
  <c r="AB2002" i="1" s="1"/>
  <c r="AA2003" i="1"/>
  <c r="AB2003" i="1" s="1"/>
  <c r="AA2004" i="1"/>
  <c r="AB2004" i="1" s="1"/>
  <c r="AA2005" i="1"/>
  <c r="AB2005" i="1" s="1"/>
  <c r="AA2006" i="1"/>
  <c r="AB2006" i="1" s="1"/>
  <c r="AA2007" i="1"/>
  <c r="AB2007" i="1" s="1"/>
  <c r="AA2008" i="1"/>
  <c r="AB2008" i="1" s="1"/>
  <c r="AA2009" i="1"/>
  <c r="AB2009" i="1" s="1"/>
  <c r="AA2010" i="1"/>
  <c r="AB2010" i="1" s="1"/>
  <c r="AA2011" i="1"/>
  <c r="AB2011" i="1" s="1"/>
  <c r="AA2012" i="1"/>
  <c r="AB2012" i="1" s="1"/>
  <c r="AA2013" i="1"/>
  <c r="AB2013" i="1" s="1"/>
  <c r="AA2014" i="1"/>
  <c r="AB2014" i="1" s="1"/>
  <c r="AA2015" i="1"/>
  <c r="AB2015" i="1" s="1"/>
  <c r="AA2016" i="1"/>
  <c r="AB2016" i="1" s="1"/>
  <c r="AA2017" i="1"/>
  <c r="AB2017" i="1" s="1"/>
  <c r="AA2018" i="1"/>
  <c r="AB2018" i="1" s="1"/>
  <c r="AA2019" i="1"/>
  <c r="AB2019" i="1" s="1"/>
  <c r="AA2020" i="1"/>
  <c r="AB2020" i="1" s="1"/>
  <c r="AA2021" i="1"/>
  <c r="AB2021" i="1" s="1"/>
  <c r="AA2022" i="1"/>
  <c r="AB2022" i="1" s="1"/>
  <c r="AA2023" i="1"/>
  <c r="AB2023" i="1" s="1"/>
  <c r="AA2024" i="1"/>
  <c r="AB2024" i="1" s="1"/>
  <c r="AA2025" i="1"/>
  <c r="AB2025" i="1" s="1"/>
  <c r="AA2026" i="1"/>
  <c r="AB2026" i="1" s="1"/>
  <c r="AA2027" i="1"/>
  <c r="AB2027" i="1" s="1"/>
  <c r="AA2028" i="1"/>
  <c r="AB2028" i="1" s="1"/>
  <c r="AA2029" i="1"/>
  <c r="AB2029" i="1" s="1"/>
  <c r="AA2030" i="1"/>
  <c r="AB2030" i="1" s="1"/>
  <c r="AA2031" i="1"/>
  <c r="AB2031" i="1" s="1"/>
  <c r="AA2032" i="1"/>
  <c r="AB2032" i="1" s="1"/>
  <c r="AA2033" i="1"/>
  <c r="AB2033" i="1" s="1"/>
  <c r="AA2034" i="1"/>
  <c r="AB2034" i="1" s="1"/>
  <c r="AA2035" i="1"/>
  <c r="AB2035" i="1" s="1"/>
  <c r="AA2036" i="1"/>
  <c r="AB2036" i="1" s="1"/>
  <c r="AA2037" i="1"/>
  <c r="AB2037" i="1" s="1"/>
  <c r="AA2038" i="1"/>
  <c r="AB2038" i="1" s="1"/>
  <c r="AA2039" i="1"/>
  <c r="AB2039" i="1" s="1"/>
  <c r="AA2040" i="1"/>
  <c r="AB2040" i="1" s="1"/>
  <c r="AA2041" i="1"/>
  <c r="AB2041" i="1" s="1"/>
  <c r="AA2042" i="1"/>
  <c r="AB2042" i="1" s="1"/>
  <c r="AA2043" i="1"/>
  <c r="AB2043" i="1" s="1"/>
  <c r="AA2044" i="1"/>
  <c r="AB2044" i="1" s="1"/>
  <c r="AA2045" i="1"/>
  <c r="AB2045" i="1" s="1"/>
  <c r="AA2046" i="1"/>
  <c r="AB2046" i="1" s="1"/>
  <c r="AA2047" i="1"/>
  <c r="AB2047" i="1" s="1"/>
  <c r="AA2048" i="1"/>
  <c r="AB2048" i="1" s="1"/>
  <c r="AA2049" i="1"/>
  <c r="AB2049" i="1" s="1"/>
  <c r="AA2050" i="1"/>
  <c r="AB2050" i="1" s="1"/>
  <c r="AA2051" i="1"/>
  <c r="AB2051" i="1" s="1"/>
  <c r="AA2052" i="1"/>
  <c r="AB2052" i="1" s="1"/>
  <c r="AA2053" i="1"/>
  <c r="AB2053" i="1" s="1"/>
  <c r="AA2054" i="1"/>
  <c r="AB2054" i="1" s="1"/>
  <c r="AA2055" i="1"/>
  <c r="AB2055" i="1" s="1"/>
  <c r="AA2056" i="1"/>
  <c r="AB2056" i="1" s="1"/>
  <c r="AA2057" i="1"/>
  <c r="AB2057" i="1" s="1"/>
  <c r="AA2058" i="1"/>
  <c r="AB2058" i="1" s="1"/>
  <c r="AA2059" i="1"/>
  <c r="AB2059" i="1" s="1"/>
  <c r="AA2060" i="1"/>
  <c r="AB2060" i="1" s="1"/>
  <c r="AA2061" i="1"/>
  <c r="AB2061" i="1" s="1"/>
  <c r="AA2062" i="1"/>
  <c r="AB2062" i="1" s="1"/>
  <c r="AA2063" i="1"/>
  <c r="AB2063" i="1" s="1"/>
  <c r="AA2064" i="1"/>
  <c r="AB2064" i="1" s="1"/>
  <c r="AA2065" i="1"/>
  <c r="AB2065" i="1" s="1"/>
  <c r="AA2066" i="1"/>
  <c r="AB2066" i="1" s="1"/>
  <c r="AA2067" i="1"/>
  <c r="AB2067" i="1" s="1"/>
  <c r="AA2068" i="1"/>
  <c r="AB2068" i="1" s="1"/>
  <c r="AA2069" i="1"/>
  <c r="AB2069" i="1" s="1"/>
  <c r="AA2070" i="1"/>
  <c r="AB2070" i="1" s="1"/>
  <c r="AA2071" i="1"/>
  <c r="AB2071" i="1" s="1"/>
  <c r="AA2072" i="1"/>
  <c r="AB2072" i="1" s="1"/>
  <c r="AA2073" i="1"/>
  <c r="AB2073" i="1" s="1"/>
  <c r="AA2074" i="1"/>
  <c r="AB2074" i="1" s="1"/>
  <c r="AA2075" i="1"/>
  <c r="AB2075" i="1" s="1"/>
  <c r="AA2076" i="1"/>
  <c r="AB2076" i="1" s="1"/>
  <c r="AA2077" i="1"/>
  <c r="AB2077" i="1" s="1"/>
  <c r="AA2078" i="1"/>
  <c r="AB2078" i="1" s="1"/>
  <c r="AA2079" i="1"/>
  <c r="AB2079" i="1" s="1"/>
  <c r="AA2080" i="1"/>
  <c r="AB2080" i="1" s="1"/>
  <c r="AA2081" i="1"/>
  <c r="AB2081" i="1" s="1"/>
  <c r="AA2082" i="1"/>
  <c r="AB2082" i="1" s="1"/>
  <c r="AA2083" i="1"/>
  <c r="AB2083" i="1" s="1"/>
  <c r="AA2084" i="1"/>
  <c r="AB2084" i="1" s="1"/>
  <c r="AA2085" i="1"/>
  <c r="AB2085" i="1" s="1"/>
  <c r="AA2086" i="1"/>
  <c r="AB2086" i="1" s="1"/>
  <c r="AA2087" i="1"/>
  <c r="AB2087" i="1" s="1"/>
  <c r="AA2088" i="1"/>
  <c r="AB2088" i="1" s="1"/>
  <c r="AA2089" i="1"/>
  <c r="AB2089" i="1" s="1"/>
  <c r="AA2090" i="1"/>
  <c r="AB2090" i="1" s="1"/>
  <c r="AA2091" i="1"/>
  <c r="AB2091" i="1" s="1"/>
  <c r="AA2092" i="1"/>
  <c r="AB2092" i="1" s="1"/>
  <c r="AA2093" i="1"/>
  <c r="AB2093" i="1" s="1"/>
  <c r="AA2094" i="1"/>
  <c r="AB2094" i="1" s="1"/>
  <c r="AA2095" i="1"/>
  <c r="AB2095" i="1" s="1"/>
  <c r="AA2096" i="1"/>
  <c r="AB2096" i="1" s="1"/>
  <c r="AA2097" i="1"/>
  <c r="AB2097" i="1" s="1"/>
  <c r="AA2098" i="1"/>
  <c r="AB2098" i="1" s="1"/>
  <c r="AA2099" i="1"/>
  <c r="AB2099" i="1" s="1"/>
  <c r="AA2100" i="1"/>
  <c r="AB2100" i="1" s="1"/>
  <c r="AA2101" i="1"/>
  <c r="AB2101" i="1" s="1"/>
  <c r="AA2102" i="1"/>
  <c r="AB2102" i="1" s="1"/>
  <c r="AA2103" i="1"/>
  <c r="AB2103" i="1" s="1"/>
  <c r="AA2104" i="1"/>
  <c r="AB2104" i="1" s="1"/>
  <c r="AA2105" i="1"/>
  <c r="AB2105" i="1" s="1"/>
  <c r="AA2106" i="1"/>
  <c r="AB2106" i="1" s="1"/>
  <c r="AA2107" i="1"/>
  <c r="AB2107" i="1" s="1"/>
  <c r="AA2108" i="1"/>
  <c r="AB2108" i="1" s="1"/>
  <c r="AA2109" i="1"/>
  <c r="AB2109" i="1" s="1"/>
  <c r="AA2110" i="1"/>
  <c r="AB2110" i="1" s="1"/>
  <c r="AA2111" i="1"/>
  <c r="AB2111" i="1" s="1"/>
  <c r="AA2112" i="1"/>
  <c r="AB2112" i="1" s="1"/>
  <c r="AA2" i="1"/>
  <c r="AB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" i="1"/>
  <c r="G2115" i="1"/>
</calcChain>
</file>

<file path=xl/connections.xml><?xml version="1.0" encoding="utf-8"?>
<connections xmlns="http://schemas.openxmlformats.org/spreadsheetml/2006/main">
  <connection id="1" name="obesity" type="6" refreshedVersion="6" background="1" saveData="1">
    <textPr codePage="65001" sourceFile="C:\Users\Maria Constanza\Desktop\Archivo\obesity.csv" decimal="," thousands=".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<sst xmlns="http://schemas.openxmlformats.org/spreadsheetml/2006/main" count="135" uniqueCount="87">
  <si>
    <t>Gender</t>
  </si>
  <si>
    <t>family_history_with_overweight</t>
  </si>
  <si>
    <t>FAVC</t>
  </si>
  <si>
    <t>CAEC</t>
  </si>
  <si>
    <t>SMOKE</t>
  </si>
  <si>
    <t>SCC</t>
  </si>
  <si>
    <t>CALC</t>
  </si>
  <si>
    <t>Automobile</t>
  </si>
  <si>
    <t>Bike</t>
  </si>
  <si>
    <t>Motorbike</t>
  </si>
  <si>
    <t>Public_Transportation</t>
  </si>
  <si>
    <t>Walking</t>
  </si>
  <si>
    <t>NObeyesdad</t>
  </si>
  <si>
    <t>Edad</t>
  </si>
  <si>
    <t>TUE Final</t>
  </si>
  <si>
    <t>FAF Final</t>
  </si>
  <si>
    <t>Sexo</t>
  </si>
  <si>
    <t>Eda_2</t>
  </si>
  <si>
    <t>FAF_1</t>
  </si>
  <si>
    <t>TUE_1</t>
  </si>
  <si>
    <t>NCP_1</t>
  </si>
  <si>
    <t>CH2O_1</t>
  </si>
  <si>
    <t>NCP Final</t>
  </si>
  <si>
    <t>CH2O Final</t>
  </si>
  <si>
    <t>Age_1</t>
  </si>
  <si>
    <t>Herencia</t>
  </si>
  <si>
    <t>Alimentos</t>
  </si>
  <si>
    <t>FCVC_1</t>
  </si>
  <si>
    <t>FCVC Final</t>
  </si>
  <si>
    <t>Verduras</t>
  </si>
  <si>
    <t>Comidas</t>
  </si>
  <si>
    <t>Colaciones</t>
  </si>
  <si>
    <t>Fumar</t>
  </si>
  <si>
    <t>Agua</t>
  </si>
  <si>
    <t>Calorias</t>
  </si>
  <si>
    <t>Deporte</t>
  </si>
  <si>
    <t>Dispositivos</t>
  </si>
  <si>
    <t>Alcohol</t>
  </si>
  <si>
    <t>Automovil</t>
  </si>
  <si>
    <t>Bicicleta</t>
  </si>
  <si>
    <t>Moto</t>
  </si>
  <si>
    <t>Transporte Publico</t>
  </si>
  <si>
    <t>Caminar</t>
  </si>
  <si>
    <t>Obesidad</t>
  </si>
  <si>
    <t>Edad_1</t>
  </si>
  <si>
    <t>Cuenta de Herencia</t>
  </si>
  <si>
    <t>Etiquetas de fila</t>
  </si>
  <si>
    <t>Pariente gordo</t>
  </si>
  <si>
    <t>Pariente normal</t>
  </si>
  <si>
    <t>Total general</t>
  </si>
  <si>
    <t>Cuenta de Alimentos</t>
  </si>
  <si>
    <t>Hipercaloricos</t>
  </si>
  <si>
    <t>Saludables</t>
  </si>
  <si>
    <t>Cuenta de Verduras</t>
  </si>
  <si>
    <t>Suele comer</t>
  </si>
  <si>
    <t>Cuenta de Comidas</t>
  </si>
  <si>
    <t>Mas de 3</t>
  </si>
  <si>
    <t>Cuenta de Colaciones</t>
  </si>
  <si>
    <t>A veces</t>
  </si>
  <si>
    <t>Nunca</t>
  </si>
  <si>
    <t>Siempre</t>
  </si>
  <si>
    <t>Usualmente</t>
  </si>
  <si>
    <t>Cuenta de Fumar</t>
  </si>
  <si>
    <t>Fuma</t>
  </si>
  <si>
    <t>No fuma</t>
  </si>
  <si>
    <t>Cuenta de Agua</t>
  </si>
  <si>
    <t>Cuenta de Calorias</t>
  </si>
  <si>
    <t>Controla</t>
  </si>
  <si>
    <t>No controla</t>
  </si>
  <si>
    <t>Cuenta de Dispositivos</t>
  </si>
  <si>
    <t>Cuenta de Alcohol</t>
  </si>
  <si>
    <t>Cuenta de Deporte</t>
  </si>
  <si>
    <t>Cuenta de Automovil</t>
  </si>
  <si>
    <t>No usa</t>
  </si>
  <si>
    <t>Usa auto</t>
  </si>
  <si>
    <t>Cuenta de Bicicleta</t>
  </si>
  <si>
    <t>Usa Bici</t>
  </si>
  <si>
    <t>Cuenta de Moto</t>
  </si>
  <si>
    <t>Usa Moto</t>
  </si>
  <si>
    <t>Cuenta de Transporte Publico</t>
  </si>
  <si>
    <t>Usa Transporte</t>
  </si>
  <si>
    <t>Cuenta de Caminar</t>
  </si>
  <si>
    <t>Camina</t>
  </si>
  <si>
    <t>No camina</t>
  </si>
  <si>
    <t>Cuenta de Obesidad</t>
  </si>
  <si>
    <t>Es Obeso</t>
  </si>
  <si>
    <t>No es obeso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</si>
</sst>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[Obesidad Importada1.xlsx]Tablas Dinamicas!TablaDinámica1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/>
              <a:t>Herencia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Dinamicas'!$A$4:$A$6</c:f>
              <c:strCache>
                <c:ptCount val="2"/>
                <c:pt idx="0">
                  <c:v>Pariente gordo</c:v>
                </c:pt>
                <c:pt idx="1">
                  <c:v>Pariente normal</c:v>
                </c:pt>
              </c:strCache>
            </c:strRef>
          </c:cat>
          <c:val>
            <c:numRef>
              <c:f>'Tablas Dinamicas'!$B$4:$B$6</c:f>
              <c:numCache>
                <c:formatCode>General</c:formatCode>
                <c:ptCount val="2"/>
                <c:pt idx="0">
                  <c:v>1726</c:v>
                </c:pt>
                <c:pt idx="1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D-4217-BD4D-B6727018F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071216"/>
        <c:axId val="422066640"/>
      </c:barChart>
      <c:catAx>
        <c:axId val="4220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2066640"/>
        <c:crosses val="autoZero"/>
        <c:auto val="1"/>
        <c:lblAlgn val="ctr"/>
        <c:lblOffset val="100"/>
        <c:noMultiLvlLbl val="0"/>
      </c:catAx>
      <c:valAx>
        <c:axId val="42206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207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[Obesidad Importada1.xlsx]Tablas Dinamicas!TablaDinámica2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/>
              <a:t>Alimentos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Dinamicas'!$D$4:$D$6</c:f>
              <c:strCache>
                <c:ptCount val="2"/>
                <c:pt idx="0">
                  <c:v>Hipercaloricos</c:v>
                </c:pt>
                <c:pt idx="1">
                  <c:v>Saludables</c:v>
                </c:pt>
              </c:strCache>
            </c:strRef>
          </c:cat>
          <c:val>
            <c:numRef>
              <c:f>'Tablas Dinamicas'!$E$4:$E$6</c:f>
              <c:numCache>
                <c:formatCode>General</c:formatCode>
                <c:ptCount val="2"/>
                <c:pt idx="0">
                  <c:v>1866</c:v>
                </c:pt>
                <c:pt idx="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B-4101-9323-E23F0FF434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9274832"/>
        <c:axId val="479277328"/>
      </c:barChart>
      <c:catAx>
        <c:axId val="47927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9277328"/>
        <c:crosses val="autoZero"/>
        <c:auto val="1"/>
        <c:lblAlgn val="ctr"/>
        <c:lblOffset val="100"/>
        <c:noMultiLvlLbl val="0"/>
      </c:catAx>
      <c:valAx>
        <c:axId val="479277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927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[Obesidad Importada1.xlsx]Tablas Dinamicas!TablaDinámica4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/>
              <a:t>Comidas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Dinamicas'!$A$10:$A$12</c:f>
              <c:strCache>
                <c:ptCount val="2"/>
                <c:pt idx="0">
                  <c:v>3</c:v>
                </c:pt>
                <c:pt idx="1">
                  <c:v>Mas de 3</c:v>
                </c:pt>
              </c:strCache>
            </c:strRef>
          </c:cat>
          <c:val>
            <c:numRef>
              <c:f>'Tablas Dinamicas'!$B$10:$B$12</c:f>
              <c:numCache>
                <c:formatCode>General</c:formatCode>
                <c:ptCount val="2"/>
                <c:pt idx="0">
                  <c:v>199</c:v>
                </c:pt>
                <c:pt idx="1">
                  <c:v>1912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9-4550-8CEB-277B96E8BD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2246576"/>
        <c:axId val="472246992"/>
      </c:barChart>
      <c:catAx>
        <c:axId val="47224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2246992"/>
        <c:crosses val="autoZero"/>
        <c:auto val="1"/>
        <c:lblAlgn val="ctr"/>
        <c:lblOffset val="100"/>
        <c:noMultiLvlLbl val="0"/>
      </c:catAx>
      <c:valAx>
        <c:axId val="472246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224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[Obesidad Importada1.xlsx]Tablas Dinamicas!TablaDinámica13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/>
              <a:t>Actividad</a:t>
            </a:r>
            <a:r>
              <a:rPr lang="es-CL" sz="1200" b="1" baseline="0"/>
              <a:t> Fisica</a:t>
            </a:r>
            <a:endParaRPr lang="es-CL" sz="1200" b="1"/>
          </a:p>
        </c:rich>
      </c:tx>
      <c:layout>
        <c:manualLayout>
          <c:xMode val="edge"/>
          <c:yMode val="edge"/>
          <c:x val="0.22597310291965714"/>
          <c:y val="7.7922131044163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chemeClr val="accent1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Dinamicas'!$E$24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F-46A4-B16C-4005F3D2A2BE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F-46A4-B16C-4005F3D2A2BE}"/>
              </c:ext>
            </c:extLst>
          </c:dPt>
          <c:dPt>
            <c:idx val="2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F-46A4-B16C-4005F3D2A2BE}"/>
              </c:ext>
            </c:extLst>
          </c:dPt>
          <c:dPt>
            <c:idx val="3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9F-46A4-B16C-4005F3D2A2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'Tablas Dinamicas'!$D$25:$D$29</c:f>
              <c:strCache>
                <c:ptCount val="4"/>
                <c:pt idx="0">
                  <c:v>Nunca</c:v>
                </c:pt>
                <c:pt idx="1">
                  <c:v>A veces</c:v>
                </c:pt>
                <c:pt idx="2">
                  <c:v>Usualmente</c:v>
                </c:pt>
                <c:pt idx="3">
                  <c:v>Siempre</c:v>
                </c:pt>
              </c:strCache>
            </c:strRef>
          </c:cat>
          <c:val>
            <c:numRef>
              <c:f>'Tablas Dinamicas'!$E$25:$E$29</c:f>
              <c:numCache>
                <c:formatCode>General</c:formatCode>
                <c:ptCount val="4"/>
                <c:pt idx="0">
                  <c:v>1020</c:v>
                </c:pt>
                <c:pt idx="1">
                  <c:v>231</c:v>
                </c:pt>
                <c:pt idx="2">
                  <c:v>255</c:v>
                </c:pt>
                <c:pt idx="3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9F-46A4-B16C-4005F3D2A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[Obesidad Importada1.xlsx]Tablas Dinamicas!TablaDinámica12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/>
              <a:t>Alcohol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Dinamicas'!$A$25:$A$29</c:f>
              <c:strCache>
                <c:ptCount val="4"/>
                <c:pt idx="0">
                  <c:v>Siempre</c:v>
                </c:pt>
                <c:pt idx="1">
                  <c:v>Usualmente</c:v>
                </c:pt>
                <c:pt idx="2">
                  <c:v>A veces</c:v>
                </c:pt>
                <c:pt idx="3">
                  <c:v>Nunca</c:v>
                </c:pt>
              </c:strCache>
            </c:strRef>
          </c:cat>
          <c:val>
            <c:numRef>
              <c:f>'Tablas Dinamicas'!$B$25:$B$29</c:f>
              <c:numCache>
                <c:formatCode>General</c:formatCode>
                <c:ptCount val="4"/>
                <c:pt idx="0">
                  <c:v>1</c:v>
                </c:pt>
                <c:pt idx="1">
                  <c:v>70</c:v>
                </c:pt>
                <c:pt idx="2">
                  <c:v>1401</c:v>
                </c:pt>
                <c:pt idx="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6-493D-841D-970FFF37F5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5887552"/>
        <c:axId val="475880064"/>
      </c:barChart>
      <c:catAx>
        <c:axId val="47588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5880064"/>
        <c:crosses val="autoZero"/>
        <c:auto val="1"/>
        <c:lblAlgn val="ctr"/>
        <c:lblOffset val="100"/>
        <c:noMultiLvlLbl val="0"/>
      </c:catAx>
      <c:valAx>
        <c:axId val="47588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588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[Obesidad Importada1.xlsx]Tablas Dinamicas!TablaDinámica5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/>
              <a:t>Colaciones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Dinamicas'!$D$10:$D$14</c:f>
              <c:strCache>
                <c:ptCount val="4"/>
                <c:pt idx="0">
                  <c:v>Siempre</c:v>
                </c:pt>
                <c:pt idx="1">
                  <c:v>Usualmente</c:v>
                </c:pt>
                <c:pt idx="2">
                  <c:v>A veces</c:v>
                </c:pt>
                <c:pt idx="3">
                  <c:v>Nunca</c:v>
                </c:pt>
              </c:strCache>
            </c:strRef>
          </c:cat>
          <c:val>
            <c:numRef>
              <c:f>'Tablas Dinamicas'!$E$10:$E$14</c:f>
              <c:numCache>
                <c:formatCode>General</c:formatCode>
                <c:ptCount val="4"/>
                <c:pt idx="0">
                  <c:v>53</c:v>
                </c:pt>
                <c:pt idx="1">
                  <c:v>242</c:v>
                </c:pt>
                <c:pt idx="2">
                  <c:v>1765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B-441C-8F64-8978E37156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5877568"/>
        <c:axId val="475888800"/>
      </c:barChart>
      <c:catAx>
        <c:axId val="47587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5888800"/>
        <c:crosses val="autoZero"/>
        <c:auto val="1"/>
        <c:lblAlgn val="ctr"/>
        <c:lblOffset val="100"/>
        <c:noMultiLvlLbl val="0"/>
      </c:catAx>
      <c:valAx>
        <c:axId val="475888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587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4</xdr:row>
      <xdr:rowOff>66677</xdr:rowOff>
    </xdr:from>
    <xdr:to>
      <xdr:col>3</xdr:col>
      <xdr:colOff>561975</xdr:colOff>
      <xdr:row>12</xdr:row>
      <xdr:rowOff>76201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38101</xdr:colOff>
      <xdr:row>4</xdr:row>
      <xdr:rowOff>76200</xdr:rowOff>
    </xdr:from>
    <xdr:to>
      <xdr:col>7</xdr:col>
      <xdr:colOff>304800</xdr:colOff>
      <xdr:row>12</xdr:row>
      <xdr:rowOff>47626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142876</xdr:colOff>
      <xdr:row>13</xdr:row>
      <xdr:rowOff>180976</xdr:rowOff>
    </xdr:from>
    <xdr:to>
      <xdr:col>3</xdr:col>
      <xdr:colOff>333375</xdr:colOff>
      <xdr:row>21</xdr:row>
      <xdr:rowOff>76200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13</xdr:row>
      <xdr:rowOff>85725</xdr:rowOff>
    </xdr:from>
    <xdr:to>
      <xdr:col>7</xdr:col>
      <xdr:colOff>247649</xdr:colOff>
      <xdr:row>23</xdr:row>
      <xdr:rowOff>95250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390525</xdr:colOff>
      <xdr:row>0</xdr:row>
      <xdr:rowOff>180975</xdr:rowOff>
    </xdr:from>
    <xdr:to>
      <xdr:col>15</xdr:col>
      <xdr:colOff>657225</xdr:colOff>
      <xdr:row>3</xdr:row>
      <xdr:rowOff>38100</xdr:rowOff>
    </xdr:to>
    <xdr:sp macro="" textlink="">
      <xdr:nvSpPr>
        <xdr:cNvPr id="11" name="CuadroTexto 10"/>
        <xdr:cNvSpPr txBox="1"/>
      </xdr:nvSpPr>
      <xdr:spPr>
        <a:xfrm>
          <a:off x="390525" y="180975"/>
          <a:ext cx="1169670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600" b="1"/>
            <a:t>RESULTADOS ENCUESTA</a:t>
          </a:r>
          <a:r>
            <a:rPr lang="es-CL" sz="1600" b="1" baseline="0"/>
            <a:t> DE OBESIDAD</a:t>
          </a:r>
          <a:endParaRPr lang="es-CL" sz="1600" b="1"/>
        </a:p>
      </xdr:txBody>
    </xdr:sp>
    <xdr:clientData/>
  </xdr:twoCellAnchor>
  <xdr:twoCellAnchor>
    <xdr:from>
      <xdr:col>7</xdr:col>
      <xdr:colOff>533401</xdr:colOff>
      <xdr:row>8</xdr:row>
      <xdr:rowOff>2</xdr:rowOff>
    </xdr:from>
    <xdr:to>
      <xdr:col>11</xdr:col>
      <xdr:colOff>476250</xdr:colOff>
      <xdr:row>14</xdr:row>
      <xdr:rowOff>171450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523875</xdr:colOff>
      <xdr:row>14</xdr:row>
      <xdr:rowOff>180976</xdr:rowOff>
    </xdr:from>
    <xdr:to>
      <xdr:col>11</xdr:col>
      <xdr:colOff>514350</xdr:colOff>
      <xdr:row>22</xdr:row>
      <xdr:rowOff>9525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114300</xdr:colOff>
      <xdr:row>6</xdr:row>
      <xdr:rowOff>95249</xdr:rowOff>
    </xdr:from>
    <xdr:to>
      <xdr:col>9</xdr:col>
      <xdr:colOff>238125</xdr:colOff>
      <xdr:row>7</xdr:row>
      <xdr:rowOff>161924</xdr:rowOff>
    </xdr:to>
    <xdr:sp macro="" textlink="">
      <xdr:nvSpPr>
        <xdr:cNvPr id="15" name="CuadroTexto 14"/>
        <xdr:cNvSpPr txBox="1"/>
      </xdr:nvSpPr>
      <xdr:spPr>
        <a:xfrm>
          <a:off x="6210300" y="1238249"/>
          <a:ext cx="885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200" b="1"/>
            <a:t>EN RIESGO</a:t>
          </a:r>
        </a:p>
      </xdr:txBody>
    </xdr:sp>
    <xdr:clientData/>
  </xdr:twoCellAnchor>
  <xdr:twoCellAnchor editAs="oneCell">
    <xdr:from>
      <xdr:col>12</xdr:col>
      <xdr:colOff>647700</xdr:colOff>
      <xdr:row>8</xdr:row>
      <xdr:rowOff>19050</xdr:rowOff>
    </xdr:from>
    <xdr:to>
      <xdr:col>15</xdr:col>
      <xdr:colOff>190500</xdr:colOff>
      <xdr:row>15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Eda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700" y="1543050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a Constanza" refreshedDate="45351.445950000001" createdVersion="6" refreshedVersion="6" minRefreshableVersion="3" recordCount="2111">
  <cacheSource type="worksheet">
    <worksheetSource ref="A1:AS2112" sheet="Datos"/>
  </cacheSource>
  <cacheFields count="45">
    <cacheField name="Gender" numFmtId="0">
      <sharedItems containsSemiMixedTypes="0" containsString="0" containsNumber="1" containsInteger="1" minValue="0" maxValue="1"/>
    </cacheField>
    <cacheField name="Sexo" numFmtId="0">
      <sharedItems/>
    </cacheField>
    <cacheField name="Age_1" numFmtId="0">
      <sharedItems containsSemiMixedTypes="0" containsString="0" containsNumber="1" containsInteger="1" minValue="14" maxValue="55137881"/>
    </cacheField>
    <cacheField name="Eda_2" numFmtId="0">
      <sharedItems containsSemiMixedTypes="0" containsString="0" containsNumber="1" containsInteger="1" minValue="0" maxValue="151"/>
    </cacheField>
    <cacheField name="Edad_1" numFmtId="0">
      <sharedItems containsSemiMixedTypes="0" containsString="0" containsNumber="1" containsInteger="1" minValue="4" maxValue="100"/>
    </cacheField>
    <cacheField name="Edad" numFmtId="0">
      <sharedItems count="4">
        <s v="1-25"/>
        <s v="25-50"/>
        <s v="50-75"/>
        <s v="75-100"/>
      </sharedItems>
    </cacheField>
    <cacheField name="family_history_with_overweight" numFmtId="0">
      <sharedItems containsSemiMixedTypes="0" containsString="0" containsNumber="1" containsInteger="1" minValue="0" maxValue="1"/>
    </cacheField>
    <cacheField name="Herencia" numFmtId="0">
      <sharedItems count="2">
        <s v="Pariente gordo"/>
        <s v="Pariente normal"/>
      </sharedItems>
    </cacheField>
    <cacheField name="FAVC" numFmtId="0">
      <sharedItems containsSemiMixedTypes="0" containsString="0" containsNumber="1" containsInteger="1" minValue="0" maxValue="1"/>
    </cacheField>
    <cacheField name="Alimentos" numFmtId="0">
      <sharedItems count="2">
        <s v="Saludables"/>
        <s v="Hipercaloricos"/>
      </sharedItems>
    </cacheField>
    <cacheField name="FCVC_1" numFmtId="0">
      <sharedItems containsSemiMixedTypes="0" containsString="0" containsNumber="1" containsInteger="1" minValue="1" maxValue="2998441"/>
    </cacheField>
    <cacheField name="FCVC Final" numFmtId="0">
      <sharedItems containsSemiMixedTypes="0" containsString="0" containsNumber="1" containsInteger="1" minValue="1" maxValue="1"/>
    </cacheField>
    <cacheField name="Verduras" numFmtId="0">
      <sharedItems count="1">
        <s v="Suele comer"/>
      </sharedItems>
    </cacheField>
    <cacheField name="NCP_1" numFmtId="0">
      <sharedItems containsSemiMixedTypes="0" containsString="0" containsNumber="1" containsInteger="1" minValue="1" maxValue="3999591"/>
    </cacheField>
    <cacheField name="NCP Final" numFmtId="0">
      <sharedItems containsSemiMixedTypes="0" containsString="0" containsNumber="1" containsInteger="1" minValue="1" maxValue="2"/>
    </cacheField>
    <cacheField name="Comidas" numFmtId="0">
      <sharedItems containsMixedTypes="1" containsNumber="1" containsInteger="1" minValue="3" maxValue="3" count="2">
        <s v="Mas de 3"/>
        <n v="3"/>
      </sharedItems>
    </cacheField>
    <cacheField name="CAEC" numFmtId="0">
      <sharedItems containsSemiMixedTypes="0" containsString="0" containsNumber="1" containsInteger="1" minValue="0" maxValue="3"/>
    </cacheField>
    <cacheField name="Colaciones" numFmtId="0">
      <sharedItems count="4">
        <s v="A veces"/>
        <s v="Usualmente"/>
        <s v="Siempre"/>
        <s v="Nunca"/>
      </sharedItems>
    </cacheField>
    <cacheField name="SMOKE" numFmtId="0">
      <sharedItems containsSemiMixedTypes="0" containsString="0" containsNumber="1" containsInteger="1" minValue="0" maxValue="1"/>
    </cacheField>
    <cacheField name="Fumar" numFmtId="0">
      <sharedItems count="2">
        <s v="No fuma"/>
        <s v="Fuma"/>
      </sharedItems>
    </cacheField>
    <cacheField name="CH2O_1" numFmtId="0">
      <sharedItems containsSemiMixedTypes="0" containsString="0" containsNumber="1" containsInteger="1" minValue="1" maxValue="2999495"/>
    </cacheField>
    <cacheField name="CH2O Final" numFmtId="0">
      <sharedItems containsSemiMixedTypes="0" containsString="0" containsNumber="1" containsInteger="1" minValue="1" maxValue="2"/>
    </cacheField>
    <cacheField name="Agua" numFmtId="0">
      <sharedItems count="2">
        <s v="Siempre"/>
        <s v="Usualmente"/>
      </sharedItems>
    </cacheField>
    <cacheField name="SCC" numFmtId="0">
      <sharedItems containsSemiMixedTypes="0" containsString="0" containsNumber="1" containsInteger="1" minValue="0" maxValue="1"/>
    </cacheField>
    <cacheField name="Calorias" numFmtId="0">
      <sharedItems count="2">
        <s v="No controla"/>
        <s v="Controla"/>
      </sharedItems>
    </cacheField>
    <cacheField name="FAF_1" numFmtId="0">
      <sharedItems containsSemiMixedTypes="0" containsString="0" containsNumber="1" minValue="0" maxValue="2999918"/>
    </cacheField>
    <cacheField name="FAF Final" numFmtId="0">
      <sharedItems containsSemiMixedTypes="0" containsString="0" containsNumber="1" containsInteger="1" minValue="0" maxValue="3"/>
    </cacheField>
    <cacheField name="Deporte" numFmtId="0">
      <sharedItems count="4">
        <s v="Nunca"/>
        <s v="Usualmente"/>
        <s v="A veces"/>
        <s v="Siempre"/>
      </sharedItems>
    </cacheField>
    <cacheField name="TUE_1" numFmtId="0">
      <sharedItems containsSemiMixedTypes="0" containsString="0" containsNumber="1" minValue="0" maxValue="1990617"/>
    </cacheField>
    <cacheField name="TUE Final" numFmtId="0">
      <sharedItems containsSemiMixedTypes="0" containsString="0" containsNumber="1" containsInteger="1" minValue="0" maxValue="2"/>
    </cacheField>
    <cacheField name="Dispositivos" numFmtId="0">
      <sharedItems count="3">
        <s v="Usualmente"/>
        <s v="Nunca"/>
        <s v="Siempre"/>
      </sharedItems>
    </cacheField>
    <cacheField name="CALC" numFmtId="0">
      <sharedItems containsSemiMixedTypes="0" containsString="0" containsNumber="1" containsInteger="1" minValue="0" maxValue="3"/>
    </cacheField>
    <cacheField name="Alcohol" numFmtId="0">
      <sharedItems count="4">
        <s v="Nunca"/>
        <s v="A veces"/>
        <s v="Usualmente"/>
        <s v="Siempre"/>
      </sharedItems>
    </cacheField>
    <cacheField name="Automobile" numFmtId="0">
      <sharedItems containsSemiMixedTypes="0" containsString="0" containsNumber="1" containsInteger="1" minValue="0" maxValue="1"/>
    </cacheField>
    <cacheField name="Automovil" numFmtId="0">
      <sharedItems count="2">
        <s v="No usa"/>
        <s v="Usa auto"/>
      </sharedItems>
    </cacheField>
    <cacheField name="Bike" numFmtId="0">
      <sharedItems containsSemiMixedTypes="0" containsString="0" containsNumber="1" containsInteger="1" minValue="0" maxValue="1"/>
    </cacheField>
    <cacheField name="Bicicleta" numFmtId="0">
      <sharedItems count="2">
        <s v="No usa"/>
        <s v="Usa Bici"/>
      </sharedItems>
    </cacheField>
    <cacheField name="Motorbike" numFmtId="0">
      <sharedItems containsSemiMixedTypes="0" containsString="0" containsNumber="1" containsInteger="1" minValue="0" maxValue="1"/>
    </cacheField>
    <cacheField name="Moto" numFmtId="0">
      <sharedItems count="2">
        <s v="No usa"/>
        <s v="Usa Moto"/>
      </sharedItems>
    </cacheField>
    <cacheField name="Public_Transportation" numFmtId="0">
      <sharedItems containsSemiMixedTypes="0" containsString="0" containsNumber="1" containsInteger="1" minValue="0" maxValue="1"/>
    </cacheField>
    <cacheField name="Transporte Publico" numFmtId="0">
      <sharedItems count="2">
        <s v="Usa Transporte"/>
        <s v="No usa"/>
      </sharedItems>
    </cacheField>
    <cacheField name="Walking" numFmtId="0">
      <sharedItems containsSemiMixedTypes="0" containsString="0" containsNumber="1" containsInteger="1" minValue="0" maxValue="1"/>
    </cacheField>
    <cacheField name="Caminar" numFmtId="0">
      <sharedItems count="2">
        <s v="No camina"/>
        <s v="Camina"/>
      </sharedItems>
    </cacheField>
    <cacheField name="NObeyesdad" numFmtId="0">
      <sharedItems containsSemiMixedTypes="0" containsString="0" containsNumber="1" containsInteger="1" minValue="0" maxValue="1"/>
    </cacheField>
    <cacheField name="Obesidad" numFmtId="0">
      <sharedItems count="2">
        <s v="No es obeso"/>
        <s v="Es Obes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11">
  <r>
    <n v="0"/>
    <s v="F"/>
    <n v="21"/>
    <n v="21"/>
    <n v="21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0"/>
    <x v="0"/>
    <n v="3"/>
    <n v="1"/>
    <x v="0"/>
    <n v="3"/>
    <n v="2"/>
    <x v="0"/>
    <n v="1"/>
    <x v="0"/>
    <n v="1"/>
    <x v="1"/>
    <n v="3"/>
    <n v="2"/>
    <x v="0"/>
    <n v="1"/>
    <x v="1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0"/>
    <x v="1"/>
    <n v="0"/>
    <x v="0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2"/>
    <x v="2"/>
    <n v="0"/>
    <x v="0"/>
    <n v="0"/>
    <x v="0"/>
    <n v="0"/>
    <x v="0"/>
    <n v="0"/>
    <x v="1"/>
    <n v="1"/>
    <x v="1"/>
    <n v="0"/>
    <x v="0"/>
  </r>
  <r>
    <n v="1"/>
    <s v="M"/>
    <n v="22"/>
    <n v="22"/>
    <n v="22"/>
    <x v="0"/>
    <n v="0"/>
    <x v="1"/>
    <n v="0"/>
    <x v="0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9"/>
    <n v="29"/>
    <n v="29"/>
    <x v="1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1"/>
    <x v="1"/>
    <n v="0"/>
    <x v="1"/>
    <n v="0"/>
    <x v="0"/>
    <n v="0"/>
    <x v="0"/>
  </r>
  <r>
    <n v="1"/>
    <s v="M"/>
    <n v="22"/>
    <n v="22"/>
    <n v="22"/>
    <x v="0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4"/>
    <n v="24"/>
    <n v="24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1"/>
    <x v="1"/>
    <n v="3"/>
    <n v="1"/>
    <x v="0"/>
    <n v="3"/>
    <n v="2"/>
    <x v="0"/>
    <n v="2"/>
    <x v="1"/>
    <n v="0"/>
    <x v="0"/>
    <n v="3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1"/>
    <n v="21"/>
    <n v="21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1"/>
    <x v="1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0"/>
    <x v="1"/>
    <n v="0"/>
    <x v="0"/>
    <n v="3"/>
    <n v="1"/>
    <x v="0"/>
    <n v="3"/>
    <n v="2"/>
    <x v="0"/>
    <n v="1"/>
    <x v="0"/>
    <n v="0"/>
    <x v="0"/>
    <n v="3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41"/>
    <n v="41"/>
    <n v="41"/>
    <x v="1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1"/>
    <n v="1"/>
    <x v="0"/>
    <n v="2"/>
    <x v="2"/>
    <n v="1"/>
    <x v="1"/>
    <n v="0"/>
    <x v="0"/>
    <n v="0"/>
    <x v="0"/>
    <n v="0"/>
    <x v="1"/>
    <n v="0"/>
    <x v="0"/>
    <n v="1"/>
    <x v="1"/>
  </r>
  <r>
    <n v="1"/>
    <s v="M"/>
    <n v="23"/>
    <n v="23"/>
    <n v="23"/>
    <x v="0"/>
    <n v="1"/>
    <x v="0"/>
    <n v="1"/>
    <x v="1"/>
    <n v="3"/>
    <n v="1"/>
    <x v="0"/>
    <n v="1"/>
    <n v="1"/>
    <x v="1"/>
    <n v="1"/>
    <x v="0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0"/>
    <x v="0"/>
    <n v="3"/>
    <n v="1"/>
    <x v="0"/>
    <n v="3"/>
    <n v="2"/>
    <x v="0"/>
    <n v="3"/>
    <x v="2"/>
    <n v="0"/>
    <x v="0"/>
    <n v="2"/>
    <n v="2"/>
    <x v="0"/>
    <n v="1"/>
    <x v="1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1"/>
    <x v="0"/>
    <n v="1"/>
    <x v="1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9"/>
    <n v="29"/>
    <n v="29"/>
    <x v="1"/>
    <n v="0"/>
    <x v="1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30"/>
    <n v="30"/>
    <n v="30"/>
    <x v="1"/>
    <n v="1"/>
    <x v="0"/>
    <n v="1"/>
    <x v="1"/>
    <n v="3"/>
    <n v="1"/>
    <x v="0"/>
    <n v="4"/>
    <n v="2"/>
    <x v="0"/>
    <n v="2"/>
    <x v="1"/>
    <n v="1"/>
    <x v="1"/>
    <n v="1"/>
    <n v="1"/>
    <x v="1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1"/>
    <x v="0"/>
    <n v="0"/>
    <x v="0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0"/>
    <x v="1"/>
    <n v="1"/>
    <x v="1"/>
    <n v="0"/>
    <x v="0"/>
  </r>
  <r>
    <n v="0"/>
    <s v="F"/>
    <n v="52"/>
    <n v="52"/>
    <n v="52"/>
    <x v="2"/>
    <n v="1"/>
    <x v="0"/>
    <n v="1"/>
    <x v="1"/>
    <n v="3"/>
    <n v="1"/>
    <x v="0"/>
    <n v="1"/>
    <n v="1"/>
    <x v="1"/>
    <n v="1"/>
    <x v="0"/>
    <n v="1"/>
    <x v="1"/>
    <n v="2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22"/>
    <n v="22"/>
    <n v="22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2"/>
    <n v="22"/>
    <n v="22"/>
    <x v="0"/>
    <n v="1"/>
    <x v="0"/>
    <n v="1"/>
    <x v="1"/>
    <n v="1"/>
    <n v="1"/>
    <x v="0"/>
    <n v="1"/>
    <n v="1"/>
    <x v="1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0"/>
    <x v="0"/>
    <n v="2"/>
    <n v="1"/>
    <x v="0"/>
    <n v="4"/>
    <n v="2"/>
    <x v="0"/>
    <n v="2"/>
    <x v="1"/>
    <n v="1"/>
    <x v="1"/>
    <n v="2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1"/>
    <n v="1"/>
    <x v="1"/>
    <n v="2"/>
    <x v="1"/>
    <n v="0"/>
    <x v="0"/>
    <n v="2"/>
    <n v="2"/>
    <x v="0"/>
    <n v="0"/>
    <x v="0"/>
    <n v="1"/>
    <n v="1"/>
    <x v="2"/>
    <n v="2"/>
    <n v="2"/>
    <x v="2"/>
    <n v="3"/>
    <x v="3"/>
    <n v="0"/>
    <x v="0"/>
    <n v="0"/>
    <x v="0"/>
    <n v="0"/>
    <x v="0"/>
    <n v="0"/>
    <x v="1"/>
    <n v="1"/>
    <x v="1"/>
    <n v="0"/>
    <x v="0"/>
  </r>
  <r>
    <n v="0"/>
    <s v="F"/>
    <n v="23"/>
    <n v="23"/>
    <n v="23"/>
    <x v="0"/>
    <n v="0"/>
    <x v="1"/>
    <n v="1"/>
    <x v="1"/>
    <n v="2"/>
    <n v="1"/>
    <x v="0"/>
    <n v="4"/>
    <n v="2"/>
    <x v="0"/>
    <n v="2"/>
    <x v="1"/>
    <n v="0"/>
    <x v="0"/>
    <n v="2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19"/>
    <n v="19"/>
    <n v="19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1"/>
    <x v="1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2"/>
    <n v="2"/>
    <x v="2"/>
    <n v="2"/>
    <x v="2"/>
    <n v="0"/>
    <x v="0"/>
    <n v="0"/>
    <x v="0"/>
    <n v="0"/>
    <x v="0"/>
    <n v="0"/>
    <x v="1"/>
    <n v="1"/>
    <x v="1"/>
    <n v="0"/>
    <x v="0"/>
  </r>
  <r>
    <n v="1"/>
    <s v="M"/>
    <n v="29"/>
    <n v="29"/>
    <n v="29"/>
    <x v="1"/>
    <n v="0"/>
    <x v="1"/>
    <n v="1"/>
    <x v="1"/>
    <n v="1"/>
    <n v="1"/>
    <x v="0"/>
    <n v="4"/>
    <n v="2"/>
    <x v="0"/>
    <n v="2"/>
    <x v="1"/>
    <n v="0"/>
    <x v="0"/>
    <n v="3"/>
    <n v="2"/>
    <x v="0"/>
    <n v="0"/>
    <x v="0"/>
    <n v="0"/>
    <n v="0"/>
    <x v="0"/>
    <n v="1"/>
    <n v="1"/>
    <x v="0"/>
    <n v="0"/>
    <x v="0"/>
    <n v="0"/>
    <x v="0"/>
    <n v="0"/>
    <x v="0"/>
    <n v="1"/>
    <x v="1"/>
    <n v="0"/>
    <x v="1"/>
    <n v="0"/>
    <x v="0"/>
    <n v="0"/>
    <x v="0"/>
  </r>
  <r>
    <n v="0"/>
    <s v="F"/>
    <n v="31"/>
    <n v="31"/>
    <n v="31"/>
    <x v="1"/>
    <n v="1"/>
    <x v="0"/>
    <n v="0"/>
    <x v="0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0"/>
    <x v="1"/>
    <n v="0"/>
    <x v="0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39"/>
    <n v="39"/>
    <n v="39"/>
    <x v="1"/>
    <n v="0"/>
    <x v="1"/>
    <n v="0"/>
    <x v="0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0"/>
    <x v="1"/>
    <n v="1"/>
    <x v="1"/>
    <n v="2"/>
    <n v="1"/>
    <x v="0"/>
    <n v="4"/>
    <n v="2"/>
    <x v="0"/>
    <n v="2"/>
    <x v="1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1"/>
    <x v="1"/>
    <n v="2"/>
    <n v="2"/>
    <x v="1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0"/>
    <s v="F"/>
    <n v="21"/>
    <n v="21"/>
    <n v="21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0"/>
    <x v="0"/>
    <n v="2"/>
    <n v="1"/>
    <x v="0"/>
    <n v="4"/>
    <n v="2"/>
    <x v="0"/>
    <n v="2"/>
    <x v="1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0"/>
    <s v="F"/>
    <n v="21"/>
    <n v="21"/>
    <n v="21"/>
    <x v="0"/>
    <n v="1"/>
    <x v="0"/>
    <n v="1"/>
    <x v="1"/>
    <n v="1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1"/>
    <x v="1"/>
    <n v="2"/>
    <n v="2"/>
    <x v="0"/>
    <n v="0"/>
    <x v="0"/>
    <n v="1"/>
    <n v="1"/>
    <x v="2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0"/>
    <x v="0"/>
    <n v="1"/>
    <n v="1"/>
    <x v="0"/>
    <n v="3"/>
    <n v="2"/>
    <x v="0"/>
    <n v="0"/>
    <x v="3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0"/>
    <x v="0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1"/>
    <n v="1"/>
    <x v="0"/>
    <n v="3"/>
    <n v="2"/>
    <x v="0"/>
    <n v="2"/>
    <x v="1"/>
    <n v="0"/>
    <x v="0"/>
    <n v="3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1"/>
    <n v="1"/>
    <x v="0"/>
    <n v="3"/>
    <n v="2"/>
    <x v="0"/>
    <n v="2"/>
    <x v="1"/>
    <n v="0"/>
    <x v="0"/>
    <n v="3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1"/>
    <x v="0"/>
    <n v="0"/>
    <x v="0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0"/>
    <s v="F"/>
    <n v="21"/>
    <n v="21"/>
    <n v="21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0"/>
    <s v="F"/>
    <n v="20"/>
    <n v="20"/>
    <n v="20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0"/>
    <x v="1"/>
    <n v="1"/>
    <x v="1"/>
    <n v="3"/>
    <n v="1"/>
    <x v="0"/>
    <n v="1"/>
    <n v="1"/>
    <x v="1"/>
    <n v="1"/>
    <x v="0"/>
    <n v="0"/>
    <x v="0"/>
    <n v="2"/>
    <n v="2"/>
    <x v="0"/>
    <n v="0"/>
    <x v="0"/>
    <n v="2"/>
    <n v="2"/>
    <x v="1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0"/>
    <x v="0"/>
    <n v="3"/>
    <n v="1"/>
    <x v="0"/>
    <n v="3"/>
    <n v="2"/>
    <x v="0"/>
    <n v="0"/>
    <x v="3"/>
    <n v="0"/>
    <x v="0"/>
    <n v="2"/>
    <n v="2"/>
    <x v="0"/>
    <n v="1"/>
    <x v="1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0"/>
    <x v="1"/>
    <n v="0"/>
    <x v="0"/>
    <n v="3"/>
    <n v="1"/>
    <x v="0"/>
    <n v="4"/>
    <n v="2"/>
    <x v="0"/>
    <n v="3"/>
    <x v="2"/>
    <n v="0"/>
    <x v="0"/>
    <n v="3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0"/>
    <x v="0"/>
    <n v="2"/>
    <n v="1"/>
    <x v="0"/>
    <n v="4"/>
    <n v="2"/>
    <x v="0"/>
    <n v="2"/>
    <x v="1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21"/>
    <n v="21"/>
    <n v="21"/>
    <x v="0"/>
    <n v="1"/>
    <x v="0"/>
    <n v="0"/>
    <x v="0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7"/>
    <n v="17"/>
    <n v="17"/>
    <x v="0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0"/>
    <x v="1"/>
    <n v="1"/>
    <x v="1"/>
    <n v="0"/>
    <x v="0"/>
  </r>
  <r>
    <n v="1"/>
    <s v="M"/>
    <n v="20"/>
    <n v="20"/>
    <n v="20"/>
    <x v="0"/>
    <n v="1"/>
    <x v="0"/>
    <n v="1"/>
    <x v="1"/>
    <n v="2"/>
    <n v="1"/>
    <x v="0"/>
    <n v="4"/>
    <n v="2"/>
    <x v="0"/>
    <n v="1"/>
    <x v="0"/>
    <n v="0"/>
    <x v="0"/>
    <n v="3"/>
    <n v="2"/>
    <x v="0"/>
    <n v="0"/>
    <x v="0"/>
    <n v="2"/>
    <n v="2"/>
    <x v="1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0"/>
    <x v="1"/>
    <n v="1"/>
    <x v="1"/>
    <n v="2"/>
    <n v="1"/>
    <x v="0"/>
    <n v="1"/>
    <n v="1"/>
    <x v="1"/>
    <n v="0"/>
    <x v="3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2"/>
    <n v="2"/>
    <x v="2"/>
    <n v="1"/>
    <x v="1"/>
    <n v="1"/>
    <x v="1"/>
    <n v="0"/>
    <x v="0"/>
    <n v="0"/>
    <x v="0"/>
    <n v="0"/>
    <x v="1"/>
    <n v="0"/>
    <x v="0"/>
    <n v="0"/>
    <x v="0"/>
  </r>
  <r>
    <n v="0"/>
    <s v="F"/>
    <n v="21"/>
    <n v="21"/>
    <n v="21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1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1"/>
    <n v="1"/>
    <x v="0"/>
    <n v="3"/>
    <n v="2"/>
    <x v="0"/>
    <n v="3"/>
    <x v="2"/>
    <n v="0"/>
    <x v="0"/>
    <n v="2"/>
    <n v="2"/>
    <x v="0"/>
    <n v="0"/>
    <x v="0"/>
    <n v="0"/>
    <n v="0"/>
    <x v="0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3"/>
    <x v="2"/>
    <n v="0"/>
    <x v="0"/>
    <n v="2"/>
    <n v="2"/>
    <x v="0"/>
    <n v="0"/>
    <x v="0"/>
    <n v="0"/>
    <n v="0"/>
    <x v="0"/>
    <n v="1"/>
    <n v="1"/>
    <x v="0"/>
    <n v="2"/>
    <x v="2"/>
    <n v="1"/>
    <x v="1"/>
    <n v="0"/>
    <x v="0"/>
    <n v="0"/>
    <x v="0"/>
    <n v="0"/>
    <x v="1"/>
    <n v="0"/>
    <x v="0"/>
    <n v="1"/>
    <x v="1"/>
  </r>
  <r>
    <n v="1"/>
    <s v="M"/>
    <n v="30"/>
    <n v="30"/>
    <n v="30"/>
    <x v="1"/>
    <n v="1"/>
    <x v="0"/>
    <n v="1"/>
    <x v="1"/>
    <n v="1"/>
    <n v="1"/>
    <x v="0"/>
    <n v="3"/>
    <n v="2"/>
    <x v="0"/>
    <n v="0"/>
    <x v="3"/>
    <n v="1"/>
    <x v="1"/>
    <n v="2"/>
    <n v="2"/>
    <x v="0"/>
    <n v="1"/>
    <x v="1"/>
    <n v="0"/>
    <n v="0"/>
    <x v="0"/>
    <n v="0"/>
    <n v="0"/>
    <x v="1"/>
    <n v="2"/>
    <x v="2"/>
    <n v="1"/>
    <x v="1"/>
    <n v="0"/>
    <x v="0"/>
    <n v="0"/>
    <x v="0"/>
    <n v="0"/>
    <x v="1"/>
    <n v="0"/>
    <x v="0"/>
    <n v="1"/>
    <x v="1"/>
  </r>
  <r>
    <n v="1"/>
    <s v="M"/>
    <n v="23"/>
    <n v="23"/>
    <n v="23"/>
    <x v="0"/>
    <n v="1"/>
    <x v="0"/>
    <n v="0"/>
    <x v="0"/>
    <n v="2"/>
    <n v="1"/>
    <x v="0"/>
    <n v="3"/>
    <n v="2"/>
    <x v="0"/>
    <n v="0"/>
    <x v="3"/>
    <n v="0"/>
    <x v="0"/>
    <n v="3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3"/>
    <x v="2"/>
    <n v="0"/>
    <x v="0"/>
    <n v="2"/>
    <n v="2"/>
    <x v="0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0"/>
    <x v="0"/>
    <n v="3"/>
    <n v="1"/>
    <x v="0"/>
    <n v="3"/>
    <n v="2"/>
    <x v="0"/>
    <n v="0"/>
    <x v="3"/>
    <n v="0"/>
    <x v="0"/>
    <n v="3"/>
    <n v="2"/>
    <x v="0"/>
    <n v="1"/>
    <x v="1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1"/>
    <x v="1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2"/>
    <n v="2"/>
    <x v="1"/>
    <n v="1"/>
    <n v="1"/>
    <x v="0"/>
    <n v="1"/>
    <x v="1"/>
    <n v="0"/>
    <x v="0"/>
    <n v="1"/>
    <x v="1"/>
    <n v="0"/>
    <x v="0"/>
    <n v="0"/>
    <x v="1"/>
    <n v="0"/>
    <x v="0"/>
    <n v="0"/>
    <x v="0"/>
  </r>
  <r>
    <n v="1"/>
    <s v="M"/>
    <n v="24"/>
    <n v="24"/>
    <n v="24"/>
    <x v="0"/>
    <n v="1"/>
    <x v="0"/>
    <n v="1"/>
    <x v="1"/>
    <n v="2"/>
    <n v="1"/>
    <x v="0"/>
    <n v="3"/>
    <n v="2"/>
    <x v="0"/>
    <n v="2"/>
    <x v="1"/>
    <n v="0"/>
    <x v="0"/>
    <n v="3"/>
    <n v="2"/>
    <x v="0"/>
    <n v="0"/>
    <x v="0"/>
    <n v="0"/>
    <n v="0"/>
    <x v="0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0"/>
    <x v="0"/>
    <n v="3"/>
    <n v="1"/>
    <x v="0"/>
    <n v="3"/>
    <n v="2"/>
    <x v="0"/>
    <n v="1"/>
    <x v="0"/>
    <n v="0"/>
    <x v="0"/>
    <n v="3"/>
    <n v="2"/>
    <x v="0"/>
    <n v="1"/>
    <x v="1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1"/>
    <x v="0"/>
    <n v="0"/>
    <x v="0"/>
    <n v="2"/>
    <n v="1"/>
    <x v="0"/>
    <n v="3"/>
    <n v="2"/>
    <x v="0"/>
    <n v="0"/>
    <x v="3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1"/>
    <x v="1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30"/>
    <n v="30"/>
    <n v="30"/>
    <x v="1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3"/>
    <x v="2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19"/>
    <n v="19"/>
    <n v="19"/>
    <x v="0"/>
    <n v="0"/>
    <x v="1"/>
    <n v="0"/>
    <x v="0"/>
    <n v="3"/>
    <n v="1"/>
    <x v="0"/>
    <n v="3"/>
    <n v="2"/>
    <x v="0"/>
    <n v="0"/>
    <x v="3"/>
    <n v="0"/>
    <x v="0"/>
    <n v="3"/>
    <n v="2"/>
    <x v="0"/>
    <n v="1"/>
    <x v="1"/>
    <n v="2"/>
    <n v="2"/>
    <x v="1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1"/>
    <s v="M"/>
    <n v="25"/>
    <n v="25"/>
    <n v="25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1"/>
    <n v="1"/>
    <x v="1"/>
    <n v="2"/>
    <x v="1"/>
    <n v="0"/>
    <x v="0"/>
    <n v="3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1"/>
    <x v="1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9"/>
    <n v="29"/>
    <n v="29"/>
    <x v="1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2"/>
    <n v="2"/>
    <x v="1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0"/>
    <s v="F"/>
    <n v="25"/>
    <n v="25"/>
    <n v="25"/>
    <x v="0"/>
    <n v="0"/>
    <x v="1"/>
    <n v="0"/>
    <x v="0"/>
    <n v="3"/>
    <n v="1"/>
    <x v="0"/>
    <n v="4"/>
    <n v="2"/>
    <x v="0"/>
    <n v="3"/>
    <x v="2"/>
    <n v="0"/>
    <x v="0"/>
    <n v="1"/>
    <n v="1"/>
    <x v="1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0"/>
    <n v="20"/>
    <n v="20"/>
    <x v="0"/>
    <n v="1"/>
    <x v="0"/>
    <n v="0"/>
    <x v="0"/>
    <n v="3"/>
    <n v="1"/>
    <x v="0"/>
    <n v="3"/>
    <n v="2"/>
    <x v="0"/>
    <n v="3"/>
    <x v="2"/>
    <n v="0"/>
    <x v="0"/>
    <n v="2"/>
    <n v="2"/>
    <x v="0"/>
    <n v="1"/>
    <x v="1"/>
    <n v="0"/>
    <n v="0"/>
    <x v="0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55"/>
    <n v="55"/>
    <n v="55"/>
    <x v="2"/>
    <n v="1"/>
    <x v="0"/>
    <n v="0"/>
    <x v="0"/>
    <n v="3"/>
    <n v="1"/>
    <x v="0"/>
    <n v="4"/>
    <n v="2"/>
    <x v="0"/>
    <n v="2"/>
    <x v="1"/>
    <n v="0"/>
    <x v="0"/>
    <n v="3"/>
    <n v="2"/>
    <x v="0"/>
    <n v="1"/>
    <x v="1"/>
    <n v="3"/>
    <n v="3"/>
    <x v="3"/>
    <n v="0"/>
    <n v="0"/>
    <x v="1"/>
    <n v="2"/>
    <x v="2"/>
    <n v="0"/>
    <x v="0"/>
    <n v="0"/>
    <x v="0"/>
    <n v="0"/>
    <x v="0"/>
    <n v="0"/>
    <x v="1"/>
    <n v="1"/>
    <x v="1"/>
    <n v="0"/>
    <x v="0"/>
  </r>
  <r>
    <n v="0"/>
    <s v="F"/>
    <n v="20"/>
    <n v="20"/>
    <n v="20"/>
    <x v="0"/>
    <n v="0"/>
    <x v="1"/>
    <n v="0"/>
    <x v="0"/>
    <n v="3"/>
    <n v="1"/>
    <x v="0"/>
    <n v="3"/>
    <n v="2"/>
    <x v="0"/>
    <n v="3"/>
    <x v="2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0"/>
    <s v="F"/>
    <n v="24"/>
    <n v="24"/>
    <n v="24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0"/>
    <x v="0"/>
    <n v="3"/>
    <n v="1"/>
    <x v="0"/>
    <n v="1"/>
    <n v="1"/>
    <x v="1"/>
    <n v="2"/>
    <x v="1"/>
    <n v="0"/>
    <x v="0"/>
    <n v="2"/>
    <n v="2"/>
    <x v="0"/>
    <n v="0"/>
    <x v="0"/>
    <n v="2"/>
    <n v="2"/>
    <x v="1"/>
    <n v="0"/>
    <n v="0"/>
    <x v="1"/>
    <n v="2"/>
    <x v="2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0"/>
    <x v="0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0"/>
    <x v="0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3"/>
    <n v="1"/>
    <x v="0"/>
    <n v="1"/>
    <n v="1"/>
    <x v="1"/>
    <n v="1"/>
    <x v="0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0"/>
    <x v="0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2"/>
    <n v="1"/>
    <x v="0"/>
    <n v="4"/>
    <n v="2"/>
    <x v="0"/>
    <n v="2"/>
    <x v="1"/>
    <n v="0"/>
    <x v="0"/>
    <n v="2"/>
    <n v="2"/>
    <x v="0"/>
    <n v="1"/>
    <x v="1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2"/>
    <n v="22"/>
    <n v="22"/>
    <x v="0"/>
    <n v="1"/>
    <x v="0"/>
    <n v="1"/>
    <x v="1"/>
    <n v="3"/>
    <n v="1"/>
    <x v="0"/>
    <n v="4"/>
    <n v="2"/>
    <x v="0"/>
    <n v="2"/>
    <x v="1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8"/>
    <n v="38"/>
    <n v="38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5"/>
    <n v="25"/>
    <n v="25"/>
    <x v="0"/>
    <n v="0"/>
    <x v="1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5"/>
    <n v="25"/>
    <n v="25"/>
    <x v="0"/>
    <n v="0"/>
    <x v="1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1"/>
    <x v="1"/>
    <n v="2"/>
    <n v="1"/>
    <x v="0"/>
    <n v="3"/>
    <n v="2"/>
    <x v="0"/>
    <n v="3"/>
    <x v="2"/>
    <n v="0"/>
    <x v="0"/>
    <n v="1"/>
    <n v="1"/>
    <x v="1"/>
    <n v="0"/>
    <x v="0"/>
    <n v="0"/>
    <n v="0"/>
    <x v="0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0"/>
    <x v="1"/>
    <n v="1"/>
    <x v="1"/>
    <n v="1"/>
    <x v="1"/>
  </r>
  <r>
    <n v="0"/>
    <s v="F"/>
    <n v="21"/>
    <n v="21"/>
    <n v="21"/>
    <x v="0"/>
    <n v="1"/>
    <x v="0"/>
    <n v="1"/>
    <x v="1"/>
    <n v="3"/>
    <n v="1"/>
    <x v="0"/>
    <n v="1"/>
    <n v="1"/>
    <x v="1"/>
    <n v="1"/>
    <x v="0"/>
    <n v="0"/>
    <x v="0"/>
    <n v="3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1"/>
    <n v="21"/>
    <n v="21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1"/>
    <x v="1"/>
    <n v="2"/>
    <n v="1"/>
    <x v="0"/>
    <n v="1"/>
    <n v="1"/>
    <x v="1"/>
    <n v="1"/>
    <x v="0"/>
    <n v="0"/>
    <x v="0"/>
    <n v="1"/>
    <n v="1"/>
    <x v="1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4"/>
    <n v="2"/>
    <x v="0"/>
    <n v="2"/>
    <x v="1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0"/>
    <x v="0"/>
    <n v="2"/>
    <n v="1"/>
    <x v="0"/>
    <n v="1"/>
    <n v="1"/>
    <x v="1"/>
    <n v="1"/>
    <x v="0"/>
    <n v="0"/>
    <x v="0"/>
    <n v="2"/>
    <n v="2"/>
    <x v="0"/>
    <n v="0"/>
    <x v="0"/>
    <n v="3"/>
    <n v="3"/>
    <x v="3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0"/>
    <s v="F"/>
    <n v="19"/>
    <n v="19"/>
    <n v="19"/>
    <x v="0"/>
    <n v="1"/>
    <x v="0"/>
    <n v="1"/>
    <x v="1"/>
    <n v="3"/>
    <n v="1"/>
    <x v="0"/>
    <n v="1"/>
    <n v="1"/>
    <x v="1"/>
    <n v="2"/>
    <x v="1"/>
    <n v="0"/>
    <x v="0"/>
    <n v="2"/>
    <n v="2"/>
    <x v="0"/>
    <n v="0"/>
    <x v="0"/>
    <n v="1"/>
    <n v="1"/>
    <x v="2"/>
    <n v="0"/>
    <n v="0"/>
    <x v="1"/>
    <n v="2"/>
    <x v="2"/>
    <n v="0"/>
    <x v="0"/>
    <n v="0"/>
    <x v="0"/>
    <n v="0"/>
    <x v="0"/>
    <n v="1"/>
    <x v="0"/>
    <n v="0"/>
    <x v="0"/>
    <n v="0"/>
    <x v="0"/>
  </r>
  <r>
    <n v="0"/>
    <s v="F"/>
    <n v="17"/>
    <n v="17"/>
    <n v="17"/>
    <x v="0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5"/>
    <n v="15"/>
    <n v="15"/>
    <x v="0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3"/>
    <n v="3"/>
    <x v="3"/>
    <n v="2"/>
    <n v="2"/>
    <x v="2"/>
    <n v="0"/>
    <x v="0"/>
    <n v="0"/>
    <x v="0"/>
    <n v="0"/>
    <x v="0"/>
    <n v="0"/>
    <x v="0"/>
    <n v="0"/>
    <x v="1"/>
    <n v="1"/>
    <x v="1"/>
    <n v="1"/>
    <x v="1"/>
  </r>
  <r>
    <n v="0"/>
    <s v="F"/>
    <n v="17"/>
    <n v="17"/>
    <n v="17"/>
    <x v="0"/>
    <n v="1"/>
    <x v="0"/>
    <n v="0"/>
    <x v="0"/>
    <n v="2"/>
    <n v="1"/>
    <x v="0"/>
    <n v="3"/>
    <n v="2"/>
    <x v="0"/>
    <n v="2"/>
    <x v="1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0"/>
    <x v="0"/>
    <n v="3"/>
    <n v="1"/>
    <x v="0"/>
    <n v="3"/>
    <n v="2"/>
    <x v="0"/>
    <n v="2"/>
    <x v="1"/>
    <n v="1"/>
    <x v="1"/>
    <n v="3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2"/>
    <x v="1"/>
    <n v="1"/>
    <x v="1"/>
    <n v="2"/>
    <n v="2"/>
    <x v="0"/>
    <n v="0"/>
    <x v="0"/>
    <n v="0"/>
    <n v="0"/>
    <x v="0"/>
    <n v="2"/>
    <n v="2"/>
    <x v="2"/>
    <n v="0"/>
    <x v="0"/>
    <n v="0"/>
    <x v="0"/>
    <n v="0"/>
    <x v="0"/>
    <n v="0"/>
    <x v="0"/>
    <n v="0"/>
    <x v="1"/>
    <n v="1"/>
    <x v="1"/>
    <n v="0"/>
    <x v="0"/>
  </r>
  <r>
    <n v="1"/>
    <s v="M"/>
    <n v="23"/>
    <n v="23"/>
    <n v="23"/>
    <x v="0"/>
    <n v="1"/>
    <x v="0"/>
    <n v="1"/>
    <x v="1"/>
    <n v="1"/>
    <n v="1"/>
    <x v="0"/>
    <n v="3"/>
    <n v="2"/>
    <x v="0"/>
    <n v="2"/>
    <x v="1"/>
    <n v="0"/>
    <x v="0"/>
    <n v="2"/>
    <n v="2"/>
    <x v="0"/>
    <n v="0"/>
    <x v="0"/>
    <n v="0"/>
    <n v="0"/>
    <x v="0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0"/>
    <x v="0"/>
    <n v="3"/>
    <n v="1"/>
    <x v="0"/>
    <n v="4"/>
    <n v="2"/>
    <x v="0"/>
    <n v="2"/>
    <x v="1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1"/>
    <s v="M"/>
    <n v="24"/>
    <n v="24"/>
    <n v="24"/>
    <x v="0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3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3"/>
    <x v="2"/>
    <n v="0"/>
    <x v="0"/>
    <n v="2"/>
    <n v="2"/>
    <x v="0"/>
    <n v="0"/>
    <x v="0"/>
    <n v="0"/>
    <n v="0"/>
    <x v="0"/>
    <n v="0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3"/>
    <n v="1"/>
    <x v="0"/>
    <n v="1"/>
    <n v="1"/>
    <x v="1"/>
    <n v="1"/>
    <x v="0"/>
    <n v="0"/>
    <x v="0"/>
    <n v="3"/>
    <n v="2"/>
    <x v="0"/>
    <n v="1"/>
    <x v="1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0"/>
    <x v="1"/>
    <n v="1"/>
    <x v="1"/>
    <n v="3"/>
    <n v="1"/>
    <x v="0"/>
    <n v="3"/>
    <n v="2"/>
    <x v="0"/>
    <n v="1"/>
    <x v="0"/>
    <n v="0"/>
    <x v="0"/>
    <n v="3"/>
    <n v="2"/>
    <x v="0"/>
    <n v="0"/>
    <x v="0"/>
    <n v="1"/>
    <n v="1"/>
    <x v="2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1"/>
    <x v="0"/>
    <n v="1"/>
    <x v="1"/>
    <n v="2"/>
    <n v="1"/>
    <x v="0"/>
    <n v="4"/>
    <n v="2"/>
    <x v="0"/>
    <n v="2"/>
    <x v="1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0"/>
    <x v="0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1"/>
    <x v="1"/>
    <n v="3"/>
    <n v="1"/>
    <x v="0"/>
    <n v="3"/>
    <n v="2"/>
    <x v="0"/>
    <n v="2"/>
    <x v="1"/>
    <n v="1"/>
    <x v="1"/>
    <n v="3"/>
    <n v="2"/>
    <x v="0"/>
    <n v="1"/>
    <x v="1"/>
    <n v="1"/>
    <n v="1"/>
    <x v="2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61"/>
    <n v="61"/>
    <n v="61"/>
    <x v="2"/>
    <n v="0"/>
    <x v="1"/>
    <n v="1"/>
    <x v="1"/>
    <n v="3"/>
    <n v="1"/>
    <x v="0"/>
    <n v="3"/>
    <n v="2"/>
    <x v="0"/>
    <n v="3"/>
    <x v="2"/>
    <n v="0"/>
    <x v="0"/>
    <n v="2"/>
    <n v="2"/>
    <x v="0"/>
    <n v="0"/>
    <x v="0"/>
    <n v="1"/>
    <n v="1"/>
    <x v="2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30"/>
    <n v="30"/>
    <n v="30"/>
    <x v="1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4"/>
    <n v="24"/>
    <n v="24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5"/>
    <n v="25"/>
    <n v="25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44"/>
    <n v="44"/>
    <n v="44"/>
    <x v="1"/>
    <n v="1"/>
    <x v="0"/>
    <n v="0"/>
    <x v="0"/>
    <n v="2"/>
    <n v="1"/>
    <x v="0"/>
    <n v="3"/>
    <n v="2"/>
    <x v="0"/>
    <n v="1"/>
    <x v="0"/>
    <n v="1"/>
    <x v="1"/>
    <n v="3"/>
    <n v="2"/>
    <x v="0"/>
    <n v="0"/>
    <x v="0"/>
    <n v="0"/>
    <n v="0"/>
    <x v="0"/>
    <n v="0"/>
    <n v="0"/>
    <x v="1"/>
    <n v="0"/>
    <x v="0"/>
    <n v="0"/>
    <x v="0"/>
    <n v="0"/>
    <x v="0"/>
    <n v="1"/>
    <x v="1"/>
    <n v="0"/>
    <x v="1"/>
    <n v="0"/>
    <x v="0"/>
    <n v="1"/>
    <x v="1"/>
  </r>
  <r>
    <n v="1"/>
    <s v="M"/>
    <n v="31"/>
    <n v="31"/>
    <n v="31"/>
    <x v="1"/>
    <n v="1"/>
    <x v="0"/>
    <n v="0"/>
    <x v="0"/>
    <n v="3"/>
    <n v="1"/>
    <x v="0"/>
    <n v="3"/>
    <n v="2"/>
    <x v="0"/>
    <n v="3"/>
    <x v="2"/>
    <n v="0"/>
    <x v="0"/>
    <n v="3"/>
    <n v="2"/>
    <x v="0"/>
    <n v="1"/>
    <x v="1"/>
    <n v="3"/>
    <n v="3"/>
    <x v="3"/>
    <n v="0"/>
    <n v="0"/>
    <x v="1"/>
    <n v="0"/>
    <x v="0"/>
    <n v="0"/>
    <x v="0"/>
    <n v="1"/>
    <x v="1"/>
    <n v="0"/>
    <x v="0"/>
    <n v="0"/>
    <x v="1"/>
    <n v="0"/>
    <x v="0"/>
    <n v="0"/>
    <x v="0"/>
  </r>
  <r>
    <n v="1"/>
    <s v="M"/>
    <n v="25"/>
    <n v="25"/>
    <n v="25"/>
    <x v="0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3"/>
    <n v="1"/>
    <x v="0"/>
    <n v="3"/>
    <n v="2"/>
    <x v="0"/>
    <n v="2"/>
    <x v="1"/>
    <n v="0"/>
    <x v="0"/>
    <n v="3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5"/>
    <n v="25"/>
    <n v="25"/>
    <x v="0"/>
    <n v="0"/>
    <x v="1"/>
    <n v="1"/>
    <x v="1"/>
    <n v="3"/>
    <n v="1"/>
    <x v="0"/>
    <n v="3"/>
    <n v="2"/>
    <x v="0"/>
    <n v="3"/>
    <x v="2"/>
    <n v="0"/>
    <x v="0"/>
    <n v="2"/>
    <n v="2"/>
    <x v="0"/>
    <n v="0"/>
    <x v="0"/>
    <n v="2"/>
    <n v="2"/>
    <x v="1"/>
    <n v="0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2"/>
    <n v="1"/>
    <x v="0"/>
    <n v="3"/>
    <n v="2"/>
    <x v="0"/>
    <n v="2"/>
    <x v="1"/>
    <n v="1"/>
    <x v="1"/>
    <n v="1"/>
    <n v="1"/>
    <x v="1"/>
    <n v="0"/>
    <x v="0"/>
    <n v="1"/>
    <n v="1"/>
    <x v="2"/>
    <n v="1"/>
    <n v="1"/>
    <x v="0"/>
    <n v="2"/>
    <x v="2"/>
    <n v="1"/>
    <x v="1"/>
    <n v="0"/>
    <x v="0"/>
    <n v="0"/>
    <x v="0"/>
    <n v="0"/>
    <x v="1"/>
    <n v="0"/>
    <x v="0"/>
    <n v="1"/>
    <x v="1"/>
  </r>
  <r>
    <n v="0"/>
    <s v="F"/>
    <n v="34"/>
    <n v="34"/>
    <n v="34"/>
    <x v="1"/>
    <n v="0"/>
    <x v="1"/>
    <n v="1"/>
    <x v="1"/>
    <n v="3"/>
    <n v="1"/>
    <x v="0"/>
    <n v="1"/>
    <n v="1"/>
    <x v="1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1"/>
    <x v="0"/>
    <n v="0"/>
    <x v="0"/>
    <n v="2"/>
    <n v="1"/>
    <x v="0"/>
    <n v="4"/>
    <n v="2"/>
    <x v="0"/>
    <n v="1"/>
    <x v="0"/>
    <n v="0"/>
    <x v="0"/>
    <n v="3"/>
    <n v="2"/>
    <x v="0"/>
    <n v="1"/>
    <x v="1"/>
    <n v="2"/>
    <n v="2"/>
    <x v="1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0"/>
    <x v="1"/>
    <n v="0"/>
    <x v="0"/>
    <n v="3"/>
    <n v="1"/>
    <x v="0"/>
    <n v="3"/>
    <n v="2"/>
    <x v="0"/>
    <n v="2"/>
    <x v="1"/>
    <n v="0"/>
    <x v="0"/>
    <n v="2"/>
    <n v="2"/>
    <x v="0"/>
    <n v="0"/>
    <x v="0"/>
    <n v="2"/>
    <n v="2"/>
    <x v="1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36"/>
    <n v="36"/>
    <n v="36"/>
    <x v="1"/>
    <n v="1"/>
    <x v="0"/>
    <n v="0"/>
    <x v="0"/>
    <n v="3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7"/>
    <n v="27"/>
    <n v="27"/>
    <x v="1"/>
    <n v="0"/>
    <x v="1"/>
    <n v="1"/>
    <x v="1"/>
    <n v="3"/>
    <n v="1"/>
    <x v="0"/>
    <n v="3"/>
    <n v="2"/>
    <x v="0"/>
    <n v="3"/>
    <x v="2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2"/>
    <n v="32"/>
    <n v="32"/>
    <x v="1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"/>
    <n v="25"/>
    <n v="25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30"/>
    <n v="30"/>
    <n v="30"/>
    <x v="1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8"/>
    <n v="38"/>
    <n v="38"/>
    <x v="1"/>
    <n v="1"/>
    <x v="0"/>
    <n v="1"/>
    <x v="1"/>
    <n v="2"/>
    <n v="1"/>
    <x v="0"/>
    <n v="1"/>
    <n v="1"/>
    <x v="1"/>
    <n v="3"/>
    <x v="2"/>
    <n v="1"/>
    <x v="1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4"/>
    <n v="34"/>
    <n v="34"/>
    <x v="1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31"/>
    <n v="31"/>
    <n v="31"/>
    <x v="1"/>
    <n v="1"/>
    <x v="0"/>
    <n v="1"/>
    <x v="1"/>
    <n v="3"/>
    <n v="1"/>
    <x v="0"/>
    <n v="1"/>
    <n v="1"/>
    <x v="1"/>
    <n v="2"/>
    <x v="1"/>
    <n v="0"/>
    <x v="0"/>
    <n v="2"/>
    <n v="2"/>
    <x v="0"/>
    <n v="0"/>
    <x v="0"/>
    <n v="1"/>
    <n v="1"/>
    <x v="2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35"/>
    <n v="35"/>
    <n v="35"/>
    <x v="1"/>
    <n v="1"/>
    <x v="0"/>
    <n v="0"/>
    <x v="0"/>
    <n v="3"/>
    <n v="1"/>
    <x v="0"/>
    <n v="3"/>
    <n v="2"/>
    <x v="0"/>
    <n v="2"/>
    <x v="1"/>
    <n v="0"/>
    <x v="0"/>
    <n v="1"/>
    <n v="1"/>
    <x v="1"/>
    <n v="0"/>
    <x v="0"/>
    <n v="0"/>
    <n v="0"/>
    <x v="0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40"/>
    <n v="40"/>
    <n v="40"/>
    <x v="1"/>
    <n v="1"/>
    <x v="0"/>
    <n v="0"/>
    <x v="0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7"/>
    <n v="27"/>
    <n v="27"/>
    <x v="1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2"/>
    <x v="2"/>
    <n v="1"/>
    <x v="1"/>
    <n v="0"/>
    <x v="0"/>
    <n v="0"/>
    <x v="0"/>
    <n v="0"/>
    <x v="1"/>
    <n v="0"/>
    <x v="0"/>
    <n v="0"/>
    <x v="0"/>
  </r>
  <r>
    <n v="1"/>
    <s v="M"/>
    <n v="20"/>
    <n v="20"/>
    <n v="20"/>
    <x v="0"/>
    <n v="1"/>
    <x v="0"/>
    <n v="0"/>
    <x v="0"/>
    <n v="3"/>
    <n v="1"/>
    <x v="0"/>
    <n v="3"/>
    <n v="2"/>
    <x v="0"/>
    <n v="1"/>
    <x v="0"/>
    <n v="1"/>
    <x v="1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55"/>
    <n v="55"/>
    <n v="55"/>
    <x v="2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1"/>
    <n v="21"/>
    <n v="21"/>
    <x v="0"/>
    <n v="1"/>
    <x v="0"/>
    <n v="1"/>
    <x v="1"/>
    <n v="3"/>
    <n v="1"/>
    <x v="0"/>
    <n v="3"/>
    <n v="2"/>
    <x v="0"/>
    <n v="3"/>
    <x v="2"/>
    <n v="1"/>
    <x v="1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5"/>
    <n v="25"/>
    <n v="25"/>
    <x v="0"/>
    <n v="0"/>
    <x v="1"/>
    <n v="0"/>
    <x v="0"/>
    <n v="3"/>
    <n v="1"/>
    <x v="0"/>
    <n v="3"/>
    <n v="2"/>
    <x v="0"/>
    <n v="2"/>
    <x v="1"/>
    <n v="0"/>
    <x v="0"/>
    <n v="2"/>
    <n v="2"/>
    <x v="0"/>
    <n v="1"/>
    <x v="1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35"/>
    <n v="35"/>
    <n v="35"/>
    <x v="1"/>
    <n v="1"/>
    <x v="0"/>
    <n v="0"/>
    <x v="0"/>
    <n v="3"/>
    <n v="1"/>
    <x v="0"/>
    <n v="3"/>
    <n v="2"/>
    <x v="0"/>
    <n v="2"/>
    <x v="1"/>
    <n v="0"/>
    <x v="0"/>
    <n v="3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30"/>
    <n v="30"/>
    <n v="30"/>
    <x v="1"/>
    <n v="1"/>
    <x v="0"/>
    <n v="0"/>
    <x v="0"/>
    <n v="2"/>
    <n v="1"/>
    <x v="0"/>
    <n v="3"/>
    <n v="2"/>
    <x v="0"/>
    <n v="1"/>
    <x v="0"/>
    <n v="1"/>
    <x v="1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9"/>
    <n v="29"/>
    <n v="29"/>
    <x v="1"/>
    <n v="1"/>
    <x v="0"/>
    <n v="0"/>
    <x v="0"/>
    <n v="3"/>
    <n v="1"/>
    <x v="0"/>
    <n v="3"/>
    <n v="2"/>
    <x v="0"/>
    <n v="3"/>
    <x v="2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0"/>
    <n v="20"/>
    <n v="20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2"/>
    <n v="2"/>
    <x v="2"/>
    <n v="0"/>
    <x v="0"/>
    <n v="0"/>
    <x v="0"/>
    <n v="0"/>
    <x v="0"/>
    <n v="0"/>
    <x v="0"/>
    <n v="0"/>
    <x v="1"/>
    <n v="1"/>
    <x v="1"/>
    <n v="0"/>
    <x v="0"/>
  </r>
  <r>
    <n v="0"/>
    <s v="F"/>
    <n v="22"/>
    <n v="22"/>
    <n v="22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45"/>
    <n v="45"/>
    <n v="45"/>
    <x v="1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0"/>
    <x v="1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0"/>
    <x v="1"/>
    <n v="0"/>
    <x v="0"/>
    <n v="3"/>
    <n v="1"/>
    <x v="0"/>
    <n v="1"/>
    <n v="1"/>
    <x v="1"/>
    <n v="1"/>
    <x v="0"/>
    <n v="0"/>
    <x v="0"/>
    <n v="2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1"/>
    <x v="1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8"/>
    <n v="38"/>
    <n v="38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3"/>
    <n v="1"/>
    <x v="0"/>
    <n v="1"/>
    <n v="1"/>
    <x v="1"/>
    <n v="3"/>
    <x v="2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1"/>
    <x v="1"/>
    <n v="3"/>
    <n v="1"/>
    <x v="0"/>
    <n v="3"/>
    <n v="2"/>
    <x v="0"/>
    <n v="2"/>
    <x v="1"/>
    <n v="0"/>
    <x v="0"/>
    <n v="2"/>
    <n v="2"/>
    <x v="0"/>
    <n v="1"/>
    <x v="1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1"/>
    <x v="1"/>
    <n v="3"/>
    <n v="1"/>
    <x v="0"/>
    <n v="3"/>
    <n v="2"/>
    <x v="0"/>
    <n v="2"/>
    <x v="1"/>
    <n v="1"/>
    <x v="1"/>
    <n v="2"/>
    <n v="2"/>
    <x v="0"/>
    <n v="0"/>
    <x v="0"/>
    <n v="2"/>
    <n v="2"/>
    <x v="1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0"/>
    <x v="1"/>
    <n v="1"/>
    <x v="1"/>
    <n v="3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1"/>
    <n v="1"/>
    <x v="1"/>
    <n v="1"/>
    <x v="0"/>
    <n v="1"/>
    <x v="1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1"/>
    <n v="31"/>
    <n v="31"/>
    <x v="1"/>
    <n v="0"/>
    <x v="1"/>
    <n v="0"/>
    <x v="0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9"/>
    <n v="39"/>
    <n v="39"/>
    <x v="1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0"/>
    <n v="0"/>
    <x v="1"/>
    <n v="2"/>
    <x v="2"/>
    <n v="1"/>
    <x v="1"/>
    <n v="0"/>
    <x v="0"/>
    <n v="0"/>
    <x v="0"/>
    <n v="0"/>
    <x v="1"/>
    <n v="0"/>
    <x v="0"/>
    <n v="1"/>
    <x v="1"/>
  </r>
  <r>
    <n v="1"/>
    <s v="M"/>
    <n v="25"/>
    <n v="25"/>
    <n v="25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5"/>
    <n v="35"/>
    <n v="35"/>
    <x v="1"/>
    <n v="1"/>
    <x v="0"/>
    <n v="1"/>
    <x v="1"/>
    <n v="3"/>
    <n v="1"/>
    <x v="0"/>
    <n v="1"/>
    <n v="1"/>
    <x v="1"/>
    <n v="0"/>
    <x v="3"/>
    <n v="0"/>
    <x v="0"/>
    <n v="3"/>
    <n v="2"/>
    <x v="0"/>
    <n v="0"/>
    <x v="0"/>
    <n v="3"/>
    <n v="3"/>
    <x v="3"/>
    <n v="1"/>
    <n v="1"/>
    <x v="0"/>
    <n v="2"/>
    <x v="2"/>
    <n v="1"/>
    <x v="1"/>
    <n v="0"/>
    <x v="0"/>
    <n v="0"/>
    <x v="0"/>
    <n v="0"/>
    <x v="1"/>
    <n v="0"/>
    <x v="0"/>
    <n v="1"/>
    <x v="1"/>
  </r>
  <r>
    <n v="0"/>
    <s v="F"/>
    <n v="33"/>
    <n v="33"/>
    <n v="33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1"/>
    <x v="1"/>
    <n v="3"/>
    <n v="1"/>
    <x v="0"/>
    <n v="1"/>
    <n v="1"/>
    <x v="1"/>
    <n v="2"/>
    <x v="1"/>
    <n v="1"/>
    <x v="1"/>
    <n v="2"/>
    <n v="2"/>
    <x v="0"/>
    <n v="1"/>
    <x v="1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0"/>
    <x v="0"/>
    <n v="3"/>
    <n v="1"/>
    <x v="0"/>
    <n v="3"/>
    <n v="2"/>
    <x v="0"/>
    <n v="1"/>
    <x v="0"/>
    <n v="0"/>
    <x v="0"/>
    <n v="3"/>
    <n v="2"/>
    <x v="0"/>
    <n v="1"/>
    <x v="1"/>
    <n v="3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0"/>
    <n v="20"/>
    <n v="20"/>
    <x v="0"/>
    <n v="0"/>
    <x v="1"/>
    <n v="0"/>
    <x v="0"/>
    <n v="2"/>
    <n v="1"/>
    <x v="0"/>
    <n v="1"/>
    <n v="1"/>
    <x v="1"/>
    <n v="2"/>
    <x v="1"/>
    <n v="0"/>
    <x v="0"/>
    <n v="3"/>
    <n v="2"/>
    <x v="0"/>
    <n v="1"/>
    <x v="1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3"/>
    <n v="1"/>
    <x v="0"/>
    <n v="3"/>
    <n v="2"/>
    <x v="0"/>
    <n v="2"/>
    <x v="1"/>
    <n v="0"/>
    <x v="0"/>
    <n v="3"/>
    <n v="2"/>
    <x v="0"/>
    <n v="0"/>
    <x v="0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9"/>
    <n v="19"/>
    <n v="19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22"/>
    <n v="22"/>
    <n v="22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2"/>
    <n v="2"/>
    <x v="2"/>
    <n v="1"/>
    <x v="1"/>
    <n v="0"/>
    <x v="0"/>
    <n v="1"/>
    <x v="1"/>
    <n v="0"/>
    <x v="0"/>
    <n v="0"/>
    <x v="1"/>
    <n v="0"/>
    <x v="0"/>
    <n v="0"/>
    <x v="0"/>
  </r>
  <r>
    <n v="1"/>
    <s v="M"/>
    <n v="41"/>
    <n v="41"/>
    <n v="41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1"/>
    <x v="1"/>
    <n v="0"/>
    <x v="0"/>
    <n v="0"/>
    <x v="1"/>
    <n v="0"/>
    <x v="0"/>
    <n v="1"/>
    <x v="1"/>
  </r>
  <r>
    <n v="0"/>
    <s v="F"/>
    <n v="18"/>
    <n v="18"/>
    <n v="18"/>
    <x v="0"/>
    <n v="1"/>
    <x v="0"/>
    <n v="1"/>
    <x v="1"/>
    <n v="2"/>
    <n v="1"/>
    <x v="0"/>
    <n v="1"/>
    <n v="1"/>
    <x v="1"/>
    <n v="2"/>
    <x v="1"/>
    <n v="0"/>
    <x v="0"/>
    <n v="1"/>
    <n v="1"/>
    <x v="1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0"/>
    <x v="0"/>
    <n v="3"/>
    <n v="1"/>
    <x v="0"/>
    <n v="1"/>
    <n v="1"/>
    <x v="1"/>
    <n v="1"/>
    <x v="0"/>
    <n v="1"/>
    <x v="1"/>
    <n v="3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41"/>
    <n v="41"/>
    <n v="41"/>
    <x v="1"/>
    <n v="1"/>
    <x v="0"/>
    <n v="1"/>
    <x v="1"/>
    <n v="2"/>
    <n v="1"/>
    <x v="0"/>
    <n v="3"/>
    <n v="2"/>
    <x v="0"/>
    <n v="3"/>
    <x v="2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1"/>
    <x v="1"/>
    <n v="1"/>
    <n v="1"/>
    <x v="1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9"/>
    <n v="29"/>
    <n v="29"/>
    <x v="1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7"/>
    <n v="27"/>
    <n v="27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2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1"/>
    <n v="1"/>
    <x v="1"/>
    <n v="1"/>
    <x v="0"/>
    <n v="1"/>
    <x v="1"/>
    <n v="2"/>
    <n v="2"/>
    <x v="0"/>
    <n v="0"/>
    <x v="0"/>
    <n v="1"/>
    <n v="1"/>
    <x v="2"/>
    <n v="0"/>
    <n v="0"/>
    <x v="1"/>
    <n v="2"/>
    <x v="2"/>
    <n v="0"/>
    <x v="0"/>
    <n v="0"/>
    <x v="0"/>
    <n v="0"/>
    <x v="0"/>
    <n v="1"/>
    <x v="0"/>
    <n v="0"/>
    <x v="0"/>
    <n v="1"/>
    <x v="1"/>
  </r>
  <r>
    <n v="1"/>
    <s v="M"/>
    <n v="19"/>
    <n v="19"/>
    <n v="19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"/>
    <n v="30"/>
    <n v="30"/>
    <x v="1"/>
    <n v="1"/>
    <x v="0"/>
    <n v="0"/>
    <x v="0"/>
    <n v="2"/>
    <n v="1"/>
    <x v="0"/>
    <n v="3"/>
    <n v="2"/>
    <x v="0"/>
    <n v="0"/>
    <x v="3"/>
    <n v="0"/>
    <x v="0"/>
    <n v="2"/>
    <n v="2"/>
    <x v="0"/>
    <n v="1"/>
    <x v="1"/>
    <n v="1"/>
    <n v="1"/>
    <x v="2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0"/>
    <s v="F"/>
    <n v="22"/>
    <n v="22"/>
    <n v="22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1"/>
    <n v="21"/>
    <n v="21"/>
    <x v="0"/>
    <n v="0"/>
    <x v="1"/>
    <n v="1"/>
    <x v="1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1"/>
    <x v="0"/>
    <n v="0"/>
    <x v="0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0"/>
    <x v="0"/>
    <n v="3"/>
    <n v="1"/>
    <x v="0"/>
    <n v="3"/>
    <n v="2"/>
    <x v="0"/>
    <n v="2"/>
    <x v="1"/>
    <n v="0"/>
    <x v="0"/>
    <n v="2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1"/>
    <s v="M"/>
    <n v="21"/>
    <n v="21"/>
    <n v="21"/>
    <x v="0"/>
    <n v="0"/>
    <x v="1"/>
    <n v="0"/>
    <x v="0"/>
    <n v="2"/>
    <n v="1"/>
    <x v="0"/>
    <n v="3"/>
    <n v="2"/>
    <x v="0"/>
    <n v="2"/>
    <x v="1"/>
    <n v="0"/>
    <x v="0"/>
    <n v="3"/>
    <n v="2"/>
    <x v="0"/>
    <n v="1"/>
    <x v="1"/>
    <n v="3"/>
    <n v="3"/>
    <x v="3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0"/>
    <s v="F"/>
    <n v="21"/>
    <n v="21"/>
    <n v="21"/>
    <x v="0"/>
    <n v="1"/>
    <x v="0"/>
    <n v="0"/>
    <x v="0"/>
    <n v="1"/>
    <n v="1"/>
    <x v="0"/>
    <n v="1"/>
    <n v="1"/>
    <x v="1"/>
    <n v="1"/>
    <x v="0"/>
    <n v="0"/>
    <x v="0"/>
    <n v="2"/>
    <n v="2"/>
    <x v="0"/>
    <n v="0"/>
    <x v="0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0"/>
    <x v="0"/>
    <n v="2"/>
    <n v="1"/>
    <x v="0"/>
    <n v="3"/>
    <n v="2"/>
    <x v="0"/>
    <n v="2"/>
    <x v="1"/>
    <n v="0"/>
    <x v="0"/>
    <n v="2"/>
    <n v="2"/>
    <x v="0"/>
    <n v="1"/>
    <x v="1"/>
    <n v="0"/>
    <n v="0"/>
    <x v="0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3"/>
    <n v="1"/>
    <x v="0"/>
    <n v="4"/>
    <n v="2"/>
    <x v="0"/>
    <n v="3"/>
    <x v="2"/>
    <n v="0"/>
    <x v="0"/>
    <n v="3"/>
    <n v="2"/>
    <x v="0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1"/>
    <x v="1"/>
    <n v="3"/>
    <n v="1"/>
    <x v="0"/>
    <n v="3"/>
    <n v="2"/>
    <x v="0"/>
    <n v="2"/>
    <x v="1"/>
    <n v="0"/>
    <x v="0"/>
    <n v="3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5"/>
    <n v="25"/>
    <n v="25"/>
    <x v="0"/>
    <n v="1"/>
    <x v="0"/>
    <n v="0"/>
    <x v="0"/>
    <n v="3"/>
    <n v="1"/>
    <x v="0"/>
    <n v="3"/>
    <n v="2"/>
    <x v="0"/>
    <n v="1"/>
    <x v="0"/>
    <n v="0"/>
    <x v="0"/>
    <n v="3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0"/>
    <x v="1"/>
    <n v="1"/>
    <x v="1"/>
    <n v="1"/>
    <x v="1"/>
  </r>
  <r>
    <n v="0"/>
    <s v="F"/>
    <n v="20"/>
    <n v="20"/>
    <n v="20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0"/>
    <s v="F"/>
    <n v="24"/>
    <n v="24"/>
    <n v="24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40"/>
    <n v="40"/>
    <n v="40"/>
    <x v="1"/>
    <n v="0"/>
    <x v="1"/>
    <n v="0"/>
    <x v="0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2"/>
    <n v="32"/>
    <n v="32"/>
    <x v="1"/>
    <n v="1"/>
    <x v="0"/>
    <n v="0"/>
    <x v="0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2"/>
    <n v="2"/>
    <x v="2"/>
    <n v="0"/>
    <x v="0"/>
    <n v="1"/>
    <x v="1"/>
    <n v="0"/>
    <x v="0"/>
    <n v="0"/>
    <x v="0"/>
    <n v="0"/>
    <x v="1"/>
    <n v="0"/>
    <x v="0"/>
    <n v="1"/>
    <x v="1"/>
  </r>
  <r>
    <n v="1"/>
    <s v="M"/>
    <n v="20"/>
    <n v="20"/>
    <n v="20"/>
    <x v="0"/>
    <n v="1"/>
    <x v="0"/>
    <n v="1"/>
    <x v="1"/>
    <n v="3"/>
    <n v="1"/>
    <x v="0"/>
    <n v="4"/>
    <n v="2"/>
    <x v="0"/>
    <n v="1"/>
    <x v="0"/>
    <n v="0"/>
    <x v="0"/>
    <n v="3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0"/>
    <s v="F"/>
    <n v="21"/>
    <n v="21"/>
    <n v="21"/>
    <x v="0"/>
    <n v="1"/>
    <x v="0"/>
    <n v="1"/>
    <x v="1"/>
    <n v="3"/>
    <n v="1"/>
    <x v="0"/>
    <n v="1"/>
    <n v="1"/>
    <x v="1"/>
    <n v="1"/>
    <x v="0"/>
    <n v="1"/>
    <x v="1"/>
    <n v="3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51"/>
    <n v="51"/>
    <n v="51"/>
    <x v="2"/>
    <n v="1"/>
    <x v="0"/>
    <n v="0"/>
    <x v="0"/>
    <n v="3"/>
    <n v="1"/>
    <x v="0"/>
    <n v="3"/>
    <n v="2"/>
    <x v="0"/>
    <n v="1"/>
    <x v="0"/>
    <n v="1"/>
    <x v="1"/>
    <n v="3"/>
    <n v="2"/>
    <x v="0"/>
    <n v="1"/>
    <x v="1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34"/>
    <n v="34"/>
    <n v="34"/>
    <x v="1"/>
    <n v="1"/>
    <x v="0"/>
    <n v="0"/>
    <x v="0"/>
    <n v="3"/>
    <n v="1"/>
    <x v="0"/>
    <n v="1"/>
    <n v="1"/>
    <x v="1"/>
    <n v="1"/>
    <x v="0"/>
    <n v="0"/>
    <x v="0"/>
    <n v="2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19"/>
    <n v="19"/>
    <n v="19"/>
    <x v="0"/>
    <n v="1"/>
    <x v="0"/>
    <n v="1"/>
    <x v="1"/>
    <n v="2"/>
    <n v="1"/>
    <x v="0"/>
    <n v="1"/>
    <n v="1"/>
    <x v="1"/>
    <n v="0"/>
    <x v="3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0"/>
    <x v="0"/>
    <n v="2"/>
    <n v="1"/>
    <x v="0"/>
    <n v="1"/>
    <n v="1"/>
    <x v="1"/>
    <n v="0"/>
    <x v="3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1"/>
    <n v="1"/>
    <x v="0"/>
    <n v="3"/>
    <n v="2"/>
    <x v="0"/>
    <n v="3"/>
    <x v="2"/>
    <n v="0"/>
    <x v="0"/>
    <n v="2"/>
    <n v="2"/>
    <x v="0"/>
    <n v="1"/>
    <x v="1"/>
    <n v="3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19"/>
    <n v="19"/>
    <n v="19"/>
    <x v="0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0"/>
    <x v="1"/>
    <n v="1"/>
    <x v="1"/>
    <n v="3"/>
    <n v="1"/>
    <x v="0"/>
    <n v="1"/>
    <n v="1"/>
    <x v="1"/>
    <n v="1"/>
    <x v="0"/>
    <n v="0"/>
    <x v="0"/>
    <n v="3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1"/>
    <x v="1"/>
    <n v="3"/>
    <n v="1"/>
    <x v="0"/>
    <n v="3"/>
    <n v="2"/>
    <x v="0"/>
    <n v="0"/>
    <x v="3"/>
    <n v="0"/>
    <x v="0"/>
    <n v="3"/>
    <n v="2"/>
    <x v="0"/>
    <n v="1"/>
    <x v="1"/>
    <n v="3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7"/>
    <n v="17"/>
    <n v="17"/>
    <x v="0"/>
    <n v="0"/>
    <x v="1"/>
    <n v="1"/>
    <x v="1"/>
    <n v="2"/>
    <n v="1"/>
    <x v="0"/>
    <n v="1"/>
    <n v="1"/>
    <x v="1"/>
    <n v="1"/>
    <x v="0"/>
    <n v="0"/>
    <x v="0"/>
    <n v="3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0"/>
    <x v="0"/>
    <n v="0"/>
    <x v="0"/>
    <n v="1"/>
    <x v="1"/>
    <n v="0"/>
    <x v="0"/>
    <n v="0"/>
    <x v="1"/>
    <n v="0"/>
    <x v="0"/>
    <n v="0"/>
    <x v="0"/>
  </r>
  <r>
    <n v="0"/>
    <s v="F"/>
    <n v="20"/>
    <n v="20"/>
    <n v="20"/>
    <x v="0"/>
    <n v="1"/>
    <x v="0"/>
    <n v="1"/>
    <x v="1"/>
    <n v="1"/>
    <n v="1"/>
    <x v="0"/>
    <n v="3"/>
    <n v="2"/>
    <x v="0"/>
    <n v="3"/>
    <x v="2"/>
    <n v="0"/>
    <x v="0"/>
    <n v="2"/>
    <n v="2"/>
    <x v="0"/>
    <n v="0"/>
    <x v="0"/>
    <n v="0"/>
    <n v="0"/>
    <x v="0"/>
    <n v="2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33"/>
    <n v="33"/>
    <n v="33"/>
    <x v="1"/>
    <n v="1"/>
    <x v="0"/>
    <n v="1"/>
    <x v="1"/>
    <n v="2"/>
    <n v="1"/>
    <x v="0"/>
    <n v="3"/>
    <n v="2"/>
    <x v="0"/>
    <n v="1"/>
    <x v="0"/>
    <n v="1"/>
    <x v="1"/>
    <n v="3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"/>
    <n v="21"/>
    <n v="21"/>
    <x v="0"/>
    <n v="1"/>
    <x v="0"/>
    <n v="0"/>
    <x v="0"/>
    <n v="2"/>
    <n v="1"/>
    <x v="0"/>
    <n v="1"/>
    <n v="1"/>
    <x v="1"/>
    <n v="1"/>
    <x v="0"/>
    <n v="0"/>
    <x v="0"/>
    <n v="2"/>
    <n v="2"/>
    <x v="0"/>
    <n v="1"/>
    <x v="1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0"/>
    <x v="1"/>
    <n v="0"/>
    <x v="0"/>
    <n v="3"/>
    <n v="1"/>
    <x v="0"/>
    <n v="3"/>
    <n v="2"/>
    <x v="0"/>
    <n v="1"/>
    <x v="0"/>
    <n v="1"/>
    <x v="1"/>
    <n v="2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20"/>
    <n v="20"/>
    <n v="20"/>
    <x v="0"/>
    <n v="0"/>
    <x v="1"/>
    <n v="1"/>
    <x v="1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0"/>
    <x v="1"/>
    <n v="1"/>
    <x v="1"/>
    <n v="3"/>
    <n v="1"/>
    <x v="0"/>
    <n v="3"/>
    <n v="2"/>
    <x v="0"/>
    <n v="2"/>
    <x v="1"/>
    <n v="0"/>
    <x v="0"/>
    <n v="1"/>
    <n v="1"/>
    <x v="1"/>
    <n v="0"/>
    <x v="0"/>
    <n v="3"/>
    <n v="3"/>
    <x v="3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3"/>
    <n v="2"/>
    <x v="0"/>
    <n v="3"/>
    <x v="2"/>
    <n v="0"/>
    <x v="0"/>
    <n v="3"/>
    <n v="2"/>
    <x v="0"/>
    <n v="1"/>
    <x v="1"/>
    <n v="3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0"/>
    <s v="F"/>
    <n v="20"/>
    <n v="20"/>
    <n v="20"/>
    <x v="0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0"/>
    <x v="0"/>
    <n v="2"/>
    <n v="1"/>
    <x v="0"/>
    <n v="1"/>
    <n v="1"/>
    <x v="1"/>
    <n v="1"/>
    <x v="0"/>
    <n v="0"/>
    <x v="0"/>
    <n v="3"/>
    <n v="2"/>
    <x v="0"/>
    <n v="0"/>
    <x v="0"/>
    <n v="0"/>
    <n v="0"/>
    <x v="0"/>
    <n v="0"/>
    <n v="0"/>
    <x v="1"/>
    <n v="2"/>
    <x v="2"/>
    <n v="1"/>
    <x v="1"/>
    <n v="0"/>
    <x v="0"/>
    <n v="0"/>
    <x v="0"/>
    <n v="0"/>
    <x v="1"/>
    <n v="0"/>
    <x v="0"/>
    <n v="0"/>
    <x v="0"/>
  </r>
  <r>
    <n v="1"/>
    <s v="M"/>
    <n v="56"/>
    <n v="56"/>
    <n v="56"/>
    <x v="2"/>
    <n v="1"/>
    <x v="0"/>
    <n v="0"/>
    <x v="0"/>
    <n v="2"/>
    <n v="1"/>
    <x v="0"/>
    <n v="3"/>
    <n v="2"/>
    <x v="0"/>
    <n v="1"/>
    <x v="0"/>
    <n v="1"/>
    <x v="1"/>
    <n v="2"/>
    <n v="2"/>
    <x v="0"/>
    <n v="0"/>
    <x v="0"/>
    <n v="1"/>
    <n v="1"/>
    <x v="2"/>
    <n v="0"/>
    <n v="0"/>
    <x v="1"/>
    <n v="2"/>
    <x v="2"/>
    <n v="1"/>
    <x v="1"/>
    <n v="0"/>
    <x v="0"/>
    <n v="0"/>
    <x v="0"/>
    <n v="0"/>
    <x v="1"/>
    <n v="0"/>
    <x v="0"/>
    <n v="0"/>
    <x v="0"/>
  </r>
  <r>
    <n v="0"/>
    <s v="F"/>
    <n v="26"/>
    <n v="26"/>
    <n v="26"/>
    <x v="1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0"/>
    <x v="0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0"/>
    <x v="0"/>
    <n v="1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0"/>
    <x v="0"/>
    <n v="0"/>
    <x v="0"/>
    <n v="1"/>
    <x v="1"/>
    <n v="0"/>
    <x v="0"/>
    <n v="0"/>
    <x v="1"/>
    <n v="0"/>
    <x v="0"/>
    <n v="0"/>
    <x v="0"/>
  </r>
  <r>
    <n v="1"/>
    <s v="M"/>
    <n v="18"/>
    <n v="18"/>
    <n v="18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0"/>
    <x v="0"/>
    <n v="2"/>
    <n v="1"/>
    <x v="0"/>
    <n v="3"/>
    <n v="2"/>
    <x v="0"/>
    <n v="1"/>
    <x v="0"/>
    <n v="0"/>
    <x v="0"/>
    <n v="3"/>
    <n v="2"/>
    <x v="0"/>
    <n v="1"/>
    <x v="1"/>
    <n v="1"/>
    <n v="1"/>
    <x v="2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0"/>
    <x v="1"/>
    <n v="0"/>
    <x v="0"/>
    <n v="3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1"/>
    <n v="1"/>
    <x v="0"/>
    <n v="3"/>
    <n v="2"/>
    <x v="0"/>
    <n v="2"/>
    <x v="1"/>
    <n v="0"/>
    <x v="0"/>
    <n v="1"/>
    <n v="1"/>
    <x v="1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1"/>
    <n v="21"/>
    <n v="21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8"/>
    <n v="28"/>
    <n v="28"/>
    <x v="1"/>
    <n v="1"/>
    <x v="0"/>
    <n v="0"/>
    <x v="0"/>
    <n v="2"/>
    <n v="1"/>
    <x v="0"/>
    <n v="3"/>
    <n v="2"/>
    <x v="0"/>
    <n v="2"/>
    <x v="1"/>
    <n v="0"/>
    <x v="0"/>
    <n v="2"/>
    <n v="2"/>
    <x v="0"/>
    <n v="1"/>
    <x v="1"/>
    <n v="2"/>
    <n v="2"/>
    <x v="1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1"/>
    <s v="M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2"/>
    <n v="1"/>
    <x v="0"/>
    <n v="3"/>
    <n v="2"/>
    <x v="0"/>
    <n v="2"/>
    <x v="1"/>
    <n v="0"/>
    <x v="0"/>
    <n v="1"/>
    <n v="1"/>
    <x v="1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3"/>
    <n v="2"/>
    <x v="0"/>
    <n v="2"/>
    <x v="1"/>
    <n v="0"/>
    <x v="0"/>
    <n v="3"/>
    <n v="2"/>
    <x v="0"/>
    <n v="1"/>
    <x v="1"/>
    <n v="1"/>
    <n v="1"/>
    <x v="2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0"/>
    <x v="1"/>
    <n v="1"/>
    <x v="1"/>
    <n v="1"/>
    <n v="1"/>
    <x v="0"/>
    <n v="3"/>
    <n v="2"/>
    <x v="0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39"/>
    <n v="39"/>
    <n v="39"/>
    <x v="1"/>
    <n v="0"/>
    <x v="1"/>
    <n v="1"/>
    <x v="1"/>
    <n v="3"/>
    <n v="1"/>
    <x v="0"/>
    <n v="4"/>
    <n v="2"/>
    <x v="0"/>
    <n v="2"/>
    <x v="1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8"/>
    <n v="38"/>
    <n v="38"/>
    <x v="1"/>
    <n v="0"/>
    <x v="1"/>
    <n v="1"/>
    <x v="1"/>
    <n v="3"/>
    <n v="1"/>
    <x v="0"/>
    <n v="3"/>
    <n v="2"/>
    <x v="0"/>
    <n v="2"/>
    <x v="1"/>
    <n v="0"/>
    <x v="0"/>
    <n v="2"/>
    <n v="2"/>
    <x v="0"/>
    <n v="0"/>
    <x v="0"/>
    <n v="0"/>
    <n v="0"/>
    <x v="0"/>
    <n v="0"/>
    <n v="0"/>
    <x v="1"/>
    <n v="2"/>
    <x v="2"/>
    <n v="1"/>
    <x v="1"/>
    <n v="0"/>
    <x v="0"/>
    <n v="0"/>
    <x v="0"/>
    <n v="0"/>
    <x v="1"/>
    <n v="0"/>
    <x v="0"/>
    <n v="0"/>
    <x v="0"/>
  </r>
  <r>
    <n v="1"/>
    <s v="M"/>
    <n v="17"/>
    <n v="17"/>
    <n v="17"/>
    <x v="0"/>
    <n v="0"/>
    <x v="1"/>
    <n v="0"/>
    <x v="0"/>
    <n v="2"/>
    <n v="1"/>
    <x v="0"/>
    <n v="4"/>
    <n v="2"/>
    <x v="0"/>
    <n v="3"/>
    <x v="2"/>
    <n v="0"/>
    <x v="0"/>
    <n v="2"/>
    <n v="2"/>
    <x v="0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23"/>
    <n v="23"/>
    <n v="23"/>
    <x v="0"/>
    <n v="0"/>
    <x v="1"/>
    <n v="1"/>
    <x v="1"/>
    <n v="2"/>
    <n v="1"/>
    <x v="0"/>
    <n v="3"/>
    <n v="2"/>
    <x v="0"/>
    <n v="1"/>
    <x v="0"/>
    <n v="0"/>
    <x v="0"/>
    <n v="3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19"/>
    <n v="19"/>
    <n v="19"/>
    <x v="0"/>
    <n v="0"/>
    <x v="1"/>
    <n v="1"/>
    <x v="1"/>
    <n v="2"/>
    <n v="1"/>
    <x v="0"/>
    <n v="3"/>
    <n v="2"/>
    <x v="0"/>
    <n v="2"/>
    <x v="1"/>
    <n v="0"/>
    <x v="0"/>
    <n v="1"/>
    <n v="1"/>
    <x v="1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5"/>
    <n v="25"/>
    <n v="25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1"/>
    <x v="1"/>
    <n v="0"/>
    <x v="1"/>
    <n v="0"/>
    <x v="0"/>
    <n v="0"/>
    <x v="0"/>
  </r>
  <r>
    <n v="0"/>
    <s v="F"/>
    <n v="25"/>
    <n v="25"/>
    <n v="25"/>
    <x v="0"/>
    <n v="0"/>
    <x v="1"/>
    <n v="0"/>
    <x v="0"/>
    <n v="2"/>
    <n v="1"/>
    <x v="0"/>
    <n v="3"/>
    <n v="2"/>
    <x v="0"/>
    <n v="1"/>
    <x v="0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6"/>
    <n v="16"/>
    <n v="16"/>
    <x v="0"/>
    <n v="1"/>
    <x v="0"/>
    <n v="1"/>
    <x v="1"/>
    <n v="2"/>
    <n v="1"/>
    <x v="0"/>
    <n v="1"/>
    <n v="1"/>
    <x v="1"/>
    <n v="2"/>
    <x v="1"/>
    <n v="0"/>
    <x v="0"/>
    <n v="3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4"/>
    <n v="2"/>
    <x v="0"/>
    <n v="3"/>
    <x v="2"/>
    <n v="1"/>
    <x v="1"/>
    <n v="3"/>
    <n v="2"/>
    <x v="0"/>
    <n v="0"/>
    <x v="0"/>
    <n v="3"/>
    <n v="3"/>
    <x v="3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0"/>
    <s v="F"/>
    <n v="32"/>
    <n v="32"/>
    <n v="32"/>
    <x v="1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3"/>
    <n v="1"/>
    <x v="0"/>
    <n v="4"/>
    <n v="2"/>
    <x v="0"/>
    <n v="2"/>
    <x v="1"/>
    <n v="1"/>
    <x v="1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0"/>
    <x v="1"/>
    <n v="0"/>
    <x v="0"/>
    <n v="2"/>
    <n v="1"/>
    <x v="0"/>
    <n v="3"/>
    <n v="2"/>
    <x v="0"/>
    <n v="1"/>
    <x v="0"/>
    <n v="0"/>
    <x v="0"/>
    <n v="3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20"/>
    <n v="20"/>
    <n v="20"/>
    <x v="0"/>
    <n v="1"/>
    <x v="0"/>
    <n v="1"/>
    <x v="1"/>
    <n v="1"/>
    <n v="1"/>
    <x v="0"/>
    <n v="1"/>
    <n v="1"/>
    <x v="1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3"/>
    <x v="2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"/>
    <n v="21"/>
    <n v="21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7"/>
    <n v="17"/>
    <n v="17"/>
    <x v="0"/>
    <n v="0"/>
    <x v="1"/>
    <n v="1"/>
    <x v="1"/>
    <n v="3"/>
    <n v="1"/>
    <x v="0"/>
    <n v="3"/>
    <n v="2"/>
    <x v="0"/>
    <n v="1"/>
    <x v="0"/>
    <n v="0"/>
    <x v="0"/>
    <n v="1"/>
    <n v="1"/>
    <x v="1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0"/>
    <x v="0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6"/>
    <n v="16"/>
    <n v="16"/>
    <x v="0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0"/>
    <x v="1"/>
    <n v="1"/>
    <x v="1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0"/>
    <x v="0"/>
    <n v="2"/>
    <n v="1"/>
    <x v="0"/>
    <n v="3"/>
    <n v="2"/>
    <x v="0"/>
    <n v="2"/>
    <x v="1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1"/>
    <n v="1"/>
    <x v="1"/>
    <n v="1"/>
    <x v="0"/>
    <n v="1"/>
    <x v="1"/>
    <n v="2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16"/>
    <n v="16"/>
    <n v="16"/>
    <x v="0"/>
    <n v="0"/>
    <x v="1"/>
    <n v="0"/>
    <x v="0"/>
    <n v="2"/>
    <n v="1"/>
    <x v="0"/>
    <n v="1"/>
    <n v="1"/>
    <x v="1"/>
    <n v="1"/>
    <x v="0"/>
    <n v="0"/>
    <x v="0"/>
    <n v="1"/>
    <n v="1"/>
    <x v="1"/>
    <n v="0"/>
    <x v="0"/>
    <n v="0"/>
    <n v="0"/>
    <x v="0"/>
    <n v="1"/>
    <n v="1"/>
    <x v="0"/>
    <n v="0"/>
    <x v="0"/>
    <n v="0"/>
    <x v="0"/>
    <n v="0"/>
    <x v="0"/>
    <n v="0"/>
    <x v="0"/>
    <n v="0"/>
    <x v="1"/>
    <n v="1"/>
    <x v="1"/>
    <n v="0"/>
    <x v="0"/>
  </r>
  <r>
    <n v="0"/>
    <s v="F"/>
    <n v="21"/>
    <n v="21"/>
    <n v="21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0"/>
    <n v="0"/>
    <x v="0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3"/>
    <n v="1"/>
    <x v="0"/>
    <n v="3"/>
    <n v="2"/>
    <x v="0"/>
    <n v="1"/>
    <x v="0"/>
    <n v="0"/>
    <x v="0"/>
    <n v="3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0"/>
    <x v="1"/>
    <n v="1"/>
    <x v="1"/>
    <n v="2"/>
    <n v="1"/>
    <x v="0"/>
    <n v="3"/>
    <n v="2"/>
    <x v="0"/>
    <n v="1"/>
    <x v="0"/>
    <n v="1"/>
    <x v="1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"/>
    <n v="1"/>
    <x v="0"/>
    <n v="4"/>
    <n v="2"/>
    <x v="0"/>
    <n v="1"/>
    <x v="0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6"/>
    <n v="16"/>
    <n v="16"/>
    <x v="0"/>
    <n v="1"/>
    <x v="0"/>
    <n v="1"/>
    <x v="1"/>
    <n v="3"/>
    <n v="1"/>
    <x v="0"/>
    <n v="3"/>
    <n v="2"/>
    <x v="0"/>
    <n v="3"/>
    <x v="2"/>
    <n v="0"/>
    <x v="0"/>
    <n v="3"/>
    <n v="2"/>
    <x v="0"/>
    <n v="0"/>
    <x v="0"/>
    <n v="3"/>
    <n v="3"/>
    <x v="3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0"/>
    <s v="F"/>
    <n v="16"/>
    <n v="16"/>
    <n v="16"/>
    <x v="0"/>
    <n v="0"/>
    <x v="1"/>
    <n v="1"/>
    <x v="1"/>
    <n v="2"/>
    <n v="1"/>
    <x v="0"/>
    <n v="4"/>
    <n v="2"/>
    <x v="0"/>
    <n v="3"/>
    <x v="2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1"/>
    <x v="1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4"/>
    <n v="24"/>
    <n v="24"/>
    <x v="0"/>
    <n v="1"/>
    <x v="0"/>
    <n v="1"/>
    <x v="1"/>
    <n v="1"/>
    <n v="1"/>
    <x v="0"/>
    <n v="3"/>
    <n v="2"/>
    <x v="0"/>
    <n v="3"/>
    <x v="2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1"/>
    <n v="1"/>
    <x v="1"/>
    <n v="2"/>
    <x v="1"/>
    <n v="0"/>
    <x v="0"/>
    <n v="1"/>
    <n v="1"/>
    <x v="1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1"/>
    <x v="1"/>
    <n v="3"/>
    <n v="1"/>
    <x v="0"/>
    <n v="4"/>
    <n v="2"/>
    <x v="0"/>
    <n v="3"/>
    <x v="2"/>
    <n v="0"/>
    <x v="0"/>
    <n v="3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6"/>
    <n v="16"/>
    <n v="16"/>
    <x v="0"/>
    <n v="0"/>
    <x v="1"/>
    <n v="0"/>
    <x v="0"/>
    <n v="2"/>
    <n v="1"/>
    <x v="0"/>
    <n v="1"/>
    <n v="1"/>
    <x v="1"/>
    <n v="1"/>
    <x v="0"/>
    <n v="0"/>
    <x v="0"/>
    <n v="1"/>
    <n v="1"/>
    <x v="1"/>
    <n v="0"/>
    <x v="0"/>
    <n v="0"/>
    <n v="0"/>
    <x v="0"/>
    <n v="1"/>
    <n v="1"/>
    <x v="0"/>
    <n v="0"/>
    <x v="0"/>
    <n v="0"/>
    <x v="0"/>
    <n v="0"/>
    <x v="0"/>
    <n v="0"/>
    <x v="0"/>
    <n v="0"/>
    <x v="1"/>
    <n v="1"/>
    <x v="1"/>
    <n v="0"/>
    <x v="0"/>
  </r>
  <r>
    <n v="1"/>
    <s v="M"/>
    <n v="17"/>
    <n v="17"/>
    <n v="17"/>
    <x v="0"/>
    <n v="1"/>
    <x v="0"/>
    <n v="1"/>
    <x v="1"/>
    <n v="2"/>
    <n v="1"/>
    <x v="0"/>
    <n v="4"/>
    <n v="2"/>
    <x v="0"/>
    <n v="2"/>
    <x v="1"/>
    <n v="0"/>
    <x v="0"/>
    <n v="2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0"/>
    <x v="1"/>
    <n v="1"/>
    <x v="1"/>
    <n v="2"/>
    <n v="1"/>
    <x v="0"/>
    <n v="3"/>
    <n v="2"/>
    <x v="0"/>
    <n v="3"/>
    <x v="2"/>
    <n v="0"/>
    <x v="0"/>
    <n v="2"/>
    <n v="2"/>
    <x v="0"/>
    <n v="0"/>
    <x v="0"/>
    <n v="3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6"/>
    <n v="16"/>
    <n v="16"/>
    <x v="0"/>
    <n v="0"/>
    <x v="1"/>
    <n v="1"/>
    <x v="1"/>
    <n v="3"/>
    <n v="1"/>
    <x v="0"/>
    <n v="3"/>
    <n v="2"/>
    <x v="0"/>
    <n v="1"/>
    <x v="0"/>
    <n v="0"/>
    <x v="0"/>
    <n v="1"/>
    <n v="1"/>
    <x v="1"/>
    <n v="0"/>
    <x v="0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1"/>
    <n v="1"/>
    <x v="0"/>
    <n v="3"/>
    <n v="2"/>
    <x v="0"/>
    <n v="3"/>
    <x v="2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6"/>
    <n v="26"/>
    <n v="26"/>
    <x v="1"/>
    <n v="0"/>
    <x v="1"/>
    <n v="1"/>
    <x v="1"/>
    <n v="3"/>
    <n v="1"/>
    <x v="0"/>
    <n v="3"/>
    <n v="2"/>
    <x v="0"/>
    <n v="1"/>
    <x v="0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1"/>
    <s v="M"/>
    <n v="26"/>
    <n v="26"/>
    <n v="26"/>
    <x v="1"/>
    <n v="0"/>
    <x v="1"/>
    <n v="1"/>
    <x v="1"/>
    <n v="2"/>
    <n v="1"/>
    <x v="0"/>
    <n v="3"/>
    <n v="2"/>
    <x v="0"/>
    <n v="3"/>
    <x v="2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8"/>
    <n v="38"/>
    <n v="38"/>
    <x v="1"/>
    <n v="1"/>
    <x v="0"/>
    <n v="0"/>
    <x v="0"/>
    <n v="3"/>
    <n v="1"/>
    <x v="0"/>
    <n v="3"/>
    <n v="2"/>
    <x v="0"/>
    <n v="2"/>
    <x v="1"/>
    <n v="0"/>
    <x v="0"/>
    <n v="1"/>
    <n v="1"/>
    <x v="1"/>
    <n v="0"/>
    <x v="0"/>
    <n v="2"/>
    <n v="2"/>
    <x v="1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0"/>
    <x v="1"/>
    <n v="1"/>
    <x v="1"/>
    <n v="3"/>
    <n v="1"/>
    <x v="0"/>
    <n v="4"/>
    <n v="2"/>
    <x v="0"/>
    <n v="1"/>
    <x v="0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5"/>
    <n v="25"/>
    <n v="25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7"/>
    <n v="27"/>
    <n v="27"/>
    <x v="1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1"/>
    <n v="1"/>
    <x v="1"/>
    <n v="3"/>
    <x v="2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38"/>
    <n v="38"/>
    <n v="38"/>
    <x v="1"/>
    <n v="1"/>
    <x v="0"/>
    <n v="0"/>
    <x v="0"/>
    <n v="3"/>
    <n v="1"/>
    <x v="0"/>
    <n v="3"/>
    <n v="2"/>
    <x v="0"/>
    <n v="2"/>
    <x v="1"/>
    <n v="0"/>
    <x v="0"/>
    <n v="1"/>
    <n v="1"/>
    <x v="1"/>
    <n v="0"/>
    <x v="0"/>
    <n v="3"/>
    <n v="3"/>
    <x v="3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0"/>
    <x v="1"/>
    <n v="0"/>
    <x v="0"/>
    <n v="3"/>
    <n v="1"/>
    <x v="0"/>
    <n v="3"/>
    <n v="2"/>
    <x v="0"/>
    <n v="2"/>
    <x v="1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0"/>
    <n v="30"/>
    <n v="30"/>
    <x v="1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0"/>
    <x v="0"/>
    <n v="3"/>
    <n v="1"/>
    <x v="0"/>
    <n v="4"/>
    <n v="2"/>
    <x v="0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0"/>
    <x v="0"/>
    <n v="3"/>
    <n v="1"/>
    <x v="0"/>
    <n v="1"/>
    <n v="1"/>
    <x v="1"/>
    <n v="1"/>
    <x v="0"/>
    <n v="0"/>
    <x v="0"/>
    <n v="3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0"/>
    <s v="F"/>
    <n v="19"/>
    <n v="19"/>
    <n v="19"/>
    <x v="0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17"/>
    <n v="17"/>
    <n v="17"/>
    <x v="0"/>
    <n v="0"/>
    <x v="1"/>
    <n v="1"/>
    <x v="1"/>
    <n v="3"/>
    <n v="1"/>
    <x v="0"/>
    <n v="4"/>
    <n v="2"/>
    <x v="0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0"/>
    <s v="F"/>
    <n v="23"/>
    <n v="23"/>
    <n v="23"/>
    <x v="0"/>
    <n v="0"/>
    <x v="1"/>
    <n v="0"/>
    <x v="0"/>
    <n v="3"/>
    <n v="1"/>
    <x v="0"/>
    <n v="4"/>
    <n v="2"/>
    <x v="0"/>
    <n v="3"/>
    <x v="2"/>
    <n v="0"/>
    <x v="0"/>
    <n v="3"/>
    <n v="2"/>
    <x v="0"/>
    <n v="1"/>
    <x v="1"/>
    <n v="3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2"/>
    <x v="1"/>
    <n v="0"/>
    <x v="0"/>
    <n v="2"/>
    <n v="2"/>
    <x v="0"/>
    <n v="1"/>
    <x v="1"/>
    <n v="1"/>
    <n v="1"/>
    <x v="2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1"/>
    <n v="1"/>
    <x v="0"/>
    <n v="4"/>
    <n v="2"/>
    <x v="0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0"/>
    <x v="1"/>
    <n v="1"/>
    <x v="1"/>
    <n v="0"/>
    <x v="0"/>
  </r>
  <r>
    <n v="0"/>
    <s v="F"/>
    <n v="17"/>
    <n v="17"/>
    <n v="17"/>
    <x v="0"/>
    <n v="0"/>
    <x v="1"/>
    <n v="1"/>
    <x v="1"/>
    <n v="3"/>
    <n v="1"/>
    <x v="0"/>
    <n v="1"/>
    <n v="1"/>
    <x v="1"/>
    <n v="1"/>
    <x v="0"/>
    <n v="0"/>
    <x v="0"/>
    <n v="2"/>
    <n v="2"/>
    <x v="0"/>
    <n v="1"/>
    <x v="1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0"/>
    <x v="0"/>
    <n v="2"/>
    <n v="1"/>
    <x v="0"/>
    <n v="3"/>
    <n v="2"/>
    <x v="0"/>
    <n v="1"/>
    <x v="0"/>
    <n v="0"/>
    <x v="0"/>
    <n v="1"/>
    <n v="1"/>
    <x v="1"/>
    <n v="1"/>
    <x v="1"/>
    <n v="2"/>
    <n v="2"/>
    <x v="1"/>
    <n v="0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0"/>
    <x v="0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17"/>
    <n v="17"/>
    <n v="17"/>
    <x v="0"/>
    <n v="0"/>
    <x v="1"/>
    <n v="1"/>
    <x v="1"/>
    <n v="3"/>
    <n v="1"/>
    <x v="0"/>
    <n v="3"/>
    <n v="2"/>
    <x v="0"/>
    <n v="3"/>
    <x v="2"/>
    <n v="0"/>
    <x v="0"/>
    <n v="2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0"/>
    <x v="0"/>
    <n v="3"/>
    <n v="1"/>
    <x v="0"/>
    <n v="3"/>
    <n v="2"/>
    <x v="0"/>
    <n v="3"/>
    <x v="2"/>
    <n v="0"/>
    <x v="0"/>
    <n v="1"/>
    <n v="1"/>
    <x v="1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0"/>
    <x v="1"/>
    <n v="1"/>
    <x v="1"/>
    <n v="0"/>
    <x v="0"/>
  </r>
  <r>
    <n v="1"/>
    <s v="M"/>
    <n v="20"/>
    <n v="20"/>
    <n v="20"/>
    <x v="0"/>
    <n v="1"/>
    <x v="0"/>
    <n v="1"/>
    <x v="1"/>
    <n v="2"/>
    <n v="1"/>
    <x v="0"/>
    <n v="3"/>
    <n v="2"/>
    <x v="0"/>
    <n v="3"/>
    <x v="2"/>
    <n v="0"/>
    <x v="0"/>
    <n v="3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17"/>
    <n v="17"/>
    <n v="17"/>
    <x v="0"/>
    <n v="1"/>
    <x v="0"/>
    <n v="0"/>
    <x v="0"/>
    <n v="2"/>
    <n v="1"/>
    <x v="0"/>
    <n v="3"/>
    <n v="2"/>
    <x v="0"/>
    <n v="1"/>
    <x v="0"/>
    <n v="0"/>
    <x v="0"/>
    <n v="1"/>
    <n v="1"/>
    <x v="1"/>
    <n v="0"/>
    <x v="0"/>
    <n v="3"/>
    <n v="3"/>
    <x v="3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0"/>
    <s v="F"/>
    <n v="26"/>
    <n v="26"/>
    <n v="26"/>
    <x v="1"/>
    <n v="0"/>
    <x v="1"/>
    <n v="0"/>
    <x v="0"/>
    <n v="3"/>
    <n v="1"/>
    <x v="0"/>
    <n v="4"/>
    <n v="2"/>
    <x v="0"/>
    <n v="3"/>
    <x v="2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0"/>
    <x v="1"/>
    <n v="1"/>
    <x v="1"/>
    <n v="0"/>
    <x v="0"/>
  </r>
  <r>
    <n v="0"/>
    <s v="F"/>
    <n v="17"/>
    <n v="17"/>
    <n v="17"/>
    <x v="0"/>
    <n v="0"/>
    <x v="1"/>
    <n v="1"/>
    <x v="1"/>
    <n v="1"/>
    <n v="1"/>
    <x v="0"/>
    <n v="3"/>
    <n v="2"/>
    <x v="0"/>
    <n v="1"/>
    <x v="0"/>
    <n v="0"/>
    <x v="0"/>
    <n v="1"/>
    <n v="1"/>
    <x v="1"/>
    <n v="0"/>
    <x v="0"/>
    <n v="2"/>
    <n v="2"/>
    <x v="1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0"/>
    <s v="F"/>
    <n v="24"/>
    <n v="24"/>
    <n v="24"/>
    <x v="0"/>
    <n v="1"/>
    <x v="0"/>
    <n v="1"/>
    <x v="1"/>
    <n v="1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17"/>
    <n v="17"/>
    <n v="17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7"/>
    <n v="27"/>
    <n v="27"/>
    <x v="1"/>
    <n v="0"/>
    <x v="1"/>
    <n v="1"/>
    <x v="1"/>
    <n v="3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0"/>
    <x v="0"/>
    <n v="3"/>
    <n v="3"/>
    <x v="3"/>
    <n v="1"/>
    <n v="1"/>
    <x v="0"/>
    <n v="0"/>
    <x v="0"/>
    <n v="0"/>
    <x v="0"/>
    <n v="0"/>
    <x v="0"/>
    <n v="0"/>
    <x v="0"/>
    <n v="0"/>
    <x v="1"/>
    <n v="1"/>
    <x v="1"/>
    <n v="0"/>
    <x v="0"/>
  </r>
  <r>
    <n v="0"/>
    <s v="F"/>
    <n v="17"/>
    <n v="17"/>
    <n v="17"/>
    <x v="0"/>
    <n v="1"/>
    <x v="0"/>
    <n v="1"/>
    <x v="1"/>
    <n v="1"/>
    <n v="1"/>
    <x v="0"/>
    <n v="3"/>
    <n v="2"/>
    <x v="0"/>
    <n v="1"/>
    <x v="0"/>
    <n v="0"/>
    <x v="0"/>
    <n v="1"/>
    <n v="1"/>
    <x v="1"/>
    <n v="0"/>
    <x v="0"/>
    <n v="1"/>
    <n v="1"/>
    <x v="2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41"/>
    <n v="41"/>
    <n v="41"/>
    <x v="1"/>
    <n v="1"/>
    <x v="0"/>
    <n v="0"/>
    <x v="0"/>
    <n v="2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2"/>
    <x v="2"/>
    <n v="1"/>
    <x v="1"/>
    <n v="0"/>
    <x v="0"/>
    <n v="0"/>
    <x v="0"/>
    <n v="0"/>
    <x v="1"/>
    <n v="0"/>
    <x v="0"/>
    <n v="1"/>
    <x v="1"/>
  </r>
  <r>
    <n v="0"/>
    <s v="F"/>
    <n v="33"/>
    <n v="33"/>
    <n v="33"/>
    <x v="1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40"/>
    <n v="40"/>
    <n v="40"/>
    <x v="1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7"/>
    <n v="37"/>
    <n v="37"/>
    <x v="1"/>
    <n v="1"/>
    <x v="0"/>
    <n v="0"/>
    <x v="0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4"/>
    <n v="24"/>
    <n v="24"/>
    <x v="0"/>
    <n v="1"/>
    <x v="0"/>
    <n v="1"/>
    <x v="1"/>
    <n v="2"/>
    <n v="1"/>
    <x v="0"/>
    <n v="1"/>
    <n v="1"/>
    <x v="1"/>
    <n v="3"/>
    <x v="2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4"/>
    <n v="24"/>
    <n v="24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1"/>
    <x v="1"/>
    <n v="0"/>
    <x v="1"/>
    <n v="0"/>
    <x v="0"/>
    <n v="0"/>
    <x v="0"/>
  </r>
  <r>
    <n v="1"/>
    <s v="M"/>
    <n v="33"/>
    <n v="33"/>
    <n v="33"/>
    <x v="1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3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40"/>
    <n v="40"/>
    <n v="40"/>
    <x v="1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37"/>
    <n v="37"/>
    <n v="37"/>
    <x v="1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0"/>
    <n v="20"/>
    <n v="20"/>
    <x v="0"/>
    <n v="0"/>
    <x v="1"/>
    <n v="0"/>
    <x v="0"/>
    <n v="3"/>
    <n v="1"/>
    <x v="0"/>
    <n v="3"/>
    <n v="2"/>
    <x v="0"/>
    <n v="2"/>
    <x v="1"/>
    <n v="0"/>
    <x v="0"/>
    <n v="2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3"/>
    <n v="1"/>
    <x v="0"/>
    <n v="1"/>
    <n v="1"/>
    <x v="1"/>
    <n v="3"/>
    <x v="2"/>
    <n v="0"/>
    <x v="0"/>
    <n v="2"/>
    <n v="2"/>
    <x v="0"/>
    <n v="1"/>
    <x v="1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3"/>
    <n v="1"/>
    <x v="0"/>
    <n v="3"/>
    <n v="2"/>
    <x v="0"/>
    <n v="1"/>
    <x v="0"/>
    <n v="0"/>
    <x v="0"/>
    <n v="1"/>
    <n v="1"/>
    <x v="1"/>
    <n v="0"/>
    <x v="0"/>
    <n v="0"/>
    <n v="0"/>
    <x v="0"/>
    <n v="2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1"/>
    <n v="21"/>
    <n v="21"/>
    <x v="0"/>
    <n v="0"/>
    <x v="1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4"/>
    <n v="2"/>
    <x v="0"/>
    <n v="2"/>
    <x v="1"/>
    <n v="0"/>
    <x v="0"/>
    <n v="2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41"/>
    <n v="41"/>
    <n v="41"/>
    <x v="1"/>
    <n v="1"/>
    <x v="0"/>
    <n v="1"/>
    <x v="1"/>
    <n v="2"/>
    <n v="1"/>
    <x v="0"/>
    <n v="1"/>
    <n v="1"/>
    <x v="1"/>
    <n v="2"/>
    <x v="1"/>
    <n v="0"/>
    <x v="0"/>
    <n v="3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6"/>
    <n v="36"/>
    <n v="36"/>
    <x v="1"/>
    <n v="1"/>
    <x v="0"/>
    <n v="0"/>
    <x v="0"/>
    <n v="3"/>
    <n v="1"/>
    <x v="0"/>
    <n v="3"/>
    <n v="2"/>
    <x v="0"/>
    <n v="1"/>
    <x v="0"/>
    <n v="0"/>
    <x v="0"/>
    <n v="1"/>
    <n v="1"/>
    <x v="1"/>
    <n v="0"/>
    <x v="0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0"/>
    <x v="1"/>
    <n v="0"/>
    <x v="0"/>
    <n v="2"/>
    <n v="1"/>
    <x v="0"/>
    <n v="4"/>
    <n v="2"/>
    <x v="0"/>
    <n v="2"/>
    <x v="1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3"/>
    <n v="1"/>
    <x v="0"/>
    <n v="3"/>
    <n v="2"/>
    <x v="0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1"/>
    <s v="M"/>
    <n v="25"/>
    <n v="25"/>
    <n v="25"/>
    <x v="0"/>
    <n v="0"/>
    <x v="1"/>
    <n v="1"/>
    <x v="1"/>
    <n v="3"/>
    <n v="1"/>
    <x v="0"/>
    <n v="3"/>
    <n v="2"/>
    <x v="0"/>
    <n v="1"/>
    <x v="0"/>
    <n v="0"/>
    <x v="0"/>
    <n v="3"/>
    <n v="2"/>
    <x v="0"/>
    <n v="1"/>
    <x v="1"/>
    <n v="3"/>
    <n v="3"/>
    <x v="3"/>
    <n v="0"/>
    <n v="0"/>
    <x v="1"/>
    <n v="0"/>
    <x v="0"/>
    <n v="0"/>
    <x v="0"/>
    <n v="0"/>
    <x v="0"/>
    <n v="1"/>
    <x v="1"/>
    <n v="0"/>
    <x v="1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9"/>
    <n v="29"/>
    <n v="29"/>
    <x v="1"/>
    <n v="1"/>
    <x v="0"/>
    <n v="0"/>
    <x v="0"/>
    <n v="2"/>
    <n v="1"/>
    <x v="0"/>
    <n v="3"/>
    <n v="2"/>
    <x v="0"/>
    <n v="2"/>
    <x v="1"/>
    <n v="0"/>
    <x v="0"/>
    <n v="1"/>
    <n v="1"/>
    <x v="1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1"/>
    <x v="1"/>
    <n v="0"/>
    <x v="0"/>
    <n v="0"/>
    <x v="0"/>
    <n v="0"/>
    <x v="1"/>
    <n v="0"/>
    <x v="0"/>
    <n v="1"/>
    <x v="1"/>
  </r>
  <r>
    <n v="0"/>
    <s v="F"/>
    <n v="18"/>
    <n v="18"/>
    <n v="18"/>
    <x v="0"/>
    <n v="1"/>
    <x v="0"/>
    <n v="1"/>
    <x v="1"/>
    <n v="3"/>
    <n v="1"/>
    <x v="0"/>
    <n v="1"/>
    <n v="1"/>
    <x v="1"/>
    <n v="1"/>
    <x v="0"/>
    <n v="0"/>
    <x v="0"/>
    <n v="1"/>
    <n v="1"/>
    <x v="1"/>
    <n v="1"/>
    <x v="1"/>
    <n v="0"/>
    <n v="0"/>
    <x v="0"/>
    <n v="2"/>
    <n v="2"/>
    <x v="2"/>
    <n v="0"/>
    <x v="0"/>
    <n v="0"/>
    <x v="0"/>
    <n v="0"/>
    <x v="0"/>
    <n v="0"/>
    <x v="0"/>
    <n v="0"/>
    <x v="1"/>
    <n v="1"/>
    <x v="1"/>
    <n v="0"/>
    <x v="0"/>
  </r>
  <r>
    <n v="0"/>
    <s v="F"/>
    <n v="16"/>
    <n v="16"/>
    <n v="16"/>
    <x v="0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0"/>
    <x v="0"/>
    <n v="1"/>
    <n v="1"/>
    <x v="0"/>
    <n v="3"/>
    <n v="2"/>
    <x v="0"/>
    <n v="1"/>
    <x v="0"/>
    <n v="0"/>
    <x v="0"/>
    <n v="1"/>
    <n v="1"/>
    <x v="1"/>
    <n v="0"/>
    <x v="0"/>
    <n v="1"/>
    <n v="1"/>
    <x v="2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37"/>
    <n v="37"/>
    <n v="37"/>
    <x v="1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1"/>
    <x v="1"/>
    <n v="0"/>
    <x v="1"/>
    <n v="0"/>
    <x v="0"/>
    <n v="1"/>
    <x v="1"/>
  </r>
  <r>
    <n v="1"/>
    <s v="M"/>
    <n v="18"/>
    <n v="18"/>
    <n v="18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6"/>
    <n v="16"/>
    <n v="16"/>
    <x v="0"/>
    <n v="1"/>
    <x v="0"/>
    <n v="1"/>
    <x v="1"/>
    <n v="1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3"/>
    <n v="2"/>
    <x v="0"/>
    <n v="3"/>
    <x v="2"/>
    <n v="0"/>
    <x v="0"/>
    <n v="3"/>
    <n v="2"/>
    <x v="0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18"/>
    <n v="18"/>
    <n v="18"/>
    <x v="0"/>
    <n v="0"/>
    <x v="1"/>
    <n v="0"/>
    <x v="0"/>
    <n v="3"/>
    <n v="1"/>
    <x v="0"/>
    <n v="3"/>
    <n v="2"/>
    <x v="0"/>
    <n v="2"/>
    <x v="1"/>
    <n v="0"/>
    <x v="0"/>
    <n v="3"/>
    <n v="2"/>
    <x v="0"/>
    <n v="0"/>
    <x v="0"/>
    <n v="2"/>
    <n v="2"/>
    <x v="1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1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7"/>
    <n v="17"/>
    <n v="17"/>
    <x v="0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1"/>
    <x v="0"/>
    <n v="1"/>
    <x v="1"/>
    <n v="1"/>
    <n v="1"/>
    <x v="0"/>
    <n v="3"/>
    <n v="2"/>
    <x v="0"/>
    <n v="1"/>
    <x v="0"/>
    <n v="0"/>
    <x v="0"/>
    <n v="2"/>
    <n v="2"/>
    <x v="0"/>
    <n v="0"/>
    <x v="0"/>
    <n v="3"/>
    <n v="3"/>
    <x v="3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8"/>
    <n v="38"/>
    <n v="38"/>
    <x v="1"/>
    <n v="1"/>
    <x v="0"/>
    <n v="0"/>
    <x v="0"/>
    <n v="3"/>
    <n v="1"/>
    <x v="0"/>
    <n v="3"/>
    <n v="2"/>
    <x v="0"/>
    <n v="1"/>
    <x v="0"/>
    <n v="0"/>
    <x v="0"/>
    <n v="1"/>
    <n v="1"/>
    <x v="1"/>
    <n v="0"/>
    <x v="0"/>
    <n v="2"/>
    <n v="2"/>
    <x v="1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1"/>
    <s v="M"/>
    <n v="20"/>
    <n v="20"/>
    <n v="20"/>
    <x v="0"/>
    <n v="0"/>
    <x v="1"/>
    <n v="1"/>
    <x v="1"/>
    <n v="2"/>
    <n v="1"/>
    <x v="0"/>
    <n v="4"/>
    <n v="2"/>
    <x v="0"/>
    <n v="2"/>
    <x v="1"/>
    <n v="0"/>
    <x v="0"/>
    <n v="3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3"/>
    <n v="1"/>
    <x v="0"/>
    <n v="1"/>
    <n v="1"/>
    <x v="1"/>
    <n v="3"/>
    <x v="2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"/>
    <n v="21"/>
    <n v="21"/>
    <x v="0"/>
    <n v="0"/>
    <x v="1"/>
    <n v="0"/>
    <x v="0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1"/>
    <x v="1"/>
    <n v="0"/>
    <x v="1"/>
    <n v="0"/>
    <x v="0"/>
    <n v="0"/>
    <x v="0"/>
  </r>
  <r>
    <n v="1"/>
    <s v="M"/>
    <n v="18"/>
    <n v="18"/>
    <n v="18"/>
    <x v="0"/>
    <n v="1"/>
    <x v="0"/>
    <n v="0"/>
    <x v="0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0"/>
    <x v="1"/>
    <n v="1"/>
    <x v="1"/>
    <n v="2"/>
    <n v="1"/>
    <x v="0"/>
    <n v="3"/>
    <n v="2"/>
    <x v="0"/>
    <n v="3"/>
    <x v="2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1"/>
    <x v="0"/>
    <n v="1"/>
    <x v="1"/>
    <n v="3"/>
    <n v="1"/>
    <x v="0"/>
    <n v="1"/>
    <n v="1"/>
    <x v="1"/>
    <n v="2"/>
    <x v="1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0"/>
    <s v="F"/>
    <n v="26"/>
    <n v="26"/>
    <n v="26"/>
    <x v="1"/>
    <n v="1"/>
    <x v="0"/>
    <n v="0"/>
    <x v="0"/>
    <n v="3"/>
    <n v="1"/>
    <x v="0"/>
    <n v="3"/>
    <n v="2"/>
    <x v="0"/>
    <n v="1"/>
    <x v="0"/>
    <n v="0"/>
    <x v="0"/>
    <n v="3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4"/>
    <n v="34"/>
    <n v="34"/>
    <x v="1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0"/>
    <x v="0"/>
    <n v="3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33"/>
    <n v="33"/>
    <n v="33"/>
    <x v="1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3"/>
    <n v="3"/>
    <x v="3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19"/>
    <n v="19"/>
    <n v="19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0"/>
    <x v="0"/>
    <n v="1"/>
    <n v="1"/>
    <x v="2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1"/>
    <s v="M"/>
    <n v="20"/>
    <n v="20"/>
    <n v="20"/>
    <x v="0"/>
    <n v="1"/>
    <x v="0"/>
    <n v="0"/>
    <x v="0"/>
    <n v="3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3"/>
    <n v="33"/>
    <n v="33"/>
    <x v="1"/>
    <n v="1"/>
    <x v="0"/>
    <n v="1"/>
    <x v="1"/>
    <n v="3"/>
    <n v="1"/>
    <x v="0"/>
    <n v="1"/>
    <n v="1"/>
    <x v="1"/>
    <n v="1"/>
    <x v="0"/>
    <n v="0"/>
    <x v="0"/>
    <n v="3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0"/>
    <x v="1"/>
    <n v="0"/>
    <x v="0"/>
    <n v="3"/>
    <n v="1"/>
    <x v="0"/>
    <n v="3"/>
    <n v="2"/>
    <x v="0"/>
    <n v="1"/>
    <x v="0"/>
    <n v="0"/>
    <x v="0"/>
    <n v="2"/>
    <n v="2"/>
    <x v="0"/>
    <n v="1"/>
    <x v="1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"/>
    <n v="33"/>
    <n v="33"/>
    <x v="1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3"/>
    <n v="33"/>
    <n v="33"/>
    <x v="1"/>
    <n v="0"/>
    <x v="1"/>
    <n v="0"/>
    <x v="0"/>
    <n v="2"/>
    <n v="1"/>
    <x v="0"/>
    <n v="3"/>
    <n v="2"/>
    <x v="0"/>
    <n v="1"/>
    <x v="0"/>
    <n v="0"/>
    <x v="0"/>
    <n v="2"/>
    <n v="2"/>
    <x v="0"/>
    <n v="1"/>
    <x v="1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"/>
    <n v="33"/>
    <n v="33"/>
    <x v="1"/>
    <n v="1"/>
    <x v="0"/>
    <n v="1"/>
    <x v="1"/>
    <n v="2"/>
    <n v="1"/>
    <x v="0"/>
    <n v="1"/>
    <n v="1"/>
    <x v="1"/>
    <n v="3"/>
    <x v="2"/>
    <n v="0"/>
    <x v="0"/>
    <n v="2"/>
    <n v="2"/>
    <x v="0"/>
    <n v="0"/>
    <x v="0"/>
    <n v="1"/>
    <n v="1"/>
    <x v="2"/>
    <n v="2"/>
    <n v="2"/>
    <x v="2"/>
    <n v="2"/>
    <x v="2"/>
    <n v="1"/>
    <x v="1"/>
    <n v="0"/>
    <x v="0"/>
    <n v="0"/>
    <x v="0"/>
    <n v="0"/>
    <x v="1"/>
    <n v="0"/>
    <x v="0"/>
    <n v="1"/>
    <x v="1"/>
  </r>
  <r>
    <n v="1"/>
    <s v="M"/>
    <n v="14"/>
    <n v="14"/>
    <n v="14"/>
    <x v="0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0"/>
    <x v="1"/>
    <n v="1"/>
    <x v="1"/>
    <n v="0"/>
    <x v="0"/>
  </r>
  <r>
    <n v="1"/>
    <s v="M"/>
    <n v="34"/>
    <n v="34"/>
    <n v="34"/>
    <x v="1"/>
    <n v="0"/>
    <x v="1"/>
    <n v="1"/>
    <x v="1"/>
    <n v="3"/>
    <n v="1"/>
    <x v="0"/>
    <n v="3"/>
    <n v="2"/>
    <x v="0"/>
    <n v="1"/>
    <x v="0"/>
    <n v="0"/>
    <x v="0"/>
    <n v="1"/>
    <n v="1"/>
    <x v="1"/>
    <n v="1"/>
    <x v="1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9"/>
    <n v="29"/>
    <n v="29"/>
    <x v="1"/>
    <n v="1"/>
    <x v="0"/>
    <n v="1"/>
    <x v="1"/>
    <n v="1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3"/>
    <n v="1"/>
    <x v="0"/>
    <n v="4"/>
    <n v="2"/>
    <x v="0"/>
    <n v="1"/>
    <x v="0"/>
    <n v="0"/>
    <x v="0"/>
    <n v="2"/>
    <n v="2"/>
    <x v="0"/>
    <n v="1"/>
    <x v="1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4"/>
    <n v="2"/>
    <x v="0"/>
    <n v="1"/>
    <x v="0"/>
    <n v="0"/>
    <x v="0"/>
    <n v="2"/>
    <n v="2"/>
    <x v="0"/>
    <n v="1"/>
    <x v="1"/>
    <n v="2"/>
    <n v="2"/>
    <x v="1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2"/>
    <n v="2"/>
    <x v="1"/>
    <n v="0"/>
    <n v="0"/>
    <x v="1"/>
    <n v="1"/>
    <x v="1"/>
    <n v="0"/>
    <x v="0"/>
    <n v="1"/>
    <x v="1"/>
    <n v="0"/>
    <x v="0"/>
    <n v="0"/>
    <x v="1"/>
    <n v="0"/>
    <x v="0"/>
    <n v="0"/>
    <x v="0"/>
  </r>
  <r>
    <n v="1"/>
    <s v="M"/>
    <n v="33"/>
    <n v="33"/>
    <n v="33"/>
    <x v="1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33"/>
    <n v="33"/>
    <n v="33"/>
    <x v="1"/>
    <n v="0"/>
    <x v="1"/>
    <n v="0"/>
    <x v="0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2"/>
    <n v="2"/>
    <x v="2"/>
    <n v="1"/>
    <x v="1"/>
    <n v="0"/>
    <x v="0"/>
    <n v="0"/>
    <x v="0"/>
    <n v="0"/>
    <x v="0"/>
    <n v="0"/>
    <x v="1"/>
    <n v="1"/>
    <x v="1"/>
    <n v="0"/>
    <x v="0"/>
  </r>
  <r>
    <n v="0"/>
    <s v="F"/>
    <n v="19"/>
    <n v="19"/>
    <n v="19"/>
    <x v="0"/>
    <n v="1"/>
    <x v="0"/>
    <n v="1"/>
    <x v="1"/>
    <n v="2"/>
    <n v="1"/>
    <x v="0"/>
    <n v="3"/>
    <n v="2"/>
    <x v="0"/>
    <n v="3"/>
    <x v="2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0"/>
    <x v="1"/>
    <n v="0"/>
    <x v="0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0"/>
    <x v="1"/>
    <n v="1"/>
    <x v="1"/>
    <n v="3"/>
    <n v="1"/>
    <x v="0"/>
    <n v="3"/>
    <n v="2"/>
    <x v="0"/>
    <n v="0"/>
    <x v="3"/>
    <n v="0"/>
    <x v="0"/>
    <n v="2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3"/>
    <n v="1"/>
    <x v="0"/>
    <n v="1"/>
    <n v="1"/>
    <x v="1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1"/>
    <x v="1"/>
    <n v="2"/>
    <n v="1"/>
    <x v="0"/>
    <n v="3"/>
    <n v="2"/>
    <x v="0"/>
    <n v="2"/>
    <x v="1"/>
    <n v="0"/>
    <x v="0"/>
    <n v="1"/>
    <n v="1"/>
    <x v="1"/>
    <n v="1"/>
    <x v="1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0"/>
    <x v="1"/>
    <n v="1"/>
    <x v="1"/>
    <n v="2"/>
    <n v="1"/>
    <x v="0"/>
    <n v="4"/>
    <n v="2"/>
    <x v="0"/>
    <n v="2"/>
    <x v="1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3"/>
    <n v="1"/>
    <x v="0"/>
    <n v="3"/>
    <n v="2"/>
    <x v="0"/>
    <n v="2"/>
    <x v="1"/>
    <n v="0"/>
    <x v="0"/>
    <n v="1"/>
    <n v="1"/>
    <x v="1"/>
    <n v="0"/>
    <x v="0"/>
    <n v="2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4"/>
    <n v="2"/>
    <x v="0"/>
    <n v="2"/>
    <x v="1"/>
    <n v="0"/>
    <x v="0"/>
    <n v="2"/>
    <n v="2"/>
    <x v="0"/>
    <n v="0"/>
    <x v="0"/>
    <n v="3"/>
    <n v="3"/>
    <x v="3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0"/>
    <s v="F"/>
    <n v="19"/>
    <n v="19"/>
    <n v="19"/>
    <x v="0"/>
    <n v="1"/>
    <x v="0"/>
    <n v="1"/>
    <x v="1"/>
    <n v="2"/>
    <n v="1"/>
    <x v="0"/>
    <n v="1"/>
    <n v="1"/>
    <x v="1"/>
    <n v="1"/>
    <x v="0"/>
    <n v="0"/>
    <x v="0"/>
    <n v="3"/>
    <n v="2"/>
    <x v="0"/>
    <n v="0"/>
    <x v="0"/>
    <n v="3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2"/>
    <x v="2"/>
    <n v="1"/>
    <x v="1"/>
    <n v="0"/>
    <x v="0"/>
    <n v="0"/>
    <x v="0"/>
    <n v="0"/>
    <x v="1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1"/>
    <n v="1"/>
    <x v="1"/>
    <n v="3"/>
    <x v="2"/>
    <n v="0"/>
    <x v="0"/>
    <n v="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0"/>
    <s v="F"/>
    <n v="19"/>
    <n v="19"/>
    <n v="19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19"/>
    <n v="19"/>
    <n v="19"/>
    <x v="0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18"/>
    <n v="18"/>
    <n v="18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0"/>
    <x v="0"/>
    <n v="1"/>
    <n v="1"/>
    <x v="2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2"/>
    <n v="1"/>
    <x v="0"/>
    <n v="4"/>
    <n v="2"/>
    <x v="0"/>
    <n v="1"/>
    <x v="0"/>
    <n v="0"/>
    <x v="0"/>
    <n v="1"/>
    <n v="1"/>
    <x v="1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1"/>
    <x v="1"/>
    <n v="2"/>
    <n v="1"/>
    <x v="0"/>
    <n v="4"/>
    <n v="2"/>
    <x v="0"/>
    <n v="1"/>
    <x v="0"/>
    <n v="0"/>
    <x v="0"/>
    <n v="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4"/>
    <n v="24"/>
    <n v="24"/>
    <x v="0"/>
    <n v="1"/>
    <x v="0"/>
    <n v="1"/>
    <x v="1"/>
    <n v="3"/>
    <n v="1"/>
    <x v="0"/>
    <n v="1"/>
    <n v="1"/>
    <x v="1"/>
    <n v="1"/>
    <x v="0"/>
    <n v="0"/>
    <x v="0"/>
    <n v="1"/>
    <n v="1"/>
    <x v="1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1"/>
    <x v="0"/>
    <n v="1"/>
    <x v="1"/>
    <n v="1"/>
    <n v="1"/>
    <x v="0"/>
    <n v="3"/>
    <n v="2"/>
    <x v="0"/>
    <n v="1"/>
    <x v="0"/>
    <n v="0"/>
    <x v="0"/>
    <n v="2"/>
    <n v="2"/>
    <x v="0"/>
    <n v="0"/>
    <x v="0"/>
    <n v="2"/>
    <n v="2"/>
    <x v="1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0"/>
    <x v="0"/>
    <n v="2"/>
    <n v="1"/>
    <x v="0"/>
    <n v="3"/>
    <n v="2"/>
    <x v="0"/>
    <n v="2"/>
    <x v="1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0"/>
    <x v="0"/>
    <n v="3"/>
    <n v="1"/>
    <x v="0"/>
    <n v="3"/>
    <n v="2"/>
    <x v="0"/>
    <n v="0"/>
    <x v="3"/>
    <n v="0"/>
    <x v="0"/>
    <n v="2"/>
    <n v="2"/>
    <x v="0"/>
    <n v="0"/>
    <x v="0"/>
    <n v="2"/>
    <n v="2"/>
    <x v="1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18"/>
    <n v="18"/>
    <n v="18"/>
    <x v="0"/>
    <n v="0"/>
    <x v="1"/>
    <n v="1"/>
    <x v="1"/>
    <n v="3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0"/>
    <n v="20"/>
    <n v="20"/>
    <x v="0"/>
    <n v="0"/>
    <x v="1"/>
    <n v="1"/>
    <x v="1"/>
    <n v="3"/>
    <n v="1"/>
    <x v="0"/>
    <n v="1"/>
    <n v="1"/>
    <x v="1"/>
    <n v="1"/>
    <x v="0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33"/>
    <n v="33"/>
    <n v="33"/>
    <x v="1"/>
    <n v="0"/>
    <x v="1"/>
    <n v="1"/>
    <x v="1"/>
    <n v="3"/>
    <n v="1"/>
    <x v="0"/>
    <n v="1"/>
    <n v="1"/>
    <x v="1"/>
    <n v="2"/>
    <x v="1"/>
    <n v="0"/>
    <x v="0"/>
    <n v="2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3"/>
    <n v="2"/>
    <x v="0"/>
    <n v="3"/>
    <x v="2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1"/>
    <x v="1"/>
    <n v="2"/>
    <n v="1"/>
    <x v="0"/>
    <n v="3"/>
    <n v="2"/>
    <x v="0"/>
    <n v="2"/>
    <x v="1"/>
    <n v="0"/>
    <x v="0"/>
    <n v="3"/>
    <n v="2"/>
    <x v="0"/>
    <n v="0"/>
    <x v="0"/>
    <n v="1"/>
    <n v="1"/>
    <x v="2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7"/>
    <n v="27"/>
    <n v="27"/>
    <x v="1"/>
    <n v="1"/>
    <x v="0"/>
    <n v="1"/>
    <x v="1"/>
    <n v="2"/>
    <n v="1"/>
    <x v="0"/>
    <n v="1"/>
    <n v="1"/>
    <x v="1"/>
    <n v="3"/>
    <x v="2"/>
    <n v="0"/>
    <x v="0"/>
    <n v="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7"/>
    <n v="17"/>
    <n v="17"/>
    <x v="0"/>
    <n v="1"/>
    <x v="0"/>
    <n v="0"/>
    <x v="0"/>
    <n v="2"/>
    <n v="1"/>
    <x v="0"/>
    <n v="3"/>
    <n v="2"/>
    <x v="0"/>
    <n v="1"/>
    <x v="0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0"/>
    <x v="0"/>
    <n v="3"/>
    <n v="1"/>
    <x v="0"/>
    <n v="4"/>
    <n v="2"/>
    <x v="0"/>
    <n v="3"/>
    <x v="2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0"/>
    <s v="F"/>
    <n v="18"/>
    <n v="18"/>
    <n v="18"/>
    <x v="0"/>
    <n v="1"/>
    <x v="0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2"/>
    <n v="22"/>
    <n v="22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0"/>
    <x v="0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0"/>
    <x v="0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0"/>
    <n v="20"/>
    <n v="20"/>
    <x v="0"/>
    <n v="0"/>
    <x v="1"/>
    <n v="1"/>
    <x v="1"/>
    <n v="3"/>
    <n v="1"/>
    <x v="0"/>
    <n v="3"/>
    <n v="2"/>
    <x v="0"/>
    <n v="2"/>
    <x v="1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3"/>
    <n v="1"/>
    <x v="0"/>
    <n v="1"/>
    <n v="1"/>
    <x v="1"/>
    <n v="1"/>
    <x v="0"/>
    <n v="0"/>
    <x v="0"/>
    <n v="2"/>
    <n v="2"/>
    <x v="0"/>
    <n v="0"/>
    <x v="0"/>
    <n v="0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0"/>
    <x v="1"/>
    <n v="1"/>
    <x v="1"/>
    <n v="2"/>
    <n v="1"/>
    <x v="0"/>
    <n v="3"/>
    <n v="2"/>
    <x v="0"/>
    <n v="2"/>
    <x v="1"/>
    <n v="0"/>
    <x v="0"/>
    <n v="2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1"/>
    <x v="1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0"/>
    <x v="1"/>
    <n v="0"/>
    <x v="0"/>
    <n v="3"/>
    <n v="1"/>
    <x v="0"/>
    <n v="4"/>
    <n v="2"/>
    <x v="0"/>
    <n v="2"/>
    <x v="1"/>
    <n v="0"/>
    <x v="0"/>
    <n v="2"/>
    <n v="2"/>
    <x v="0"/>
    <n v="0"/>
    <x v="0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1"/>
    <n v="1"/>
    <x v="0"/>
    <n v="3"/>
    <n v="2"/>
    <x v="0"/>
    <n v="2"/>
    <x v="1"/>
    <n v="0"/>
    <x v="0"/>
    <n v="1"/>
    <n v="1"/>
    <x v="1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0"/>
    <x v="0"/>
    <n v="2"/>
    <n v="1"/>
    <x v="0"/>
    <n v="1"/>
    <n v="1"/>
    <x v="1"/>
    <n v="1"/>
    <x v="0"/>
    <n v="0"/>
    <x v="0"/>
    <n v="1"/>
    <n v="1"/>
    <x v="1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3"/>
    <n v="1"/>
    <x v="0"/>
    <n v="3"/>
    <n v="2"/>
    <x v="0"/>
    <n v="2"/>
    <x v="1"/>
    <n v="0"/>
    <x v="0"/>
    <n v="1"/>
    <n v="1"/>
    <x v="1"/>
    <n v="1"/>
    <x v="1"/>
    <n v="1"/>
    <n v="1"/>
    <x v="2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0"/>
    <x v="1"/>
    <n v="1"/>
    <x v="1"/>
    <n v="2"/>
    <n v="1"/>
    <x v="0"/>
    <n v="3"/>
    <n v="2"/>
    <x v="0"/>
    <n v="2"/>
    <x v="1"/>
    <n v="0"/>
    <x v="0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7"/>
    <n v="17"/>
    <n v="17"/>
    <x v="0"/>
    <n v="0"/>
    <x v="1"/>
    <n v="1"/>
    <x v="1"/>
    <n v="1"/>
    <n v="1"/>
    <x v="0"/>
    <n v="4"/>
    <n v="2"/>
    <x v="0"/>
    <n v="2"/>
    <x v="1"/>
    <n v="0"/>
    <x v="0"/>
    <n v="2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4"/>
    <n v="2"/>
    <x v="0"/>
    <n v="1"/>
    <x v="0"/>
    <n v="0"/>
    <x v="0"/>
    <n v="1"/>
    <n v="1"/>
    <x v="1"/>
    <n v="1"/>
    <x v="1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"/>
    <n v="20"/>
    <n v="20"/>
    <x v="0"/>
    <n v="1"/>
    <x v="0"/>
    <n v="1"/>
    <x v="1"/>
    <n v="2"/>
    <n v="1"/>
    <x v="0"/>
    <n v="1"/>
    <n v="1"/>
    <x v="1"/>
    <n v="2"/>
    <x v="1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36"/>
    <n v="36"/>
    <n v="36"/>
    <x v="1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2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21"/>
    <n v="21"/>
    <n v="21"/>
    <x v="0"/>
    <n v="1"/>
    <x v="0"/>
    <n v="1"/>
    <x v="1"/>
    <n v="1"/>
    <n v="1"/>
    <x v="0"/>
    <n v="3"/>
    <n v="2"/>
    <x v="0"/>
    <n v="3"/>
    <x v="2"/>
    <n v="0"/>
    <x v="0"/>
    <n v="2"/>
    <n v="2"/>
    <x v="0"/>
    <n v="0"/>
    <x v="0"/>
    <n v="3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0"/>
    <x v="0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0"/>
    <n v="0"/>
    <x v="1"/>
    <n v="0"/>
    <x v="0"/>
    <n v="0"/>
    <x v="0"/>
    <n v="0"/>
    <x v="0"/>
    <n v="1"/>
    <x v="1"/>
    <n v="0"/>
    <x v="1"/>
    <n v="0"/>
    <x v="0"/>
    <n v="1"/>
    <x v="1"/>
  </r>
  <r>
    <n v="1"/>
    <s v="M"/>
    <n v="21"/>
    <n v="21"/>
    <n v="21"/>
    <x v="0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0"/>
    <x v="1"/>
    <n v="1"/>
    <x v="1"/>
    <n v="0"/>
    <x v="0"/>
  </r>
  <r>
    <n v="0"/>
    <s v="F"/>
    <n v="19"/>
    <n v="19"/>
    <n v="19"/>
    <x v="0"/>
    <n v="0"/>
    <x v="1"/>
    <n v="1"/>
    <x v="1"/>
    <n v="2"/>
    <n v="1"/>
    <x v="0"/>
    <n v="1"/>
    <n v="1"/>
    <x v="1"/>
    <n v="1"/>
    <x v="0"/>
    <n v="0"/>
    <x v="0"/>
    <n v="1"/>
    <n v="1"/>
    <x v="1"/>
    <n v="0"/>
    <x v="0"/>
    <n v="0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4"/>
    <n v="24"/>
    <n v="24"/>
    <x v="0"/>
    <n v="0"/>
    <x v="1"/>
    <n v="1"/>
    <x v="1"/>
    <n v="3"/>
    <n v="1"/>
    <x v="0"/>
    <n v="3"/>
    <n v="2"/>
    <x v="0"/>
    <n v="0"/>
    <x v="3"/>
    <n v="0"/>
    <x v="0"/>
    <n v="2"/>
    <n v="2"/>
    <x v="0"/>
    <n v="1"/>
    <x v="1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5"/>
    <n v="25"/>
    <n v="25"/>
    <x v="0"/>
    <n v="0"/>
    <x v="1"/>
    <n v="1"/>
    <x v="1"/>
    <n v="2"/>
    <n v="1"/>
    <x v="0"/>
    <n v="3"/>
    <n v="2"/>
    <x v="0"/>
    <n v="1"/>
    <x v="0"/>
    <n v="1"/>
    <x v="1"/>
    <n v="1"/>
    <n v="1"/>
    <x v="1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45"/>
    <n v="45"/>
    <n v="45"/>
    <x v="1"/>
    <n v="0"/>
    <x v="1"/>
    <n v="1"/>
    <x v="1"/>
    <n v="3"/>
    <n v="1"/>
    <x v="0"/>
    <n v="3"/>
    <n v="2"/>
    <x v="0"/>
    <n v="2"/>
    <x v="1"/>
    <n v="0"/>
    <x v="0"/>
    <n v="1"/>
    <n v="1"/>
    <x v="1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0"/>
    <n v="20"/>
    <n v="20"/>
    <x v="0"/>
    <n v="0"/>
    <x v="1"/>
    <n v="1"/>
    <x v="1"/>
    <n v="2"/>
    <n v="1"/>
    <x v="0"/>
    <n v="3"/>
    <n v="2"/>
    <x v="0"/>
    <n v="2"/>
    <x v="1"/>
    <n v="0"/>
    <x v="0"/>
    <n v="1"/>
    <n v="1"/>
    <x v="1"/>
    <n v="0"/>
    <x v="0"/>
    <n v="2"/>
    <n v="2"/>
    <x v="1"/>
    <n v="0"/>
    <n v="0"/>
    <x v="1"/>
    <n v="1"/>
    <x v="1"/>
    <n v="0"/>
    <x v="0"/>
    <n v="0"/>
    <x v="0"/>
    <n v="1"/>
    <x v="1"/>
    <n v="0"/>
    <x v="1"/>
    <n v="0"/>
    <x v="0"/>
    <n v="0"/>
    <x v="0"/>
  </r>
  <r>
    <n v="0"/>
    <s v="F"/>
    <n v="18"/>
    <n v="18"/>
    <n v="18"/>
    <x v="0"/>
    <n v="0"/>
    <x v="1"/>
    <n v="1"/>
    <x v="1"/>
    <n v="3"/>
    <n v="1"/>
    <x v="0"/>
    <n v="3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"/>
    <n v="19"/>
    <n v="19"/>
    <x v="0"/>
    <n v="1"/>
    <x v="0"/>
    <n v="1"/>
    <x v="1"/>
    <n v="3"/>
    <n v="1"/>
    <x v="0"/>
    <n v="1"/>
    <n v="1"/>
    <x v="1"/>
    <n v="3"/>
    <x v="2"/>
    <n v="0"/>
    <x v="0"/>
    <n v="1"/>
    <n v="1"/>
    <x v="1"/>
    <n v="1"/>
    <x v="1"/>
    <n v="0"/>
    <n v="0"/>
    <x v="0"/>
    <n v="0"/>
    <n v="0"/>
    <x v="1"/>
    <n v="0"/>
    <x v="0"/>
    <n v="0"/>
    <x v="0"/>
    <n v="0"/>
    <x v="0"/>
    <n v="1"/>
    <x v="1"/>
    <n v="0"/>
    <x v="1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0"/>
    <x v="1"/>
    <n v="0"/>
    <x v="0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5196214"/>
    <n v="69"/>
    <n v="69"/>
    <x v="2"/>
    <n v="1"/>
    <x v="0"/>
    <n v="1"/>
    <x v="1"/>
    <n v="3"/>
    <n v="1"/>
    <x v="0"/>
    <n v="3"/>
    <n v="2"/>
    <x v="0"/>
    <n v="1"/>
    <x v="0"/>
    <n v="0"/>
    <x v="0"/>
    <n v="1152736"/>
    <n v="2"/>
    <x v="0"/>
    <n v="0"/>
    <x v="0"/>
    <n v="0.319156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18503343"/>
    <n v="50"/>
    <n v="50"/>
    <x v="1"/>
    <n v="1"/>
    <x v="0"/>
    <n v="1"/>
    <x v="1"/>
    <n v="3"/>
    <n v="1"/>
    <x v="0"/>
    <n v="3"/>
    <n v="2"/>
    <x v="0"/>
    <n v="1"/>
    <x v="0"/>
    <n v="0"/>
    <x v="0"/>
    <n v="1115967"/>
    <n v="2"/>
    <x v="0"/>
    <n v="0"/>
    <x v="0"/>
    <n v="1541072"/>
    <n v="3"/>
    <x v="3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4507"/>
    <n v="2"/>
    <x v="0"/>
    <n v="0"/>
    <x v="0"/>
    <n v="0"/>
    <n v="0"/>
    <x v="0"/>
    <n v="0.294989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853826"/>
    <n v="59"/>
    <n v="59"/>
    <x v="2"/>
    <n v="1"/>
    <x v="0"/>
    <n v="1"/>
    <x v="1"/>
    <n v="3"/>
    <n v="1"/>
    <x v="0"/>
    <n v="3"/>
    <n v="2"/>
    <x v="0"/>
    <n v="1"/>
    <x v="0"/>
    <n v="0"/>
    <x v="0"/>
    <n v="2184707"/>
    <n v="2"/>
    <x v="0"/>
    <n v="0"/>
    <x v="0"/>
    <n v="1978631"/>
    <n v="3"/>
    <x v="3"/>
    <n v="0.838956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90012"/>
    <n v="6"/>
    <n v="6"/>
    <x v="0"/>
    <n v="1"/>
    <x v="0"/>
    <n v="1"/>
    <x v="1"/>
    <n v="3"/>
    <n v="1"/>
    <x v="0"/>
    <n v="3"/>
    <n v="2"/>
    <x v="0"/>
    <n v="1"/>
    <x v="0"/>
    <n v="0"/>
    <x v="0"/>
    <n v="2406541"/>
    <n v="2"/>
    <x v="0"/>
    <n v="0"/>
    <x v="0"/>
    <n v="0.10032000000000001"/>
    <n v="0"/>
    <x v="0"/>
    <n v="0.479221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306615"/>
    <n v="50"/>
    <n v="50"/>
    <x v="1"/>
    <n v="1"/>
    <x v="0"/>
    <n v="1"/>
    <x v="1"/>
    <n v="3"/>
    <n v="1"/>
    <x v="0"/>
    <n v="3"/>
    <n v="2"/>
    <x v="0"/>
    <n v="1"/>
    <x v="0"/>
    <n v="0"/>
    <x v="0"/>
    <n v="2984323"/>
    <n v="2"/>
    <x v="0"/>
    <n v="0"/>
    <x v="0"/>
    <n v="1586525"/>
    <n v="3"/>
    <x v="3"/>
    <n v="0.625349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444125"/>
    <n v="2"/>
    <x v="0"/>
    <n v="0"/>
    <x v="0"/>
    <n v="0"/>
    <n v="0"/>
    <x v="0"/>
    <n v="0.265790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54702"/>
    <n v="2"/>
    <x v="0"/>
    <n v="0"/>
    <x v="0"/>
    <n v="0"/>
    <n v="0"/>
    <x v="0"/>
    <n v="0.555467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849705"/>
    <n v="59"/>
    <n v="59"/>
    <x v="2"/>
    <n v="1"/>
    <x v="0"/>
    <n v="1"/>
    <x v="1"/>
    <n v="3"/>
    <n v="1"/>
    <x v="0"/>
    <n v="3"/>
    <n v="2"/>
    <x v="0"/>
    <n v="1"/>
    <x v="0"/>
    <n v="0"/>
    <x v="0"/>
    <n v="2825629"/>
    <n v="2"/>
    <x v="0"/>
    <n v="0"/>
    <x v="0"/>
    <n v="1399183"/>
    <n v="3"/>
    <x v="3"/>
    <n v="0.928972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9799054"/>
    <n v="54"/>
    <n v="54"/>
    <x v="2"/>
    <n v="1"/>
    <x v="0"/>
    <n v="1"/>
    <x v="1"/>
    <n v="2"/>
    <n v="1"/>
    <x v="0"/>
    <n v="328926"/>
    <n v="2"/>
    <x v="0"/>
    <n v="1"/>
    <x v="0"/>
    <n v="0"/>
    <x v="0"/>
    <n v="2847264"/>
    <n v="2"/>
    <x v="0"/>
    <n v="0"/>
    <x v="0"/>
    <n v="1680844"/>
    <n v="3"/>
    <x v="3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7188754"/>
    <n v="47"/>
    <n v="47"/>
    <x v="1"/>
    <n v="1"/>
    <x v="0"/>
    <n v="1"/>
    <x v="1"/>
    <n v="2"/>
    <n v="1"/>
    <x v="0"/>
    <n v="4"/>
    <n v="2"/>
    <x v="0"/>
    <n v="1"/>
    <x v="0"/>
    <n v="0"/>
    <x v="0"/>
    <n v="2884033"/>
    <n v="2"/>
    <x v="0"/>
    <n v="0"/>
    <x v="0"/>
    <n v="2"/>
    <n v="2"/>
    <x v="1"/>
    <n v="1340107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2285024"/>
    <n v="61"/>
    <n v="61"/>
    <x v="2"/>
    <n v="1"/>
    <x v="0"/>
    <n v="1"/>
    <x v="1"/>
    <n v="2450218"/>
    <n v="1"/>
    <x v="0"/>
    <n v="3995147"/>
    <n v="2"/>
    <x v="0"/>
    <n v="1"/>
    <x v="0"/>
    <n v="0"/>
    <x v="0"/>
    <n v="2147746"/>
    <n v="2"/>
    <x v="0"/>
    <n v="0"/>
    <x v="0"/>
    <n v="2"/>
    <n v="2"/>
    <x v="1"/>
    <n v="0.5899799999999999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"/>
    <n v="22"/>
    <n v="22"/>
    <x v="0"/>
    <n v="1"/>
    <x v="0"/>
    <n v="1"/>
    <x v="1"/>
    <n v="3"/>
    <n v="1"/>
    <x v="0"/>
    <n v="3"/>
    <n v="2"/>
    <x v="0"/>
    <n v="2"/>
    <x v="1"/>
    <n v="0"/>
    <x v="0"/>
    <n v="2815293"/>
    <n v="2"/>
    <x v="0"/>
    <n v="0"/>
    <x v="0"/>
    <n v="1978631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102497"/>
    <n v="5"/>
    <n v="5"/>
    <x v="0"/>
    <n v="1"/>
    <x v="0"/>
    <n v="1"/>
    <x v="1"/>
    <n v="3"/>
    <n v="1"/>
    <x v="0"/>
    <n v="3"/>
    <n v="2"/>
    <x v="0"/>
    <n v="2"/>
    <x v="1"/>
    <n v="0"/>
    <x v="0"/>
    <n v="2593459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2038327"/>
    <n v="60"/>
    <n v="60"/>
    <x v="2"/>
    <n v="1"/>
    <x v="0"/>
    <n v="1"/>
    <x v="1"/>
    <n v="2880161"/>
    <n v="1"/>
    <x v="0"/>
    <n v="3"/>
    <n v="2"/>
    <x v="0"/>
    <n v="2"/>
    <x v="1"/>
    <n v="0"/>
    <x v="0"/>
    <n v="1031354"/>
    <n v="2"/>
    <x v="0"/>
    <n v="0"/>
    <x v="0"/>
    <n v="2206738"/>
    <n v="3"/>
    <x v="3"/>
    <n v="137465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1243142"/>
    <n v="58"/>
    <n v="58"/>
    <x v="2"/>
    <n v="0"/>
    <x v="1"/>
    <n v="0"/>
    <x v="0"/>
    <n v="3"/>
    <n v="1"/>
    <x v="0"/>
    <n v="172626"/>
    <n v="2"/>
    <x v="0"/>
    <n v="2"/>
    <x v="1"/>
    <n v="0"/>
    <x v="0"/>
    <n v="2444125"/>
    <n v="2"/>
    <x v="0"/>
    <n v="0"/>
    <x v="0"/>
    <n v="131817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2142432"/>
    <n v="60"/>
    <n v="60"/>
    <x v="2"/>
    <n v="0"/>
    <x v="1"/>
    <n v="0"/>
    <x v="0"/>
    <n v="3"/>
    <n v="1"/>
    <x v="0"/>
    <n v="2581015"/>
    <n v="2"/>
    <x v="0"/>
    <n v="2"/>
    <x v="1"/>
    <n v="0"/>
    <x v="0"/>
    <n v="2654702"/>
    <n v="2"/>
    <x v="0"/>
    <n v="0"/>
    <x v="0"/>
    <n v="0.90209499999999998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962426"/>
    <n v="60"/>
    <n v="60"/>
    <x v="2"/>
    <n v="0"/>
    <x v="1"/>
    <n v="0"/>
    <x v="0"/>
    <n v="3"/>
    <n v="1"/>
    <x v="0"/>
    <n v="1600812"/>
    <n v="2"/>
    <x v="0"/>
    <n v="2"/>
    <x v="1"/>
    <n v="0"/>
    <x v="0"/>
    <n v="2651258"/>
    <n v="2"/>
    <x v="0"/>
    <n v="0"/>
    <x v="0"/>
    <n v="0.60081700000000005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491055"/>
    <n v="58"/>
    <n v="58"/>
    <x v="2"/>
    <n v="0"/>
    <x v="1"/>
    <n v="0"/>
    <x v="0"/>
    <n v="200876"/>
    <n v="1"/>
    <x v="0"/>
    <n v="173762"/>
    <n v="2"/>
    <x v="0"/>
    <n v="2"/>
    <x v="1"/>
    <n v="0"/>
    <x v="0"/>
    <n v="1792022"/>
    <n v="2"/>
    <x v="0"/>
    <n v="0"/>
    <x v="0"/>
    <n v="0.119643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2717943"/>
    <n v="62"/>
    <n v="62"/>
    <x v="2"/>
    <n v="0"/>
    <x v="1"/>
    <n v="0"/>
    <x v="0"/>
    <n v="2596579"/>
    <n v="1"/>
    <x v="0"/>
    <n v="110548"/>
    <n v="2"/>
    <x v="0"/>
    <n v="2"/>
    <x v="1"/>
    <n v="0"/>
    <x v="0"/>
    <n v="1490613"/>
    <n v="2"/>
    <x v="0"/>
    <n v="0"/>
    <x v="0"/>
    <n v="0.34568399999999999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501249"/>
    <n v="64"/>
    <n v="64"/>
    <x v="2"/>
    <n v="0"/>
    <x v="1"/>
    <n v="0"/>
    <x v="0"/>
    <n v="2591439"/>
    <n v="1"/>
    <x v="0"/>
    <n v="3"/>
    <n v="2"/>
    <x v="0"/>
    <n v="2"/>
    <x v="1"/>
    <n v="0"/>
    <x v="0"/>
    <n v="2074048"/>
    <n v="2"/>
    <x v="0"/>
    <n v="0"/>
    <x v="0"/>
    <n v="1679935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535075"/>
    <n v="50"/>
    <n v="50"/>
    <x v="1"/>
    <n v="0"/>
    <x v="1"/>
    <n v="1"/>
    <x v="1"/>
    <n v="3"/>
    <n v="1"/>
    <x v="0"/>
    <n v="3"/>
    <n v="2"/>
    <x v="0"/>
    <n v="1"/>
    <x v="0"/>
    <n v="0"/>
    <x v="0"/>
    <n v="3"/>
    <n v="2"/>
    <x v="0"/>
    <n v="1"/>
    <x v="1"/>
    <n v="2539762"/>
    <n v="3"/>
    <x v="3"/>
    <n v="1283673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3"/>
    <n v="1"/>
    <x v="0"/>
    <n v="20846"/>
    <n v="2"/>
    <x v="0"/>
    <n v="1"/>
    <x v="0"/>
    <n v="0"/>
    <x v="0"/>
    <n v="213755"/>
    <n v="2"/>
    <x v="0"/>
    <n v="1"/>
    <x v="1"/>
    <n v="0.19615199999999999"/>
    <n v="0"/>
    <x v="0"/>
    <n v="6.2488000000000002E-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3"/>
    <n v="1"/>
    <x v="0"/>
    <n v="1894384"/>
    <n v="2"/>
    <x v="0"/>
    <n v="1"/>
    <x v="0"/>
    <n v="0"/>
    <x v="0"/>
    <n v="2456581"/>
    <n v="2"/>
    <x v="0"/>
    <n v="1"/>
    <x v="1"/>
    <n v="1596576"/>
    <n v="3"/>
    <x v="3"/>
    <n v="0.99739999999999995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0254534"/>
    <n v="55"/>
    <n v="55"/>
    <x v="2"/>
    <n v="0"/>
    <x v="1"/>
    <n v="1"/>
    <x v="1"/>
    <n v="2392665"/>
    <n v="1"/>
    <x v="0"/>
    <n v="1"/>
    <n v="1"/>
    <x v="1"/>
    <n v="2"/>
    <x v="1"/>
    <n v="0"/>
    <x v="0"/>
    <n v="1"/>
    <n v="1"/>
    <x v="1"/>
    <n v="0"/>
    <x v="0"/>
    <n v="0"/>
    <n v="0"/>
    <x v="0"/>
    <n v="0.7382689999999999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225396"/>
    <n v="55"/>
    <n v="55"/>
    <x v="2"/>
    <n v="0"/>
    <x v="1"/>
    <n v="1"/>
    <x v="1"/>
    <n v="3"/>
    <n v="1"/>
    <x v="0"/>
    <n v="2857787"/>
    <n v="2"/>
    <x v="0"/>
    <n v="2"/>
    <x v="1"/>
    <n v="0"/>
    <x v="0"/>
    <n v="1"/>
    <n v="1"/>
    <x v="1"/>
    <n v="0"/>
    <x v="0"/>
    <n v="0.75464600000000004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86997"/>
    <n v="5"/>
    <n v="5"/>
    <x v="0"/>
    <n v="0"/>
    <x v="1"/>
    <n v="1"/>
    <x v="1"/>
    <n v="3"/>
    <n v="1"/>
    <x v="0"/>
    <n v="1"/>
    <n v="1"/>
    <x v="1"/>
    <n v="2"/>
    <x v="1"/>
    <n v="0"/>
    <x v="0"/>
    <n v="1527036"/>
    <n v="2"/>
    <x v="0"/>
    <n v="0"/>
    <x v="0"/>
    <n v="0"/>
    <n v="0"/>
    <x v="0"/>
    <n v="0.860496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147114"/>
    <n v="55"/>
    <n v="55"/>
    <x v="2"/>
    <n v="0"/>
    <x v="1"/>
    <n v="1"/>
    <x v="1"/>
    <n v="3"/>
    <n v="1"/>
    <x v="0"/>
    <n v="1"/>
    <n v="1"/>
    <x v="1"/>
    <n v="2"/>
    <x v="1"/>
    <n v="0"/>
    <x v="0"/>
    <n v="1322669"/>
    <n v="2"/>
    <x v="0"/>
    <n v="0"/>
    <x v="0"/>
    <n v="0"/>
    <n v="0"/>
    <x v="0"/>
    <n v="0.478675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996523"/>
    <n v="60"/>
    <n v="60"/>
    <x v="2"/>
    <n v="0"/>
    <x v="1"/>
    <n v="0"/>
    <x v="0"/>
    <n v="3"/>
    <n v="1"/>
    <x v="0"/>
    <n v="3765526"/>
    <n v="2"/>
    <x v="0"/>
    <n v="2"/>
    <x v="1"/>
    <n v="0"/>
    <x v="0"/>
    <n v="1656082"/>
    <n v="2"/>
    <x v="0"/>
    <n v="0"/>
    <x v="0"/>
    <n v="0.42776999999999998"/>
    <n v="0"/>
    <x v="0"/>
    <n v="0.555966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376426"/>
    <n v="58"/>
    <n v="58"/>
    <x v="2"/>
    <n v="0"/>
    <x v="1"/>
    <n v="0"/>
    <x v="0"/>
    <n v="3"/>
    <n v="1"/>
    <x v="0"/>
    <n v="3285167"/>
    <n v="2"/>
    <x v="0"/>
    <n v="2"/>
    <x v="1"/>
    <n v="0"/>
    <x v="0"/>
    <n v="1569082"/>
    <n v="2"/>
    <x v="0"/>
    <n v="0"/>
    <x v="0"/>
    <n v="0.54593100000000006"/>
    <n v="0"/>
    <x v="0"/>
    <n v="0.469735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724106"/>
    <n v="54"/>
    <n v="54"/>
    <x v="2"/>
    <n v="0"/>
    <x v="1"/>
    <n v="0"/>
    <x v="0"/>
    <n v="1123939"/>
    <n v="1"/>
    <x v="0"/>
    <n v="4"/>
    <n v="2"/>
    <x v="0"/>
    <n v="2"/>
    <x v="1"/>
    <n v="0"/>
    <x v="0"/>
    <n v="1"/>
    <n v="1"/>
    <x v="1"/>
    <n v="0"/>
    <x v="0"/>
    <n v="1303976"/>
    <n v="3"/>
    <x v="3"/>
    <n v="0.371941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3"/>
    <n v="1"/>
    <x v="0"/>
    <n v="3"/>
    <n v="2"/>
    <x v="0"/>
    <n v="1"/>
    <x v="0"/>
    <n v="0"/>
    <x v="0"/>
    <n v="2843777"/>
    <n v="2"/>
    <x v="0"/>
    <n v="0"/>
    <x v="0"/>
    <n v="1488843"/>
    <n v="3"/>
    <x v="3"/>
    <n v="9.2540000000000001E-3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2851834"/>
    <n v="62"/>
    <n v="62"/>
    <x v="2"/>
    <n v="1"/>
    <x v="0"/>
    <n v="1"/>
    <x v="1"/>
    <n v="3"/>
    <n v="1"/>
    <x v="0"/>
    <n v="3691226"/>
    <n v="2"/>
    <x v="0"/>
    <n v="1"/>
    <x v="0"/>
    <n v="0"/>
    <x v="0"/>
    <n v="2650989"/>
    <n v="2"/>
    <x v="0"/>
    <n v="0"/>
    <x v="0"/>
    <n v="1228136"/>
    <n v="3"/>
    <x v="3"/>
    <n v="0.83240000000000003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3"/>
    <n v="23"/>
    <n v="23"/>
    <x v="0"/>
    <n v="1"/>
    <x v="0"/>
    <n v="1"/>
    <x v="1"/>
    <n v="3"/>
    <n v="1"/>
    <x v="0"/>
    <n v="3"/>
    <n v="2"/>
    <x v="0"/>
    <n v="1"/>
    <x v="0"/>
    <n v="0"/>
    <x v="0"/>
    <n v="2027984"/>
    <n v="2"/>
    <x v="0"/>
    <n v="0"/>
    <x v="0"/>
    <n v="1661556"/>
    <n v="3"/>
    <x v="3"/>
    <n v="0.114716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8216032"/>
    <n v="49"/>
    <n v="49"/>
    <x v="1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0.65889399999999998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181119"/>
    <n v="5"/>
    <n v="5"/>
    <x v="0"/>
    <n v="1"/>
    <x v="0"/>
    <n v="1"/>
    <x v="1"/>
    <n v="3"/>
    <n v="1"/>
    <x v="0"/>
    <n v="3156153"/>
    <n v="2"/>
    <x v="0"/>
    <n v="2"/>
    <x v="1"/>
    <n v="0"/>
    <x v="0"/>
    <n v="1253803"/>
    <n v="2"/>
    <x v="0"/>
    <n v="0"/>
    <x v="0"/>
    <n v="0.54478400000000005"/>
    <n v="0"/>
    <x v="0"/>
    <n v="0.256382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8164768"/>
    <n v="49"/>
    <n v="49"/>
    <x v="1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0.81968200000000002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8871794"/>
    <n v="51"/>
    <n v="51"/>
    <x v="2"/>
    <n v="0"/>
    <x v="1"/>
    <n v="1"/>
    <x v="1"/>
    <n v="2"/>
    <n v="1"/>
    <x v="0"/>
    <n v="107976"/>
    <n v="2"/>
    <x v="0"/>
    <n v="1"/>
    <x v="0"/>
    <n v="0"/>
    <x v="0"/>
    <n v="1"/>
    <n v="1"/>
    <x v="1"/>
    <n v="0"/>
    <x v="0"/>
    <n v="0.194745"/>
    <n v="0"/>
    <x v="0"/>
    <n v="154708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766033"/>
    <n v="51"/>
    <n v="51"/>
    <x v="2"/>
    <n v="0"/>
    <x v="1"/>
    <n v="1"/>
    <x v="1"/>
    <n v="2027574"/>
    <n v="1"/>
    <x v="0"/>
    <n v="1"/>
    <n v="1"/>
    <x v="1"/>
    <n v="1"/>
    <x v="0"/>
    <n v="0"/>
    <x v="0"/>
    <n v="1636326"/>
    <n v="2"/>
    <x v="0"/>
    <n v="0"/>
    <x v="0"/>
    <n v="0"/>
    <n v="0"/>
    <x v="0"/>
    <n v="1906141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540535"/>
    <n v="50"/>
    <n v="50"/>
    <x v="1"/>
    <n v="0"/>
    <x v="1"/>
    <n v="1"/>
    <x v="1"/>
    <n v="2658112"/>
    <n v="1"/>
    <x v="0"/>
    <n v="1"/>
    <n v="1"/>
    <x v="1"/>
    <n v="1"/>
    <x v="0"/>
    <n v="0"/>
    <x v="0"/>
    <n v="1298165"/>
    <n v="2"/>
    <x v="0"/>
    <n v="0"/>
    <x v="0"/>
    <n v="0"/>
    <n v="0"/>
    <x v="0"/>
    <n v="163932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88036"/>
    <n v="5"/>
    <n v="5"/>
    <x v="0"/>
    <n v="0"/>
    <x v="1"/>
    <n v="0"/>
    <x v="0"/>
    <n v="288626"/>
    <n v="1"/>
    <x v="0"/>
    <n v="3559841"/>
    <n v="2"/>
    <x v="0"/>
    <n v="2"/>
    <x v="1"/>
    <n v="0"/>
    <x v="0"/>
    <n v="1632004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717249"/>
    <n v="54"/>
    <n v="54"/>
    <x v="2"/>
    <n v="0"/>
    <x v="1"/>
    <n v="0"/>
    <x v="0"/>
    <n v="2714447"/>
    <n v="1"/>
    <x v="0"/>
    <n v="3"/>
    <n v="2"/>
    <x v="0"/>
    <n v="2"/>
    <x v="1"/>
    <n v="0"/>
    <x v="0"/>
    <n v="2"/>
    <n v="2"/>
    <x v="0"/>
    <n v="0"/>
    <x v="0"/>
    <n v="1903182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633898"/>
    <n v="53"/>
    <n v="53"/>
    <x v="2"/>
    <n v="0"/>
    <x v="1"/>
    <n v="0"/>
    <x v="0"/>
    <n v="2750715"/>
    <n v="1"/>
    <x v="0"/>
    <n v="3"/>
    <n v="2"/>
    <x v="0"/>
    <n v="2"/>
    <x v="1"/>
    <n v="0"/>
    <x v="0"/>
    <n v="2"/>
    <n v="2"/>
    <x v="0"/>
    <n v="0"/>
    <x v="0"/>
    <n v="1067817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2"/>
    <x v="1"/>
    <n v="0"/>
    <x v="0"/>
    <n v="2099863"/>
    <n v="2"/>
    <x v="0"/>
    <n v="0"/>
    <x v="0"/>
    <n v="163581"/>
    <n v="2"/>
    <x v="1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0406871"/>
    <n v="55"/>
    <n v="55"/>
    <x v="2"/>
    <n v="1"/>
    <x v="0"/>
    <n v="1"/>
    <x v="1"/>
    <n v="2"/>
    <n v="1"/>
    <x v="0"/>
    <n v="3891994"/>
    <n v="2"/>
    <x v="0"/>
    <n v="2"/>
    <x v="1"/>
    <n v="0"/>
    <x v="0"/>
    <n v="186393"/>
    <n v="2"/>
    <x v="0"/>
    <n v="0"/>
    <x v="0"/>
    <n v="2870127"/>
    <n v="3"/>
    <x v="3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2"/>
    <x v="1"/>
    <n v="0"/>
    <x v="0"/>
    <n v="1229915"/>
    <n v="2"/>
    <x v="0"/>
    <n v="0"/>
    <x v="0"/>
    <n v="0.619533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9058511"/>
    <n v="52"/>
    <n v="52"/>
    <x v="2"/>
    <n v="0"/>
    <x v="1"/>
    <n v="1"/>
    <x v="1"/>
    <n v="14925"/>
    <n v="1"/>
    <x v="0"/>
    <n v="3"/>
    <n v="2"/>
    <x v="0"/>
    <n v="1"/>
    <x v="0"/>
    <n v="0"/>
    <x v="0"/>
    <n v="1049134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827008"/>
    <n v="51"/>
    <n v="51"/>
    <x v="2"/>
    <n v="0"/>
    <x v="1"/>
    <n v="1"/>
    <x v="1"/>
    <n v="1"/>
    <n v="1"/>
    <x v="0"/>
    <n v="3240578"/>
    <n v="2"/>
    <x v="0"/>
    <n v="1"/>
    <x v="0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314964"/>
    <n v="52"/>
    <n v="52"/>
    <x v="2"/>
    <n v="0"/>
    <x v="1"/>
    <n v="1"/>
    <x v="1"/>
    <n v="2205439"/>
    <n v="1"/>
    <x v="0"/>
    <n v="3"/>
    <n v="2"/>
    <x v="0"/>
    <n v="1"/>
    <x v="0"/>
    <n v="0"/>
    <x v="0"/>
    <n v="1530531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9970445"/>
    <n v="82"/>
    <n v="82"/>
    <x v="3"/>
    <n v="1"/>
    <x v="0"/>
    <n v="1"/>
    <x v="1"/>
    <n v="2059138"/>
    <n v="1"/>
    <x v="0"/>
    <n v="3904858"/>
    <n v="2"/>
    <x v="0"/>
    <n v="2"/>
    <x v="1"/>
    <n v="0"/>
    <x v="0"/>
    <n v="2"/>
    <n v="2"/>
    <x v="0"/>
    <n v="0"/>
    <x v="0"/>
    <n v="0.82197699999999996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32383858"/>
    <n v="88"/>
    <n v="88"/>
    <x v="3"/>
    <n v="1"/>
    <x v="0"/>
    <n v="1"/>
    <x v="1"/>
    <n v="3"/>
    <n v="1"/>
    <x v="0"/>
    <n v="311158"/>
    <n v="2"/>
    <x v="0"/>
    <n v="2"/>
    <x v="1"/>
    <n v="0"/>
    <x v="0"/>
    <n v="2721769"/>
    <n v="2"/>
    <x v="0"/>
    <n v="0"/>
    <x v="0"/>
    <n v="144287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4163526"/>
    <n v="66"/>
    <n v="66"/>
    <x v="2"/>
    <n v="1"/>
    <x v="0"/>
    <n v="1"/>
    <x v="1"/>
    <n v="3"/>
    <n v="1"/>
    <x v="0"/>
    <n v="3590039"/>
    <n v="2"/>
    <x v="0"/>
    <n v="2"/>
    <x v="1"/>
    <n v="0"/>
    <x v="0"/>
    <n v="27305"/>
    <n v="2"/>
    <x v="0"/>
    <n v="0"/>
    <x v="0"/>
    <n v="0.10707800000000001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7038222"/>
    <n v="46"/>
    <n v="46"/>
    <x v="1"/>
    <n v="0"/>
    <x v="1"/>
    <n v="1"/>
    <x v="1"/>
    <n v="2"/>
    <n v="1"/>
    <x v="0"/>
    <n v="2057935"/>
    <n v="2"/>
    <x v="0"/>
    <n v="1"/>
    <x v="0"/>
    <n v="0"/>
    <x v="0"/>
    <n v="2371015"/>
    <n v="2"/>
    <x v="0"/>
    <n v="0"/>
    <x v="0"/>
    <n v="0.28803200000000001"/>
    <n v="0"/>
    <x v="0"/>
    <n v="0.714627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630687"/>
    <n v="4"/>
    <n v="4"/>
    <x v="0"/>
    <n v="0"/>
    <x v="1"/>
    <n v="1"/>
    <x v="1"/>
    <n v="2310423"/>
    <n v="1"/>
    <x v="0"/>
    <n v="3558637"/>
    <n v="2"/>
    <x v="0"/>
    <n v="1"/>
    <x v="0"/>
    <n v="0"/>
    <x v="0"/>
    <n v="1787843"/>
    <n v="2"/>
    <x v="0"/>
    <n v="0"/>
    <x v="0"/>
    <n v="1926592"/>
    <n v="3"/>
    <x v="3"/>
    <n v="0.8285489999999999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6198153"/>
    <n v="44"/>
    <n v="44"/>
    <x v="1"/>
    <n v="0"/>
    <x v="1"/>
    <n v="1"/>
    <x v="1"/>
    <n v="2"/>
    <n v="1"/>
    <x v="0"/>
    <n v="2000986"/>
    <n v="2"/>
    <x v="0"/>
    <n v="1"/>
    <x v="0"/>
    <n v="0"/>
    <x v="0"/>
    <n v="2673835"/>
    <n v="2"/>
    <x v="0"/>
    <n v="0"/>
    <x v="0"/>
    <n v="0.99295"/>
    <n v="0"/>
    <x v="0"/>
    <n v="0.4748359999999999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823179"/>
    <n v="1"/>
    <x v="0"/>
    <n v="3"/>
    <n v="2"/>
    <x v="0"/>
    <n v="1"/>
    <x v="0"/>
    <n v="0"/>
    <x v="0"/>
    <n v="1773236"/>
    <n v="2"/>
    <x v="0"/>
    <n v="0"/>
    <x v="0"/>
    <n v="1252472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052932"/>
    <n v="1"/>
    <x v="0"/>
    <n v="3"/>
    <n v="2"/>
    <x v="0"/>
    <n v="1"/>
    <x v="0"/>
    <n v="0"/>
    <x v="0"/>
    <n v="2"/>
    <n v="2"/>
    <x v="0"/>
    <n v="0"/>
    <x v="0"/>
    <n v="0.52040799999999998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596364"/>
    <n v="1"/>
    <x v="0"/>
    <n v="3"/>
    <n v="2"/>
    <x v="0"/>
    <n v="1"/>
    <x v="0"/>
    <n v="0"/>
    <x v="0"/>
    <n v="2"/>
    <n v="2"/>
    <x v="0"/>
    <n v="0"/>
    <x v="0"/>
    <n v="0.28173399999999998"/>
    <n v="0"/>
    <x v="0"/>
    <n v="148837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7486869"/>
    <n v="47"/>
    <n v="47"/>
    <x v="1"/>
    <n v="1"/>
    <x v="0"/>
    <n v="1"/>
    <x v="1"/>
    <n v="2767731"/>
    <n v="1"/>
    <x v="0"/>
    <n v="3821168"/>
    <n v="2"/>
    <x v="0"/>
    <n v="1"/>
    <x v="0"/>
    <n v="0"/>
    <x v="0"/>
    <n v="2"/>
    <n v="2"/>
    <x v="0"/>
    <n v="0"/>
    <x v="0"/>
    <n v="2"/>
    <n v="2"/>
    <x v="1"/>
    <n v="0.55624499999999999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9920629"/>
    <n v="54"/>
    <n v="54"/>
    <x v="2"/>
    <n v="1"/>
    <x v="0"/>
    <n v="1"/>
    <x v="1"/>
    <n v="2"/>
    <n v="1"/>
    <x v="0"/>
    <n v="3897078"/>
    <n v="2"/>
    <x v="0"/>
    <n v="1"/>
    <x v="0"/>
    <n v="0"/>
    <x v="0"/>
    <n v="2622638"/>
    <n v="2"/>
    <x v="0"/>
    <n v="0"/>
    <x v="0"/>
    <n v="2"/>
    <n v="2"/>
    <x v="1"/>
    <n v="1894105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18426619"/>
    <n v="50"/>
    <n v="50"/>
    <x v="1"/>
    <n v="1"/>
    <x v="0"/>
    <n v="1"/>
    <x v="1"/>
    <n v="2"/>
    <n v="1"/>
    <x v="0"/>
    <n v="3092116"/>
    <n v="2"/>
    <x v="0"/>
    <n v="1"/>
    <x v="0"/>
    <n v="0"/>
    <x v="0"/>
    <n v="2426465"/>
    <n v="2"/>
    <x v="0"/>
    <n v="0"/>
    <x v="0"/>
    <n v="2"/>
    <n v="2"/>
    <x v="1"/>
    <n v="1839862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17082867"/>
    <n v="46"/>
    <n v="46"/>
    <x v="1"/>
    <n v="0"/>
    <x v="1"/>
    <n v="1"/>
    <x v="1"/>
    <n v="2815157"/>
    <n v="1"/>
    <x v="0"/>
    <n v="3"/>
    <n v="2"/>
    <x v="0"/>
    <n v="1"/>
    <x v="0"/>
    <n v="0"/>
    <x v="0"/>
    <n v="2911187"/>
    <n v="2"/>
    <x v="0"/>
    <n v="0"/>
    <x v="0"/>
    <n v="2595128"/>
    <n v="3"/>
    <x v="3"/>
    <n v="138020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7000433"/>
    <n v="46"/>
    <n v="46"/>
    <x v="1"/>
    <n v="0"/>
    <x v="1"/>
    <n v="1"/>
    <x v="1"/>
    <n v="2737762"/>
    <n v="1"/>
    <x v="0"/>
    <n v="3"/>
    <n v="2"/>
    <x v="0"/>
    <n v="1"/>
    <x v="0"/>
    <n v="0"/>
    <x v="0"/>
    <n v="2310921"/>
    <n v="2"/>
    <x v="0"/>
    <n v="0"/>
    <x v="0"/>
    <n v="2240714"/>
    <n v="3"/>
    <x v="3"/>
    <n v="159257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6270434"/>
    <n v="44"/>
    <n v="44"/>
    <x v="1"/>
    <n v="0"/>
    <x v="1"/>
    <n v="1"/>
    <x v="1"/>
    <n v="3"/>
    <n v="1"/>
    <x v="0"/>
    <n v="3286431"/>
    <n v="2"/>
    <x v="0"/>
    <n v="1"/>
    <x v="0"/>
    <n v="0"/>
    <x v="0"/>
    <n v="2148146"/>
    <n v="2"/>
    <x v="0"/>
    <n v="0"/>
    <x v="0"/>
    <n v="2458237"/>
    <n v="3"/>
    <x v="3"/>
    <n v="127333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7908114"/>
    <n v="49"/>
    <n v="49"/>
    <x v="1"/>
    <n v="1"/>
    <x v="0"/>
    <n v="1"/>
    <x v="1"/>
    <n v="2568063"/>
    <n v="1"/>
    <x v="0"/>
    <n v="4"/>
    <n v="2"/>
    <x v="0"/>
    <n v="1"/>
    <x v="0"/>
    <n v="0"/>
    <x v="0"/>
    <n v="2"/>
    <n v="2"/>
    <x v="0"/>
    <n v="0"/>
    <x v="0"/>
    <n v="2"/>
    <n v="2"/>
    <x v="1"/>
    <n v="0.220029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120699"/>
    <n v="46"/>
    <n v="46"/>
    <x v="1"/>
    <n v="1"/>
    <x v="0"/>
    <n v="1"/>
    <x v="1"/>
    <n v="2524428"/>
    <n v="1"/>
    <x v="0"/>
    <n v="4"/>
    <n v="2"/>
    <x v="0"/>
    <n v="1"/>
    <x v="0"/>
    <n v="0"/>
    <x v="0"/>
    <n v="2"/>
    <n v="2"/>
    <x v="0"/>
    <n v="0"/>
    <x v="0"/>
    <n v="2"/>
    <n v="2"/>
    <x v="1"/>
    <n v="3.8379999999999997E-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9329542"/>
    <n v="52"/>
    <n v="52"/>
    <x v="2"/>
    <n v="1"/>
    <x v="0"/>
    <n v="1"/>
    <x v="1"/>
    <n v="2"/>
    <n v="1"/>
    <x v="0"/>
    <n v="4"/>
    <n v="2"/>
    <x v="0"/>
    <n v="1"/>
    <x v="0"/>
    <n v="0"/>
    <x v="0"/>
    <n v="2157395"/>
    <n v="2"/>
    <x v="0"/>
    <n v="0"/>
    <x v="0"/>
    <n v="2"/>
    <n v="2"/>
    <x v="1"/>
    <n v="1679149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2377998"/>
    <n v="61"/>
    <n v="61"/>
    <x v="2"/>
    <n v="1"/>
    <x v="0"/>
    <n v="1"/>
    <x v="1"/>
    <n v="3"/>
    <n v="1"/>
    <x v="0"/>
    <n v="3"/>
    <n v="2"/>
    <x v="0"/>
    <n v="2"/>
    <x v="1"/>
    <n v="0"/>
    <x v="0"/>
    <n v="2"/>
    <n v="2"/>
    <x v="0"/>
    <n v="0"/>
    <x v="0"/>
    <n v="0.13980799999999999"/>
    <n v="0"/>
    <x v="0"/>
    <n v="0.8754640000000000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0954955"/>
    <n v="57"/>
    <n v="57"/>
    <x v="2"/>
    <n v="1"/>
    <x v="0"/>
    <n v="1"/>
    <x v="1"/>
    <n v="2971574"/>
    <n v="1"/>
    <x v="0"/>
    <n v="3592415"/>
    <n v="2"/>
    <x v="0"/>
    <n v="2"/>
    <x v="1"/>
    <n v="0"/>
    <x v="0"/>
    <n v="2894678"/>
    <n v="2"/>
    <x v="0"/>
    <n v="0"/>
    <x v="0"/>
    <n v="2"/>
    <n v="2"/>
    <x v="1"/>
    <n v="100963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991668"/>
    <n v="62"/>
    <n v="62"/>
    <x v="2"/>
    <n v="1"/>
    <x v="0"/>
    <n v="1"/>
    <x v="1"/>
    <n v="3"/>
    <n v="1"/>
    <x v="0"/>
    <n v="3"/>
    <n v="2"/>
    <x v="0"/>
    <n v="2"/>
    <x v="1"/>
    <n v="0"/>
    <x v="0"/>
    <n v="2025279"/>
    <n v="2"/>
    <x v="0"/>
    <n v="0"/>
    <x v="0"/>
    <n v="2"/>
    <n v="2"/>
    <x v="1"/>
    <n v="0.15298500000000001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300435"/>
    <n v="52"/>
    <n v="52"/>
    <x v="2"/>
    <n v="0"/>
    <x v="1"/>
    <n v="1"/>
    <x v="1"/>
    <n v="3"/>
    <n v="1"/>
    <x v="0"/>
    <n v="3754599"/>
    <n v="2"/>
    <x v="0"/>
    <n v="1"/>
    <x v="0"/>
    <n v="0"/>
    <x v="0"/>
    <n v="169211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7065445"/>
    <n v="46"/>
    <n v="46"/>
    <x v="1"/>
    <n v="0"/>
    <x v="1"/>
    <n v="1"/>
    <x v="1"/>
    <n v="3"/>
    <n v="1"/>
    <x v="0"/>
    <n v="3566082"/>
    <n v="2"/>
    <x v="0"/>
    <n v="1"/>
    <x v="0"/>
    <n v="0"/>
    <x v="0"/>
    <n v="1438398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084967"/>
    <n v="52"/>
    <n v="52"/>
    <x v="2"/>
    <n v="0"/>
    <x v="1"/>
    <n v="1"/>
    <x v="1"/>
    <n v="3"/>
    <n v="1"/>
    <x v="0"/>
    <n v="3725797"/>
    <n v="2"/>
    <x v="0"/>
    <n v="1"/>
    <x v="0"/>
    <n v="0"/>
    <x v="0"/>
    <n v="1191401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024853"/>
    <n v="49"/>
    <n v="49"/>
    <x v="1"/>
    <n v="0"/>
    <x v="1"/>
    <n v="1"/>
    <x v="1"/>
    <n v="10816"/>
    <n v="1"/>
    <x v="0"/>
    <n v="3520555"/>
    <n v="2"/>
    <x v="0"/>
    <n v="2"/>
    <x v="1"/>
    <n v="0"/>
    <x v="0"/>
    <n v="1016968"/>
    <n v="2"/>
    <x v="0"/>
    <n v="0"/>
    <x v="0"/>
    <n v="0.65141199999999999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833682"/>
    <n v="54"/>
    <n v="54"/>
    <x v="2"/>
    <n v="0"/>
    <x v="1"/>
    <n v="1"/>
    <x v="1"/>
    <n v="1270448"/>
    <n v="1"/>
    <x v="0"/>
    <n v="3731212"/>
    <n v="2"/>
    <x v="0"/>
    <n v="2"/>
    <x v="1"/>
    <n v="0"/>
    <x v="0"/>
    <n v="1876915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7767432"/>
    <n v="48"/>
    <n v="48"/>
    <x v="1"/>
    <n v="0"/>
    <x v="1"/>
    <n v="1"/>
    <x v="1"/>
    <n v="1344854"/>
    <n v="1"/>
    <x v="0"/>
    <n v="4"/>
    <n v="2"/>
    <x v="0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504696"/>
    <n v="53"/>
    <n v="53"/>
    <x v="2"/>
    <n v="0"/>
    <x v="1"/>
    <n v="0"/>
    <x v="0"/>
    <n v="2959658"/>
    <n v="1"/>
    <x v="0"/>
    <n v="3"/>
    <n v="2"/>
    <x v="0"/>
    <n v="2"/>
    <x v="1"/>
    <n v="0"/>
    <x v="0"/>
    <n v="1"/>
    <n v="1"/>
    <x v="1"/>
    <n v="0"/>
    <x v="0"/>
    <n v="1522399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950605"/>
    <n v="54"/>
    <n v="54"/>
    <x v="2"/>
    <n v="0"/>
    <x v="1"/>
    <n v="0"/>
    <x v="0"/>
    <n v="2725282"/>
    <n v="1"/>
    <x v="0"/>
    <n v="1259803"/>
    <n v="2"/>
    <x v="0"/>
    <n v="2"/>
    <x v="1"/>
    <n v="0"/>
    <x v="0"/>
    <n v="1"/>
    <n v="1"/>
    <x v="1"/>
    <n v="0"/>
    <x v="0"/>
    <n v="137467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0"/>
    <x v="0"/>
    <n v="2844607"/>
    <n v="1"/>
    <x v="0"/>
    <n v="1273128"/>
    <n v="2"/>
    <x v="0"/>
    <n v="2"/>
    <x v="1"/>
    <n v="0"/>
    <x v="0"/>
    <n v="169551"/>
    <n v="2"/>
    <x v="0"/>
    <n v="0"/>
    <x v="0"/>
    <n v="0.260079"/>
    <n v="0"/>
    <x v="0"/>
    <n v="0.63586699999999996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244004"/>
    <n v="1"/>
    <x v="0"/>
    <n v="3"/>
    <n v="2"/>
    <x v="0"/>
    <n v="1"/>
    <x v="0"/>
    <n v="0"/>
    <x v="0"/>
    <n v="2"/>
    <n v="2"/>
    <x v="0"/>
    <n v="0"/>
    <x v="0"/>
    <n v="2784471"/>
    <n v="3"/>
    <x v="3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17"/>
    <n v="17"/>
    <n v="17"/>
    <x v="0"/>
    <n v="1"/>
    <x v="0"/>
    <n v="1"/>
    <x v="1"/>
    <n v="2432302"/>
    <n v="1"/>
    <x v="0"/>
    <n v="3"/>
    <n v="2"/>
    <x v="0"/>
    <n v="1"/>
    <x v="0"/>
    <n v="0"/>
    <x v="0"/>
    <n v="2"/>
    <n v="2"/>
    <x v="0"/>
    <n v="0"/>
    <x v="0"/>
    <n v="2349495"/>
    <n v="3"/>
    <x v="3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18525525"/>
    <n v="50"/>
    <n v="50"/>
    <x v="1"/>
    <n v="1"/>
    <x v="0"/>
    <n v="1"/>
    <x v="1"/>
    <n v="2592247"/>
    <n v="1"/>
    <x v="0"/>
    <n v="3304123"/>
    <n v="2"/>
    <x v="0"/>
    <n v="1"/>
    <x v="0"/>
    <n v="0"/>
    <x v="0"/>
    <n v="2036764"/>
    <n v="2"/>
    <x v="0"/>
    <n v="0"/>
    <x v="0"/>
    <n v="2038653"/>
    <n v="3"/>
    <x v="3"/>
    <n v="1119877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2926352"/>
    <n v="62"/>
    <n v="62"/>
    <x v="2"/>
    <n v="1"/>
    <x v="0"/>
    <n v="1"/>
    <x v="1"/>
    <n v="2449267"/>
    <n v="1"/>
    <x v="0"/>
    <n v="3647154"/>
    <n v="2"/>
    <x v="0"/>
    <n v="2"/>
    <x v="1"/>
    <n v="0"/>
    <x v="0"/>
    <n v="1266018"/>
    <n v="2"/>
    <x v="0"/>
    <n v="0"/>
    <x v="0"/>
    <n v="0.86604499999999995"/>
    <n v="0"/>
    <x v="0"/>
    <n v="9.7234000000000001E-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785351"/>
    <n v="59"/>
    <n v="59"/>
    <x v="2"/>
    <n v="1"/>
    <x v="0"/>
    <n v="1"/>
    <x v="1"/>
    <n v="2929889"/>
    <n v="1"/>
    <x v="0"/>
    <n v="3"/>
    <n v="2"/>
    <x v="0"/>
    <n v="2"/>
    <x v="1"/>
    <n v="0"/>
    <x v="0"/>
    <n v="2792074"/>
    <n v="2"/>
    <x v="0"/>
    <n v="0"/>
    <x v="0"/>
    <n v="0.63094399999999995"/>
    <n v="0"/>
    <x v="0"/>
    <n v="1366355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2"/>
    <x v="1"/>
    <n v="0"/>
    <x v="0"/>
    <n v="1426874"/>
    <n v="2"/>
    <x v="0"/>
    <n v="0"/>
    <x v="0"/>
    <n v="220208"/>
    <n v="2"/>
    <x v="1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7402028"/>
    <n v="47"/>
    <n v="47"/>
    <x v="1"/>
    <n v="0"/>
    <x v="1"/>
    <n v="1"/>
    <x v="1"/>
    <n v="2015258"/>
    <n v="1"/>
    <x v="0"/>
    <n v="3300666"/>
    <n v="2"/>
    <x v="0"/>
    <n v="1"/>
    <x v="0"/>
    <n v="0"/>
    <x v="0"/>
    <n v="1315608"/>
    <n v="2"/>
    <x v="0"/>
    <n v="0"/>
    <x v="0"/>
    <n v="6.9802000000000003E-2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1031149"/>
    <n v="1"/>
    <x v="0"/>
    <n v="3"/>
    <n v="2"/>
    <x v="0"/>
    <n v="1"/>
    <x v="0"/>
    <n v="0"/>
    <x v="0"/>
    <n v="1963628"/>
    <n v="2"/>
    <x v="0"/>
    <n v="0"/>
    <x v="0"/>
    <n v="2.8202000000000001E-2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48207"/>
    <n v="5"/>
    <n v="5"/>
    <x v="0"/>
    <n v="0"/>
    <x v="1"/>
    <n v="1"/>
    <x v="1"/>
    <n v="1592183"/>
    <n v="1"/>
    <x v="0"/>
    <n v="3535016"/>
    <n v="2"/>
    <x v="0"/>
    <n v="1"/>
    <x v="0"/>
    <n v="0"/>
    <x v="0"/>
    <n v="1086391"/>
    <n v="2"/>
    <x v="0"/>
    <n v="0"/>
    <x v="0"/>
    <n v="0.61891300000000005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53084"/>
    <n v="5"/>
    <n v="5"/>
    <x v="0"/>
    <n v="0"/>
    <x v="1"/>
    <n v="1"/>
    <x v="1"/>
    <n v="121498"/>
    <n v="1"/>
    <x v="0"/>
    <n v="1717608"/>
    <n v="2"/>
    <x v="0"/>
    <n v="1"/>
    <x v="0"/>
    <n v="0"/>
    <x v="0"/>
    <n v="1179942"/>
    <n v="2"/>
    <x v="0"/>
    <n v="0"/>
    <x v="0"/>
    <n v="0.68473899999999999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94814"/>
    <n v="5"/>
    <n v="5"/>
    <x v="0"/>
    <n v="0"/>
    <x v="1"/>
    <n v="1"/>
    <x v="1"/>
    <n v="1522001"/>
    <n v="1"/>
    <x v="0"/>
    <n v="3"/>
    <n v="2"/>
    <x v="0"/>
    <n v="1"/>
    <x v="0"/>
    <n v="0"/>
    <x v="0"/>
    <n v="198126"/>
    <n v="2"/>
    <x v="0"/>
    <n v="0"/>
    <x v="0"/>
    <n v="2306844"/>
    <n v="3"/>
    <x v="3"/>
    <n v="0.72045400000000004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400053"/>
    <n v="55"/>
    <n v="55"/>
    <x v="2"/>
    <n v="0"/>
    <x v="1"/>
    <n v="1"/>
    <x v="1"/>
    <n v="2703436"/>
    <n v="1"/>
    <x v="0"/>
    <n v="2884479"/>
    <n v="2"/>
    <x v="0"/>
    <n v="1"/>
    <x v="0"/>
    <n v="0"/>
    <x v="0"/>
    <n v="1439962"/>
    <n v="2"/>
    <x v="0"/>
    <n v="0"/>
    <x v="0"/>
    <n v="0.14462700000000001"/>
    <n v="0"/>
    <x v="0"/>
    <n v="0.322307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556729"/>
    <n v="53"/>
    <n v="53"/>
    <x v="2"/>
    <n v="1"/>
    <x v="0"/>
    <n v="1"/>
    <x v="1"/>
    <n v="2362918"/>
    <n v="1"/>
    <x v="0"/>
    <n v="4"/>
    <n v="2"/>
    <x v="0"/>
    <n v="1"/>
    <x v="0"/>
    <n v="0"/>
    <x v="0"/>
    <n v="2358172"/>
    <n v="2"/>
    <x v="0"/>
    <n v="0"/>
    <x v="0"/>
    <n v="2"/>
    <n v="2"/>
    <x v="1"/>
    <n v="0.93981899999999996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70368"/>
    <n v="4"/>
    <n v="4"/>
    <x v="0"/>
    <n v="1"/>
    <x v="0"/>
    <n v="1"/>
    <x v="1"/>
    <n v="3"/>
    <n v="1"/>
    <x v="0"/>
    <n v="3626815"/>
    <n v="2"/>
    <x v="0"/>
    <n v="1"/>
    <x v="0"/>
    <n v="0"/>
    <x v="0"/>
    <n v="2"/>
    <n v="2"/>
    <x v="0"/>
    <n v="0"/>
    <x v="0"/>
    <n v="2011519"/>
    <n v="3"/>
    <x v="3"/>
    <n v="0.45646199999999998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274358"/>
    <n v="50"/>
    <n v="50"/>
    <x v="1"/>
    <n v="1"/>
    <x v="0"/>
    <n v="1"/>
    <x v="1"/>
    <n v="214084"/>
    <n v="1"/>
    <x v="0"/>
    <n v="4"/>
    <n v="2"/>
    <x v="0"/>
    <n v="1"/>
    <x v="0"/>
    <n v="0"/>
    <x v="0"/>
    <n v="2931438"/>
    <n v="2"/>
    <x v="0"/>
    <n v="0"/>
    <x v="0"/>
    <n v="2"/>
    <n v="2"/>
    <x v="1"/>
    <n v="1164457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4"/>
    <n v="2"/>
    <x v="0"/>
    <n v="1"/>
    <x v="0"/>
    <n v="0"/>
    <x v="0"/>
    <n v="2"/>
    <n v="2"/>
    <x v="0"/>
    <n v="0"/>
    <x v="0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210933"/>
    <n v="47"/>
    <n v="47"/>
    <x v="1"/>
    <n v="1"/>
    <x v="0"/>
    <n v="1"/>
    <x v="1"/>
    <n v="25596"/>
    <n v="1"/>
    <x v="0"/>
    <n v="4"/>
    <n v="2"/>
    <x v="0"/>
    <n v="1"/>
    <x v="0"/>
    <n v="0"/>
    <x v="0"/>
    <n v="2"/>
    <n v="2"/>
    <x v="0"/>
    <n v="0"/>
    <x v="0"/>
    <n v="2"/>
    <n v="2"/>
    <x v="1"/>
    <n v="0.33148300000000003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469417"/>
    <n v="47"/>
    <n v="47"/>
    <x v="1"/>
    <n v="1"/>
    <x v="0"/>
    <n v="1"/>
    <x v="1"/>
    <n v="2336044"/>
    <n v="1"/>
    <x v="0"/>
    <n v="4"/>
    <n v="2"/>
    <x v="0"/>
    <n v="1"/>
    <x v="0"/>
    <n v="0"/>
    <x v="0"/>
    <n v="2"/>
    <n v="2"/>
    <x v="0"/>
    <n v="0"/>
    <x v="0"/>
    <n v="2"/>
    <n v="2"/>
    <x v="1"/>
    <n v="0.133005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593704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329237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813234"/>
    <n v="1"/>
    <x v="0"/>
    <n v="3"/>
    <n v="2"/>
    <x v="0"/>
    <n v="1"/>
    <x v="0"/>
    <n v="0"/>
    <x v="0"/>
    <n v="1274815"/>
    <n v="2"/>
    <x v="0"/>
    <n v="0"/>
    <x v="0"/>
    <n v="0.52040699999999995"/>
    <n v="0"/>
    <x v="0"/>
    <n v="167358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010211"/>
    <n v="52"/>
    <n v="52"/>
    <x v="2"/>
    <n v="0"/>
    <x v="1"/>
    <n v="0"/>
    <x v="0"/>
    <n v="2724285"/>
    <n v="1"/>
    <x v="0"/>
    <n v="3"/>
    <n v="2"/>
    <x v="0"/>
    <n v="2"/>
    <x v="1"/>
    <n v="0"/>
    <x v="0"/>
    <n v="1"/>
    <n v="1"/>
    <x v="1"/>
    <n v="1"/>
    <x v="1"/>
    <n v="1070331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091346"/>
    <n v="52"/>
    <n v="52"/>
    <x v="2"/>
    <n v="0"/>
    <x v="1"/>
    <n v="0"/>
    <x v="0"/>
    <n v="3"/>
    <n v="1"/>
    <x v="0"/>
    <n v="3"/>
    <n v="2"/>
    <x v="0"/>
    <n v="2"/>
    <x v="1"/>
    <n v="0"/>
    <x v="0"/>
    <n v="128246"/>
    <n v="2"/>
    <x v="0"/>
    <n v="1"/>
    <x v="1"/>
    <n v="160195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773303"/>
    <n v="54"/>
    <n v="54"/>
    <x v="2"/>
    <n v="0"/>
    <x v="1"/>
    <n v="0"/>
    <x v="0"/>
    <n v="3"/>
    <n v="1"/>
    <x v="0"/>
    <n v="3"/>
    <n v="2"/>
    <x v="0"/>
    <n v="2"/>
    <x v="1"/>
    <n v="0"/>
    <x v="0"/>
    <n v="2875583"/>
    <n v="2"/>
    <x v="0"/>
    <n v="1"/>
    <x v="1"/>
    <n v="1258504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483036"/>
    <n v="53"/>
    <n v="53"/>
    <x v="2"/>
    <n v="0"/>
    <x v="1"/>
    <n v="1"/>
    <x v="1"/>
    <n v="3"/>
    <n v="1"/>
    <x v="0"/>
    <n v="1"/>
    <n v="1"/>
    <x v="1"/>
    <n v="2"/>
    <x v="1"/>
    <n v="0"/>
    <x v="0"/>
    <n v="1387531"/>
    <n v="2"/>
    <x v="0"/>
    <n v="0"/>
    <x v="0"/>
    <n v="0"/>
    <n v="0"/>
    <x v="0"/>
    <n v="0.46616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271897"/>
    <n v="1"/>
    <x v="0"/>
    <n v="1473088"/>
    <n v="2"/>
    <x v="0"/>
    <n v="2"/>
    <x v="1"/>
    <n v="0"/>
    <x v="0"/>
    <n v="1164644"/>
    <n v="2"/>
    <x v="0"/>
    <n v="0"/>
    <x v="0"/>
    <n v="1235675"/>
    <n v="3"/>
    <x v="3"/>
    <n v="0.9309260000000000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407204"/>
    <n v="53"/>
    <n v="53"/>
    <x v="2"/>
    <n v="0"/>
    <x v="1"/>
    <n v="1"/>
    <x v="1"/>
    <n v="3"/>
    <n v="1"/>
    <x v="0"/>
    <n v="1"/>
    <n v="1"/>
    <x v="1"/>
    <n v="2"/>
    <x v="1"/>
    <n v="0"/>
    <x v="0"/>
    <n v="1848703"/>
    <n v="2"/>
    <x v="0"/>
    <n v="0"/>
    <x v="0"/>
    <n v="0"/>
    <n v="0"/>
    <x v="0"/>
    <n v="0.744554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133844"/>
    <n v="1"/>
    <x v="0"/>
    <n v="3"/>
    <n v="2"/>
    <x v="0"/>
    <n v="1"/>
    <x v="0"/>
    <n v="0"/>
    <x v="0"/>
    <n v="1325326"/>
    <n v="2"/>
    <x v="0"/>
    <n v="0"/>
    <x v="0"/>
    <n v="0.22798499999999999"/>
    <n v="0"/>
    <x v="0"/>
    <n v="1708309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424941"/>
    <n v="50"/>
    <n v="50"/>
    <x v="1"/>
    <n v="1"/>
    <x v="0"/>
    <n v="1"/>
    <x v="1"/>
    <n v="2"/>
    <n v="1"/>
    <x v="0"/>
    <n v="316645"/>
    <n v="2"/>
    <x v="0"/>
    <n v="1"/>
    <x v="0"/>
    <n v="0"/>
    <x v="0"/>
    <n v="2278578"/>
    <n v="2"/>
    <x v="0"/>
    <n v="0"/>
    <x v="0"/>
    <n v="1838881"/>
    <n v="3"/>
    <x v="3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757466"/>
    <n v="1"/>
    <x v="0"/>
    <n v="3"/>
    <n v="2"/>
    <x v="0"/>
    <n v="1"/>
    <x v="0"/>
    <n v="0"/>
    <x v="0"/>
    <n v="1153559"/>
    <n v="2"/>
    <x v="0"/>
    <n v="0"/>
    <x v="0"/>
    <n v="0.83397600000000005"/>
    <n v="0"/>
    <x v="0"/>
    <n v="161604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97981"/>
    <n v="5"/>
    <n v="5"/>
    <x v="0"/>
    <n v="1"/>
    <x v="0"/>
    <n v="1"/>
    <x v="1"/>
    <n v="2"/>
    <n v="1"/>
    <x v="0"/>
    <n v="3494849"/>
    <n v="2"/>
    <x v="0"/>
    <n v="1"/>
    <x v="0"/>
    <n v="0"/>
    <x v="0"/>
    <n v="2976672"/>
    <n v="2"/>
    <x v="0"/>
    <n v="0"/>
    <x v="0"/>
    <n v="194907"/>
    <n v="2"/>
    <x v="1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1798856"/>
    <n v="59"/>
    <n v="59"/>
    <x v="2"/>
    <n v="1"/>
    <x v="0"/>
    <n v="1"/>
    <x v="1"/>
    <n v="2979383"/>
    <n v="1"/>
    <x v="0"/>
    <n v="3"/>
    <n v="2"/>
    <x v="0"/>
    <n v="2"/>
    <x v="1"/>
    <n v="0"/>
    <x v="0"/>
    <n v="2975887"/>
    <n v="2"/>
    <x v="0"/>
    <n v="0"/>
    <x v="0"/>
    <n v="0.94509299999999996"/>
    <n v="0"/>
    <x v="0"/>
    <n v="1241755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209706"/>
    <n v="60"/>
    <n v="60"/>
    <x v="2"/>
    <n v="0"/>
    <x v="1"/>
    <n v="0"/>
    <x v="0"/>
    <n v="3"/>
    <n v="1"/>
    <x v="0"/>
    <n v="299321"/>
    <n v="2"/>
    <x v="0"/>
    <n v="2"/>
    <x v="1"/>
    <n v="0"/>
    <x v="0"/>
    <n v="2702783"/>
    <n v="2"/>
    <x v="0"/>
    <n v="0"/>
    <x v="0"/>
    <n v="1967234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018443"/>
    <n v="63"/>
    <n v="63"/>
    <x v="2"/>
    <n v="0"/>
    <x v="1"/>
    <n v="0"/>
    <x v="0"/>
    <n v="2204914"/>
    <n v="1"/>
    <x v="0"/>
    <n v="2127797"/>
    <n v="2"/>
    <x v="0"/>
    <n v="2"/>
    <x v="1"/>
    <n v="0"/>
    <x v="0"/>
    <n v="2120292"/>
    <n v="2"/>
    <x v="0"/>
    <n v="0"/>
    <x v="0"/>
    <n v="0.99573500000000004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376997"/>
    <n v="53"/>
    <n v="53"/>
    <x v="2"/>
    <n v="0"/>
    <x v="1"/>
    <n v="0"/>
    <x v="0"/>
    <n v="3"/>
    <n v="1"/>
    <x v="0"/>
    <n v="3"/>
    <n v="2"/>
    <x v="0"/>
    <n v="2"/>
    <x v="1"/>
    <n v="0"/>
    <x v="0"/>
    <n v="2949419"/>
    <n v="2"/>
    <x v="0"/>
    <n v="1"/>
    <x v="1"/>
    <n v="1295697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971429"/>
    <n v="57"/>
    <n v="57"/>
    <x v="2"/>
    <n v="0"/>
    <x v="1"/>
    <n v="1"/>
    <x v="1"/>
    <n v="2927218"/>
    <n v="1"/>
    <x v="0"/>
    <n v="1"/>
    <n v="1"/>
    <x v="1"/>
    <n v="2"/>
    <x v="1"/>
    <n v="0"/>
    <x v="0"/>
    <n v="1"/>
    <n v="1"/>
    <x v="1"/>
    <n v="0"/>
    <x v="0"/>
    <n v="0"/>
    <n v="0"/>
    <x v="0"/>
    <n v="0.27659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345161"/>
    <n v="55"/>
    <n v="55"/>
    <x v="2"/>
    <n v="0"/>
    <x v="1"/>
    <n v="1"/>
    <x v="1"/>
    <n v="288853"/>
    <n v="1"/>
    <x v="0"/>
    <n v="1"/>
    <n v="1"/>
    <x v="1"/>
    <n v="2"/>
    <x v="1"/>
    <n v="0"/>
    <x v="0"/>
    <n v="1"/>
    <n v="1"/>
    <x v="1"/>
    <n v="0"/>
    <x v="0"/>
    <n v="0"/>
    <n v="0"/>
    <x v="0"/>
    <n v="0.196224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519916"/>
    <n v="56"/>
    <n v="56"/>
    <x v="2"/>
    <n v="1"/>
    <x v="0"/>
    <n v="0"/>
    <x v="0"/>
    <n v="2890535"/>
    <n v="1"/>
    <x v="0"/>
    <n v="390779"/>
    <n v="2"/>
    <x v="0"/>
    <n v="2"/>
    <x v="1"/>
    <n v="0"/>
    <x v="0"/>
    <n v="1109115"/>
    <n v="2"/>
    <x v="0"/>
    <n v="0"/>
    <x v="0"/>
    <n v="1548953"/>
    <n v="3"/>
    <x v="3"/>
    <n v="0.55546799999999996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0406066"/>
    <n v="55"/>
    <n v="55"/>
    <x v="2"/>
    <n v="1"/>
    <x v="0"/>
    <n v="1"/>
    <x v="1"/>
    <n v="3"/>
    <n v="1"/>
    <x v="0"/>
    <n v="3699594"/>
    <n v="2"/>
    <x v="0"/>
    <n v="1"/>
    <x v="0"/>
    <n v="0"/>
    <x v="0"/>
    <n v="2825629"/>
    <n v="2"/>
    <x v="0"/>
    <n v="0"/>
    <x v="0"/>
    <n v="1699592"/>
    <n v="3"/>
    <x v="3"/>
    <n v="7.1027999999999994E-2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478496"/>
    <n v="58"/>
    <n v="58"/>
    <x v="2"/>
    <n v="1"/>
    <x v="0"/>
    <n v="1"/>
    <x v="1"/>
    <n v="3"/>
    <n v="1"/>
    <x v="0"/>
    <n v="3179995"/>
    <n v="2"/>
    <x v="0"/>
    <n v="2"/>
    <x v="1"/>
    <n v="0"/>
    <x v="0"/>
    <n v="1910378"/>
    <n v="2"/>
    <x v="0"/>
    <n v="0"/>
    <x v="0"/>
    <n v="0.48061399999999999"/>
    <n v="0"/>
    <x v="0"/>
    <n v="0.62507900000000005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372563"/>
    <n v="50"/>
    <n v="50"/>
    <x v="1"/>
    <n v="0"/>
    <x v="1"/>
    <n v="1"/>
    <x v="1"/>
    <n v="2"/>
    <n v="1"/>
    <x v="0"/>
    <n v="1075553"/>
    <n v="2"/>
    <x v="0"/>
    <n v="1"/>
    <x v="0"/>
    <n v="0"/>
    <x v="0"/>
    <n v="1"/>
    <n v="1"/>
    <x v="1"/>
    <n v="0"/>
    <x v="0"/>
    <n v="0.12742500000000001"/>
    <n v="0"/>
    <x v="0"/>
    <n v="167944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931667"/>
    <n v="54"/>
    <n v="54"/>
    <x v="2"/>
    <n v="0"/>
    <x v="1"/>
    <n v="0"/>
    <x v="0"/>
    <n v="2530066"/>
    <n v="1"/>
    <x v="0"/>
    <n v="3"/>
    <n v="2"/>
    <x v="0"/>
    <n v="1"/>
    <x v="0"/>
    <n v="0"/>
    <x v="0"/>
    <n v="1965237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2998709"/>
    <n v="63"/>
    <n v="63"/>
    <x v="2"/>
    <n v="1"/>
    <x v="0"/>
    <n v="1"/>
    <x v="1"/>
    <n v="2241606"/>
    <n v="1"/>
    <x v="0"/>
    <n v="3"/>
    <n v="2"/>
    <x v="0"/>
    <n v="2"/>
    <x v="1"/>
    <n v="0"/>
    <x v="0"/>
    <n v="1846626"/>
    <n v="2"/>
    <x v="0"/>
    <n v="0"/>
    <x v="0"/>
    <n v="2460238"/>
    <n v="3"/>
    <x v="3"/>
    <n v="0.81451799999999996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006742"/>
    <n v="49"/>
    <n v="49"/>
    <x v="1"/>
    <n v="0"/>
    <x v="1"/>
    <n v="1"/>
    <x v="1"/>
    <n v="1003566"/>
    <n v="1"/>
    <x v="0"/>
    <n v="3238258"/>
    <n v="2"/>
    <x v="0"/>
    <n v="2"/>
    <x v="1"/>
    <n v="0"/>
    <x v="0"/>
    <n v="1014634"/>
    <n v="2"/>
    <x v="0"/>
    <n v="0"/>
    <x v="0"/>
    <n v="0.78367600000000004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34799519"/>
    <n v="95"/>
    <n v="95"/>
    <x v="3"/>
    <n v="1"/>
    <x v="0"/>
    <n v="1"/>
    <x v="1"/>
    <n v="2652779"/>
    <n v="1"/>
    <x v="0"/>
    <n v="3804944"/>
    <n v="2"/>
    <x v="0"/>
    <n v="2"/>
    <x v="1"/>
    <n v="0"/>
    <x v="0"/>
    <n v="160114"/>
    <n v="2"/>
    <x v="0"/>
    <n v="0"/>
    <x v="0"/>
    <n v="0.17469199999999999"/>
    <n v="0"/>
    <x v="0"/>
    <n v="9.6981999999999999E-2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6496978"/>
    <n v="45"/>
    <n v="45"/>
    <x v="1"/>
    <n v="0"/>
    <x v="1"/>
    <n v="1"/>
    <x v="1"/>
    <n v="2"/>
    <n v="1"/>
    <x v="0"/>
    <n v="1630846"/>
    <n v="2"/>
    <x v="0"/>
    <n v="1"/>
    <x v="0"/>
    <n v="0"/>
    <x v="0"/>
    <n v="2975528"/>
    <n v="2"/>
    <x v="0"/>
    <n v="0"/>
    <x v="0"/>
    <n v="0.54899100000000001"/>
    <n v="0"/>
    <x v="0"/>
    <n v="0.369134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897899"/>
    <n v="1"/>
    <x v="0"/>
    <n v="3"/>
    <n v="2"/>
    <x v="0"/>
    <n v="1"/>
    <x v="0"/>
    <n v="0"/>
    <x v="0"/>
    <n v="1835545"/>
    <n v="2"/>
    <x v="0"/>
    <n v="0"/>
    <x v="0"/>
    <n v="1162519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7377131"/>
    <n v="47"/>
    <n v="47"/>
    <x v="1"/>
    <n v="1"/>
    <x v="0"/>
    <n v="1"/>
    <x v="1"/>
    <n v="2483979"/>
    <n v="1"/>
    <x v="0"/>
    <n v="3762778"/>
    <n v="2"/>
    <x v="0"/>
    <n v="1"/>
    <x v="0"/>
    <n v="0"/>
    <x v="0"/>
    <n v="2"/>
    <n v="2"/>
    <x v="0"/>
    <n v="0"/>
    <x v="0"/>
    <n v="2"/>
    <n v="2"/>
    <x v="1"/>
    <n v="0.93005099999999996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16611837"/>
    <n v="45"/>
    <n v="45"/>
    <x v="1"/>
    <n v="0"/>
    <x v="1"/>
    <n v="1"/>
    <x v="1"/>
    <n v="2945967"/>
    <n v="1"/>
    <x v="0"/>
    <n v="3"/>
    <n v="2"/>
    <x v="0"/>
    <n v="1"/>
    <x v="0"/>
    <n v="0"/>
    <x v="0"/>
    <n v="2953192"/>
    <n v="2"/>
    <x v="0"/>
    <n v="0"/>
    <x v="0"/>
    <n v="2830911"/>
    <n v="3"/>
    <x v="3"/>
    <n v="1466667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7080493"/>
    <n v="46"/>
    <n v="46"/>
    <x v="1"/>
    <n v="1"/>
    <x v="0"/>
    <n v="1"/>
    <x v="1"/>
    <n v="2"/>
    <n v="1"/>
    <x v="0"/>
    <n v="4"/>
    <n v="2"/>
    <x v="0"/>
    <n v="1"/>
    <x v="0"/>
    <n v="0"/>
    <x v="0"/>
    <n v="228525"/>
    <n v="2"/>
    <x v="0"/>
    <n v="0"/>
    <x v="0"/>
    <n v="2"/>
    <n v="2"/>
    <x v="1"/>
    <n v="1162801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2970655"/>
    <n v="62"/>
    <n v="62"/>
    <x v="2"/>
    <n v="1"/>
    <x v="0"/>
    <n v="1"/>
    <x v="1"/>
    <n v="2478891"/>
    <n v="1"/>
    <x v="0"/>
    <n v="3371832"/>
    <n v="2"/>
    <x v="0"/>
    <n v="2"/>
    <x v="1"/>
    <n v="0"/>
    <x v="0"/>
    <n v="2004126"/>
    <n v="2"/>
    <x v="0"/>
    <n v="0"/>
    <x v="0"/>
    <n v="2"/>
    <n v="2"/>
    <x v="1"/>
    <n v="0.327376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7764764"/>
    <n v="48"/>
    <n v="48"/>
    <x v="1"/>
    <n v="0"/>
    <x v="1"/>
    <n v="1"/>
    <x v="1"/>
    <n v="2784464"/>
    <n v="1"/>
    <x v="0"/>
    <n v="4"/>
    <n v="2"/>
    <x v="0"/>
    <n v="1"/>
    <x v="0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272573"/>
    <n v="52"/>
    <n v="52"/>
    <x v="2"/>
    <n v="0"/>
    <x v="1"/>
    <n v="1"/>
    <x v="1"/>
    <n v="1005578"/>
    <n v="1"/>
    <x v="0"/>
    <n v="4"/>
    <n v="2"/>
    <x v="0"/>
    <n v="2"/>
    <x v="1"/>
    <n v="0"/>
    <x v="0"/>
    <n v="1"/>
    <n v="1"/>
    <x v="1"/>
    <n v="0"/>
    <x v="0"/>
    <n v="1683957"/>
    <n v="3"/>
    <x v="3"/>
    <n v="0.704977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0"/>
    <x v="0"/>
    <n v="2938031"/>
    <n v="1"/>
    <x v="0"/>
    <n v="2705445"/>
    <n v="2"/>
    <x v="0"/>
    <n v="2"/>
    <x v="1"/>
    <n v="0"/>
    <x v="0"/>
    <n v="1333807"/>
    <n v="2"/>
    <x v="0"/>
    <n v="1"/>
    <x v="1"/>
    <n v="1877369"/>
    <n v="3"/>
    <x v="3"/>
    <n v="0.37097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706713"/>
    <n v="4"/>
    <n v="4"/>
    <x v="0"/>
    <n v="1"/>
    <x v="0"/>
    <n v="1"/>
    <x v="1"/>
    <n v="2842102"/>
    <n v="1"/>
    <x v="0"/>
    <n v="334175"/>
    <n v="2"/>
    <x v="0"/>
    <n v="1"/>
    <x v="0"/>
    <n v="0"/>
    <x v="0"/>
    <n v="2"/>
    <n v="2"/>
    <x v="0"/>
    <n v="0"/>
    <x v="0"/>
    <n v="2511157"/>
    <n v="3"/>
    <x v="3"/>
    <n v="0.56035100000000004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3"/>
    <n v="2"/>
    <x v="0"/>
    <n v="2"/>
    <x v="1"/>
    <n v="0"/>
    <x v="0"/>
    <n v="2685842"/>
    <n v="2"/>
    <x v="0"/>
    <n v="0"/>
    <x v="0"/>
    <n v="0.37318600000000002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1525597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054008"/>
    <n v="52"/>
    <n v="52"/>
    <x v="2"/>
    <n v="0"/>
    <x v="1"/>
    <n v="1"/>
    <x v="1"/>
    <n v="1889199"/>
    <n v="1"/>
    <x v="0"/>
    <n v="2217651"/>
    <n v="2"/>
    <x v="0"/>
    <n v="1"/>
    <x v="0"/>
    <n v="0"/>
    <x v="0"/>
    <n v="2013605"/>
    <n v="2"/>
    <x v="0"/>
    <n v="0"/>
    <x v="0"/>
    <n v="2075293"/>
    <n v="3"/>
    <x v="3"/>
    <n v="1683261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4"/>
    <n v="2"/>
    <x v="0"/>
    <n v="1"/>
    <x v="0"/>
    <n v="0"/>
    <x v="0"/>
    <n v="2"/>
    <n v="2"/>
    <x v="0"/>
    <n v="0"/>
    <x v="0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491272"/>
    <n v="47"/>
    <n v="47"/>
    <x v="1"/>
    <n v="1"/>
    <x v="0"/>
    <n v="1"/>
    <x v="1"/>
    <n v="2943749"/>
    <n v="1"/>
    <x v="0"/>
    <n v="4"/>
    <n v="2"/>
    <x v="0"/>
    <n v="1"/>
    <x v="0"/>
    <n v="0"/>
    <x v="0"/>
    <n v="2"/>
    <n v="2"/>
    <x v="0"/>
    <n v="0"/>
    <x v="0"/>
    <n v="2"/>
    <n v="2"/>
    <x v="1"/>
    <n v="0.128895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233998"/>
    <n v="1"/>
    <x v="0"/>
    <n v="3"/>
    <n v="2"/>
    <x v="0"/>
    <n v="1"/>
    <x v="0"/>
    <n v="0"/>
    <x v="0"/>
    <n v="2"/>
    <n v="2"/>
    <x v="0"/>
    <n v="0"/>
    <x v="0"/>
    <n v="2.7432999999999999E-2"/>
    <n v="0"/>
    <x v="0"/>
    <n v="1884138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0172661"/>
    <n v="55"/>
    <n v="55"/>
    <x v="2"/>
    <n v="0"/>
    <x v="1"/>
    <n v="0"/>
    <x v="0"/>
    <n v="3"/>
    <n v="1"/>
    <x v="0"/>
    <n v="2893778"/>
    <n v="2"/>
    <x v="0"/>
    <n v="2"/>
    <x v="1"/>
    <n v="0"/>
    <x v="0"/>
    <n v="1"/>
    <n v="1"/>
    <x v="1"/>
    <n v="1"/>
    <x v="1"/>
    <n v="0.76972600000000002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220108"/>
    <n v="52"/>
    <n v="52"/>
    <x v="2"/>
    <n v="0"/>
    <x v="1"/>
    <n v="1"/>
    <x v="1"/>
    <n v="3"/>
    <n v="1"/>
    <x v="0"/>
    <n v="1"/>
    <n v="1"/>
    <x v="1"/>
    <n v="2"/>
    <x v="1"/>
    <n v="0"/>
    <x v="0"/>
    <n v="1954889"/>
    <n v="2"/>
    <x v="0"/>
    <n v="0"/>
    <x v="0"/>
    <n v="0"/>
    <n v="0"/>
    <x v="0"/>
    <n v="0.907868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950742"/>
    <n v="1"/>
    <x v="0"/>
    <n v="3"/>
    <n v="2"/>
    <x v="0"/>
    <n v="1"/>
    <x v="0"/>
    <n v="0"/>
    <x v="0"/>
    <n v="1751723"/>
    <n v="2"/>
    <x v="0"/>
    <n v="0"/>
    <x v="0"/>
    <n v="0.20113600000000001"/>
    <n v="0"/>
    <x v="0"/>
    <n v="1743319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96247"/>
    <n v="5"/>
    <n v="5"/>
    <x v="0"/>
    <n v="1"/>
    <x v="0"/>
    <n v="1"/>
    <x v="1"/>
    <n v="2277436"/>
    <n v="1"/>
    <x v="0"/>
    <n v="3502604"/>
    <n v="2"/>
    <x v="0"/>
    <n v="1"/>
    <x v="0"/>
    <n v="0"/>
    <x v="0"/>
    <n v="2891713"/>
    <n v="2"/>
    <x v="0"/>
    <n v="0"/>
    <x v="0"/>
    <n v="1696294"/>
    <n v="3"/>
    <x v="3"/>
    <n v="189490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7580627"/>
    <n v="48"/>
    <n v="48"/>
    <x v="1"/>
    <n v="1"/>
    <x v="0"/>
    <n v="1"/>
    <x v="1"/>
    <n v="2"/>
    <n v="1"/>
    <x v="0"/>
    <n v="4"/>
    <n v="2"/>
    <x v="0"/>
    <n v="1"/>
    <x v="0"/>
    <n v="0"/>
    <x v="0"/>
    <n v="2369627"/>
    <n v="2"/>
    <x v="0"/>
    <n v="0"/>
    <x v="0"/>
    <n v="2"/>
    <n v="2"/>
    <x v="1"/>
    <n v="1612466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1125098"/>
    <n v="57"/>
    <n v="57"/>
    <x v="2"/>
    <n v="1"/>
    <x v="0"/>
    <n v="1"/>
    <x v="1"/>
    <n v="2371338"/>
    <n v="1"/>
    <x v="0"/>
    <n v="3998766"/>
    <n v="2"/>
    <x v="0"/>
    <n v="2"/>
    <x v="1"/>
    <n v="0"/>
    <x v="0"/>
    <n v="2263466"/>
    <n v="2"/>
    <x v="0"/>
    <n v="0"/>
    <x v="0"/>
    <n v="2"/>
    <n v="2"/>
    <x v="1"/>
    <n v="0.84400399999999998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2033129"/>
    <n v="60"/>
    <n v="60"/>
    <x v="2"/>
    <n v="1"/>
    <x v="0"/>
    <n v="1"/>
    <x v="1"/>
    <n v="2984425"/>
    <n v="1"/>
    <x v="0"/>
    <n v="3"/>
    <n v="2"/>
    <x v="0"/>
    <n v="2"/>
    <x v="1"/>
    <n v="0"/>
    <x v="0"/>
    <n v="2044694"/>
    <n v="2"/>
    <x v="0"/>
    <n v="0"/>
    <x v="0"/>
    <n v="2008256"/>
    <n v="3"/>
    <x v="3"/>
    <n v="1250871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0744839"/>
    <n v="56"/>
    <n v="56"/>
    <x v="2"/>
    <n v="1"/>
    <x v="0"/>
    <n v="1"/>
    <x v="1"/>
    <n v="2977018"/>
    <n v="1"/>
    <x v="0"/>
    <n v="3193671"/>
    <n v="2"/>
    <x v="0"/>
    <n v="2"/>
    <x v="1"/>
    <n v="0"/>
    <x v="0"/>
    <n v="2482933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2547298"/>
    <n v="61"/>
    <n v="61"/>
    <x v="2"/>
    <n v="1"/>
    <x v="0"/>
    <n v="1"/>
    <x v="1"/>
    <n v="2663421"/>
    <n v="1"/>
    <x v="0"/>
    <n v="3"/>
    <n v="2"/>
    <x v="0"/>
    <n v="2"/>
    <x v="1"/>
    <n v="0"/>
    <x v="0"/>
    <n v="104111"/>
    <n v="2"/>
    <x v="0"/>
    <n v="0"/>
    <x v="0"/>
    <n v="0.79440200000000005"/>
    <n v="0"/>
    <x v="0"/>
    <n v="1391948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1837996"/>
    <n v="59"/>
    <n v="59"/>
    <x v="2"/>
    <n v="0"/>
    <x v="1"/>
    <n v="0"/>
    <x v="0"/>
    <n v="3"/>
    <n v="1"/>
    <x v="0"/>
    <n v="169608"/>
    <n v="2"/>
    <x v="0"/>
    <n v="2"/>
    <x v="1"/>
    <n v="0"/>
    <x v="0"/>
    <n v="2550307"/>
    <n v="2"/>
    <x v="0"/>
    <n v="0"/>
    <x v="0"/>
    <n v="1098862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035829"/>
    <n v="63"/>
    <n v="63"/>
    <x v="2"/>
    <n v="0"/>
    <x v="1"/>
    <n v="0"/>
    <x v="0"/>
    <n v="2753752"/>
    <n v="1"/>
    <x v="0"/>
    <n v="2812377"/>
    <n v="2"/>
    <x v="0"/>
    <n v="2"/>
    <x v="1"/>
    <n v="0"/>
    <x v="0"/>
    <n v="2346647"/>
    <n v="2"/>
    <x v="0"/>
    <n v="0"/>
    <x v="0"/>
    <n v="1612248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529439"/>
    <n v="58"/>
    <n v="58"/>
    <x v="2"/>
    <n v="0"/>
    <x v="1"/>
    <n v="0"/>
    <x v="0"/>
    <n v="3"/>
    <n v="1"/>
    <x v="0"/>
    <n v="1612747"/>
    <n v="2"/>
    <x v="0"/>
    <n v="2"/>
    <x v="1"/>
    <n v="0"/>
    <x v="0"/>
    <n v="2566629"/>
    <n v="2"/>
    <x v="0"/>
    <n v="0"/>
    <x v="0"/>
    <n v="1190465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287999"/>
    <n v="58"/>
    <n v="58"/>
    <x v="2"/>
    <n v="0"/>
    <x v="1"/>
    <n v="0"/>
    <x v="0"/>
    <n v="2318355"/>
    <n v="1"/>
    <x v="0"/>
    <n v="1082304"/>
    <n v="2"/>
    <x v="0"/>
    <n v="2"/>
    <x v="1"/>
    <n v="0"/>
    <x v="0"/>
    <n v="1220365"/>
    <n v="2"/>
    <x v="0"/>
    <n v="0"/>
    <x v="0"/>
    <n v="3.3328000000000003E-2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444286"/>
    <n v="64"/>
    <n v="64"/>
    <x v="2"/>
    <n v="0"/>
    <x v="1"/>
    <n v="0"/>
    <x v="0"/>
    <n v="2594653"/>
    <n v="1"/>
    <x v="0"/>
    <n v="1882158"/>
    <n v="2"/>
    <x v="0"/>
    <n v="2"/>
    <x v="1"/>
    <n v="0"/>
    <x v="0"/>
    <n v="1916812"/>
    <n v="2"/>
    <x v="0"/>
    <n v="0"/>
    <x v="0"/>
    <n v="0.41711900000000002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2329041"/>
    <n v="61"/>
    <n v="61"/>
    <x v="2"/>
    <n v="0"/>
    <x v="1"/>
    <n v="0"/>
    <x v="0"/>
    <n v="2886157"/>
    <n v="1"/>
    <x v="0"/>
    <n v="2326233"/>
    <n v="2"/>
    <x v="0"/>
    <n v="2"/>
    <x v="1"/>
    <n v="0"/>
    <x v="0"/>
    <n v="2306821"/>
    <n v="2"/>
    <x v="0"/>
    <n v="0"/>
    <x v="0"/>
    <n v="142237"/>
    <n v="2"/>
    <x v="1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91505"/>
    <n v="5"/>
    <n v="5"/>
    <x v="0"/>
    <n v="0"/>
    <x v="1"/>
    <n v="1"/>
    <x v="1"/>
    <n v="3"/>
    <n v="1"/>
    <x v="0"/>
    <n v="3"/>
    <n v="2"/>
    <x v="0"/>
    <n v="1"/>
    <x v="0"/>
    <n v="0"/>
    <x v="0"/>
    <n v="2924594"/>
    <n v="2"/>
    <x v="0"/>
    <n v="1"/>
    <x v="1"/>
    <n v="1352558"/>
    <n v="3"/>
    <x v="3"/>
    <n v="0.220087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3"/>
    <n v="1"/>
    <x v="0"/>
    <n v="1989398"/>
    <n v="2"/>
    <x v="0"/>
    <n v="1"/>
    <x v="0"/>
    <n v="0"/>
    <x v="0"/>
    <n v="2241607"/>
    <n v="2"/>
    <x v="0"/>
    <n v="0"/>
    <x v="0"/>
    <n v="0.20602500000000001"/>
    <n v="0"/>
    <x v="0"/>
    <n v="0.28445300000000001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052833"/>
    <n v="52"/>
    <n v="52"/>
    <x v="2"/>
    <n v="0"/>
    <x v="1"/>
    <n v="1"/>
    <x v="1"/>
    <n v="3"/>
    <n v="1"/>
    <x v="0"/>
    <n v="1735493"/>
    <n v="2"/>
    <x v="0"/>
    <n v="1"/>
    <x v="0"/>
    <n v="0"/>
    <x v="0"/>
    <n v="2318736"/>
    <n v="2"/>
    <x v="0"/>
    <n v="0"/>
    <x v="0"/>
    <n v="1193486"/>
    <n v="3"/>
    <x v="3"/>
    <n v="0.74568000000000001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59904"/>
    <n v="5"/>
    <n v="5"/>
    <x v="0"/>
    <n v="0"/>
    <x v="1"/>
    <n v="1"/>
    <x v="1"/>
    <n v="2967853"/>
    <n v="1"/>
    <x v="0"/>
    <n v="1"/>
    <n v="1"/>
    <x v="1"/>
    <n v="2"/>
    <x v="1"/>
    <n v="0"/>
    <x v="0"/>
    <n v="1131185"/>
    <n v="2"/>
    <x v="0"/>
    <n v="0"/>
    <x v="0"/>
    <n v="0"/>
    <n v="0"/>
    <x v="0"/>
    <n v="0.504175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673262"/>
    <n v="53"/>
    <n v="53"/>
    <x v="2"/>
    <n v="0"/>
    <x v="1"/>
    <n v="0"/>
    <x v="0"/>
    <n v="3"/>
    <n v="1"/>
    <x v="0"/>
    <n v="2974568"/>
    <n v="2"/>
    <x v="0"/>
    <n v="2"/>
    <x v="1"/>
    <n v="0"/>
    <x v="0"/>
    <n v="1145761"/>
    <n v="2"/>
    <x v="0"/>
    <n v="1"/>
    <x v="1"/>
    <n v="0.87966999999999995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244359"/>
    <n v="55"/>
    <n v="55"/>
    <x v="2"/>
    <n v="0"/>
    <x v="1"/>
    <n v="1"/>
    <x v="1"/>
    <n v="2619835"/>
    <n v="1"/>
    <x v="0"/>
    <n v="1"/>
    <n v="1"/>
    <x v="1"/>
    <n v="2"/>
    <x v="1"/>
    <n v="0"/>
    <x v="0"/>
    <n v="1198883"/>
    <n v="2"/>
    <x v="0"/>
    <n v="0"/>
    <x v="0"/>
    <n v="0"/>
    <n v="0"/>
    <x v="0"/>
    <n v="0.751211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552695"/>
    <n v="56"/>
    <n v="56"/>
    <x v="2"/>
    <n v="0"/>
    <x v="1"/>
    <n v="1"/>
    <x v="1"/>
    <n v="3"/>
    <n v="1"/>
    <x v="0"/>
    <n v="1"/>
    <n v="1"/>
    <x v="1"/>
    <n v="2"/>
    <x v="1"/>
    <n v="0"/>
    <x v="0"/>
    <n v="1185062"/>
    <n v="2"/>
    <x v="0"/>
    <n v="0"/>
    <x v="0"/>
    <n v="0"/>
    <n v="0"/>
    <x v="0"/>
    <n v="7.6654E-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0"/>
    <x v="1"/>
    <n v="1"/>
    <x v="1"/>
    <n v="3"/>
    <n v="1"/>
    <x v="0"/>
    <n v="1"/>
    <n v="1"/>
    <x v="1"/>
    <n v="2"/>
    <x v="1"/>
    <n v="0"/>
    <x v="0"/>
    <n v="1"/>
    <n v="1"/>
    <x v="1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997683"/>
    <n v="60"/>
    <n v="60"/>
    <x v="2"/>
    <n v="1"/>
    <x v="0"/>
    <n v="1"/>
    <x v="1"/>
    <n v="3"/>
    <n v="1"/>
    <x v="0"/>
    <n v="3715118"/>
    <n v="2"/>
    <x v="0"/>
    <n v="2"/>
    <x v="1"/>
    <n v="0"/>
    <x v="0"/>
    <n v="1774576"/>
    <n v="2"/>
    <x v="0"/>
    <n v="0"/>
    <x v="0"/>
    <n v="0.10297000000000001"/>
    <n v="0"/>
    <x v="0"/>
    <n v="0.64642299999999997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274628"/>
    <n v="58"/>
    <n v="58"/>
    <x v="2"/>
    <n v="1"/>
    <x v="0"/>
    <n v="1"/>
    <x v="1"/>
    <n v="3"/>
    <n v="1"/>
    <x v="0"/>
    <n v="3489918"/>
    <n v="2"/>
    <x v="0"/>
    <n v="2"/>
    <x v="1"/>
    <n v="0"/>
    <x v="0"/>
    <n v="1326694"/>
    <n v="2"/>
    <x v="0"/>
    <n v="0"/>
    <x v="0"/>
    <n v="0.79192899999999999"/>
    <n v="0"/>
    <x v="0"/>
    <n v="0.12839400000000001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909439"/>
    <n v="51"/>
    <n v="51"/>
    <x v="2"/>
    <n v="0"/>
    <x v="1"/>
    <n v="1"/>
    <x v="1"/>
    <n v="1053534"/>
    <n v="1"/>
    <x v="0"/>
    <n v="3378859"/>
    <n v="2"/>
    <x v="0"/>
    <n v="1"/>
    <x v="0"/>
    <n v="0"/>
    <x v="0"/>
    <n v="1"/>
    <n v="1"/>
    <x v="1"/>
    <n v="0"/>
    <x v="0"/>
    <n v="1853425"/>
    <n v="3"/>
    <x v="3"/>
    <n v="0.8618090000000000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396504"/>
    <n v="61"/>
    <n v="61"/>
    <x v="2"/>
    <n v="1"/>
    <x v="0"/>
    <n v="1"/>
    <x v="1"/>
    <n v="3"/>
    <n v="1"/>
    <x v="0"/>
    <n v="3263201"/>
    <n v="2"/>
    <x v="0"/>
    <n v="1"/>
    <x v="0"/>
    <n v="0"/>
    <x v="0"/>
    <n v="2233274"/>
    <n v="2"/>
    <x v="0"/>
    <n v="0"/>
    <x v="0"/>
    <n v="1557737"/>
    <n v="3"/>
    <x v="3"/>
    <n v="3.5500000000000001E-4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9084317"/>
    <n v="52"/>
    <n v="52"/>
    <x v="2"/>
    <n v="1"/>
    <x v="0"/>
    <n v="1"/>
    <x v="1"/>
    <n v="3"/>
    <n v="1"/>
    <x v="0"/>
    <n v="3994588"/>
    <n v="2"/>
    <x v="0"/>
    <n v="1"/>
    <x v="0"/>
    <n v="0"/>
    <x v="0"/>
    <n v="2548527"/>
    <n v="2"/>
    <x v="0"/>
    <n v="0"/>
    <x v="0"/>
    <n v="1285976"/>
    <n v="3"/>
    <x v="3"/>
    <n v="0.26707599999999998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1084625"/>
    <n v="57"/>
    <n v="57"/>
    <x v="2"/>
    <n v="1"/>
    <x v="0"/>
    <n v="1"/>
    <x v="1"/>
    <n v="2530233"/>
    <n v="1"/>
    <x v="0"/>
    <n v="324934"/>
    <n v="2"/>
    <x v="0"/>
    <n v="1"/>
    <x v="0"/>
    <n v="0"/>
    <x v="0"/>
    <n v="2387945"/>
    <n v="2"/>
    <x v="0"/>
    <n v="0"/>
    <x v="0"/>
    <n v="1976341"/>
    <n v="3"/>
    <x v="3"/>
    <n v="1672508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18068767"/>
    <n v="49"/>
    <n v="49"/>
    <x v="1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0.85433700000000001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1813083"/>
    <n v="59"/>
    <n v="59"/>
    <x v="2"/>
    <n v="1"/>
    <x v="0"/>
    <n v="1"/>
    <x v="1"/>
    <n v="28813"/>
    <n v="1"/>
    <x v="0"/>
    <n v="3087544"/>
    <n v="2"/>
    <x v="0"/>
    <n v="2"/>
    <x v="1"/>
    <n v="0"/>
    <x v="0"/>
    <n v="124818"/>
    <n v="2"/>
    <x v="0"/>
    <n v="0"/>
    <x v="0"/>
    <n v="1952427"/>
    <n v="3"/>
    <x v="3"/>
    <n v="0.42746099999999998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8038422"/>
    <n v="49"/>
    <n v="49"/>
    <x v="1"/>
    <n v="1"/>
    <x v="0"/>
    <n v="1"/>
    <x v="1"/>
    <n v="2824559"/>
    <n v="1"/>
    <x v="0"/>
    <n v="3"/>
    <n v="2"/>
    <x v="0"/>
    <n v="1"/>
    <x v="0"/>
    <n v="0"/>
    <x v="0"/>
    <n v="2"/>
    <n v="2"/>
    <x v="0"/>
    <n v="0"/>
    <x v="0"/>
    <n v="0.53330900000000003"/>
    <n v="0"/>
    <x v="0"/>
    <n v="109976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874591"/>
    <n v="51"/>
    <n v="51"/>
    <x v="2"/>
    <n v="0"/>
    <x v="1"/>
    <n v="1"/>
    <x v="1"/>
    <n v="2762325"/>
    <n v="1"/>
    <x v="0"/>
    <n v="1163666"/>
    <n v="2"/>
    <x v="0"/>
    <n v="1"/>
    <x v="0"/>
    <n v="0"/>
    <x v="0"/>
    <n v="130491"/>
    <n v="2"/>
    <x v="0"/>
    <n v="0"/>
    <x v="0"/>
    <n v="0.25289"/>
    <n v="0"/>
    <x v="0"/>
    <n v="1001405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21164"/>
    <n v="5"/>
    <n v="5"/>
    <x v="0"/>
    <n v="0"/>
    <x v="1"/>
    <n v="1"/>
    <x v="1"/>
    <n v="2070964"/>
    <n v="1"/>
    <x v="0"/>
    <n v="1"/>
    <n v="1"/>
    <x v="1"/>
    <n v="1"/>
    <x v="0"/>
    <n v="0"/>
    <x v="0"/>
    <n v="1676975"/>
    <n v="2"/>
    <x v="0"/>
    <n v="0"/>
    <x v="0"/>
    <n v="0"/>
    <n v="0"/>
    <x v="0"/>
    <n v="1718513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988581"/>
    <n v="52"/>
    <n v="52"/>
    <x v="2"/>
    <n v="0"/>
    <x v="1"/>
    <n v="1"/>
    <x v="1"/>
    <n v="268601"/>
    <n v="1"/>
    <x v="0"/>
    <n v="1"/>
    <n v="1"/>
    <x v="1"/>
    <n v="1"/>
    <x v="0"/>
    <n v="0"/>
    <x v="0"/>
    <n v="1310074"/>
    <n v="2"/>
    <x v="0"/>
    <n v="0"/>
    <x v="0"/>
    <n v="0"/>
    <n v="0"/>
    <x v="0"/>
    <n v="10647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408999"/>
    <n v="53"/>
    <n v="53"/>
    <x v="2"/>
    <n v="0"/>
    <x v="1"/>
    <n v="1"/>
    <x v="1"/>
    <n v="2794197"/>
    <n v="1"/>
    <x v="0"/>
    <n v="3409363"/>
    <n v="2"/>
    <x v="0"/>
    <n v="1"/>
    <x v="0"/>
    <n v="0"/>
    <x v="0"/>
    <n v="1543021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665881"/>
    <n v="53"/>
    <n v="53"/>
    <x v="2"/>
    <n v="0"/>
    <x v="1"/>
    <n v="0"/>
    <x v="0"/>
    <n v="2720701"/>
    <n v="1"/>
    <x v="0"/>
    <n v="3"/>
    <n v="2"/>
    <x v="0"/>
    <n v="1"/>
    <x v="0"/>
    <n v="0"/>
    <x v="0"/>
    <n v="2"/>
    <n v="2"/>
    <x v="0"/>
    <n v="0"/>
    <x v="0"/>
    <n v="1862235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758286"/>
    <n v="54"/>
    <n v="54"/>
    <x v="2"/>
    <n v="0"/>
    <x v="1"/>
    <n v="0"/>
    <x v="0"/>
    <n v="2880792"/>
    <n v="1"/>
    <x v="0"/>
    <n v="3281391"/>
    <n v="2"/>
    <x v="0"/>
    <n v="1"/>
    <x v="0"/>
    <n v="0"/>
    <x v="0"/>
    <n v="1960131"/>
    <n v="2"/>
    <x v="0"/>
    <n v="0"/>
    <x v="0"/>
    <n v="1513029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2422674"/>
    <n v="61"/>
    <n v="61"/>
    <x v="2"/>
    <n v="1"/>
    <x v="0"/>
    <n v="1"/>
    <x v="1"/>
    <n v="2674431"/>
    <n v="1"/>
    <x v="0"/>
    <n v="3"/>
    <n v="2"/>
    <x v="0"/>
    <n v="2"/>
    <x v="1"/>
    <n v="0"/>
    <x v="0"/>
    <n v="2453384"/>
    <n v="2"/>
    <x v="0"/>
    <n v="0"/>
    <x v="0"/>
    <n v="1321624"/>
    <n v="3"/>
    <x v="3"/>
    <n v="1990617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0242237"/>
    <n v="55"/>
    <n v="55"/>
    <x v="2"/>
    <n v="1"/>
    <x v="0"/>
    <n v="1"/>
    <x v="1"/>
    <n v="2"/>
    <n v="1"/>
    <x v="0"/>
    <n v="398525"/>
    <n v="2"/>
    <x v="0"/>
    <n v="1"/>
    <x v="0"/>
    <n v="0"/>
    <x v="0"/>
    <n v="2654078"/>
    <n v="2"/>
    <x v="0"/>
    <n v="0"/>
    <x v="0"/>
    <n v="2113151"/>
    <n v="3"/>
    <x v="3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637018"/>
    <n v="62"/>
    <n v="62"/>
    <x v="2"/>
    <n v="1"/>
    <x v="0"/>
    <n v="1"/>
    <x v="1"/>
    <n v="255996"/>
    <n v="1"/>
    <x v="0"/>
    <n v="3"/>
    <n v="2"/>
    <x v="0"/>
    <n v="2"/>
    <x v="1"/>
    <n v="0"/>
    <x v="0"/>
    <n v="1990788"/>
    <n v="2"/>
    <x v="0"/>
    <n v="0"/>
    <x v="0"/>
    <n v="0.48600599999999999"/>
    <n v="0"/>
    <x v="0"/>
    <n v="156127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9007177"/>
    <n v="52"/>
    <n v="52"/>
    <x v="2"/>
    <n v="0"/>
    <x v="1"/>
    <n v="1"/>
    <x v="1"/>
    <n v="1212908"/>
    <n v="1"/>
    <x v="0"/>
    <n v="3207071"/>
    <n v="2"/>
    <x v="0"/>
    <n v="1"/>
    <x v="0"/>
    <n v="0"/>
    <x v="0"/>
    <n v="1029703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288205"/>
    <n v="50"/>
    <n v="50"/>
    <x v="1"/>
    <n v="0"/>
    <x v="1"/>
    <n v="1"/>
    <x v="1"/>
    <n v="1140615"/>
    <n v="1"/>
    <x v="0"/>
    <n v="3471536"/>
    <n v="2"/>
    <x v="0"/>
    <n v="1"/>
    <x v="0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314429"/>
    <n v="52"/>
    <n v="52"/>
    <x v="2"/>
    <n v="0"/>
    <x v="1"/>
    <n v="1"/>
    <x v="1"/>
    <n v="2562409"/>
    <n v="1"/>
    <x v="0"/>
    <n v="3488342"/>
    <n v="2"/>
    <x v="0"/>
    <n v="1"/>
    <x v="0"/>
    <n v="0"/>
    <x v="0"/>
    <n v="167062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714823"/>
    <n v="7"/>
    <n v="7"/>
    <x v="0"/>
    <n v="1"/>
    <x v="0"/>
    <n v="1"/>
    <x v="1"/>
    <n v="2004146"/>
    <n v="1"/>
    <x v="0"/>
    <n v="3443456"/>
    <n v="2"/>
    <x v="0"/>
    <n v="2"/>
    <x v="1"/>
    <n v="0"/>
    <x v="0"/>
    <n v="2020764"/>
    <n v="2"/>
    <x v="0"/>
    <n v="0"/>
    <x v="0"/>
    <n v="1078719"/>
    <n v="3"/>
    <x v="3"/>
    <n v="126729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5380557"/>
    <n v="69"/>
    <n v="69"/>
    <x v="2"/>
    <n v="1"/>
    <x v="0"/>
    <n v="1"/>
    <x v="1"/>
    <n v="2690754"/>
    <n v="1"/>
    <x v="0"/>
    <n v="303779"/>
    <n v="2"/>
    <x v="0"/>
    <n v="2"/>
    <x v="1"/>
    <n v="0"/>
    <x v="0"/>
    <n v="2212296"/>
    <n v="2"/>
    <x v="0"/>
    <n v="0"/>
    <x v="0"/>
    <n v="1616882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2867719"/>
    <n v="62"/>
    <n v="62"/>
    <x v="2"/>
    <n v="1"/>
    <x v="0"/>
    <n v="1"/>
    <x v="1"/>
    <n v="3"/>
    <n v="1"/>
    <x v="0"/>
    <n v="3642802"/>
    <n v="2"/>
    <x v="0"/>
    <n v="2"/>
    <x v="1"/>
    <n v="0"/>
    <x v="0"/>
    <n v="1995177"/>
    <n v="2"/>
    <x v="0"/>
    <n v="0"/>
    <x v="0"/>
    <n v="0.118271"/>
    <n v="0"/>
    <x v="0"/>
    <n v="6.5515000000000004E-2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7729923"/>
    <n v="48"/>
    <n v="48"/>
    <x v="1"/>
    <n v="0"/>
    <x v="1"/>
    <n v="1"/>
    <x v="1"/>
    <n v="2051283"/>
    <n v="1"/>
    <x v="0"/>
    <n v="2645858"/>
    <n v="2"/>
    <x v="0"/>
    <n v="1"/>
    <x v="0"/>
    <n v="0"/>
    <x v="0"/>
    <n v="235752"/>
    <n v="2"/>
    <x v="0"/>
    <n v="0"/>
    <x v="0"/>
    <n v="0.29130899999999998"/>
    <n v="0"/>
    <x v="0"/>
    <n v="0.8979420000000000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6834813"/>
    <n v="46"/>
    <n v="46"/>
    <x v="1"/>
    <n v="0"/>
    <x v="1"/>
    <n v="1"/>
    <x v="1"/>
    <n v="219005"/>
    <n v="1"/>
    <x v="0"/>
    <n v="3420618"/>
    <n v="2"/>
    <x v="0"/>
    <n v="1"/>
    <x v="0"/>
    <n v="0"/>
    <x v="0"/>
    <n v="1356405"/>
    <n v="2"/>
    <x v="0"/>
    <n v="0"/>
    <x v="0"/>
    <n v="1351996"/>
    <n v="3"/>
    <x v="3"/>
    <n v="0.9846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7521754"/>
    <n v="48"/>
    <n v="48"/>
    <x v="1"/>
    <n v="0"/>
    <x v="1"/>
    <n v="1"/>
    <x v="1"/>
    <n v="221498"/>
    <n v="1"/>
    <x v="0"/>
    <n v="264155"/>
    <n v="2"/>
    <x v="0"/>
    <n v="1"/>
    <x v="0"/>
    <n v="0"/>
    <x v="0"/>
    <n v="2121251"/>
    <n v="2"/>
    <x v="0"/>
    <n v="0"/>
    <x v="0"/>
    <n v="0.99839100000000003"/>
    <n v="0"/>
    <x v="0"/>
    <n v="0.8588200000000000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0"/>
    <x v="1"/>
    <n v="1"/>
    <x v="1"/>
    <n v="291548"/>
    <n v="1"/>
    <x v="0"/>
    <n v="3"/>
    <n v="2"/>
    <x v="0"/>
    <n v="1"/>
    <x v="0"/>
    <n v="0"/>
    <x v="0"/>
    <n v="1777486"/>
    <n v="2"/>
    <x v="0"/>
    <n v="0"/>
    <x v="0"/>
    <n v="1077469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708965"/>
    <n v="1"/>
    <x v="0"/>
    <n v="3"/>
    <n v="2"/>
    <x v="0"/>
    <n v="1"/>
    <x v="0"/>
    <n v="0"/>
    <x v="0"/>
    <n v="1873004"/>
    <n v="2"/>
    <x v="0"/>
    <n v="0"/>
    <x v="0"/>
    <n v="121718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128249"/>
    <n v="49"/>
    <n v="49"/>
    <x v="1"/>
    <n v="1"/>
    <x v="0"/>
    <n v="1"/>
    <x v="1"/>
    <n v="2853513"/>
    <n v="1"/>
    <x v="0"/>
    <n v="3"/>
    <n v="2"/>
    <x v="0"/>
    <n v="1"/>
    <x v="0"/>
    <n v="0"/>
    <x v="0"/>
    <n v="2"/>
    <n v="2"/>
    <x v="0"/>
    <n v="0"/>
    <x v="0"/>
    <n v="0.68046399999999996"/>
    <n v="0"/>
    <x v="0"/>
    <n v="1258881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7405104"/>
    <n v="47"/>
    <n v="47"/>
    <x v="1"/>
    <n v="1"/>
    <x v="0"/>
    <n v="1"/>
    <x v="1"/>
    <n v="2580872"/>
    <n v="1"/>
    <x v="0"/>
    <n v="3887906"/>
    <n v="2"/>
    <x v="0"/>
    <n v="1"/>
    <x v="0"/>
    <n v="0"/>
    <x v="0"/>
    <n v="2"/>
    <n v="2"/>
    <x v="0"/>
    <n v="0"/>
    <x v="0"/>
    <n v="2"/>
    <n v="2"/>
    <x v="1"/>
    <n v="0.4536490000000000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972925"/>
    <n v="5"/>
    <n v="5"/>
    <x v="0"/>
    <n v="1"/>
    <x v="0"/>
    <n v="1"/>
    <x v="1"/>
    <n v="2508835"/>
    <n v="1"/>
    <x v="0"/>
    <n v="3435905"/>
    <n v="2"/>
    <x v="0"/>
    <n v="1"/>
    <x v="0"/>
    <n v="0"/>
    <x v="0"/>
    <n v="2076933"/>
    <n v="2"/>
    <x v="0"/>
    <n v="0"/>
    <x v="0"/>
    <n v="2026668"/>
    <n v="3"/>
    <x v="3"/>
    <n v="1443328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18525834"/>
    <n v="50"/>
    <n v="50"/>
    <x v="1"/>
    <n v="1"/>
    <x v="0"/>
    <n v="1"/>
    <x v="1"/>
    <n v="2"/>
    <n v="1"/>
    <x v="0"/>
    <n v="3747163"/>
    <n v="2"/>
    <x v="0"/>
    <n v="1"/>
    <x v="0"/>
    <n v="0"/>
    <x v="0"/>
    <n v="2575535"/>
    <n v="2"/>
    <x v="0"/>
    <n v="0"/>
    <x v="0"/>
    <n v="2"/>
    <n v="2"/>
    <x v="1"/>
    <n v="184383"/>
    <n v="1"/>
    <x v="0"/>
    <n v="0"/>
    <x v="0"/>
    <n v="1"/>
    <x v="1"/>
    <n v="0"/>
    <x v="0"/>
    <n v="0"/>
    <x v="0"/>
    <n v="0"/>
    <x v="1"/>
    <n v="0"/>
    <x v="0"/>
    <n v="0"/>
    <x v="0"/>
  </r>
  <r>
    <n v="0"/>
    <s v="F"/>
    <n v="18595614"/>
    <n v="50"/>
    <n v="50"/>
    <x v="1"/>
    <n v="0"/>
    <x v="1"/>
    <n v="1"/>
    <x v="1"/>
    <n v="2896562"/>
    <n v="1"/>
    <x v="0"/>
    <n v="2625475"/>
    <n v="2"/>
    <x v="0"/>
    <n v="1"/>
    <x v="0"/>
    <n v="0"/>
    <x v="0"/>
    <n v="2839558"/>
    <n v="2"/>
    <x v="0"/>
    <n v="1"/>
    <x v="1"/>
    <n v="1949667"/>
    <n v="3"/>
    <x v="3"/>
    <n v="1253311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6613108"/>
    <n v="45"/>
    <n v="45"/>
    <x v="1"/>
    <n v="0"/>
    <x v="1"/>
    <n v="1"/>
    <x v="1"/>
    <n v="2911877"/>
    <n v="1"/>
    <x v="0"/>
    <n v="3098399"/>
    <n v="2"/>
    <x v="0"/>
    <n v="1"/>
    <x v="0"/>
    <n v="0"/>
    <x v="0"/>
    <n v="2196405"/>
    <n v="2"/>
    <x v="0"/>
    <n v="0"/>
    <x v="0"/>
    <n v="2328147"/>
    <n v="3"/>
    <x v="3"/>
    <n v="15501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6928791"/>
    <n v="46"/>
    <n v="46"/>
    <x v="1"/>
    <n v="0"/>
    <x v="1"/>
    <n v="1"/>
    <x v="1"/>
    <n v="2910733"/>
    <n v="1"/>
    <x v="0"/>
    <n v="312544"/>
    <n v="2"/>
    <x v="0"/>
    <n v="1"/>
    <x v="0"/>
    <n v="0"/>
    <x v="0"/>
    <n v="2204263"/>
    <n v="2"/>
    <x v="0"/>
    <n v="0"/>
    <x v="0"/>
    <n v="2407906"/>
    <n v="3"/>
    <x v="3"/>
    <n v="1403037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7758315"/>
    <n v="48"/>
    <n v="48"/>
    <x v="1"/>
    <n v="1"/>
    <x v="0"/>
    <n v="1"/>
    <x v="1"/>
    <n v="2966126"/>
    <n v="1"/>
    <x v="0"/>
    <n v="396981"/>
    <n v="2"/>
    <x v="0"/>
    <n v="1"/>
    <x v="0"/>
    <n v="0"/>
    <x v="0"/>
    <n v="2"/>
    <n v="2"/>
    <x v="0"/>
    <n v="0"/>
    <x v="0"/>
    <n v="2000088"/>
    <n v="3"/>
    <x v="3"/>
    <n v="0.37861899999999998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282945"/>
    <n v="47"/>
    <n v="47"/>
    <x v="1"/>
    <n v="1"/>
    <x v="0"/>
    <n v="1"/>
    <x v="1"/>
    <n v="2613249"/>
    <n v="1"/>
    <x v="0"/>
    <n v="3712183"/>
    <n v="2"/>
    <x v="0"/>
    <n v="1"/>
    <x v="0"/>
    <n v="0"/>
    <x v="0"/>
    <n v="2"/>
    <n v="2"/>
    <x v="0"/>
    <n v="0"/>
    <x v="0"/>
    <n v="2002997"/>
    <n v="3"/>
    <x v="3"/>
    <n v="0.174848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9993154"/>
    <n v="54"/>
    <n v="54"/>
    <x v="2"/>
    <n v="1"/>
    <x v="0"/>
    <n v="1"/>
    <x v="1"/>
    <n v="2"/>
    <n v="1"/>
    <x v="0"/>
    <n v="4"/>
    <n v="2"/>
    <x v="0"/>
    <n v="1"/>
    <x v="0"/>
    <n v="0"/>
    <x v="0"/>
    <n v="2542415"/>
    <n v="2"/>
    <x v="0"/>
    <n v="0"/>
    <x v="0"/>
    <n v="2"/>
    <n v="2"/>
    <x v="1"/>
    <n v="1807465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22935612"/>
    <n v="62"/>
    <n v="62"/>
    <x v="2"/>
    <n v="1"/>
    <x v="0"/>
    <n v="1"/>
    <x v="1"/>
    <n v="3"/>
    <n v="1"/>
    <x v="0"/>
    <n v="3"/>
    <n v="2"/>
    <x v="0"/>
    <n v="2"/>
    <x v="1"/>
    <n v="0"/>
    <x v="0"/>
    <n v="200357"/>
    <n v="2"/>
    <x v="0"/>
    <n v="0"/>
    <x v="0"/>
    <n v="125955"/>
    <n v="2"/>
    <x v="1"/>
    <n v="0.41711599999999999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0738469"/>
    <n v="56"/>
    <n v="56"/>
    <x v="2"/>
    <n v="1"/>
    <x v="0"/>
    <n v="1"/>
    <x v="1"/>
    <n v="2627031"/>
    <n v="1"/>
    <x v="0"/>
    <n v="3832911"/>
    <n v="2"/>
    <x v="0"/>
    <n v="1"/>
    <x v="0"/>
    <n v="0"/>
    <x v="0"/>
    <n v="2993448"/>
    <n v="2"/>
    <x v="0"/>
    <n v="0"/>
    <x v="0"/>
    <n v="2"/>
    <n v="2"/>
    <x v="1"/>
    <n v="1425903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99368"/>
    <n v="6"/>
    <n v="6"/>
    <x v="0"/>
    <n v="1"/>
    <x v="0"/>
    <n v="1"/>
    <x v="1"/>
    <n v="3"/>
    <n v="1"/>
    <x v="0"/>
    <n v="3"/>
    <n v="2"/>
    <x v="0"/>
    <n v="2"/>
    <x v="1"/>
    <n v="0"/>
    <x v="0"/>
    <n v="2009796"/>
    <n v="2"/>
    <x v="0"/>
    <n v="0"/>
    <x v="0"/>
    <n v="2"/>
    <n v="2"/>
    <x v="1"/>
    <n v="7.1317000000000005E-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317148"/>
    <n v="52"/>
    <n v="52"/>
    <x v="2"/>
    <n v="0"/>
    <x v="1"/>
    <n v="1"/>
    <x v="1"/>
    <n v="2919751"/>
    <n v="1"/>
    <x v="0"/>
    <n v="3576103"/>
    <n v="2"/>
    <x v="0"/>
    <n v="1"/>
    <x v="0"/>
    <n v="0"/>
    <x v="0"/>
    <n v="1949308"/>
    <n v="2"/>
    <x v="0"/>
    <n v="0"/>
    <x v="0"/>
    <n v="1940182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6910997"/>
    <n v="46"/>
    <n v="46"/>
    <x v="1"/>
    <n v="0"/>
    <x v="1"/>
    <n v="1"/>
    <x v="1"/>
    <n v="2494451"/>
    <n v="1"/>
    <x v="0"/>
    <n v="356544"/>
    <n v="2"/>
    <x v="0"/>
    <n v="1"/>
    <x v="0"/>
    <n v="0"/>
    <x v="0"/>
    <n v="1491268"/>
    <n v="2"/>
    <x v="0"/>
    <n v="0"/>
    <x v="0"/>
    <n v="1951027"/>
    <n v="3"/>
    <x v="3"/>
    <n v="0.9562040000000000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071027"/>
    <n v="52"/>
    <n v="52"/>
    <x v="2"/>
    <n v="0"/>
    <x v="1"/>
    <n v="1"/>
    <x v="1"/>
    <n v="169427"/>
    <n v="1"/>
    <x v="0"/>
    <n v="3266644"/>
    <n v="2"/>
    <x v="0"/>
    <n v="1"/>
    <x v="0"/>
    <n v="0"/>
    <x v="0"/>
    <n v="1095417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019572"/>
    <n v="49"/>
    <n v="49"/>
    <x v="1"/>
    <n v="0"/>
    <x v="1"/>
    <n v="1"/>
    <x v="1"/>
    <n v="1601236"/>
    <n v="1"/>
    <x v="0"/>
    <n v="3433908"/>
    <n v="2"/>
    <x v="0"/>
    <n v="1"/>
    <x v="0"/>
    <n v="0"/>
    <x v="0"/>
    <n v="1055019"/>
    <n v="2"/>
    <x v="0"/>
    <n v="0"/>
    <x v="0"/>
    <n v="0.81926900000000002"/>
    <n v="0"/>
    <x v="0"/>
    <n v="1030848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735968"/>
    <n v="54"/>
    <n v="54"/>
    <x v="2"/>
    <n v="0"/>
    <x v="1"/>
    <n v="1"/>
    <x v="1"/>
    <n v="1204855"/>
    <n v="1"/>
    <x v="0"/>
    <n v="3531038"/>
    <n v="2"/>
    <x v="0"/>
    <n v="1"/>
    <x v="0"/>
    <n v="0"/>
    <x v="0"/>
    <n v="1134658"/>
    <n v="2"/>
    <x v="0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094079"/>
    <n v="49"/>
    <n v="49"/>
    <x v="1"/>
    <n v="0"/>
    <x v="1"/>
    <n v="1"/>
    <x v="1"/>
    <n v="1052699"/>
    <n v="1"/>
    <x v="0"/>
    <n v="3998618"/>
    <n v="2"/>
    <x v="0"/>
    <n v="2"/>
    <x v="1"/>
    <n v="0"/>
    <x v="0"/>
    <n v="1"/>
    <n v="1"/>
    <x v="1"/>
    <n v="0"/>
    <x v="0"/>
    <n v="2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9054938"/>
    <n v="52"/>
    <n v="52"/>
    <x v="2"/>
    <n v="0"/>
    <x v="1"/>
    <n v="0"/>
    <x v="0"/>
    <n v="2910345"/>
    <n v="1"/>
    <x v="0"/>
    <n v="3"/>
    <n v="2"/>
    <x v="0"/>
    <n v="2"/>
    <x v="1"/>
    <n v="0"/>
    <x v="0"/>
    <n v="1"/>
    <n v="1"/>
    <x v="1"/>
    <n v="1"/>
    <x v="1"/>
    <n v="1461005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850119"/>
    <n v="57"/>
    <n v="57"/>
    <x v="2"/>
    <n v="0"/>
    <x v="1"/>
    <n v="1"/>
    <x v="1"/>
    <n v="2866383"/>
    <n v="1"/>
    <x v="0"/>
    <n v="1226342"/>
    <n v="2"/>
    <x v="0"/>
    <n v="2"/>
    <x v="1"/>
    <n v="0"/>
    <x v="0"/>
    <n v="1"/>
    <n v="1"/>
    <x v="1"/>
    <n v="0"/>
    <x v="0"/>
    <n v="0.14495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349258"/>
    <n v="53"/>
    <n v="53"/>
    <x v="2"/>
    <n v="0"/>
    <x v="1"/>
    <n v="1"/>
    <x v="1"/>
    <n v="2913486"/>
    <n v="1"/>
    <x v="0"/>
    <n v="1060796"/>
    <n v="2"/>
    <x v="0"/>
    <n v="2"/>
    <x v="1"/>
    <n v="0"/>
    <x v="0"/>
    <n v="1596212"/>
    <n v="2"/>
    <x v="0"/>
    <n v="0"/>
    <x v="0"/>
    <n v="0.108948"/>
    <n v="0"/>
    <x v="0"/>
    <n v="0.773086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7"/>
    <n v="17"/>
    <n v="17"/>
    <x v="0"/>
    <n v="1"/>
    <x v="0"/>
    <n v="1"/>
    <x v="1"/>
    <n v="2432886"/>
    <n v="1"/>
    <x v="0"/>
    <n v="3"/>
    <n v="2"/>
    <x v="0"/>
    <n v="1"/>
    <x v="0"/>
    <n v="0"/>
    <x v="0"/>
    <n v="2"/>
    <n v="2"/>
    <x v="0"/>
    <n v="0"/>
    <x v="0"/>
    <n v="2697949"/>
    <n v="3"/>
    <x v="3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17203917"/>
    <n v="47"/>
    <n v="47"/>
    <x v="1"/>
    <n v="1"/>
    <x v="0"/>
    <n v="1"/>
    <x v="1"/>
    <n v="2883745"/>
    <n v="1"/>
    <x v="0"/>
    <n v="3595761"/>
    <n v="2"/>
    <x v="0"/>
    <n v="1"/>
    <x v="0"/>
    <n v="0"/>
    <x v="0"/>
    <n v="2"/>
    <n v="2"/>
    <x v="0"/>
    <n v="0"/>
    <x v="0"/>
    <n v="2077653"/>
    <n v="3"/>
    <x v="3"/>
    <n v="0.71470100000000003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671064"/>
    <n v="48"/>
    <n v="48"/>
    <x v="1"/>
    <n v="1"/>
    <x v="0"/>
    <n v="1"/>
    <x v="1"/>
    <n v="2707666"/>
    <n v="1"/>
    <x v="0"/>
    <n v="3737914"/>
    <n v="2"/>
    <x v="0"/>
    <n v="1"/>
    <x v="0"/>
    <n v="0"/>
    <x v="0"/>
    <n v="2026547"/>
    <n v="2"/>
    <x v="0"/>
    <n v="0"/>
    <x v="0"/>
    <n v="2009397"/>
    <n v="3"/>
    <x v="3"/>
    <n v="0.61397100000000004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1310907"/>
    <n v="58"/>
    <n v="58"/>
    <x v="2"/>
    <n v="1"/>
    <x v="0"/>
    <n v="1"/>
    <x v="1"/>
    <n v="2919584"/>
    <n v="1"/>
    <x v="0"/>
    <n v="3697831"/>
    <n v="2"/>
    <x v="0"/>
    <n v="2"/>
    <x v="1"/>
    <n v="0"/>
    <x v="0"/>
    <n v="1147121"/>
    <n v="2"/>
    <x v="0"/>
    <n v="0"/>
    <x v="0"/>
    <n v="0.993058"/>
    <n v="0"/>
    <x v="0"/>
    <n v="8.9219999999999994E-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708354"/>
    <n v="59"/>
    <n v="59"/>
    <x v="2"/>
    <n v="1"/>
    <x v="0"/>
    <n v="1"/>
    <x v="1"/>
    <n v="2969205"/>
    <n v="1"/>
    <x v="0"/>
    <n v="321043"/>
    <n v="2"/>
    <x v="0"/>
    <n v="2"/>
    <x v="1"/>
    <n v="0"/>
    <x v="0"/>
    <n v="2765876"/>
    <n v="2"/>
    <x v="0"/>
    <n v="0"/>
    <x v="0"/>
    <n v="0.61103700000000005"/>
    <n v="0"/>
    <x v="0"/>
    <n v="130069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176922"/>
    <n v="60"/>
    <n v="60"/>
    <x v="2"/>
    <n v="1"/>
    <x v="0"/>
    <n v="1"/>
    <x v="1"/>
    <n v="2486189"/>
    <n v="1"/>
    <x v="0"/>
    <n v="3"/>
    <n v="2"/>
    <x v="0"/>
    <n v="2"/>
    <x v="1"/>
    <n v="0"/>
    <x v="0"/>
    <n v="1064378"/>
    <n v="2"/>
    <x v="0"/>
    <n v="0"/>
    <x v="0"/>
    <n v="2206055"/>
    <n v="3"/>
    <x v="3"/>
    <n v="1958089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7823438"/>
    <n v="48"/>
    <n v="48"/>
    <x v="1"/>
    <n v="0"/>
    <x v="1"/>
    <n v="1"/>
    <x v="1"/>
    <n v="1642241"/>
    <n v="1"/>
    <x v="0"/>
    <n v="345259"/>
    <n v="2"/>
    <x v="0"/>
    <n v="1"/>
    <x v="0"/>
    <n v="0"/>
    <x v="0"/>
    <n v="1099231"/>
    <n v="2"/>
    <x v="0"/>
    <n v="0"/>
    <x v="0"/>
    <n v="0.418875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1567101"/>
    <n v="1"/>
    <x v="0"/>
    <n v="3"/>
    <n v="2"/>
    <x v="0"/>
    <n v="1"/>
    <x v="0"/>
    <n v="0"/>
    <x v="0"/>
    <n v="1994139"/>
    <n v="2"/>
    <x v="0"/>
    <n v="0"/>
    <x v="0"/>
    <n v="0.10798099999999999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281092"/>
    <n v="50"/>
    <n v="50"/>
    <x v="1"/>
    <n v="0"/>
    <x v="1"/>
    <n v="1"/>
    <x v="1"/>
    <n v="1036414"/>
    <n v="1"/>
    <x v="0"/>
    <n v="3205587"/>
    <n v="2"/>
    <x v="0"/>
    <n v="1"/>
    <x v="0"/>
    <n v="0"/>
    <x v="0"/>
    <n v="1745959"/>
    <n v="2"/>
    <x v="0"/>
    <n v="0"/>
    <x v="0"/>
    <n v="0.11597399999999999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656912"/>
    <n v="51"/>
    <n v="51"/>
    <x v="2"/>
    <n v="0"/>
    <x v="1"/>
    <n v="1"/>
    <x v="1"/>
    <n v="1649974"/>
    <n v="1"/>
    <x v="0"/>
    <n v="1513835"/>
    <n v="2"/>
    <x v="0"/>
    <n v="1"/>
    <x v="0"/>
    <n v="0"/>
    <x v="0"/>
    <n v="1549974"/>
    <n v="2"/>
    <x v="0"/>
    <n v="0"/>
    <x v="0"/>
    <n v="0.227802"/>
    <n v="0"/>
    <x v="0"/>
    <n v="197292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994543"/>
    <n v="54"/>
    <n v="54"/>
    <x v="2"/>
    <n v="0"/>
    <x v="1"/>
    <n v="1"/>
    <x v="1"/>
    <n v="1118436"/>
    <n v="1"/>
    <x v="0"/>
    <n v="3"/>
    <n v="2"/>
    <x v="0"/>
    <n v="1"/>
    <x v="0"/>
    <n v="0"/>
    <x v="0"/>
    <n v="1997744"/>
    <n v="2"/>
    <x v="0"/>
    <n v="0"/>
    <x v="0"/>
    <n v="2432443"/>
    <n v="3"/>
    <x v="3"/>
    <n v="162619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0255616"/>
    <n v="55"/>
    <n v="55"/>
    <x v="2"/>
    <n v="0"/>
    <x v="1"/>
    <n v="1"/>
    <x v="1"/>
    <n v="2673638"/>
    <n v="1"/>
    <x v="0"/>
    <n v="2779379"/>
    <n v="2"/>
    <x v="0"/>
    <n v="2"/>
    <x v="1"/>
    <n v="0"/>
    <x v="0"/>
    <n v="1249074"/>
    <n v="2"/>
    <x v="0"/>
    <n v="0"/>
    <x v="0"/>
    <n v="4.3411999999999999E-2"/>
    <n v="0"/>
    <x v="0"/>
    <n v="0.40369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865895"/>
    <n v="54"/>
    <n v="54"/>
    <x v="2"/>
    <n v="1"/>
    <x v="0"/>
    <n v="1"/>
    <x v="1"/>
    <n v="2120185"/>
    <n v="1"/>
    <x v="0"/>
    <n v="4"/>
    <n v="2"/>
    <x v="0"/>
    <n v="1"/>
    <x v="0"/>
    <n v="0"/>
    <x v="0"/>
    <n v="2582165"/>
    <n v="2"/>
    <x v="0"/>
    <n v="0"/>
    <x v="0"/>
    <n v="2"/>
    <n v="2"/>
    <x v="1"/>
    <n v="1510609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17888073"/>
    <n v="49"/>
    <n v="49"/>
    <x v="1"/>
    <n v="1"/>
    <x v="0"/>
    <n v="1"/>
    <x v="1"/>
    <n v="3"/>
    <n v="1"/>
    <x v="0"/>
    <n v="3732126"/>
    <n v="2"/>
    <x v="0"/>
    <n v="1"/>
    <x v="0"/>
    <n v="0"/>
    <x v="0"/>
    <n v="2"/>
    <n v="2"/>
    <x v="0"/>
    <n v="0"/>
    <x v="0"/>
    <n v="2000934"/>
    <n v="3"/>
    <x v="3"/>
    <n v="0.38466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470562"/>
    <n v="50"/>
    <n v="50"/>
    <x v="1"/>
    <n v="1"/>
    <x v="0"/>
    <n v="1"/>
    <x v="1"/>
    <n v="234222"/>
    <n v="1"/>
    <x v="0"/>
    <n v="3937099"/>
    <n v="2"/>
    <x v="0"/>
    <n v="1"/>
    <x v="0"/>
    <n v="0"/>
    <x v="0"/>
    <n v="2311791"/>
    <n v="2"/>
    <x v="0"/>
    <n v="0"/>
    <x v="0"/>
    <n v="2013377"/>
    <n v="3"/>
    <x v="3"/>
    <n v="1128355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17925497"/>
    <n v="49"/>
    <n v="49"/>
    <x v="1"/>
    <n v="1"/>
    <x v="0"/>
    <n v="1"/>
    <x v="1"/>
    <n v="286099"/>
    <n v="1"/>
    <x v="0"/>
    <n v="4"/>
    <n v="2"/>
    <x v="0"/>
    <n v="1"/>
    <x v="0"/>
    <n v="0"/>
    <x v="0"/>
    <n v="2"/>
    <n v="2"/>
    <x v="0"/>
    <n v="0"/>
    <x v="0"/>
    <n v="2"/>
    <n v="2"/>
    <x v="1"/>
    <n v="7.8720000000000005E-3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000752"/>
    <n v="46"/>
    <n v="46"/>
    <x v="1"/>
    <n v="1"/>
    <x v="0"/>
    <n v="1"/>
    <x v="1"/>
    <n v="2559571"/>
    <n v="1"/>
    <x v="0"/>
    <n v="3047959"/>
    <n v="2"/>
    <x v="0"/>
    <n v="1"/>
    <x v="0"/>
    <n v="0"/>
    <x v="0"/>
    <n v="2"/>
    <n v="2"/>
    <x v="0"/>
    <n v="0"/>
    <x v="0"/>
    <n v="2011646"/>
    <n v="3"/>
    <x v="3"/>
    <n v="0.5889940000000000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362129"/>
    <n v="47"/>
    <n v="47"/>
    <x v="1"/>
    <n v="1"/>
    <x v="0"/>
    <n v="1"/>
    <x v="1"/>
    <n v="2424977"/>
    <n v="1"/>
    <x v="0"/>
    <n v="4"/>
    <n v="2"/>
    <x v="0"/>
    <n v="1"/>
    <x v="0"/>
    <n v="0"/>
    <x v="0"/>
    <n v="2"/>
    <n v="2"/>
    <x v="0"/>
    <n v="0"/>
    <x v="0"/>
    <n v="2"/>
    <n v="2"/>
    <x v="1"/>
    <n v="3.9210000000000002E-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1786841"/>
    <n v="1"/>
    <x v="0"/>
    <n v="3"/>
    <n v="2"/>
    <x v="0"/>
    <n v="1"/>
    <x v="0"/>
    <n v="0"/>
    <x v="0"/>
    <n v="1546856"/>
    <n v="2"/>
    <x v="0"/>
    <n v="0"/>
    <x v="0"/>
    <n v="0.51209400000000005"/>
    <n v="0"/>
    <x v="0"/>
    <n v="160826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303878"/>
    <n v="1"/>
    <x v="0"/>
    <n v="3"/>
    <n v="2"/>
    <x v="0"/>
    <n v="1"/>
    <x v="0"/>
    <n v="0"/>
    <x v="0"/>
    <n v="1755497"/>
    <n v="2"/>
    <x v="0"/>
    <n v="0"/>
    <x v="0"/>
    <n v="6.2932000000000002E-2"/>
    <n v="0"/>
    <x v="0"/>
    <n v="167253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889883"/>
    <n v="1"/>
    <x v="0"/>
    <n v="3"/>
    <n v="2"/>
    <x v="0"/>
    <n v="1"/>
    <x v="0"/>
    <n v="0"/>
    <x v="0"/>
    <n v="1959531"/>
    <n v="2"/>
    <x v="0"/>
    <n v="0"/>
    <x v="0"/>
    <n v="0.52040699999999995"/>
    <n v="0"/>
    <x v="0"/>
    <n v="115116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9029494"/>
    <n v="52"/>
    <n v="52"/>
    <x v="2"/>
    <n v="0"/>
    <x v="1"/>
    <n v="0"/>
    <x v="0"/>
    <n v="2984004"/>
    <n v="1"/>
    <x v="0"/>
    <n v="3"/>
    <n v="2"/>
    <x v="0"/>
    <n v="2"/>
    <x v="1"/>
    <n v="0"/>
    <x v="0"/>
    <n v="1015249"/>
    <n v="2"/>
    <x v="0"/>
    <n v="1"/>
    <x v="1"/>
    <n v="132783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269079"/>
    <n v="52"/>
    <n v="52"/>
    <x v="2"/>
    <n v="0"/>
    <x v="1"/>
    <n v="0"/>
    <x v="0"/>
    <n v="3"/>
    <n v="1"/>
    <x v="0"/>
    <n v="2975362"/>
    <n v="2"/>
    <x v="0"/>
    <n v="2"/>
    <x v="1"/>
    <n v="0"/>
    <x v="0"/>
    <n v="1246822"/>
    <n v="2"/>
    <x v="0"/>
    <n v="1"/>
    <x v="1"/>
    <n v="0.97970100000000004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946244"/>
    <n v="54"/>
    <n v="54"/>
    <x v="2"/>
    <n v="0"/>
    <x v="1"/>
    <n v="0"/>
    <x v="0"/>
    <n v="3"/>
    <n v="1"/>
    <x v="0"/>
    <n v="3"/>
    <n v="2"/>
    <x v="0"/>
    <n v="2"/>
    <x v="1"/>
    <n v="0"/>
    <x v="0"/>
    <n v="2487919"/>
    <n v="2"/>
    <x v="0"/>
    <n v="1"/>
    <x v="1"/>
    <n v="1230441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639431"/>
    <n v="53"/>
    <n v="53"/>
    <x v="2"/>
    <n v="0"/>
    <x v="1"/>
    <n v="1"/>
    <x v="1"/>
    <n v="3"/>
    <n v="1"/>
    <x v="0"/>
    <n v="1"/>
    <n v="1"/>
    <x v="1"/>
    <n v="2"/>
    <x v="1"/>
    <n v="0"/>
    <x v="0"/>
    <n v="149681"/>
    <n v="2"/>
    <x v="0"/>
    <n v="0"/>
    <x v="0"/>
    <n v="0"/>
    <n v="0"/>
    <x v="0"/>
    <n v="0.51342699999999997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0"/>
    <x v="1"/>
    <n v="1"/>
    <x v="1"/>
    <n v="2749268"/>
    <n v="1"/>
    <x v="0"/>
    <n v="1394539"/>
    <n v="2"/>
    <x v="0"/>
    <n v="2"/>
    <x v="1"/>
    <n v="0"/>
    <x v="0"/>
    <n v="1322048"/>
    <n v="2"/>
    <x v="0"/>
    <n v="0"/>
    <x v="0"/>
    <n v="0.463949"/>
    <n v="0"/>
    <x v="0"/>
    <n v="0.800992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434709"/>
    <n v="53"/>
    <n v="53"/>
    <x v="2"/>
    <n v="0"/>
    <x v="1"/>
    <n v="1"/>
    <x v="1"/>
    <n v="3"/>
    <n v="1"/>
    <x v="0"/>
    <n v="1"/>
    <n v="1"/>
    <x v="1"/>
    <n v="2"/>
    <x v="1"/>
    <n v="0"/>
    <x v="0"/>
    <n v="1764055"/>
    <n v="2"/>
    <x v="0"/>
    <n v="0"/>
    <x v="0"/>
    <n v="0"/>
    <n v="0"/>
    <x v="0"/>
    <n v="0.560887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202075"/>
    <n v="1"/>
    <x v="0"/>
    <n v="3"/>
    <n v="2"/>
    <x v="0"/>
    <n v="1"/>
    <x v="0"/>
    <n v="0"/>
    <x v="0"/>
    <n v="1927976"/>
    <n v="2"/>
    <x v="0"/>
    <n v="0"/>
    <x v="0"/>
    <n v="2.3574000000000001E-2"/>
    <n v="0"/>
    <x v="0"/>
    <n v="1747256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381382"/>
    <n v="50"/>
    <n v="50"/>
    <x v="1"/>
    <n v="1"/>
    <x v="0"/>
    <n v="1"/>
    <x v="1"/>
    <n v="2"/>
    <n v="1"/>
    <x v="0"/>
    <n v="3131032"/>
    <n v="2"/>
    <x v="0"/>
    <n v="1"/>
    <x v="0"/>
    <n v="0"/>
    <x v="0"/>
    <n v="2072194"/>
    <n v="2"/>
    <x v="0"/>
    <n v="0"/>
    <x v="0"/>
    <n v="1487987"/>
    <n v="3"/>
    <x v="3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1871213"/>
    <n v="1"/>
    <x v="0"/>
    <n v="3"/>
    <n v="2"/>
    <x v="0"/>
    <n v="1"/>
    <x v="0"/>
    <n v="0"/>
    <x v="0"/>
    <n v="1283738"/>
    <n v="2"/>
    <x v="0"/>
    <n v="0"/>
    <x v="0"/>
    <n v="0.68487900000000002"/>
    <n v="0"/>
    <x v="0"/>
    <n v="148722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669858"/>
    <n v="7"/>
    <n v="7"/>
    <x v="0"/>
    <n v="0"/>
    <x v="1"/>
    <n v="1"/>
    <x v="1"/>
    <n v="2341133"/>
    <n v="1"/>
    <x v="0"/>
    <n v="1578521"/>
    <n v="2"/>
    <x v="0"/>
    <n v="1"/>
    <x v="0"/>
    <n v="0"/>
    <x v="0"/>
    <n v="2"/>
    <n v="2"/>
    <x v="0"/>
    <n v="0"/>
    <x v="0"/>
    <n v="2"/>
    <n v="2"/>
    <x v="1"/>
    <n v="0.554072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125836"/>
    <n v="57"/>
    <n v="57"/>
    <x v="2"/>
    <n v="0"/>
    <x v="1"/>
    <n v="1"/>
    <x v="1"/>
    <n v="2"/>
    <n v="1"/>
    <x v="0"/>
    <n v="1"/>
    <n v="1"/>
    <x v="1"/>
    <n v="0"/>
    <x v="3"/>
    <n v="0"/>
    <x v="0"/>
    <n v="2115967"/>
    <n v="2"/>
    <x v="0"/>
    <n v="0"/>
    <x v="0"/>
    <n v="0.770536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5191627"/>
    <n v="69"/>
    <n v="69"/>
    <x v="2"/>
    <n v="0"/>
    <x v="1"/>
    <n v="1"/>
    <x v="1"/>
    <n v="1450218"/>
    <n v="1"/>
    <x v="0"/>
    <n v="3985442"/>
    <n v="2"/>
    <x v="0"/>
    <n v="1"/>
    <x v="0"/>
    <n v="0"/>
    <x v="0"/>
    <n v="2147746"/>
    <n v="2"/>
    <x v="0"/>
    <n v="0"/>
    <x v="0"/>
    <n v="4.6836000000000003E-2"/>
    <n v="0"/>
    <x v="0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21963457"/>
    <n v="60"/>
    <n v="60"/>
    <x v="2"/>
    <n v="1"/>
    <x v="0"/>
    <n v="1"/>
    <x v="1"/>
    <n v="2204914"/>
    <n v="1"/>
    <x v="0"/>
    <n v="3623364"/>
    <n v="2"/>
    <x v="0"/>
    <n v="1"/>
    <x v="0"/>
    <n v="0"/>
    <x v="0"/>
    <n v="1815293"/>
    <n v="2"/>
    <x v="0"/>
    <n v="0"/>
    <x v="0"/>
    <n v="0.98931599999999997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1206276"/>
    <n v="1"/>
    <x v="0"/>
    <n v="3"/>
    <n v="2"/>
    <x v="0"/>
    <n v="0"/>
    <x v="3"/>
    <n v="0"/>
    <x v="0"/>
    <n v="2406541"/>
    <n v="2"/>
    <x v="0"/>
    <n v="0"/>
    <x v="0"/>
    <n v="0.94984000000000002"/>
    <n v="0"/>
    <x v="0"/>
    <n v="0.479221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114981"/>
    <n v="52"/>
    <n v="52"/>
    <x v="2"/>
    <n v="1"/>
    <x v="0"/>
    <n v="1"/>
    <x v="1"/>
    <n v="2"/>
    <n v="1"/>
    <x v="0"/>
    <n v="3"/>
    <n v="2"/>
    <x v="0"/>
    <n v="1"/>
    <x v="0"/>
    <n v="0"/>
    <x v="0"/>
    <n v="1015677"/>
    <n v="2"/>
    <x v="0"/>
    <n v="0"/>
    <x v="0"/>
    <n v="0"/>
    <n v="0"/>
    <x v="0"/>
    <n v="0.37464999999999998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41823567"/>
    <n v="114"/>
    <n v="100"/>
    <x v="3"/>
    <n v="0"/>
    <x v="1"/>
    <n v="1"/>
    <x v="1"/>
    <n v="281646"/>
    <n v="1"/>
    <x v="0"/>
    <n v="336313"/>
    <n v="2"/>
    <x v="0"/>
    <n v="1"/>
    <x v="0"/>
    <n v="0"/>
    <x v="0"/>
    <n v="2722063"/>
    <n v="2"/>
    <x v="0"/>
    <n v="0"/>
    <x v="0"/>
    <n v="3"/>
    <n v="3"/>
    <x v="3"/>
    <n v="0.26579000000000003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1142432"/>
    <n v="57"/>
    <n v="57"/>
    <x v="2"/>
    <n v="1"/>
    <x v="0"/>
    <n v="1"/>
    <x v="1"/>
    <n v="2"/>
    <n v="1"/>
    <x v="0"/>
    <n v="3"/>
    <n v="2"/>
    <x v="0"/>
    <n v="1"/>
    <x v="0"/>
    <n v="0"/>
    <x v="0"/>
    <n v="1345298"/>
    <n v="2"/>
    <x v="0"/>
    <n v="0"/>
    <x v="0"/>
    <n v="1097905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1962426"/>
    <n v="60"/>
    <n v="60"/>
    <x v="2"/>
    <n v="1"/>
    <x v="0"/>
    <n v="1"/>
    <x v="1"/>
    <n v="2"/>
    <n v="1"/>
    <x v="0"/>
    <n v="3"/>
    <n v="2"/>
    <x v="0"/>
    <n v="1"/>
    <x v="0"/>
    <n v="0"/>
    <x v="0"/>
    <n v="1825629"/>
    <n v="2"/>
    <x v="0"/>
    <n v="0"/>
    <x v="0"/>
    <n v="0.69959199999999999"/>
    <n v="0"/>
    <x v="0"/>
    <n v="0.142055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836315"/>
    <n v="51"/>
    <n v="51"/>
    <x v="2"/>
    <n v="1"/>
    <x v="0"/>
    <n v="1"/>
    <x v="1"/>
    <n v="2"/>
    <n v="1"/>
    <x v="0"/>
    <n v="173762"/>
    <n v="2"/>
    <x v="0"/>
    <n v="1"/>
    <x v="0"/>
    <n v="0"/>
    <x v="0"/>
    <n v="2207978"/>
    <n v="2"/>
    <x v="0"/>
    <n v="0"/>
    <x v="0"/>
    <n v="2641072"/>
    <n v="3"/>
    <x v="3"/>
    <n v="0.70704400000000001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23572648"/>
    <n v="64"/>
    <n v="64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34568399999999999"/>
    <n v="0"/>
    <x v="0"/>
    <n v="141553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3700749"/>
    <n v="92"/>
    <n v="92"/>
    <x v="3"/>
    <n v="1"/>
    <x v="0"/>
    <n v="0"/>
    <x v="0"/>
    <n v="3"/>
    <n v="1"/>
    <x v="0"/>
    <n v="1146052"/>
    <n v="2"/>
    <x v="0"/>
    <n v="1"/>
    <x v="0"/>
    <n v="0"/>
    <x v="0"/>
    <n v="1074048"/>
    <n v="2"/>
    <x v="0"/>
    <n v="0"/>
    <x v="0"/>
    <n v="0.67993499999999996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845025"/>
    <n v="59"/>
    <n v="59"/>
    <x v="2"/>
    <n v="1"/>
    <x v="0"/>
    <n v="1"/>
    <x v="1"/>
    <n v="1758394"/>
    <n v="1"/>
    <x v="0"/>
    <n v="3981997"/>
    <n v="2"/>
    <x v="0"/>
    <n v="1"/>
    <x v="0"/>
    <n v="0"/>
    <x v="0"/>
    <n v="2174248"/>
    <n v="2"/>
    <x v="0"/>
    <n v="0"/>
    <x v="0"/>
    <n v="0.92047599999999996"/>
    <n v="0"/>
    <x v="0"/>
    <n v="135816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9154"/>
    <n v="2"/>
    <x v="0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5125401"/>
    <n v="96"/>
    <n v="96"/>
    <x v="3"/>
    <n v="0"/>
    <x v="1"/>
    <n v="1"/>
    <x v="1"/>
    <n v="2"/>
    <n v="1"/>
    <x v="0"/>
    <n v="2105616"/>
    <n v="2"/>
    <x v="0"/>
    <n v="1"/>
    <x v="0"/>
    <n v="0"/>
    <x v="0"/>
    <n v="1456581"/>
    <n v="2"/>
    <x v="0"/>
    <n v="0"/>
    <x v="0"/>
    <n v="0"/>
    <n v="0"/>
    <x v="0"/>
    <n v="0.99739999999999995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6769646"/>
    <n v="100"/>
    <n v="100"/>
    <x v="3"/>
    <n v="1"/>
    <x v="0"/>
    <n v="1"/>
    <x v="1"/>
    <n v="2392665"/>
    <n v="1"/>
    <x v="0"/>
    <n v="3"/>
    <n v="2"/>
    <x v="0"/>
    <n v="1"/>
    <x v="0"/>
    <n v="0"/>
    <x v="0"/>
    <n v="2951056"/>
    <n v="2"/>
    <x v="0"/>
    <n v="0"/>
    <x v="0"/>
    <n v="0"/>
    <n v="0"/>
    <x v="0"/>
    <n v="0.36913400000000002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868932"/>
    <n v="59"/>
    <n v="59"/>
    <x v="2"/>
    <n v="1"/>
    <x v="0"/>
    <n v="1"/>
    <x v="1"/>
    <n v="2577427"/>
    <n v="1"/>
    <x v="0"/>
    <n v="1"/>
    <n v="1"/>
    <x v="1"/>
    <n v="1"/>
    <x v="0"/>
    <n v="0"/>
    <x v="0"/>
    <n v="2"/>
    <n v="2"/>
    <x v="0"/>
    <n v="0"/>
    <x v="0"/>
    <n v="228742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549208"/>
    <n v="61"/>
    <n v="61"/>
    <x v="2"/>
    <n v="0"/>
    <x v="1"/>
    <n v="1"/>
    <x v="1"/>
    <n v="2"/>
    <n v="1"/>
    <x v="0"/>
    <n v="1"/>
    <n v="1"/>
    <x v="1"/>
    <n v="0"/>
    <x v="3"/>
    <n v="0"/>
    <x v="0"/>
    <n v="2803311"/>
    <n v="2"/>
    <x v="0"/>
    <n v="0"/>
    <x v="0"/>
    <n v="0.24535399999999999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0958957"/>
    <n v="84"/>
    <n v="84"/>
    <x v="3"/>
    <n v="1"/>
    <x v="0"/>
    <n v="1"/>
    <x v="1"/>
    <n v="2052152"/>
    <n v="1"/>
    <x v="0"/>
    <n v="3"/>
    <n v="2"/>
    <x v="0"/>
    <n v="1"/>
    <x v="0"/>
    <n v="0"/>
    <x v="0"/>
    <n v="1972074"/>
    <n v="2"/>
    <x v="0"/>
    <n v="0"/>
    <x v="0"/>
    <n v="0.22830700000000001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1017383"/>
    <n v="57"/>
    <n v="57"/>
    <x v="2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257223"/>
    <n v="2"/>
    <x v="1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9623574"/>
    <n v="53"/>
    <n v="53"/>
    <x v="2"/>
    <n v="1"/>
    <x v="0"/>
    <n v="1"/>
    <x v="1"/>
    <n v="2954996"/>
    <n v="1"/>
    <x v="0"/>
    <n v="3714833"/>
    <n v="2"/>
    <x v="0"/>
    <n v="1"/>
    <x v="0"/>
    <n v="0"/>
    <x v="0"/>
    <n v="2430918"/>
    <n v="2"/>
    <x v="0"/>
    <n v="0"/>
    <x v="0"/>
    <n v="2545931"/>
    <n v="3"/>
    <x v="3"/>
    <n v="0.469735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637947"/>
    <n v="53"/>
    <n v="53"/>
    <x v="2"/>
    <n v="1"/>
    <x v="0"/>
    <n v="1"/>
    <x v="1"/>
    <n v="3"/>
    <n v="1"/>
    <x v="0"/>
    <n v="3"/>
    <n v="2"/>
    <x v="0"/>
    <n v="1"/>
    <x v="0"/>
    <n v="0"/>
    <x v="0"/>
    <n v="2229171"/>
    <n v="2"/>
    <x v="0"/>
    <n v="0"/>
    <x v="0"/>
    <n v="1607953"/>
    <n v="3"/>
    <x v="3"/>
    <n v="0.6280590000000000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413642"/>
    <n v="58"/>
    <n v="58"/>
    <x v="2"/>
    <n v="1"/>
    <x v="0"/>
    <n v="1"/>
    <x v="1"/>
    <n v="2"/>
    <n v="1"/>
    <x v="0"/>
    <n v="3"/>
    <n v="2"/>
    <x v="0"/>
    <n v="1"/>
    <x v="0"/>
    <n v="0"/>
    <x v="0"/>
    <n v="2843777"/>
    <n v="2"/>
    <x v="0"/>
    <n v="0"/>
    <x v="0"/>
    <n v="2022315"/>
    <n v="3"/>
    <x v="3"/>
    <n v="9.2540000000000001E-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029633"/>
    <n v="57"/>
    <n v="57"/>
    <x v="2"/>
    <n v="1"/>
    <x v="0"/>
    <n v="1"/>
    <x v="1"/>
    <n v="2"/>
    <n v="1"/>
    <x v="0"/>
    <n v="3691226"/>
    <n v="2"/>
    <x v="0"/>
    <n v="0"/>
    <x v="3"/>
    <n v="0"/>
    <x v="0"/>
    <n v="3"/>
    <n v="2"/>
    <x v="0"/>
    <n v="0"/>
    <x v="0"/>
    <n v="1228136"/>
    <n v="3"/>
    <x v="3"/>
    <n v="0.335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667596"/>
    <n v="62"/>
    <n v="62"/>
    <x v="2"/>
    <n v="1"/>
    <x v="0"/>
    <n v="1"/>
    <x v="1"/>
    <n v="2"/>
    <n v="1"/>
    <x v="0"/>
    <n v="3"/>
    <n v="2"/>
    <x v="0"/>
    <n v="2"/>
    <x v="1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1"/>
    <x v="1"/>
    <n v="2555401"/>
    <n v="1"/>
    <x v="0"/>
    <n v="3292386"/>
    <n v="2"/>
    <x v="0"/>
    <n v="1"/>
    <x v="0"/>
    <n v="0"/>
    <x v="0"/>
    <n v="3"/>
    <n v="2"/>
    <x v="0"/>
    <n v="0"/>
    <x v="0"/>
    <n v="2"/>
    <n v="2"/>
    <x v="1"/>
    <n v="0.31591799999999998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81119"/>
    <n v="5"/>
    <n v="5"/>
    <x v="0"/>
    <n v="1"/>
    <x v="0"/>
    <n v="1"/>
    <x v="1"/>
    <n v="2108711"/>
    <n v="1"/>
    <x v="0"/>
    <n v="3"/>
    <n v="2"/>
    <x v="0"/>
    <n v="1"/>
    <x v="0"/>
    <n v="0"/>
    <x v="0"/>
    <n v="2746197"/>
    <n v="2"/>
    <x v="0"/>
    <n v="0"/>
    <x v="0"/>
    <n v="1910432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915279"/>
    <n v="1"/>
    <x v="0"/>
    <n v="1104642"/>
    <n v="2"/>
    <x v="0"/>
    <n v="1"/>
    <x v="0"/>
    <n v="0"/>
    <x v="0"/>
    <n v="1530046"/>
    <n v="2"/>
    <x v="0"/>
    <n v="0"/>
    <x v="0"/>
    <n v="1360635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128206"/>
    <n v="49"/>
    <n v="49"/>
    <x v="1"/>
    <n v="1"/>
    <x v="0"/>
    <n v="1"/>
    <x v="1"/>
    <n v="1570089"/>
    <n v="1"/>
    <x v="0"/>
    <n v="3"/>
    <n v="2"/>
    <x v="0"/>
    <n v="1"/>
    <x v="0"/>
    <n v="0"/>
    <x v="0"/>
    <n v="2"/>
    <n v="2"/>
    <x v="0"/>
    <n v="0"/>
    <x v="0"/>
    <n v="2707882"/>
    <n v="3"/>
    <x v="3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1636326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908107"/>
    <n v="7"/>
    <n v="7"/>
    <x v="0"/>
    <n v="1"/>
    <x v="0"/>
    <n v="1"/>
    <x v="1"/>
    <n v="2"/>
    <n v="1"/>
    <x v="0"/>
    <n v="3"/>
    <n v="2"/>
    <x v="0"/>
    <n v="1"/>
    <x v="0"/>
    <n v="0"/>
    <x v="0"/>
    <n v="1701835"/>
    <n v="2"/>
    <x v="0"/>
    <n v="0"/>
    <x v="0"/>
    <n v="1682271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6358919"/>
    <n v="72"/>
    <n v="72"/>
    <x v="2"/>
    <n v="1"/>
    <x v="0"/>
    <n v="1"/>
    <x v="1"/>
    <n v="194313"/>
    <n v="1"/>
    <x v="0"/>
    <n v="3559841"/>
    <n v="2"/>
    <x v="0"/>
    <n v="1"/>
    <x v="0"/>
    <n v="0"/>
    <x v="0"/>
    <n v="2367996"/>
    <n v="2"/>
    <x v="0"/>
    <n v="0"/>
    <x v="0"/>
    <n v="0.23552999999999999"/>
    <n v="0"/>
    <x v="0"/>
    <n v="0.879977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717249"/>
    <n v="62"/>
    <n v="62"/>
    <x v="2"/>
    <n v="1"/>
    <x v="0"/>
    <n v="1"/>
    <x v="1"/>
    <n v="2714447"/>
    <n v="1"/>
    <x v="0"/>
    <n v="3"/>
    <n v="2"/>
    <x v="0"/>
    <n v="1"/>
    <x v="0"/>
    <n v="0"/>
    <x v="0"/>
    <n v="3"/>
    <n v="2"/>
    <x v="0"/>
    <n v="0"/>
    <x v="0"/>
    <n v="1096818"/>
    <n v="3"/>
    <x v="3"/>
    <n v="189388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816949"/>
    <n v="54"/>
    <n v="54"/>
    <x v="2"/>
    <n v="1"/>
    <x v="0"/>
    <n v="1"/>
    <x v="1"/>
    <n v="2"/>
    <n v="1"/>
    <x v="0"/>
    <n v="3"/>
    <n v="2"/>
    <x v="0"/>
    <n v="1"/>
    <x v="0"/>
    <n v="0"/>
    <x v="0"/>
    <n v="2292073"/>
    <n v="2"/>
    <x v="0"/>
    <n v="0"/>
    <x v="0"/>
    <n v="1067817"/>
    <n v="3"/>
    <x v="3"/>
    <n v="0.196679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4023972"/>
    <n v="65"/>
    <n v="65"/>
    <x v="2"/>
    <n v="0"/>
    <x v="1"/>
    <n v="1"/>
    <x v="1"/>
    <n v="2903545"/>
    <n v="1"/>
    <x v="0"/>
    <n v="3"/>
    <n v="2"/>
    <x v="0"/>
    <n v="1"/>
    <x v="0"/>
    <n v="0"/>
    <x v="0"/>
    <n v="1549931"/>
    <n v="2"/>
    <x v="0"/>
    <n v="0"/>
    <x v="0"/>
    <n v="0"/>
    <n v="0"/>
    <x v="0"/>
    <n v="0.273882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2593129"/>
    <n v="89"/>
    <n v="89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339232"/>
    <n v="2"/>
    <x v="2"/>
    <n v="1"/>
    <x v="1"/>
    <n v="1"/>
    <x v="1"/>
    <n v="0"/>
    <x v="0"/>
    <n v="0"/>
    <x v="0"/>
    <n v="0"/>
    <x v="1"/>
    <n v="0"/>
    <x v="0"/>
    <n v="0"/>
    <x v="0"/>
  </r>
  <r>
    <n v="1"/>
    <s v="M"/>
    <n v="23"/>
    <n v="23"/>
    <n v="23"/>
    <x v="0"/>
    <n v="1"/>
    <x v="0"/>
    <n v="1"/>
    <x v="1"/>
    <n v="3"/>
    <n v="1"/>
    <x v="0"/>
    <n v="3654061"/>
    <n v="2"/>
    <x v="0"/>
    <n v="1"/>
    <x v="0"/>
    <n v="0"/>
    <x v="0"/>
    <n v="1229915"/>
    <n v="2"/>
    <x v="0"/>
    <n v="0"/>
    <x v="0"/>
    <n v="0.793489"/>
    <n v="0"/>
    <x v="0"/>
    <n v="1597608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6941489"/>
    <n v="46"/>
    <n v="46"/>
    <x v="1"/>
    <n v="0"/>
    <x v="1"/>
    <n v="1"/>
    <x v="1"/>
    <n v="175375"/>
    <n v="1"/>
    <x v="0"/>
    <n v="1296156"/>
    <n v="2"/>
    <x v="0"/>
    <n v="1"/>
    <x v="0"/>
    <n v="0"/>
    <x v="0"/>
    <n v="2"/>
    <n v="2"/>
    <x v="0"/>
    <n v="1"/>
    <x v="1"/>
    <n v="0.11017399999999999"/>
    <n v="0"/>
    <x v="0"/>
    <n v="1944675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6172992"/>
    <n v="44"/>
    <n v="44"/>
    <x v="1"/>
    <n v="1"/>
    <x v="0"/>
    <n v="1"/>
    <x v="1"/>
    <n v="2543563"/>
    <n v="1"/>
    <x v="0"/>
    <n v="1"/>
    <n v="1"/>
    <x v="1"/>
    <n v="1"/>
    <x v="0"/>
    <n v="0"/>
    <x v="0"/>
    <n v="2"/>
    <n v="2"/>
    <x v="0"/>
    <n v="1"/>
    <x v="1"/>
    <n v="0.69428100000000004"/>
    <n v="0"/>
    <x v="0"/>
    <n v="1056911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371259"/>
    <n v="6"/>
    <n v="6"/>
    <x v="0"/>
    <n v="0"/>
    <x v="1"/>
    <n v="1"/>
    <x v="1"/>
    <n v="239728"/>
    <n v="1"/>
    <x v="0"/>
    <n v="2656588"/>
    <n v="2"/>
    <x v="0"/>
    <n v="1"/>
    <x v="0"/>
    <n v="0"/>
    <x v="0"/>
    <n v="2061062"/>
    <n v="2"/>
    <x v="0"/>
    <n v="0"/>
    <x v="0"/>
    <n v="1912981"/>
    <n v="3"/>
    <x v="3"/>
    <n v="188738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5194089"/>
    <n v="96"/>
    <n v="96"/>
    <x v="3"/>
    <n v="1"/>
    <x v="0"/>
    <n v="0"/>
    <x v="0"/>
    <n v="3"/>
    <n v="1"/>
    <x v="0"/>
    <n v="2809716"/>
    <n v="2"/>
    <x v="0"/>
    <n v="1"/>
    <x v="0"/>
    <n v="0"/>
    <x v="0"/>
    <n v="1591425"/>
    <n v="2"/>
    <x v="0"/>
    <n v="0"/>
    <x v="0"/>
    <n v="0.178022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3172982"/>
    <n v="63"/>
    <n v="63"/>
    <x v="2"/>
    <n v="1"/>
    <x v="0"/>
    <n v="1"/>
    <x v="1"/>
    <n v="2"/>
    <n v="1"/>
    <x v="0"/>
    <n v="277684"/>
    <n v="2"/>
    <x v="0"/>
    <n v="1"/>
    <x v="0"/>
    <n v="0"/>
    <x v="0"/>
    <n v="1278231"/>
    <n v="2"/>
    <x v="0"/>
    <n v="0"/>
    <x v="0"/>
    <n v="0.55713000000000001"/>
    <n v="0"/>
    <x v="0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37218161"/>
    <n v="101"/>
    <n v="100"/>
    <x v="3"/>
    <n v="1"/>
    <x v="0"/>
    <n v="1"/>
    <x v="1"/>
    <n v="237464"/>
    <n v="1"/>
    <x v="0"/>
    <n v="3"/>
    <n v="2"/>
    <x v="0"/>
    <n v="1"/>
    <x v="0"/>
    <n v="0"/>
    <x v="0"/>
    <n v="2"/>
    <n v="2"/>
    <x v="0"/>
    <n v="0"/>
    <x v="0"/>
    <n v="2892922"/>
    <n v="3"/>
    <x v="3"/>
    <n v="0.48081299999999999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9076443"/>
    <n v="52"/>
    <n v="52"/>
    <x v="2"/>
    <n v="0"/>
    <x v="1"/>
    <n v="1"/>
    <x v="1"/>
    <n v="2278644"/>
    <n v="1"/>
    <x v="0"/>
    <n v="1"/>
    <n v="1"/>
    <x v="1"/>
    <n v="1"/>
    <x v="0"/>
    <n v="0"/>
    <x v="0"/>
    <n v="2628985"/>
    <n v="2"/>
    <x v="0"/>
    <n v="0"/>
    <x v="0"/>
    <n v="1"/>
    <n v="1"/>
    <x v="2"/>
    <n v="1285373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630687"/>
    <n v="4"/>
    <n v="4"/>
    <x v="0"/>
    <n v="1"/>
    <x v="0"/>
    <n v="1"/>
    <x v="1"/>
    <n v="1620845"/>
    <n v="1"/>
    <x v="0"/>
    <n v="1"/>
    <n v="1"/>
    <x v="1"/>
    <n v="1"/>
    <x v="0"/>
    <n v="0"/>
    <x v="0"/>
    <n v="2"/>
    <n v="2"/>
    <x v="0"/>
    <n v="1"/>
    <x v="1"/>
    <n v="0.92659199999999997"/>
    <n v="0"/>
    <x v="0"/>
    <n v="1657098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8297229"/>
    <n v="50"/>
    <n v="50"/>
    <x v="1"/>
    <n v="1"/>
    <x v="0"/>
    <n v="1"/>
    <x v="1"/>
    <n v="2"/>
    <n v="1"/>
    <x v="0"/>
    <n v="1999014"/>
    <n v="2"/>
    <x v="0"/>
    <n v="1"/>
    <x v="0"/>
    <n v="0"/>
    <x v="0"/>
    <n v="2326165"/>
    <n v="2"/>
    <x v="0"/>
    <n v="0"/>
    <x v="0"/>
    <n v="7.0499999999999998E-3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610761"/>
    <n v="50"/>
    <n v="50"/>
    <x v="1"/>
    <n v="0"/>
    <x v="1"/>
    <n v="1"/>
    <x v="1"/>
    <n v="2823179"/>
    <n v="1"/>
    <x v="0"/>
    <n v="2644692"/>
    <n v="2"/>
    <x v="0"/>
    <n v="1"/>
    <x v="0"/>
    <n v="0"/>
    <x v="0"/>
    <n v="1226764"/>
    <n v="2"/>
    <x v="0"/>
    <n v="1"/>
    <x v="1"/>
    <n v="0.74752799999999997"/>
    <n v="0"/>
    <x v="0"/>
    <n v="8.8990000000000007E-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7451085"/>
    <n v="47"/>
    <n v="47"/>
    <x v="1"/>
    <n v="1"/>
    <x v="0"/>
    <n v="1"/>
    <x v="1"/>
    <n v="3"/>
    <n v="1"/>
    <x v="0"/>
    <n v="2449723"/>
    <n v="2"/>
    <x v="0"/>
    <n v="1"/>
    <x v="0"/>
    <n v="0"/>
    <x v="0"/>
    <n v="2"/>
    <n v="2"/>
    <x v="0"/>
    <n v="1"/>
    <x v="1"/>
    <n v="0.47959200000000002"/>
    <n v="0"/>
    <x v="0"/>
    <n v="172064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9740496"/>
    <n v="81"/>
    <n v="81"/>
    <x v="3"/>
    <n v="0"/>
    <x v="1"/>
    <n v="1"/>
    <x v="1"/>
    <n v="3"/>
    <n v="1"/>
    <x v="0"/>
    <n v="3"/>
    <n v="2"/>
    <x v="0"/>
    <n v="1"/>
    <x v="0"/>
    <n v="0"/>
    <x v="0"/>
    <n v="1174611"/>
    <n v="2"/>
    <x v="0"/>
    <n v="0"/>
    <x v="0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1539393"/>
    <n v="86"/>
    <n v="86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112489"/>
    <n v="2"/>
    <x v="2"/>
    <n v="1"/>
    <x v="1"/>
    <n v="1"/>
    <x v="1"/>
    <n v="0"/>
    <x v="0"/>
    <n v="0"/>
    <x v="0"/>
    <n v="0"/>
    <x v="1"/>
    <n v="0"/>
    <x v="0"/>
    <n v="0"/>
    <x v="0"/>
  </r>
  <r>
    <n v="1"/>
    <s v="M"/>
    <n v="18026457"/>
    <n v="49"/>
    <n v="49"/>
    <x v="1"/>
    <n v="1"/>
    <x v="0"/>
    <n v="1"/>
    <x v="1"/>
    <n v="2"/>
    <n v="1"/>
    <x v="0"/>
    <n v="2794156"/>
    <n v="2"/>
    <x v="0"/>
    <n v="1"/>
    <x v="0"/>
    <n v="0"/>
    <x v="0"/>
    <n v="2377362"/>
    <n v="2"/>
    <x v="0"/>
    <n v="0"/>
    <x v="0"/>
    <n v="0.10123600000000001"/>
    <n v="0"/>
    <x v="0"/>
    <n v="0.105895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47554"/>
    <n v="5"/>
    <n v="5"/>
    <x v="0"/>
    <n v="1"/>
    <x v="0"/>
    <n v="1"/>
    <x v="1"/>
    <n v="2061952"/>
    <n v="1"/>
    <x v="0"/>
    <n v="4"/>
    <n v="2"/>
    <x v="0"/>
    <n v="1"/>
    <x v="0"/>
    <n v="0"/>
    <x v="0"/>
    <n v="2426465"/>
    <n v="2"/>
    <x v="0"/>
    <n v="0"/>
    <x v="0"/>
    <n v="2"/>
    <n v="2"/>
    <x v="1"/>
    <n v="0.160138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1"/>
    <x v="1"/>
    <n v="2"/>
    <n v="1"/>
    <x v="0"/>
    <n v="1146794"/>
    <n v="2"/>
    <x v="0"/>
    <n v="1"/>
    <x v="0"/>
    <n v="0"/>
    <x v="0"/>
    <n v="3"/>
    <n v="2"/>
    <x v="0"/>
    <n v="0"/>
    <x v="0"/>
    <n v="1809745"/>
    <n v="3"/>
    <x v="3"/>
    <n v="1690102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1131695"/>
    <n v="2"/>
    <x v="0"/>
    <n v="1"/>
    <x v="0"/>
    <n v="0"/>
    <x v="0"/>
    <n v="1344539"/>
    <n v="2"/>
    <x v="0"/>
    <n v="0"/>
    <x v="0"/>
    <n v="0"/>
    <n v="0"/>
    <x v="0"/>
    <n v="159257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8270434"/>
    <n v="50"/>
    <n v="50"/>
    <x v="1"/>
    <n v="1"/>
    <x v="0"/>
    <n v="1"/>
    <x v="1"/>
    <n v="2838969"/>
    <n v="1"/>
    <x v="0"/>
    <n v="3"/>
    <n v="2"/>
    <x v="0"/>
    <n v="1"/>
    <x v="0"/>
    <n v="0"/>
    <x v="0"/>
    <n v="2425927"/>
    <n v="2"/>
    <x v="0"/>
    <n v="0"/>
    <x v="0"/>
    <n v="1"/>
    <n v="1"/>
    <x v="2"/>
    <n v="1453335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19816228"/>
    <n v="54"/>
    <n v="54"/>
    <x v="2"/>
    <n v="0"/>
    <x v="1"/>
    <n v="1"/>
    <x v="1"/>
    <n v="2568063"/>
    <n v="1"/>
    <x v="0"/>
    <n v="3"/>
    <n v="2"/>
    <x v="0"/>
    <n v="1"/>
    <x v="0"/>
    <n v="0"/>
    <x v="0"/>
    <n v="1817983"/>
    <n v="2"/>
    <x v="0"/>
    <n v="1"/>
    <x v="1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839124"/>
    <n v="7"/>
    <n v="7"/>
    <x v="0"/>
    <n v="0"/>
    <x v="1"/>
    <n v="1"/>
    <x v="1"/>
    <n v="3"/>
    <n v="1"/>
    <x v="0"/>
    <n v="3"/>
    <n v="2"/>
    <x v="0"/>
    <n v="1"/>
    <x v="0"/>
    <n v="0"/>
    <x v="0"/>
    <n v="1205633"/>
    <n v="2"/>
    <x v="0"/>
    <n v="0"/>
    <x v="0"/>
    <n v="2"/>
    <n v="2"/>
    <x v="1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6758516"/>
    <n v="73"/>
    <n v="73"/>
    <x v="2"/>
    <n v="0"/>
    <x v="1"/>
    <n v="1"/>
    <x v="1"/>
    <n v="2652958"/>
    <n v="1"/>
    <x v="0"/>
    <n v="2488189"/>
    <n v="2"/>
    <x v="0"/>
    <n v="1"/>
    <x v="0"/>
    <n v="0"/>
    <x v="0"/>
    <n v="2"/>
    <n v="2"/>
    <x v="0"/>
    <n v="0"/>
    <x v="0"/>
    <n v="2"/>
    <n v="2"/>
    <x v="1"/>
    <n v="9.6614000000000005E-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033794"/>
    <n v="57"/>
    <n v="57"/>
    <x v="2"/>
    <n v="0"/>
    <x v="1"/>
    <n v="1"/>
    <x v="1"/>
    <n v="2"/>
    <n v="1"/>
    <x v="0"/>
    <n v="1"/>
    <n v="1"/>
    <x v="1"/>
    <n v="0"/>
    <x v="3"/>
    <n v="0"/>
    <x v="0"/>
    <n v="200876"/>
    <n v="2"/>
    <x v="0"/>
    <n v="0"/>
    <x v="0"/>
    <n v="0.63119000000000003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429812"/>
    <n v="61"/>
    <n v="61"/>
    <x v="2"/>
    <n v="0"/>
    <x v="1"/>
    <n v="1"/>
    <x v="1"/>
    <n v="2"/>
    <n v="1"/>
    <x v="0"/>
    <n v="1"/>
    <n v="1"/>
    <x v="1"/>
    <n v="0"/>
    <x v="3"/>
    <n v="0"/>
    <x v="0"/>
    <n v="2069184"/>
    <n v="2"/>
    <x v="0"/>
    <n v="0"/>
    <x v="0"/>
    <n v="0.72989800000000005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6650419"/>
    <n v="73"/>
    <n v="73"/>
    <x v="2"/>
    <n v="0"/>
    <x v="1"/>
    <n v="1"/>
    <x v="1"/>
    <n v="127785"/>
    <n v="1"/>
    <x v="0"/>
    <n v="3999591"/>
    <n v="2"/>
    <x v="0"/>
    <n v="1"/>
    <x v="0"/>
    <n v="0"/>
    <x v="0"/>
    <n v="2495944"/>
    <n v="2"/>
    <x v="0"/>
    <n v="0"/>
    <x v="0"/>
    <n v="3.4199999999999999E-3"/>
    <n v="0"/>
    <x v="0"/>
    <n v="1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21618246"/>
    <n v="59"/>
    <n v="59"/>
    <x v="2"/>
    <n v="1"/>
    <x v="0"/>
    <n v="1"/>
    <x v="1"/>
    <n v="2"/>
    <n v="1"/>
    <x v="0"/>
    <n v="3"/>
    <n v="2"/>
    <x v="0"/>
    <n v="1"/>
    <x v="0"/>
    <n v="0"/>
    <x v="0"/>
    <n v="1957871"/>
    <n v="2"/>
    <x v="0"/>
    <n v="0"/>
    <x v="0"/>
    <n v="0.99459200000000003"/>
    <n v="0"/>
    <x v="0"/>
    <n v="0.11730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012542"/>
    <n v="57"/>
    <n v="57"/>
    <x v="2"/>
    <n v="1"/>
    <x v="0"/>
    <n v="1"/>
    <x v="1"/>
    <n v="1729824"/>
    <n v="1"/>
    <x v="0"/>
    <n v="3612941"/>
    <n v="2"/>
    <x v="0"/>
    <n v="0"/>
    <x v="3"/>
    <n v="0"/>
    <x v="0"/>
    <n v="2043703"/>
    <n v="2"/>
    <x v="0"/>
    <n v="0"/>
    <x v="0"/>
    <n v="0.56211800000000001"/>
    <n v="0"/>
    <x v="0"/>
    <n v="0.426642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071195"/>
    <n v="57"/>
    <n v="57"/>
    <x v="2"/>
    <n v="1"/>
    <x v="0"/>
    <n v="1"/>
    <x v="1"/>
    <n v="1452524"/>
    <n v="1"/>
    <x v="0"/>
    <n v="3950553"/>
    <n v="2"/>
    <x v="0"/>
    <n v="0"/>
    <x v="3"/>
    <n v="0"/>
    <x v="0"/>
    <n v="2109858"/>
    <n v="2"/>
    <x v="0"/>
    <n v="0"/>
    <x v="0"/>
    <n v="0.50884700000000005"/>
    <n v="0"/>
    <x v="0"/>
    <n v="119463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741202"/>
    <n v="54"/>
    <n v="54"/>
    <x v="2"/>
    <n v="1"/>
    <x v="0"/>
    <n v="1"/>
    <x v="1"/>
    <n v="2"/>
    <n v="1"/>
    <x v="0"/>
    <n v="3"/>
    <n v="2"/>
    <x v="0"/>
    <n v="1"/>
    <x v="0"/>
    <n v="0"/>
    <x v="0"/>
    <n v="2177386"/>
    <n v="2"/>
    <x v="0"/>
    <n v="0"/>
    <x v="0"/>
    <n v="0.336814"/>
    <n v="0"/>
    <x v="0"/>
    <n v="4.8129999999999996E-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21638"/>
    <n v="5"/>
    <n v="5"/>
    <x v="0"/>
    <n v="1"/>
    <x v="0"/>
    <n v="1"/>
    <x v="1"/>
    <n v="2"/>
    <n v="1"/>
    <x v="0"/>
    <n v="3"/>
    <n v="2"/>
    <x v="0"/>
    <n v="1"/>
    <x v="0"/>
    <n v="0"/>
    <x v="0"/>
    <n v="2168651"/>
    <n v="2"/>
    <x v="0"/>
    <n v="0"/>
    <x v="0"/>
    <n v="0.97799800000000003"/>
    <n v="0"/>
    <x v="0"/>
    <n v="0.142637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4224475"/>
    <n v="11"/>
    <n v="11"/>
    <x v="0"/>
    <n v="1"/>
    <x v="0"/>
    <n v="1"/>
    <x v="1"/>
    <n v="3"/>
    <n v="1"/>
    <x v="0"/>
    <n v="2951837"/>
    <n v="2"/>
    <x v="0"/>
    <n v="1"/>
    <x v="0"/>
    <n v="0"/>
    <x v="0"/>
    <n v="2112032"/>
    <n v="2"/>
    <x v="0"/>
    <n v="0"/>
    <x v="0"/>
    <n v="0.378682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2283082"/>
    <n v="61"/>
    <n v="61"/>
    <x v="2"/>
    <n v="1"/>
    <x v="0"/>
    <n v="1"/>
    <x v="1"/>
    <n v="2"/>
    <n v="1"/>
    <x v="0"/>
    <n v="2799979"/>
    <n v="2"/>
    <x v="0"/>
    <n v="1"/>
    <x v="0"/>
    <n v="0"/>
    <x v="0"/>
    <n v="1081333"/>
    <n v="2"/>
    <x v="0"/>
    <n v="0"/>
    <x v="0"/>
    <n v="0.44434699999999999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1086512"/>
    <n v="57"/>
    <n v="57"/>
    <x v="2"/>
    <n v="1"/>
    <x v="0"/>
    <n v="1"/>
    <x v="1"/>
    <n v="2"/>
    <n v="1"/>
    <x v="0"/>
    <n v="3"/>
    <n v="2"/>
    <x v="0"/>
    <n v="1"/>
    <x v="0"/>
    <n v="0"/>
    <x v="0"/>
    <n v="1005727"/>
    <n v="2"/>
    <x v="0"/>
    <n v="0"/>
    <x v="0"/>
    <n v="0"/>
    <n v="0"/>
    <x v="0"/>
    <n v="0.798219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451595"/>
    <n v="64"/>
    <n v="64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129163"/>
    <n v="0"/>
    <x v="0"/>
    <n v="1983678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2740275"/>
    <n v="62"/>
    <n v="62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8900253"/>
    <n v="51"/>
    <n v="51"/>
    <x v="2"/>
    <n v="1"/>
    <x v="0"/>
    <n v="1"/>
    <x v="1"/>
    <n v="2"/>
    <n v="1"/>
    <x v="0"/>
    <n v="2228113"/>
    <n v="2"/>
    <x v="0"/>
    <n v="1"/>
    <x v="0"/>
    <n v="0"/>
    <x v="0"/>
    <n v="2045004"/>
    <n v="2"/>
    <x v="0"/>
    <n v="0"/>
    <x v="0"/>
    <n v="1293665"/>
    <n v="3"/>
    <x v="3"/>
    <n v="0.96180600000000005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23170309"/>
    <n v="63"/>
    <n v="63"/>
    <x v="2"/>
    <n v="1"/>
    <x v="0"/>
    <n v="1"/>
    <x v="1"/>
    <n v="2303367"/>
    <n v="1"/>
    <x v="0"/>
    <n v="3042774"/>
    <n v="2"/>
    <x v="0"/>
    <n v="1"/>
    <x v="0"/>
    <n v="0"/>
    <x v="0"/>
    <n v="1277636"/>
    <n v="2"/>
    <x v="0"/>
    <n v="0"/>
    <x v="0"/>
    <n v="0.94498199999999999"/>
    <n v="0"/>
    <x v="0"/>
    <n v="0.366126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2997118"/>
    <n v="90"/>
    <n v="90"/>
    <x v="3"/>
    <n v="1"/>
    <x v="0"/>
    <n v="1"/>
    <x v="1"/>
    <n v="2948425"/>
    <n v="1"/>
    <x v="0"/>
    <n v="1198643"/>
    <n v="2"/>
    <x v="0"/>
    <n v="1"/>
    <x v="0"/>
    <n v="0"/>
    <x v="0"/>
    <n v="1"/>
    <n v="1"/>
    <x v="1"/>
    <n v="0"/>
    <x v="0"/>
    <n v="0"/>
    <n v="0"/>
    <x v="0"/>
    <n v="0.17379600000000001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2501143"/>
    <n v="89"/>
    <n v="89"/>
    <x v="3"/>
    <n v="1"/>
    <x v="0"/>
    <n v="1"/>
    <x v="1"/>
    <n v="2291846"/>
    <n v="1"/>
    <x v="0"/>
    <n v="1555557"/>
    <n v="2"/>
    <x v="0"/>
    <n v="1"/>
    <x v="0"/>
    <n v="0"/>
    <x v="0"/>
    <n v="1"/>
    <n v="1"/>
    <x v="1"/>
    <n v="0"/>
    <x v="0"/>
    <n v="0"/>
    <n v="0"/>
    <x v="0"/>
    <n v="0.38827099999999998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938831"/>
    <n v="60"/>
    <n v="60"/>
    <x v="2"/>
    <n v="1"/>
    <x v="0"/>
    <n v="1"/>
    <x v="1"/>
    <n v="1906194"/>
    <n v="1"/>
    <x v="0"/>
    <n v="3987707"/>
    <n v="2"/>
    <x v="0"/>
    <n v="1"/>
    <x v="0"/>
    <n v="0"/>
    <x v="0"/>
    <n v="2597746"/>
    <n v="2"/>
    <x v="0"/>
    <n v="0"/>
    <x v="0"/>
    <n v="1922234"/>
    <n v="3"/>
    <x v="3"/>
    <n v="137612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1909534"/>
    <n v="60"/>
    <n v="60"/>
    <x v="2"/>
    <n v="1"/>
    <x v="0"/>
    <n v="1"/>
    <x v="1"/>
    <n v="1834155"/>
    <n v="1"/>
    <x v="0"/>
    <n v="3995957"/>
    <n v="2"/>
    <x v="0"/>
    <n v="1"/>
    <x v="0"/>
    <n v="0"/>
    <x v="0"/>
    <n v="2632871"/>
    <n v="2"/>
    <x v="0"/>
    <n v="0"/>
    <x v="0"/>
    <n v="1236114"/>
    <n v="3"/>
    <x v="3"/>
    <n v="198087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7455752"/>
    <n v="102"/>
    <n v="100"/>
    <x v="3"/>
    <n v="1"/>
    <x v="0"/>
    <n v="1"/>
    <x v="1"/>
    <n v="2048582"/>
    <n v="1"/>
    <x v="0"/>
    <n v="1047197"/>
    <n v="2"/>
    <x v="0"/>
    <n v="1"/>
    <x v="0"/>
    <n v="0"/>
    <x v="0"/>
    <n v="2"/>
    <n v="2"/>
    <x v="0"/>
    <n v="0"/>
    <x v="0"/>
    <n v="0.15135999999999999"/>
    <n v="0"/>
    <x v="0"/>
    <n v="0.22595999999999999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40"/>
    <n v="40"/>
    <n v="40"/>
    <x v="1"/>
    <n v="1"/>
    <x v="0"/>
    <n v="1"/>
    <x v="1"/>
    <n v="2948248"/>
    <n v="1"/>
    <x v="0"/>
    <n v="3"/>
    <n v="2"/>
    <x v="0"/>
    <n v="1"/>
    <x v="0"/>
    <n v="0"/>
    <x v="0"/>
    <n v="2429911"/>
    <n v="2"/>
    <x v="0"/>
    <n v="0"/>
    <x v="0"/>
    <n v="0.11964"/>
    <n v="0"/>
    <x v="0"/>
    <n v="0.36019299999999999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8943282"/>
    <n v="106"/>
    <n v="100"/>
    <x v="3"/>
    <n v="1"/>
    <x v="0"/>
    <n v="1"/>
    <x v="1"/>
    <n v="2869436"/>
    <n v="1"/>
    <x v="0"/>
    <n v="3"/>
    <n v="2"/>
    <x v="0"/>
    <n v="1"/>
    <x v="0"/>
    <n v="0"/>
    <x v="0"/>
    <n v="2972426"/>
    <n v="2"/>
    <x v="0"/>
    <n v="0"/>
    <x v="0"/>
    <n v="216079"/>
    <n v="2"/>
    <x v="1"/>
    <n v="0.305954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987341"/>
    <n v="60"/>
    <n v="60"/>
    <x v="2"/>
    <n v="1"/>
    <x v="0"/>
    <n v="1"/>
    <x v="1"/>
    <n v="2293705"/>
    <n v="1"/>
    <x v="0"/>
    <n v="1"/>
    <n v="1"/>
    <x v="1"/>
    <n v="1"/>
    <x v="0"/>
    <n v="0"/>
    <x v="0"/>
    <n v="2"/>
    <n v="2"/>
    <x v="0"/>
    <n v="0"/>
    <x v="0"/>
    <n v="206394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198217"/>
    <n v="58"/>
    <n v="58"/>
    <x v="2"/>
    <n v="1"/>
    <x v="0"/>
    <n v="1"/>
    <x v="1"/>
    <n v="2510583"/>
    <n v="1"/>
    <x v="0"/>
    <n v="1"/>
    <n v="1"/>
    <x v="1"/>
    <n v="1"/>
    <x v="0"/>
    <n v="0"/>
    <x v="0"/>
    <n v="2"/>
    <n v="2"/>
    <x v="0"/>
    <n v="0"/>
    <x v="0"/>
    <n v="2119682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932038"/>
    <n v="8"/>
    <n v="8"/>
    <x v="0"/>
    <n v="1"/>
    <x v="0"/>
    <n v="1"/>
    <x v="1"/>
    <n v="2366949"/>
    <n v="1"/>
    <x v="0"/>
    <n v="3"/>
    <n v="2"/>
    <x v="0"/>
    <n v="1"/>
    <x v="0"/>
    <n v="0"/>
    <x v="0"/>
    <n v="1926577"/>
    <n v="2"/>
    <x v="0"/>
    <n v="0"/>
    <x v="0"/>
    <n v="1581242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1255587"/>
    <n v="85"/>
    <n v="85"/>
    <x v="3"/>
    <n v="1"/>
    <x v="0"/>
    <n v="1"/>
    <x v="1"/>
    <n v="2615788"/>
    <n v="1"/>
    <x v="0"/>
    <n v="3"/>
    <n v="2"/>
    <x v="0"/>
    <n v="1"/>
    <x v="0"/>
    <n v="0"/>
    <x v="0"/>
    <n v="1771781"/>
    <n v="2"/>
    <x v="0"/>
    <n v="0"/>
    <x v="0"/>
    <n v="0.75942200000000004"/>
    <n v="0"/>
    <x v="0"/>
    <n v="0.68652899999999994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2851773"/>
    <n v="62"/>
    <n v="62"/>
    <x v="2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231598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6"/>
    <n v="26"/>
    <n v="26"/>
    <x v="1"/>
    <n v="1"/>
    <x v="0"/>
    <n v="1"/>
    <x v="1"/>
    <n v="2217267"/>
    <n v="1"/>
    <x v="0"/>
    <n v="1193589"/>
    <n v="2"/>
    <x v="0"/>
    <n v="1"/>
    <x v="0"/>
    <n v="0"/>
    <x v="0"/>
    <n v="2"/>
    <n v="2"/>
    <x v="0"/>
    <n v="0"/>
    <x v="0"/>
    <n v="2"/>
    <n v="2"/>
    <x v="1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789291"/>
    <n v="54"/>
    <n v="54"/>
    <x v="2"/>
    <n v="1"/>
    <x v="0"/>
    <n v="1"/>
    <x v="1"/>
    <n v="3"/>
    <n v="1"/>
    <x v="0"/>
    <n v="3"/>
    <n v="2"/>
    <x v="0"/>
    <n v="1"/>
    <x v="0"/>
    <n v="0"/>
    <x v="0"/>
    <n v="2759246"/>
    <n v="2"/>
    <x v="0"/>
    <n v="0"/>
    <x v="0"/>
    <n v="1763277"/>
    <n v="3"/>
    <x v="3"/>
    <n v="0.453313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895877"/>
    <n v="54"/>
    <n v="54"/>
    <x v="2"/>
    <n v="1"/>
    <x v="0"/>
    <n v="1"/>
    <x v="1"/>
    <n v="2801514"/>
    <n v="1"/>
    <x v="0"/>
    <n v="3"/>
    <n v="2"/>
    <x v="0"/>
    <n v="1"/>
    <x v="0"/>
    <n v="0"/>
    <x v="0"/>
    <n v="2734782"/>
    <n v="2"/>
    <x v="0"/>
    <n v="0"/>
    <x v="0"/>
    <n v="2207881"/>
    <n v="3"/>
    <x v="3"/>
    <n v="0.14367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693804"/>
    <n v="53"/>
    <n v="53"/>
    <x v="2"/>
    <n v="1"/>
    <x v="0"/>
    <n v="1"/>
    <x v="1"/>
    <n v="2188722"/>
    <n v="1"/>
    <x v="0"/>
    <n v="3"/>
    <n v="2"/>
    <x v="0"/>
    <n v="1"/>
    <x v="0"/>
    <n v="0"/>
    <x v="0"/>
    <n v="2721356"/>
    <n v="2"/>
    <x v="0"/>
    <n v="0"/>
    <x v="0"/>
    <n v="1528968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226314"/>
    <n v="52"/>
    <n v="52"/>
    <x v="2"/>
    <n v="1"/>
    <x v="0"/>
    <n v="1"/>
    <x v="1"/>
    <n v="2971351"/>
    <n v="1"/>
    <x v="0"/>
    <n v="3390143"/>
    <n v="2"/>
    <x v="0"/>
    <n v="1"/>
    <x v="0"/>
    <n v="0"/>
    <x v="0"/>
    <n v="2133767"/>
    <n v="2"/>
    <x v="0"/>
    <n v="0"/>
    <x v="0"/>
    <n v="2318492"/>
    <n v="3"/>
    <x v="3"/>
    <n v="0.6786180000000000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652229"/>
    <n v="59"/>
    <n v="59"/>
    <x v="2"/>
    <n v="1"/>
    <x v="0"/>
    <n v="1"/>
    <x v="1"/>
    <n v="2086093"/>
    <n v="1"/>
    <x v="0"/>
    <n v="3546352"/>
    <n v="2"/>
    <x v="0"/>
    <n v="1"/>
    <x v="0"/>
    <n v="0"/>
    <x v="0"/>
    <n v="2081121"/>
    <n v="2"/>
    <x v="0"/>
    <n v="0"/>
    <x v="0"/>
    <n v="1993666"/>
    <n v="3"/>
    <x v="3"/>
    <n v="0.673834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687409"/>
    <n v="59"/>
    <n v="59"/>
    <x v="2"/>
    <n v="1"/>
    <x v="0"/>
    <n v="1"/>
    <x v="1"/>
    <n v="1901611"/>
    <n v="1"/>
    <x v="0"/>
    <n v="3266501"/>
    <n v="2"/>
    <x v="0"/>
    <n v="0"/>
    <x v="3"/>
    <n v="0"/>
    <x v="0"/>
    <n v="2926995"/>
    <n v="2"/>
    <x v="0"/>
    <n v="0"/>
    <x v="0"/>
    <n v="0.98587199999999997"/>
    <n v="0"/>
    <x v="0"/>
    <n v="0.30798199999999998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455463"/>
    <n v="58"/>
    <n v="58"/>
    <x v="2"/>
    <n v="1"/>
    <x v="0"/>
    <n v="1"/>
    <x v="1"/>
    <n v="1977298"/>
    <n v="1"/>
    <x v="0"/>
    <n v="3554974"/>
    <n v="2"/>
    <x v="0"/>
    <n v="0"/>
    <x v="3"/>
    <n v="0"/>
    <x v="0"/>
    <n v="2217957"/>
    <n v="2"/>
    <x v="0"/>
    <n v="0"/>
    <x v="0"/>
    <n v="0.97811999999999999"/>
    <n v="0"/>
    <x v="0"/>
    <n v="0.45975899999999997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446872"/>
    <n v="1"/>
    <x v="0"/>
    <n v="2372311"/>
    <n v="2"/>
    <x v="0"/>
    <n v="1"/>
    <x v="0"/>
    <n v="0"/>
    <x v="0"/>
    <n v="181031"/>
    <n v="2"/>
    <x v="0"/>
    <n v="0"/>
    <x v="0"/>
    <n v="9.4893000000000005E-2"/>
    <n v="0"/>
    <x v="0"/>
    <n v="1650778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839048"/>
    <n v="1"/>
    <x v="0"/>
    <n v="210601"/>
    <n v="2"/>
    <x v="0"/>
    <n v="1"/>
    <x v="0"/>
    <n v="0"/>
    <x v="0"/>
    <n v="1639202"/>
    <n v="2"/>
    <x v="0"/>
    <n v="0"/>
    <x v="0"/>
    <n v="1117311"/>
    <n v="3"/>
    <x v="3"/>
    <n v="0.967918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337404"/>
    <n v="52"/>
    <n v="52"/>
    <x v="2"/>
    <n v="1"/>
    <x v="0"/>
    <n v="1"/>
    <x v="1"/>
    <n v="221232"/>
    <n v="1"/>
    <x v="0"/>
    <n v="4"/>
    <n v="2"/>
    <x v="0"/>
    <n v="1"/>
    <x v="0"/>
    <n v="0"/>
    <x v="0"/>
    <n v="2374044"/>
    <n v="2"/>
    <x v="0"/>
    <n v="0"/>
    <x v="0"/>
    <n v="2"/>
    <n v="2"/>
    <x v="1"/>
    <n v="0.622638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701643"/>
    <n v="59"/>
    <n v="59"/>
    <x v="2"/>
    <n v="1"/>
    <x v="0"/>
    <n v="1"/>
    <x v="1"/>
    <n v="2427689"/>
    <n v="1"/>
    <x v="0"/>
    <n v="3715306"/>
    <n v="2"/>
    <x v="0"/>
    <n v="1"/>
    <x v="0"/>
    <n v="0"/>
    <x v="0"/>
    <n v="2876096"/>
    <n v="2"/>
    <x v="0"/>
    <n v="0"/>
    <x v="0"/>
    <n v="1815768"/>
    <n v="3"/>
    <x v="3"/>
    <n v="0.4264649999999999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620245"/>
    <n v="59"/>
    <n v="59"/>
    <x v="2"/>
    <n v="1"/>
    <x v="0"/>
    <n v="1"/>
    <x v="1"/>
    <n v="2357496"/>
    <n v="1"/>
    <x v="0"/>
    <n v="3376717"/>
    <n v="2"/>
    <x v="0"/>
    <n v="1"/>
    <x v="0"/>
    <n v="0"/>
    <x v="0"/>
    <n v="2184843"/>
    <n v="2"/>
    <x v="0"/>
    <n v="0"/>
    <x v="0"/>
    <n v="1358185"/>
    <n v="3"/>
    <x v="3"/>
    <n v="1.4885000000000001E-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012569"/>
    <n v="57"/>
    <n v="57"/>
    <x v="2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2971832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016623"/>
    <n v="57"/>
    <n v="57"/>
    <x v="2"/>
    <n v="1"/>
    <x v="0"/>
    <n v="1"/>
    <x v="1"/>
    <n v="3"/>
    <n v="1"/>
    <x v="0"/>
    <n v="1"/>
    <n v="1"/>
    <x v="1"/>
    <n v="1"/>
    <x v="0"/>
    <n v="0"/>
    <x v="0"/>
    <n v="2"/>
    <n v="2"/>
    <x v="0"/>
    <n v="0"/>
    <x v="0"/>
    <n v="287747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1"/>
    <x v="1"/>
    <n v="1078529"/>
    <n v="1"/>
    <x v="0"/>
    <n v="1211606"/>
    <n v="2"/>
    <x v="0"/>
    <n v="1"/>
    <x v="0"/>
    <n v="0"/>
    <x v="0"/>
    <n v="2568063"/>
    <n v="2"/>
    <x v="0"/>
    <n v="0"/>
    <x v="0"/>
    <n v="3"/>
    <n v="3"/>
    <x v="3"/>
    <n v="0.81798300000000002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1333707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116406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7899784"/>
    <n v="76"/>
    <n v="76"/>
    <x v="3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722053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8825223"/>
    <n v="78"/>
    <n v="78"/>
    <x v="3"/>
    <n v="1"/>
    <x v="0"/>
    <n v="1"/>
    <x v="1"/>
    <n v="1064162"/>
    <n v="1"/>
    <x v="0"/>
    <n v="398955"/>
    <n v="2"/>
    <x v="0"/>
    <n v="1"/>
    <x v="0"/>
    <n v="0"/>
    <x v="0"/>
    <n v="2028426"/>
    <n v="2"/>
    <x v="0"/>
    <n v="0"/>
    <x v="0"/>
    <n v="0.81516999999999995"/>
    <n v="0"/>
    <x v="0"/>
    <n v="0.894677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6047077"/>
    <n v="71"/>
    <n v="71"/>
    <x v="2"/>
    <n v="1"/>
    <x v="0"/>
    <n v="1"/>
    <x v="1"/>
    <n v="1993101"/>
    <n v="1"/>
    <x v="0"/>
    <n v="3171082"/>
    <n v="2"/>
    <x v="0"/>
    <n v="1"/>
    <x v="0"/>
    <n v="0"/>
    <x v="0"/>
    <n v="2364498"/>
    <n v="2"/>
    <x v="0"/>
    <n v="0"/>
    <x v="0"/>
    <n v="1224743"/>
    <n v="3"/>
    <x v="3"/>
    <n v="2.2245000000000001E-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620963"/>
    <n v="1"/>
    <x v="0"/>
    <n v="3"/>
    <n v="2"/>
    <x v="0"/>
    <n v="1"/>
    <x v="0"/>
    <n v="0"/>
    <x v="0"/>
    <n v="2824559"/>
    <n v="2"/>
    <x v="0"/>
    <n v="0"/>
    <x v="0"/>
    <n v="0.75459900000000002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0"/>
    <n v="20"/>
    <n v="20"/>
    <x v="0"/>
    <n v="1"/>
    <x v="0"/>
    <n v="1"/>
    <x v="1"/>
    <n v="295118"/>
    <n v="1"/>
    <x v="0"/>
    <n v="3"/>
    <n v="2"/>
    <x v="0"/>
    <n v="1"/>
    <x v="0"/>
    <n v="0"/>
    <x v="0"/>
    <n v="3"/>
    <n v="2"/>
    <x v="0"/>
    <n v="0"/>
    <x v="0"/>
    <n v="2433918"/>
    <n v="3"/>
    <x v="3"/>
    <n v="0.5616020000000000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832995"/>
    <n v="59"/>
    <n v="59"/>
    <x v="2"/>
    <n v="0"/>
    <x v="1"/>
    <n v="1"/>
    <x v="1"/>
    <n v="2021446"/>
    <n v="1"/>
    <x v="0"/>
    <n v="3"/>
    <n v="2"/>
    <x v="0"/>
    <n v="1"/>
    <x v="0"/>
    <n v="0"/>
    <x v="0"/>
    <n v="1077917"/>
    <n v="2"/>
    <x v="0"/>
    <n v="0"/>
    <x v="0"/>
    <n v="0.52384699999999995"/>
    <n v="0"/>
    <x v="0"/>
    <n v="0.808598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0255744"/>
    <n v="82"/>
    <n v="82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.8877000000000001E-2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0613586"/>
    <n v="83"/>
    <n v="83"/>
    <x v="3"/>
    <n v="1"/>
    <x v="0"/>
    <n v="1"/>
    <x v="1"/>
    <n v="2000466"/>
    <n v="1"/>
    <x v="0"/>
    <n v="3"/>
    <n v="2"/>
    <x v="0"/>
    <n v="1"/>
    <x v="0"/>
    <n v="0"/>
    <x v="0"/>
    <n v="1131448"/>
    <n v="2"/>
    <x v="0"/>
    <n v="0"/>
    <x v="0"/>
    <n v="6.1365999999999997E-2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3245408"/>
    <n v="63"/>
    <n v="63"/>
    <x v="2"/>
    <n v="1"/>
    <x v="0"/>
    <n v="1"/>
    <x v="1"/>
    <n v="25621"/>
    <n v="1"/>
    <x v="0"/>
    <n v="3105007"/>
    <n v="2"/>
    <x v="0"/>
    <n v="1"/>
    <x v="0"/>
    <n v="0"/>
    <x v="0"/>
    <n v="1172427"/>
    <n v="2"/>
    <x v="0"/>
    <n v="0"/>
    <x v="0"/>
    <n v="0.184917"/>
    <n v="0"/>
    <x v="0"/>
    <n v="0.923081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040342"/>
    <n v="2"/>
    <x v="0"/>
    <n v="1"/>
    <x v="1"/>
    <n v="0.49737300000000001"/>
    <n v="0"/>
    <x v="0"/>
    <n v="1783319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0"/>
    <x v="1"/>
    <n v="1"/>
    <x v="1"/>
    <n v="2"/>
    <n v="1"/>
    <x v="0"/>
    <n v="3"/>
    <n v="2"/>
    <x v="0"/>
    <n v="1"/>
    <x v="0"/>
    <n v="0"/>
    <x v="0"/>
    <n v="1274718"/>
    <n v="2"/>
    <x v="0"/>
    <n v="1"/>
    <x v="1"/>
    <n v="0.12990199999999999"/>
    <n v="0"/>
    <x v="0"/>
    <n v="0.9785740000000000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6950499"/>
    <n v="46"/>
    <n v="46"/>
    <x v="1"/>
    <n v="1"/>
    <x v="0"/>
    <n v="1"/>
    <x v="1"/>
    <n v="296008"/>
    <n v="1"/>
    <x v="0"/>
    <n v="1"/>
    <n v="1"/>
    <x v="1"/>
    <n v="1"/>
    <x v="0"/>
    <n v="0"/>
    <x v="0"/>
    <n v="2"/>
    <n v="2"/>
    <x v="0"/>
    <n v="1"/>
    <x v="1"/>
    <n v="0.73603200000000002"/>
    <n v="0"/>
    <x v="0"/>
    <n v="134407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1837058"/>
    <n v="59"/>
    <n v="59"/>
    <x v="2"/>
    <n v="0"/>
    <x v="1"/>
    <n v="1"/>
    <x v="1"/>
    <n v="253915"/>
    <n v="1"/>
    <x v="0"/>
    <n v="1590982"/>
    <n v="2"/>
    <x v="0"/>
    <n v="1"/>
    <x v="0"/>
    <n v="0"/>
    <x v="0"/>
    <n v="1977801"/>
    <n v="2"/>
    <x v="0"/>
    <n v="0"/>
    <x v="0"/>
    <n v="1264616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7"/>
    <n v="27"/>
    <n v="27"/>
    <x v="1"/>
    <n v="0"/>
    <x v="1"/>
    <n v="1"/>
    <x v="1"/>
    <n v="2244142"/>
    <n v="1"/>
    <x v="0"/>
    <n v="1704828"/>
    <n v="2"/>
    <x v="0"/>
    <n v="1"/>
    <x v="0"/>
    <n v="0"/>
    <x v="0"/>
    <n v="1"/>
    <n v="1"/>
    <x v="1"/>
    <n v="0"/>
    <x v="0"/>
    <n v="0.79292899999999999"/>
    <n v="0"/>
    <x v="0"/>
    <n v="0.395467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5483601"/>
    <n v="97"/>
    <n v="97"/>
    <x v="3"/>
    <n v="1"/>
    <x v="0"/>
    <n v="0"/>
    <x v="0"/>
    <n v="3"/>
    <n v="1"/>
    <x v="0"/>
    <n v="2725012"/>
    <n v="2"/>
    <x v="0"/>
    <n v="1"/>
    <x v="0"/>
    <n v="0"/>
    <x v="0"/>
    <n v="162244"/>
    <n v="2"/>
    <x v="0"/>
    <n v="0"/>
    <x v="0"/>
    <n v="0.90266100000000005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3801436"/>
    <n v="65"/>
    <n v="65"/>
    <x v="2"/>
    <n v="1"/>
    <x v="0"/>
    <n v="1"/>
    <x v="1"/>
    <n v="2"/>
    <n v="1"/>
    <x v="0"/>
    <n v="2372339"/>
    <n v="2"/>
    <x v="0"/>
    <n v="1"/>
    <x v="0"/>
    <n v="0"/>
    <x v="0"/>
    <n v="1675733"/>
    <n v="2"/>
    <x v="0"/>
    <n v="0"/>
    <x v="0"/>
    <n v="1066241"/>
    <n v="3"/>
    <x v="3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23367212"/>
    <n v="64"/>
    <n v="64"/>
    <x v="2"/>
    <n v="1"/>
    <x v="0"/>
    <n v="1"/>
    <x v="1"/>
    <n v="2"/>
    <n v="1"/>
    <x v="0"/>
    <n v="1097312"/>
    <n v="2"/>
    <x v="0"/>
    <n v="1"/>
    <x v="0"/>
    <n v="0"/>
    <x v="0"/>
    <n v="1328835"/>
    <n v="2"/>
    <x v="0"/>
    <n v="0"/>
    <x v="0"/>
    <n v="1264257"/>
    <n v="3"/>
    <x v="3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40"/>
    <n v="40"/>
    <n v="40"/>
    <x v="1"/>
    <n v="1"/>
    <x v="0"/>
    <n v="1"/>
    <x v="1"/>
    <n v="2253371"/>
    <n v="1"/>
    <x v="0"/>
    <n v="3"/>
    <n v="2"/>
    <x v="0"/>
    <n v="1"/>
    <x v="0"/>
    <n v="0"/>
    <x v="0"/>
    <n v="2756916"/>
    <n v="2"/>
    <x v="0"/>
    <n v="0"/>
    <x v="0"/>
    <n v="1016042"/>
    <n v="3"/>
    <x v="3"/>
    <n v="0.21343699999999999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1638009"/>
    <n v="4"/>
    <n v="4"/>
    <x v="0"/>
    <n v="1"/>
    <x v="0"/>
    <n v="1"/>
    <x v="1"/>
    <n v="2851664"/>
    <n v="1"/>
    <x v="0"/>
    <n v="1"/>
    <n v="1"/>
    <x v="1"/>
    <n v="1"/>
    <x v="0"/>
    <n v="0"/>
    <x v="0"/>
    <n v="2"/>
    <n v="2"/>
    <x v="0"/>
    <n v="0"/>
    <x v="0"/>
    <n v="0.97792900000000005"/>
    <n v="0"/>
    <x v="0"/>
    <n v="1765321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6865984"/>
    <n v="46"/>
    <n v="46"/>
    <x v="1"/>
    <n v="1"/>
    <x v="0"/>
    <n v="1"/>
    <x v="1"/>
    <n v="131415"/>
    <n v="1"/>
    <x v="0"/>
    <n v="1068196"/>
    <n v="2"/>
    <x v="0"/>
    <n v="1"/>
    <x v="0"/>
    <n v="0"/>
    <x v="0"/>
    <n v="1364957"/>
    <n v="2"/>
    <x v="0"/>
    <n v="1"/>
    <x v="1"/>
    <n v="0"/>
    <n v="0"/>
    <x v="0"/>
    <n v="5.7925999999999998E-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6093234"/>
    <n v="44"/>
    <n v="44"/>
    <x v="1"/>
    <n v="1"/>
    <x v="0"/>
    <n v="1"/>
    <x v="1"/>
    <n v="1321028"/>
    <n v="1"/>
    <x v="0"/>
    <n v="1"/>
    <n v="1"/>
    <x v="1"/>
    <n v="1"/>
    <x v="0"/>
    <n v="0"/>
    <x v="0"/>
    <n v="2"/>
    <n v="2"/>
    <x v="0"/>
    <n v="1"/>
    <x v="1"/>
    <n v="0.371452"/>
    <n v="0"/>
    <x v="0"/>
    <n v="0.9656040000000000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1411685"/>
    <n v="2"/>
    <x v="0"/>
    <n v="1"/>
    <x v="0"/>
    <n v="0"/>
    <x v="0"/>
    <n v="1859089"/>
    <n v="2"/>
    <x v="0"/>
    <n v="0"/>
    <x v="0"/>
    <n v="0"/>
    <n v="0"/>
    <x v="0"/>
    <n v="1306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883919"/>
    <n v="5"/>
    <n v="5"/>
    <x v="0"/>
    <n v="1"/>
    <x v="0"/>
    <n v="1"/>
    <x v="1"/>
    <n v="2253998"/>
    <n v="1"/>
    <x v="0"/>
    <n v="2752318"/>
    <n v="2"/>
    <x v="0"/>
    <n v="1"/>
    <x v="0"/>
    <n v="0"/>
    <x v="0"/>
    <n v="2328331"/>
    <n v="2"/>
    <x v="0"/>
    <n v="0"/>
    <x v="0"/>
    <n v="0.81550900000000004"/>
    <n v="0"/>
    <x v="0"/>
    <n v="2.4087999999999998E-2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726522"/>
    <n v="54"/>
    <n v="54"/>
    <x v="2"/>
    <n v="0"/>
    <x v="1"/>
    <n v="1"/>
    <x v="1"/>
    <n v="2778079"/>
    <n v="1"/>
    <x v="0"/>
    <n v="3"/>
    <n v="2"/>
    <x v="0"/>
    <n v="1"/>
    <x v="0"/>
    <n v="0"/>
    <x v="0"/>
    <n v="1696691"/>
    <n v="2"/>
    <x v="0"/>
    <n v="1"/>
    <x v="1"/>
    <n v="0.94223999999999997"/>
    <n v="0"/>
    <x v="0"/>
    <n v="0.87992499999999996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947102"/>
    <n v="51"/>
    <n v="51"/>
    <x v="2"/>
    <n v="0"/>
    <x v="1"/>
    <n v="1"/>
    <x v="1"/>
    <n v="2838037"/>
    <n v="1"/>
    <x v="0"/>
    <n v="2737571"/>
    <n v="2"/>
    <x v="0"/>
    <n v="1"/>
    <x v="0"/>
    <n v="0"/>
    <x v="0"/>
    <n v="1144467"/>
    <n v="2"/>
    <x v="0"/>
    <n v="1"/>
    <x v="1"/>
    <n v="0.75378199999999995"/>
    <n v="0"/>
    <x v="0"/>
    <n v="128684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7781183"/>
    <n v="48"/>
    <n v="48"/>
    <x v="1"/>
    <n v="1"/>
    <x v="0"/>
    <n v="1"/>
    <x v="1"/>
    <n v="3"/>
    <n v="1"/>
    <x v="0"/>
    <n v="2973504"/>
    <n v="2"/>
    <x v="0"/>
    <n v="1"/>
    <x v="0"/>
    <n v="0"/>
    <x v="0"/>
    <n v="2"/>
    <n v="2"/>
    <x v="0"/>
    <n v="1"/>
    <x v="1"/>
    <n v="0.178976"/>
    <n v="0"/>
    <x v="0"/>
    <n v="0.166076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100581"/>
    <n v="90"/>
    <n v="90"/>
    <x v="3"/>
    <n v="0"/>
    <x v="1"/>
    <n v="1"/>
    <x v="1"/>
    <n v="2814453"/>
    <n v="1"/>
    <x v="0"/>
    <n v="2608055"/>
    <n v="2"/>
    <x v="0"/>
    <n v="1"/>
    <x v="0"/>
    <n v="0"/>
    <x v="0"/>
    <n v="185916"/>
    <n v="2"/>
    <x v="0"/>
    <n v="0"/>
    <x v="0"/>
    <n v="2"/>
    <n v="2"/>
    <x v="1"/>
    <n v="0.51608399999999999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3251015"/>
    <n v="91"/>
    <n v="91"/>
    <x v="3"/>
    <n v="1"/>
    <x v="0"/>
    <n v="1"/>
    <x v="1"/>
    <n v="2013782"/>
    <n v="1"/>
    <x v="0"/>
    <n v="2625942"/>
    <n v="2"/>
    <x v="0"/>
    <n v="1"/>
    <x v="0"/>
    <n v="0"/>
    <x v="0"/>
    <n v="1045586"/>
    <n v="2"/>
    <x v="0"/>
    <n v="0"/>
    <x v="0"/>
    <n v="0.55330500000000005"/>
    <n v="0"/>
    <x v="0"/>
    <n v="0.48021399999999997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18985119"/>
    <n v="52"/>
    <n v="52"/>
    <x v="2"/>
    <n v="1"/>
    <x v="0"/>
    <n v="1"/>
    <x v="1"/>
    <n v="2"/>
    <n v="1"/>
    <x v="0"/>
    <n v="1411808"/>
    <n v="2"/>
    <x v="0"/>
    <n v="1"/>
    <x v="0"/>
    <n v="0"/>
    <x v="0"/>
    <n v="2651194"/>
    <n v="2"/>
    <x v="0"/>
    <n v="0"/>
    <x v="0"/>
    <n v="2878414"/>
    <n v="3"/>
    <x v="3"/>
    <n v="0.95384100000000005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8871917"/>
    <n v="51"/>
    <n v="51"/>
    <x v="2"/>
    <n v="1"/>
    <x v="0"/>
    <n v="1"/>
    <x v="1"/>
    <n v="2"/>
    <n v="1"/>
    <x v="0"/>
    <n v="1095223"/>
    <n v="2"/>
    <x v="0"/>
    <n v="1"/>
    <x v="0"/>
    <n v="0"/>
    <x v="0"/>
    <n v="2474132"/>
    <n v="2"/>
    <x v="0"/>
    <n v="0"/>
    <x v="0"/>
    <n v="2876696"/>
    <n v="3"/>
    <x v="3"/>
    <n v="0.79390000000000005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478533"/>
    <n v="53"/>
    <n v="53"/>
    <x v="2"/>
    <n v="1"/>
    <x v="0"/>
    <n v="1"/>
    <x v="1"/>
    <n v="2459976"/>
    <n v="1"/>
    <x v="0"/>
    <n v="330846"/>
    <n v="2"/>
    <x v="0"/>
    <n v="1"/>
    <x v="0"/>
    <n v="0"/>
    <x v="0"/>
    <n v="2078011"/>
    <n v="2"/>
    <x v="0"/>
    <n v="0"/>
    <x v="0"/>
    <n v="1779646"/>
    <n v="3"/>
    <x v="3"/>
    <n v="0.871771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429723"/>
    <n v="53"/>
    <n v="53"/>
    <x v="2"/>
    <n v="1"/>
    <x v="0"/>
    <n v="1"/>
    <x v="1"/>
    <n v="2643183"/>
    <n v="1"/>
    <x v="0"/>
    <n v="3821461"/>
    <n v="2"/>
    <x v="0"/>
    <n v="1"/>
    <x v="0"/>
    <n v="0"/>
    <x v="0"/>
    <n v="2397124"/>
    <n v="2"/>
    <x v="0"/>
    <n v="0"/>
    <x v="0"/>
    <n v="2044165"/>
    <n v="3"/>
    <x v="3"/>
    <n v="0.47166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979254"/>
    <n v="57"/>
    <n v="57"/>
    <x v="2"/>
    <n v="1"/>
    <x v="0"/>
    <n v="1"/>
    <x v="1"/>
    <n v="2"/>
    <n v="1"/>
    <x v="0"/>
    <n v="3"/>
    <n v="2"/>
    <x v="0"/>
    <n v="1"/>
    <x v="0"/>
    <n v="0"/>
    <x v="0"/>
    <n v="2813234"/>
    <n v="2"/>
    <x v="0"/>
    <n v="0"/>
    <x v="0"/>
    <n v="0.22875300000000001"/>
    <n v="0"/>
    <x v="0"/>
    <n v="2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18869151"/>
    <n v="51"/>
    <n v="51"/>
    <x v="2"/>
    <n v="1"/>
    <x v="0"/>
    <n v="1"/>
    <x v="1"/>
    <n v="2"/>
    <n v="1"/>
    <x v="0"/>
    <n v="2658639"/>
    <n v="2"/>
    <x v="0"/>
    <n v="1"/>
    <x v="0"/>
    <n v="0"/>
    <x v="0"/>
    <n v="2781628"/>
    <n v="2"/>
    <x v="0"/>
    <n v="0"/>
    <x v="0"/>
    <n v="1955992"/>
    <n v="3"/>
    <x v="3"/>
    <n v="1409198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18236087"/>
    <n v="49"/>
    <n v="49"/>
    <x v="1"/>
    <n v="1"/>
    <x v="0"/>
    <n v="1"/>
    <x v="1"/>
    <n v="222399"/>
    <n v="1"/>
    <x v="0"/>
    <n v="1"/>
    <n v="1"/>
    <x v="1"/>
    <n v="1"/>
    <x v="0"/>
    <n v="0"/>
    <x v="0"/>
    <n v="220312"/>
    <n v="2"/>
    <x v="0"/>
    <n v="0"/>
    <x v="0"/>
    <n v="0.104451"/>
    <n v="0"/>
    <x v="0"/>
    <n v="1899073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0901393"/>
    <n v="57"/>
    <n v="57"/>
    <x v="2"/>
    <n v="1"/>
    <x v="0"/>
    <n v="1"/>
    <x v="1"/>
    <n v="2104105"/>
    <n v="1"/>
    <x v="0"/>
    <n v="3"/>
    <n v="2"/>
    <x v="0"/>
    <n v="1"/>
    <x v="0"/>
    <n v="0"/>
    <x v="0"/>
    <n v="187103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708525"/>
    <n v="4"/>
    <n v="4"/>
    <x v="0"/>
    <n v="0"/>
    <x v="1"/>
    <n v="1"/>
    <x v="1"/>
    <n v="1972545"/>
    <n v="1"/>
    <x v="0"/>
    <n v="2339614"/>
    <n v="2"/>
    <x v="0"/>
    <n v="1"/>
    <x v="0"/>
    <n v="0"/>
    <x v="0"/>
    <n v="1711074"/>
    <n v="2"/>
    <x v="0"/>
    <n v="1"/>
    <x v="1"/>
    <n v="9.5517000000000005E-2"/>
    <n v="0"/>
    <x v="0"/>
    <n v="119105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5785925"/>
    <n v="70"/>
    <n v="70"/>
    <x v="2"/>
    <n v="0"/>
    <x v="1"/>
    <n v="1"/>
    <x v="1"/>
    <n v="2286481"/>
    <n v="1"/>
    <x v="0"/>
    <n v="1713762"/>
    <n v="2"/>
    <x v="0"/>
    <n v="1"/>
    <x v="0"/>
    <n v="0"/>
    <x v="0"/>
    <n v="1797161"/>
    <n v="2"/>
    <x v="0"/>
    <n v="0"/>
    <x v="0"/>
    <n v="1658698"/>
    <n v="3"/>
    <x v="3"/>
    <n v="0.92658099999999999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6787842"/>
    <n v="73"/>
    <n v="73"/>
    <x v="2"/>
    <n v="0"/>
    <x v="1"/>
    <n v="1"/>
    <x v="1"/>
    <n v="2971588"/>
    <n v="1"/>
    <x v="0"/>
    <n v="2743277"/>
    <n v="2"/>
    <x v="0"/>
    <n v="1"/>
    <x v="0"/>
    <n v="0"/>
    <x v="0"/>
    <n v="1394883"/>
    <n v="2"/>
    <x v="0"/>
    <n v="0"/>
    <x v="0"/>
    <n v="2"/>
    <n v="2"/>
    <x v="1"/>
    <n v="0.47024300000000002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037514"/>
    <n v="57"/>
    <n v="57"/>
    <x v="2"/>
    <n v="0"/>
    <x v="1"/>
    <n v="1"/>
    <x v="1"/>
    <n v="2"/>
    <n v="1"/>
    <x v="0"/>
    <n v="1"/>
    <n v="1"/>
    <x v="1"/>
    <n v="0"/>
    <x v="3"/>
    <n v="0"/>
    <x v="0"/>
    <n v="2881677"/>
    <n v="2"/>
    <x v="0"/>
    <n v="0"/>
    <x v="0"/>
    <n v="0.91569900000000004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00829"/>
    <n v="5"/>
    <n v="5"/>
    <x v="0"/>
    <n v="0"/>
    <x v="1"/>
    <n v="1"/>
    <x v="1"/>
    <n v="2"/>
    <n v="1"/>
    <x v="0"/>
    <n v="1"/>
    <n v="1"/>
    <x v="1"/>
    <n v="0"/>
    <x v="3"/>
    <n v="0"/>
    <x v="0"/>
    <n v="2795651"/>
    <n v="2"/>
    <x v="0"/>
    <n v="0"/>
    <x v="0"/>
    <n v="0.80872999999999995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670371"/>
    <n v="7"/>
    <n v="7"/>
    <x v="0"/>
    <n v="1"/>
    <x v="0"/>
    <n v="1"/>
    <x v="1"/>
    <n v="2872121"/>
    <n v="1"/>
    <x v="0"/>
    <n v="3051804"/>
    <n v="2"/>
    <x v="0"/>
    <n v="1"/>
    <x v="0"/>
    <n v="0"/>
    <x v="0"/>
    <n v="2111913"/>
    <n v="2"/>
    <x v="0"/>
    <n v="0"/>
    <x v="0"/>
    <n v="0.84370900000000004"/>
    <n v="0"/>
    <x v="0"/>
    <n v="0.153559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1731497"/>
    <n v="59"/>
    <n v="59"/>
    <x v="2"/>
    <n v="1"/>
    <x v="0"/>
    <n v="1"/>
    <x v="1"/>
    <n v="2109162"/>
    <n v="1"/>
    <x v="0"/>
    <n v="3245148"/>
    <n v="2"/>
    <x v="0"/>
    <n v="1"/>
    <x v="0"/>
    <n v="0"/>
    <x v="0"/>
    <n v="1971774"/>
    <n v="2"/>
    <x v="0"/>
    <n v="0"/>
    <x v="0"/>
    <n v="0.98933499999999996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052894"/>
    <n v="57"/>
    <n v="57"/>
    <x v="2"/>
    <n v="1"/>
    <x v="0"/>
    <n v="1"/>
    <x v="1"/>
    <n v="2178889"/>
    <n v="1"/>
    <x v="0"/>
    <n v="3563744"/>
    <n v="2"/>
    <x v="0"/>
    <n v="1"/>
    <x v="0"/>
    <n v="0"/>
    <x v="0"/>
    <n v="1853991"/>
    <n v="2"/>
    <x v="0"/>
    <n v="0"/>
    <x v="0"/>
    <n v="0.99773100000000003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1142468"/>
    <n v="1"/>
    <x v="0"/>
    <n v="3"/>
    <n v="2"/>
    <x v="0"/>
    <n v="0"/>
    <x v="3"/>
    <n v="0"/>
    <x v="0"/>
    <n v="2197732"/>
    <n v="2"/>
    <x v="0"/>
    <n v="0"/>
    <x v="0"/>
    <n v="0.82750599999999996"/>
    <n v="0"/>
    <x v="0"/>
    <n v="0.572876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241058"/>
    <n v="52"/>
    <n v="52"/>
    <x v="2"/>
    <n v="1"/>
    <x v="0"/>
    <n v="1"/>
    <x v="1"/>
    <n v="2047069"/>
    <n v="1"/>
    <x v="0"/>
    <n v="3829101"/>
    <n v="2"/>
    <x v="0"/>
    <n v="1"/>
    <x v="0"/>
    <n v="0"/>
    <x v="0"/>
    <n v="1641022"/>
    <n v="2"/>
    <x v="0"/>
    <n v="0"/>
    <x v="0"/>
    <n v="1554817"/>
    <n v="3"/>
    <x v="3"/>
    <n v="0.248217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8939448"/>
    <n v="106"/>
    <n v="100"/>
    <x v="3"/>
    <n v="0"/>
    <x v="1"/>
    <n v="1"/>
    <x v="1"/>
    <n v="2843709"/>
    <n v="1"/>
    <x v="0"/>
    <n v="3058539"/>
    <n v="2"/>
    <x v="0"/>
    <n v="1"/>
    <x v="0"/>
    <n v="0"/>
    <x v="0"/>
    <n v="1130079"/>
    <n v="2"/>
    <x v="0"/>
    <n v="0"/>
    <x v="0"/>
    <n v="2834373"/>
    <n v="3"/>
    <x v="3"/>
    <n v="4.4954000000000001E-2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9965474"/>
    <n v="109"/>
    <n v="100"/>
    <x v="3"/>
    <n v="0"/>
    <x v="1"/>
    <n v="1"/>
    <x v="1"/>
    <n v="2416044"/>
    <n v="1"/>
    <x v="0"/>
    <n v="3196043"/>
    <n v="2"/>
    <x v="0"/>
    <n v="1"/>
    <x v="0"/>
    <n v="0"/>
    <x v="0"/>
    <n v="1352649"/>
    <n v="2"/>
    <x v="0"/>
    <n v="0"/>
    <x v="0"/>
    <n v="0.14862800000000001"/>
    <n v="0"/>
    <x v="0"/>
    <n v="108266"/>
    <n v="1"/>
    <x v="0"/>
    <n v="1"/>
    <x v="1"/>
    <n v="1"/>
    <x v="1"/>
    <n v="0"/>
    <x v="0"/>
    <n v="0"/>
    <x v="0"/>
    <n v="0"/>
    <x v="1"/>
    <n v="0"/>
    <x v="0"/>
    <n v="0"/>
    <x v="0"/>
  </r>
  <r>
    <n v="1"/>
    <s v="M"/>
    <n v="20261925"/>
    <n v="55"/>
    <n v="55"/>
    <x v="2"/>
    <n v="1"/>
    <x v="0"/>
    <n v="1"/>
    <x v="1"/>
    <n v="2"/>
    <n v="1"/>
    <x v="0"/>
    <n v="3"/>
    <n v="2"/>
    <x v="0"/>
    <n v="1"/>
    <x v="0"/>
    <n v="0"/>
    <x v="0"/>
    <n v="1968011"/>
    <n v="2"/>
    <x v="0"/>
    <n v="0"/>
    <x v="0"/>
    <n v="1072662"/>
    <n v="3"/>
    <x v="3"/>
    <n v="0.776757999999999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031094"/>
    <n v="5"/>
    <n v="5"/>
    <x v="0"/>
    <n v="1"/>
    <x v="0"/>
    <n v="1"/>
    <x v="1"/>
    <n v="2146598"/>
    <n v="1"/>
    <x v="0"/>
    <n v="3"/>
    <n v="2"/>
    <x v="0"/>
    <n v="1"/>
    <x v="0"/>
    <n v="0"/>
    <x v="0"/>
    <n v="2100112"/>
    <n v="2"/>
    <x v="0"/>
    <n v="0"/>
    <x v="0"/>
    <n v="117116"/>
    <n v="2"/>
    <x v="1"/>
    <n v="0.833760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420537"/>
    <n v="58"/>
    <n v="58"/>
    <x v="2"/>
    <n v="1"/>
    <x v="0"/>
    <n v="1"/>
    <x v="1"/>
    <n v="2"/>
    <n v="1"/>
    <x v="0"/>
    <n v="3"/>
    <n v="2"/>
    <x v="0"/>
    <n v="1"/>
    <x v="0"/>
    <n v="0"/>
    <x v="0"/>
    <n v="1362642"/>
    <n v="2"/>
    <x v="0"/>
    <n v="0"/>
    <x v="0"/>
    <n v="0.92126799999999998"/>
    <n v="0"/>
    <x v="0"/>
    <n v="0.13901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845518"/>
    <n v="51"/>
    <n v="51"/>
    <x v="2"/>
    <n v="1"/>
    <x v="0"/>
    <n v="1"/>
    <x v="1"/>
    <n v="2"/>
    <n v="1"/>
    <x v="0"/>
    <n v="1391778"/>
    <n v="2"/>
    <x v="0"/>
    <n v="1"/>
    <x v="0"/>
    <n v="0"/>
    <x v="0"/>
    <n v="264548"/>
    <n v="2"/>
    <x v="0"/>
    <n v="0"/>
    <x v="0"/>
    <n v="2685087"/>
    <n v="3"/>
    <x v="3"/>
    <n v="0.97553999999999996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562135"/>
    <n v="64"/>
    <n v="64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121585"/>
    <n v="0"/>
    <x v="0"/>
    <n v="1967259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3118327"/>
    <n v="63"/>
    <n v="63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33457900000000002"/>
    <n v="0"/>
    <x v="0"/>
    <n v="190582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3732714"/>
    <n v="92"/>
    <n v="92"/>
    <x v="3"/>
    <n v="1"/>
    <x v="0"/>
    <n v="1"/>
    <x v="1"/>
    <n v="3"/>
    <n v="1"/>
    <x v="0"/>
    <n v="113715"/>
    <n v="2"/>
    <x v="0"/>
    <n v="1"/>
    <x v="0"/>
    <n v="0"/>
    <x v="0"/>
    <n v="1000695"/>
    <n v="2"/>
    <x v="0"/>
    <n v="0"/>
    <x v="0"/>
    <n v="0.26127400000000001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571288"/>
    <n v="59"/>
    <n v="59"/>
    <x v="2"/>
    <n v="1"/>
    <x v="0"/>
    <n v="1"/>
    <x v="1"/>
    <n v="1766849"/>
    <n v="1"/>
    <x v="0"/>
    <n v="3322522"/>
    <n v="2"/>
    <x v="0"/>
    <n v="1"/>
    <x v="0"/>
    <n v="0"/>
    <x v="0"/>
    <n v="2616285"/>
    <n v="2"/>
    <x v="0"/>
    <n v="0"/>
    <x v="0"/>
    <n v="0.94305799999999995"/>
    <n v="0"/>
    <x v="0"/>
    <n v="0.256977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165574"/>
    <n v="57"/>
    <n v="57"/>
    <x v="2"/>
    <n v="1"/>
    <x v="0"/>
    <n v="1"/>
    <x v="1"/>
    <n v="1188089"/>
    <n v="1"/>
    <x v="0"/>
    <n v="3269088"/>
    <n v="2"/>
    <x v="0"/>
    <n v="1"/>
    <x v="0"/>
    <n v="0"/>
    <x v="0"/>
    <n v="2039535"/>
    <n v="2"/>
    <x v="0"/>
    <n v="0"/>
    <x v="0"/>
    <n v="0.77968599999999999"/>
    <n v="0"/>
    <x v="0"/>
    <n v="1043108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1910176"/>
    <n v="1"/>
    <x v="0"/>
    <n v="2938135"/>
    <n v="2"/>
    <x v="0"/>
    <n v="0"/>
    <x v="3"/>
    <n v="0"/>
    <x v="0"/>
    <n v="2943097"/>
    <n v="2"/>
    <x v="0"/>
    <n v="0"/>
    <x v="0"/>
    <n v="0.99720200000000003"/>
    <n v="0"/>
    <x v="0"/>
    <n v="0.20792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259628"/>
    <n v="2"/>
    <x v="0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8692265"/>
    <n v="106"/>
    <n v="100"/>
    <x v="3"/>
    <n v="1"/>
    <x v="0"/>
    <n v="1"/>
    <x v="1"/>
    <n v="2956671"/>
    <n v="1"/>
    <x v="0"/>
    <n v="2965494"/>
    <n v="2"/>
    <x v="0"/>
    <n v="1"/>
    <x v="0"/>
    <n v="0"/>
    <x v="0"/>
    <n v="2868132"/>
    <n v="2"/>
    <x v="0"/>
    <n v="0"/>
    <x v="0"/>
    <n v="0"/>
    <n v="0"/>
    <x v="0"/>
    <n v="0.54925000000000002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8952866"/>
    <n v="106"/>
    <n v="100"/>
    <x v="3"/>
    <n v="1"/>
    <x v="0"/>
    <n v="1"/>
    <x v="1"/>
    <n v="2002796"/>
    <n v="1"/>
    <x v="0"/>
    <n v="3"/>
    <n v="2"/>
    <x v="0"/>
    <n v="1"/>
    <x v="0"/>
    <n v="0"/>
    <x v="0"/>
    <n v="2526775"/>
    <n v="2"/>
    <x v="0"/>
    <n v="0"/>
    <x v="0"/>
    <n v="0.27117400000000003"/>
    <n v="0"/>
    <x v="0"/>
    <n v="0.80606900000000004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6631456"/>
    <n v="100"/>
    <n v="100"/>
    <x v="3"/>
    <n v="1"/>
    <x v="0"/>
    <n v="1"/>
    <x v="1"/>
    <n v="2288604"/>
    <n v="1"/>
    <x v="0"/>
    <n v="2845307"/>
    <n v="2"/>
    <x v="0"/>
    <n v="1"/>
    <x v="0"/>
    <n v="0"/>
    <x v="0"/>
    <n v="2638164"/>
    <n v="2"/>
    <x v="0"/>
    <n v="0"/>
    <x v="0"/>
    <n v="0"/>
    <n v="0"/>
    <x v="0"/>
    <n v="0.99074099999999998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996118"/>
    <n v="60"/>
    <n v="60"/>
    <x v="2"/>
    <n v="1"/>
    <x v="0"/>
    <n v="1"/>
    <x v="1"/>
    <n v="2277077"/>
    <n v="1"/>
    <x v="0"/>
    <n v="1"/>
    <n v="1"/>
    <x v="1"/>
    <n v="1"/>
    <x v="0"/>
    <n v="0"/>
    <x v="0"/>
    <n v="2"/>
    <n v="2"/>
    <x v="0"/>
    <n v="0"/>
    <x v="0"/>
    <n v="106174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951309"/>
    <n v="60"/>
    <n v="60"/>
    <x v="2"/>
    <n v="1"/>
    <x v="0"/>
    <n v="1"/>
    <x v="1"/>
    <n v="2138334"/>
    <n v="1"/>
    <x v="0"/>
    <n v="1"/>
    <n v="1"/>
    <x v="1"/>
    <n v="1"/>
    <x v="0"/>
    <n v="0"/>
    <x v="0"/>
    <n v="2"/>
    <n v="2"/>
    <x v="0"/>
    <n v="0"/>
    <x v="0"/>
    <n v="2269058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018228"/>
    <n v="60"/>
    <n v="60"/>
    <x v="2"/>
    <n v="0"/>
    <x v="1"/>
    <n v="1"/>
    <x v="1"/>
    <n v="2"/>
    <n v="1"/>
    <x v="0"/>
    <n v="1"/>
    <n v="1"/>
    <x v="1"/>
    <n v="0"/>
    <x v="3"/>
    <n v="0"/>
    <x v="0"/>
    <n v="2976177"/>
    <n v="2"/>
    <x v="0"/>
    <n v="0"/>
    <x v="0"/>
    <n v="0.78011699999999995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0"/>
    <x v="1"/>
    <n v="1"/>
    <x v="1"/>
    <n v="2"/>
    <n v="1"/>
    <x v="0"/>
    <n v="1"/>
    <n v="1"/>
    <x v="1"/>
    <n v="0"/>
    <x v="3"/>
    <n v="0"/>
    <x v="0"/>
    <n v="3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9934465"/>
    <n v="82"/>
    <n v="82"/>
    <x v="3"/>
    <n v="1"/>
    <x v="0"/>
    <n v="1"/>
    <x v="1"/>
    <n v="2029634"/>
    <n v="1"/>
    <x v="0"/>
    <n v="3"/>
    <n v="2"/>
    <x v="0"/>
    <n v="1"/>
    <x v="0"/>
    <n v="0"/>
    <x v="0"/>
    <n v="1827515"/>
    <n v="2"/>
    <x v="0"/>
    <n v="0"/>
    <x v="0"/>
    <n v="0.48020600000000002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1166572"/>
    <n v="85"/>
    <n v="85"/>
    <x v="3"/>
    <n v="1"/>
    <x v="0"/>
    <n v="1"/>
    <x v="1"/>
    <n v="2048216"/>
    <n v="1"/>
    <x v="0"/>
    <n v="3"/>
    <n v="2"/>
    <x v="0"/>
    <n v="1"/>
    <x v="0"/>
    <n v="0"/>
    <x v="0"/>
    <n v="1305816"/>
    <n v="2"/>
    <x v="0"/>
    <n v="0"/>
    <x v="0"/>
    <n v="0.17045199999999999"/>
    <n v="0"/>
    <x v="0"/>
    <n v="0.276806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0534606"/>
    <n v="56"/>
    <n v="56"/>
    <x v="2"/>
    <n v="1"/>
    <x v="0"/>
    <n v="1"/>
    <x v="1"/>
    <n v="28557"/>
    <n v="1"/>
    <x v="0"/>
    <n v="1"/>
    <n v="1"/>
    <x v="1"/>
    <n v="1"/>
    <x v="0"/>
    <n v="0"/>
    <x v="0"/>
    <n v="2663861"/>
    <n v="2"/>
    <x v="0"/>
    <n v="0"/>
    <x v="0"/>
    <n v="2762711"/>
    <n v="3"/>
    <x v="3"/>
    <n v="0.7833360000000000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97166"/>
    <n v="5"/>
    <n v="5"/>
    <x v="0"/>
    <n v="1"/>
    <x v="0"/>
    <n v="1"/>
    <x v="1"/>
    <n v="2995599"/>
    <n v="1"/>
    <x v="0"/>
    <n v="3095663"/>
    <n v="2"/>
    <x v="0"/>
    <n v="1"/>
    <x v="0"/>
    <n v="0"/>
    <x v="0"/>
    <n v="2568157"/>
    <n v="2"/>
    <x v="0"/>
    <n v="0"/>
    <x v="0"/>
    <n v="27243"/>
    <n v="2"/>
    <x v="1"/>
    <n v="0.33045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627"/>
    <n v="0"/>
    <n v="5"/>
    <x v="0"/>
    <n v="1"/>
    <x v="0"/>
    <n v="1"/>
    <x v="1"/>
    <n v="2987148"/>
    <n v="1"/>
    <x v="0"/>
    <n v="3483449"/>
    <n v="2"/>
    <x v="0"/>
    <n v="1"/>
    <x v="0"/>
    <n v="0"/>
    <x v="0"/>
    <n v="2359246"/>
    <n v="2"/>
    <x v="0"/>
    <n v="0"/>
    <x v="0"/>
    <n v="2060415"/>
    <n v="3"/>
    <x v="3"/>
    <n v="0.598998999999999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929387"/>
    <n v="60"/>
    <n v="60"/>
    <x v="2"/>
    <n v="1"/>
    <x v="0"/>
    <n v="1"/>
    <x v="1"/>
    <n v="2"/>
    <n v="1"/>
    <x v="0"/>
    <n v="3"/>
    <n v="2"/>
    <x v="0"/>
    <n v="1"/>
    <x v="0"/>
    <n v="0"/>
    <x v="0"/>
    <n v="2763573"/>
    <n v="2"/>
    <x v="0"/>
    <n v="0"/>
    <x v="0"/>
    <n v="1502711"/>
    <n v="3"/>
    <x v="3"/>
    <n v="0.127878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009437"/>
    <n v="57"/>
    <n v="57"/>
    <x v="2"/>
    <n v="1"/>
    <x v="0"/>
    <n v="1"/>
    <x v="1"/>
    <n v="2"/>
    <n v="1"/>
    <x v="0"/>
    <n v="3156309"/>
    <n v="2"/>
    <x v="0"/>
    <n v="0"/>
    <x v="3"/>
    <n v="0"/>
    <x v="0"/>
    <n v="3"/>
    <n v="2"/>
    <x v="0"/>
    <n v="0"/>
    <x v="0"/>
    <n v="1179592"/>
    <n v="3"/>
    <x v="3"/>
    <n v="8.6868000000000001E-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538225"/>
    <n v="59"/>
    <n v="59"/>
    <x v="2"/>
    <n v="1"/>
    <x v="0"/>
    <n v="1"/>
    <x v="1"/>
    <n v="1887951"/>
    <n v="1"/>
    <x v="0"/>
    <n v="3728377"/>
    <n v="2"/>
    <x v="0"/>
    <n v="0"/>
    <x v="3"/>
    <n v="0"/>
    <x v="0"/>
    <n v="2682107"/>
    <n v="2"/>
    <x v="0"/>
    <n v="0"/>
    <x v="0"/>
    <n v="1123931"/>
    <n v="3"/>
    <x v="3"/>
    <n v="0.492528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828435"/>
    <n v="62"/>
    <n v="62"/>
    <x v="2"/>
    <n v="1"/>
    <x v="0"/>
    <n v="1"/>
    <x v="1"/>
    <n v="2786008"/>
    <n v="1"/>
    <x v="0"/>
    <n v="3"/>
    <n v="2"/>
    <x v="0"/>
    <n v="1"/>
    <x v="0"/>
    <n v="0"/>
    <x v="0"/>
    <n v="2526193"/>
    <n v="2"/>
    <x v="0"/>
    <n v="0"/>
    <x v="0"/>
    <n v="0.925118"/>
    <n v="0"/>
    <x v="0"/>
    <n v="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2814657"/>
    <n v="62"/>
    <n v="62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9.2343999999999996E-2"/>
    <n v="0"/>
    <x v="0"/>
    <n v="1466496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576682"/>
    <n v="53"/>
    <n v="53"/>
    <x v="2"/>
    <n v="1"/>
    <x v="0"/>
    <n v="1"/>
    <x v="1"/>
    <n v="2342323"/>
    <n v="1"/>
    <x v="0"/>
    <n v="360885"/>
    <n v="2"/>
    <x v="0"/>
    <n v="1"/>
    <x v="0"/>
    <n v="0"/>
    <x v="0"/>
    <n v="2878866"/>
    <n v="2"/>
    <x v="0"/>
    <n v="0"/>
    <x v="0"/>
    <n v="2"/>
    <n v="2"/>
    <x v="1"/>
    <n v="0.208323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814653"/>
    <n v="59"/>
    <n v="59"/>
    <x v="2"/>
    <n v="1"/>
    <x v="0"/>
    <n v="1"/>
    <x v="1"/>
    <n v="1874935"/>
    <n v="1"/>
    <x v="0"/>
    <n v="3370362"/>
    <n v="2"/>
    <x v="0"/>
    <n v="1"/>
    <x v="0"/>
    <n v="0"/>
    <x v="0"/>
    <n v="2558773"/>
    <n v="2"/>
    <x v="0"/>
    <n v="0"/>
    <x v="0"/>
    <n v="1206121"/>
    <n v="3"/>
    <x v="3"/>
    <n v="0.271023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979769"/>
    <n v="60"/>
    <n v="60"/>
    <x v="2"/>
    <n v="1"/>
    <x v="0"/>
    <n v="1"/>
    <x v="1"/>
    <n v="2213135"/>
    <n v="1"/>
    <x v="0"/>
    <n v="3"/>
    <n v="2"/>
    <x v="0"/>
    <n v="1"/>
    <x v="0"/>
    <n v="0"/>
    <x v="0"/>
    <n v="2046766"/>
    <n v="2"/>
    <x v="0"/>
    <n v="0"/>
    <x v="0"/>
    <n v="2172546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1"/>
    <n v="21"/>
    <n v="21"/>
    <x v="0"/>
    <n v="1"/>
    <x v="0"/>
    <n v="1"/>
    <x v="1"/>
    <n v="2273548"/>
    <n v="1"/>
    <x v="0"/>
    <n v="239007"/>
    <n v="2"/>
    <x v="0"/>
    <n v="1"/>
    <x v="0"/>
    <n v="0"/>
    <x v="0"/>
    <n v="1648404"/>
    <n v="2"/>
    <x v="0"/>
    <n v="0"/>
    <x v="0"/>
    <n v="0.87464299999999995"/>
    <n v="0"/>
    <x v="0"/>
    <n v="110269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10285"/>
    <n v="0"/>
    <n v="5"/>
    <x v="0"/>
    <n v="1"/>
    <x v="0"/>
    <n v="1"/>
    <x v="1"/>
    <n v="2780699"/>
    <n v="1"/>
    <x v="0"/>
    <n v="1101404"/>
    <n v="2"/>
    <x v="0"/>
    <n v="1"/>
    <x v="0"/>
    <n v="0"/>
    <x v="0"/>
    <n v="1579207"/>
    <n v="2"/>
    <x v="0"/>
    <n v="0"/>
    <x v="0"/>
    <n v="1153775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721041"/>
    <n v="51"/>
    <n v="51"/>
    <x v="2"/>
    <n v="1"/>
    <x v="0"/>
    <n v="1"/>
    <x v="1"/>
    <n v="1687569"/>
    <n v="1"/>
    <x v="0"/>
    <n v="2756405"/>
    <n v="2"/>
    <x v="0"/>
    <n v="1"/>
    <x v="0"/>
    <n v="0"/>
    <x v="0"/>
    <n v="2079131"/>
    <n v="2"/>
    <x v="0"/>
    <n v="0"/>
    <x v="0"/>
    <n v="2931527"/>
    <n v="3"/>
    <x v="3"/>
    <n v="0.68172999999999995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1081597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"/>
    <n v="21"/>
    <n v="21"/>
    <x v="0"/>
    <n v="1"/>
    <x v="0"/>
    <n v="1"/>
    <x v="1"/>
    <n v="2"/>
    <n v="1"/>
    <x v="0"/>
    <n v="3"/>
    <n v="2"/>
    <x v="0"/>
    <n v="1"/>
    <x v="0"/>
    <n v="0"/>
    <x v="0"/>
    <n v="1833055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9463168"/>
    <n v="80"/>
    <n v="80"/>
    <x v="3"/>
    <n v="1"/>
    <x v="0"/>
    <n v="1"/>
    <x v="1"/>
    <n v="2"/>
    <n v="1"/>
    <x v="0"/>
    <n v="3"/>
    <n v="2"/>
    <x v="0"/>
    <n v="1"/>
    <x v="0"/>
    <n v="0"/>
    <x v="0"/>
    <n v="1281683"/>
    <n v="2"/>
    <x v="0"/>
    <n v="0"/>
    <x v="0"/>
    <n v="1609801"/>
    <n v="3"/>
    <x v="3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4284861"/>
    <n v="66"/>
    <n v="66"/>
    <x v="2"/>
    <n v="1"/>
    <x v="0"/>
    <n v="1"/>
    <x v="1"/>
    <n v="1989905"/>
    <n v="1"/>
    <x v="0"/>
    <n v="3054899"/>
    <n v="2"/>
    <x v="0"/>
    <n v="1"/>
    <x v="0"/>
    <n v="0"/>
    <x v="0"/>
    <n v="2080968"/>
    <n v="2"/>
    <x v="0"/>
    <n v="0"/>
    <x v="0"/>
    <n v="1107543"/>
    <n v="3"/>
    <x v="3"/>
    <n v="0.93972599999999995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6288417"/>
    <n v="72"/>
    <n v="72"/>
    <x v="2"/>
    <n v="1"/>
    <x v="0"/>
    <n v="1"/>
    <x v="1"/>
    <n v="1947405"/>
    <n v="1"/>
    <x v="0"/>
    <n v="3118013"/>
    <n v="2"/>
    <x v="0"/>
    <n v="1"/>
    <x v="0"/>
    <n v="0"/>
    <x v="0"/>
    <n v="2136159"/>
    <n v="2"/>
    <x v="0"/>
    <n v="0"/>
    <x v="0"/>
    <n v="0.78396299999999997"/>
    <n v="0"/>
    <x v="0"/>
    <n v="0.88868000000000003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455324"/>
    <n v="64"/>
    <n v="64"/>
    <x v="2"/>
    <n v="1"/>
    <x v="0"/>
    <n v="1"/>
    <x v="1"/>
    <n v="2162519"/>
    <n v="1"/>
    <x v="0"/>
    <n v="3"/>
    <n v="2"/>
    <x v="0"/>
    <n v="1"/>
    <x v="0"/>
    <n v="0"/>
    <x v="0"/>
    <n v="2152666"/>
    <n v="2"/>
    <x v="0"/>
    <n v="0"/>
    <x v="0"/>
    <n v="1078074"/>
    <n v="3"/>
    <x v="3"/>
    <n v="1502839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19637203"/>
    <n v="53"/>
    <n v="53"/>
    <x v="2"/>
    <n v="1"/>
    <x v="0"/>
    <n v="1"/>
    <x v="1"/>
    <n v="2923916"/>
    <n v="1"/>
    <x v="0"/>
    <n v="3335876"/>
    <n v="2"/>
    <x v="0"/>
    <n v="1"/>
    <x v="0"/>
    <n v="0"/>
    <x v="0"/>
    <n v="2372444"/>
    <n v="2"/>
    <x v="0"/>
    <n v="0"/>
    <x v="0"/>
    <n v="1305633"/>
    <n v="3"/>
    <x v="3"/>
    <n v="0.311435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239836"/>
    <n v="60"/>
    <n v="60"/>
    <x v="2"/>
    <n v="0"/>
    <x v="1"/>
    <n v="1"/>
    <x v="1"/>
    <n v="299448"/>
    <n v="1"/>
    <x v="0"/>
    <n v="3"/>
    <n v="2"/>
    <x v="0"/>
    <n v="1"/>
    <x v="0"/>
    <n v="0"/>
    <x v="0"/>
    <n v="1706568"/>
    <n v="2"/>
    <x v="0"/>
    <n v="0"/>
    <x v="0"/>
    <n v="0.78421600000000002"/>
    <n v="0"/>
    <x v="0"/>
    <n v="0.150968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162638"/>
    <n v="8"/>
    <n v="8"/>
    <x v="0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301385"/>
    <n v="2"/>
    <x v="2"/>
    <n v="1"/>
    <x v="1"/>
    <n v="1"/>
    <x v="1"/>
    <n v="0"/>
    <x v="0"/>
    <n v="0"/>
    <x v="0"/>
    <n v="0"/>
    <x v="1"/>
    <n v="0"/>
    <x v="0"/>
    <n v="0"/>
    <x v="0"/>
  </r>
  <r>
    <n v="1"/>
    <s v="M"/>
    <n v="23"/>
    <n v="23"/>
    <n v="23"/>
    <x v="0"/>
    <n v="1"/>
    <x v="0"/>
    <n v="1"/>
    <x v="1"/>
    <n v="3"/>
    <n v="1"/>
    <x v="0"/>
    <n v="3205009"/>
    <n v="2"/>
    <x v="0"/>
    <n v="1"/>
    <x v="0"/>
    <n v="0"/>
    <x v="0"/>
    <n v="2643468"/>
    <n v="2"/>
    <x v="0"/>
    <n v="0"/>
    <x v="0"/>
    <n v="0.99803900000000001"/>
    <n v="0"/>
    <x v="0"/>
    <n v="1898139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2874658"/>
    <n v="62"/>
    <n v="62"/>
    <x v="2"/>
    <n v="1"/>
    <x v="0"/>
    <n v="1"/>
    <x v="1"/>
    <n v="2507841"/>
    <n v="1"/>
    <x v="0"/>
    <n v="3648194"/>
    <n v="2"/>
    <x v="0"/>
    <n v="1"/>
    <x v="0"/>
    <n v="0"/>
    <x v="0"/>
    <n v="1279756"/>
    <n v="2"/>
    <x v="0"/>
    <n v="0"/>
    <x v="0"/>
    <n v="0.132629"/>
    <n v="0"/>
    <x v="0"/>
    <n v="182753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7420269"/>
    <n v="47"/>
    <n v="47"/>
    <x v="1"/>
    <n v="0"/>
    <x v="1"/>
    <n v="1"/>
    <x v="1"/>
    <n v="1836554"/>
    <n v="1"/>
    <x v="0"/>
    <n v="1865238"/>
    <n v="2"/>
    <x v="0"/>
    <n v="1"/>
    <x v="0"/>
    <n v="0"/>
    <x v="0"/>
    <n v="2"/>
    <n v="2"/>
    <x v="0"/>
    <n v="1"/>
    <x v="1"/>
    <n v="0.32020900000000002"/>
    <n v="0"/>
    <x v="0"/>
    <n v="1969507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7807828"/>
    <n v="48"/>
    <n v="48"/>
    <x v="1"/>
    <n v="0"/>
    <x v="1"/>
    <n v="1"/>
    <x v="1"/>
    <n v="1773265"/>
    <n v="1"/>
    <x v="0"/>
    <n v="2118153"/>
    <n v="2"/>
    <x v="0"/>
    <n v="1"/>
    <x v="0"/>
    <n v="0"/>
    <x v="0"/>
    <n v="1075239"/>
    <n v="2"/>
    <x v="0"/>
    <n v="1"/>
    <x v="1"/>
    <n v="8.5388000000000006E-2"/>
    <n v="0"/>
    <x v="0"/>
    <n v="1915191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6240576"/>
    <n v="44"/>
    <n v="44"/>
    <x v="1"/>
    <n v="1"/>
    <x v="0"/>
    <n v="1"/>
    <x v="1"/>
    <n v="2388168"/>
    <n v="1"/>
    <x v="0"/>
    <n v="1"/>
    <n v="1"/>
    <x v="1"/>
    <n v="1"/>
    <x v="0"/>
    <n v="0"/>
    <x v="0"/>
    <n v="1438018"/>
    <n v="2"/>
    <x v="0"/>
    <n v="1"/>
    <x v="1"/>
    <n v="0.110887"/>
    <n v="0"/>
    <x v="0"/>
    <n v="1165817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3252457"/>
    <n v="63"/>
    <n v="63"/>
    <x v="2"/>
    <n v="0"/>
    <x v="1"/>
    <n v="1"/>
    <x v="1"/>
    <n v="2286146"/>
    <n v="1"/>
    <x v="0"/>
    <n v="2961113"/>
    <n v="2"/>
    <x v="0"/>
    <n v="1"/>
    <x v="0"/>
    <n v="0"/>
    <x v="0"/>
    <n v="2657303"/>
    <n v="2"/>
    <x v="0"/>
    <n v="0"/>
    <x v="0"/>
    <n v="191108"/>
    <n v="2"/>
    <x v="1"/>
    <n v="1618227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4772902"/>
    <n v="95"/>
    <n v="95"/>
    <x v="3"/>
    <n v="1"/>
    <x v="0"/>
    <n v="1"/>
    <x v="1"/>
    <n v="3"/>
    <n v="1"/>
    <x v="0"/>
    <n v="2400943"/>
    <n v="2"/>
    <x v="0"/>
    <n v="1"/>
    <x v="0"/>
    <n v="0"/>
    <x v="0"/>
    <n v="1509734"/>
    <n v="2"/>
    <x v="0"/>
    <n v="0"/>
    <x v="0"/>
    <n v="0.167125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2766227"/>
    <n v="62"/>
    <n v="62"/>
    <x v="2"/>
    <n v="1"/>
    <x v="0"/>
    <n v="1"/>
    <x v="1"/>
    <n v="2"/>
    <n v="1"/>
    <x v="0"/>
    <n v="2870005"/>
    <n v="2"/>
    <x v="0"/>
    <n v="1"/>
    <x v="0"/>
    <n v="0"/>
    <x v="0"/>
    <n v="115031"/>
    <n v="2"/>
    <x v="0"/>
    <n v="0"/>
    <x v="0"/>
    <n v="0.41772399999999998"/>
    <n v="0"/>
    <x v="0"/>
    <n v="1"/>
    <n v="1"/>
    <x v="0"/>
    <n v="1"/>
    <x v="1"/>
    <n v="1"/>
    <x v="1"/>
    <n v="0"/>
    <x v="0"/>
    <n v="0"/>
    <x v="0"/>
    <n v="0"/>
    <x v="1"/>
    <n v="0"/>
    <x v="0"/>
    <n v="0"/>
    <x v="0"/>
  </r>
  <r>
    <n v="0"/>
    <s v="F"/>
    <n v="39214514"/>
    <n v="107"/>
    <n v="100"/>
    <x v="3"/>
    <n v="1"/>
    <x v="0"/>
    <n v="1"/>
    <x v="1"/>
    <n v="2487167"/>
    <n v="1"/>
    <x v="0"/>
    <n v="3"/>
    <n v="2"/>
    <x v="0"/>
    <n v="1"/>
    <x v="0"/>
    <n v="0"/>
    <x v="0"/>
    <n v="2396977"/>
    <n v="2"/>
    <x v="0"/>
    <n v="0"/>
    <x v="0"/>
    <n v="0.57706299999999999"/>
    <n v="0"/>
    <x v="0"/>
    <n v="0.43507200000000001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9858973"/>
    <n v="54"/>
    <n v="54"/>
    <x v="2"/>
    <n v="0"/>
    <x v="1"/>
    <n v="1"/>
    <x v="1"/>
    <n v="2185938"/>
    <n v="1"/>
    <x v="0"/>
    <n v="1"/>
    <n v="1"/>
    <x v="1"/>
    <n v="0"/>
    <x v="3"/>
    <n v="0"/>
    <x v="0"/>
    <n v="281353"/>
    <n v="2"/>
    <x v="0"/>
    <n v="0"/>
    <x v="0"/>
    <n v="1"/>
    <n v="1"/>
    <x v="2"/>
    <n v="1110222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6370009"/>
    <n v="44"/>
    <n v="44"/>
    <x v="1"/>
    <n v="1"/>
    <x v="0"/>
    <n v="1"/>
    <x v="1"/>
    <n v="2206399"/>
    <n v="1"/>
    <x v="0"/>
    <n v="1"/>
    <n v="1"/>
    <x v="1"/>
    <n v="1"/>
    <x v="0"/>
    <n v="0"/>
    <x v="0"/>
    <n v="2"/>
    <n v="2"/>
    <x v="0"/>
    <n v="1"/>
    <x v="1"/>
    <n v="0.94893000000000005"/>
    <n v="0"/>
    <x v="0"/>
    <n v="1772463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7992717"/>
    <n v="49"/>
    <n v="49"/>
    <x v="1"/>
    <n v="1"/>
    <x v="0"/>
    <n v="1"/>
    <x v="1"/>
    <n v="1952987"/>
    <n v="1"/>
    <x v="0"/>
    <n v="1"/>
    <n v="1"/>
    <x v="1"/>
    <n v="1"/>
    <x v="0"/>
    <n v="0"/>
    <x v="0"/>
    <n v="1334856"/>
    <n v="2"/>
    <x v="0"/>
    <n v="1"/>
    <x v="1"/>
    <n v="0.73227600000000004"/>
    <n v="0"/>
    <x v="0"/>
    <n v="1890214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9179932"/>
    <n v="52"/>
    <n v="52"/>
    <x v="2"/>
    <n v="1"/>
    <x v="0"/>
    <n v="1"/>
    <x v="1"/>
    <n v="2"/>
    <n v="1"/>
    <x v="0"/>
    <n v="1030416"/>
    <n v="2"/>
    <x v="0"/>
    <n v="1"/>
    <x v="0"/>
    <n v="0"/>
    <x v="0"/>
    <n v="2118716"/>
    <n v="2"/>
    <x v="0"/>
    <n v="0"/>
    <x v="0"/>
    <n v="0.52925900000000003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621545"/>
    <n v="53"/>
    <n v="53"/>
    <x v="2"/>
    <n v="0"/>
    <x v="1"/>
    <n v="1"/>
    <x v="1"/>
    <n v="2908757"/>
    <n v="1"/>
    <x v="0"/>
    <n v="2696051"/>
    <n v="2"/>
    <x v="0"/>
    <n v="1"/>
    <x v="0"/>
    <n v="0"/>
    <x v="0"/>
    <n v="1622827"/>
    <n v="2"/>
    <x v="0"/>
    <n v="1"/>
    <x v="1"/>
    <n v="0.53995199999999999"/>
    <n v="0"/>
    <x v="0"/>
    <n v="1.096E-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755797"/>
    <n v="54"/>
    <n v="54"/>
    <x v="2"/>
    <n v="0"/>
    <x v="1"/>
    <n v="1"/>
    <x v="1"/>
    <n v="2628791"/>
    <n v="1"/>
    <x v="0"/>
    <n v="2762883"/>
    <n v="2"/>
    <x v="0"/>
    <n v="1"/>
    <x v="0"/>
    <n v="0"/>
    <x v="0"/>
    <n v="1512035"/>
    <n v="2"/>
    <x v="0"/>
    <n v="1"/>
    <x v="1"/>
    <n v="0.30372199999999999"/>
    <n v="0"/>
    <x v="0"/>
    <n v="3.2290000000000001E-3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7099015"/>
    <n v="46"/>
    <n v="46"/>
    <x v="1"/>
    <n v="1"/>
    <x v="0"/>
    <n v="1"/>
    <x v="1"/>
    <n v="3"/>
    <n v="1"/>
    <x v="0"/>
    <n v="2401341"/>
    <n v="2"/>
    <x v="0"/>
    <n v="1"/>
    <x v="0"/>
    <n v="0"/>
    <x v="0"/>
    <n v="2"/>
    <n v="2"/>
    <x v="0"/>
    <n v="1"/>
    <x v="1"/>
    <n v="0.66389600000000004"/>
    <n v="0"/>
    <x v="0"/>
    <n v="1753745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1725813"/>
    <n v="4"/>
    <n v="4"/>
    <x v="0"/>
    <n v="1"/>
    <x v="0"/>
    <n v="1"/>
    <x v="1"/>
    <n v="2749629"/>
    <n v="1"/>
    <x v="0"/>
    <n v="2298612"/>
    <n v="2"/>
    <x v="0"/>
    <n v="1"/>
    <x v="0"/>
    <n v="0"/>
    <x v="0"/>
    <n v="2"/>
    <n v="2"/>
    <x v="0"/>
    <n v="1"/>
    <x v="1"/>
    <n v="0.54751499999999997"/>
    <n v="0"/>
    <x v="0"/>
    <n v="161947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9153907"/>
    <n v="79"/>
    <n v="79"/>
    <x v="3"/>
    <n v="0"/>
    <x v="1"/>
    <n v="1"/>
    <x v="1"/>
    <n v="1595746"/>
    <n v="1"/>
    <x v="0"/>
    <n v="3618722"/>
    <n v="2"/>
    <x v="0"/>
    <n v="1"/>
    <x v="0"/>
    <n v="0"/>
    <x v="0"/>
    <n v="1274389"/>
    <n v="2"/>
    <x v="0"/>
    <n v="0"/>
    <x v="0"/>
    <n v="1504003"/>
    <n v="3"/>
    <x v="3"/>
    <n v="0.37006699999999998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2278869"/>
    <n v="88"/>
    <n v="88"/>
    <x v="3"/>
    <n v="1"/>
    <x v="0"/>
    <n v="1"/>
    <x v="1"/>
    <n v="2885178"/>
    <n v="1"/>
    <x v="0"/>
    <n v="2562895"/>
    <n v="2"/>
    <x v="0"/>
    <n v="1"/>
    <x v="0"/>
    <n v="0"/>
    <x v="0"/>
    <n v="1017006"/>
    <n v="2"/>
    <x v="0"/>
    <n v="0"/>
    <x v="0"/>
    <n v="0.588673"/>
    <n v="0"/>
    <x v="0"/>
    <n v="0.91629099999999997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31793937"/>
    <n v="87"/>
    <n v="87"/>
    <x v="3"/>
    <n v="1"/>
    <x v="0"/>
    <n v="1"/>
    <x v="1"/>
    <n v="2372494"/>
    <n v="1"/>
    <x v="0"/>
    <n v="2849848"/>
    <n v="2"/>
    <x v="0"/>
    <n v="1"/>
    <x v="0"/>
    <n v="0"/>
    <x v="0"/>
    <n v="1028538"/>
    <n v="2"/>
    <x v="0"/>
    <n v="0"/>
    <x v="0"/>
    <n v="0.675983"/>
    <n v="0"/>
    <x v="0"/>
    <n v="0.30302499999999999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18014333"/>
    <n v="49"/>
    <n v="49"/>
    <x v="1"/>
    <n v="1"/>
    <x v="0"/>
    <n v="1"/>
    <x v="1"/>
    <n v="2"/>
    <n v="1"/>
    <x v="0"/>
    <n v="2805436"/>
    <n v="2"/>
    <x v="0"/>
    <n v="1"/>
    <x v="0"/>
    <n v="0"/>
    <x v="0"/>
    <n v="2122884"/>
    <n v="2"/>
    <x v="0"/>
    <n v="0"/>
    <x v="0"/>
    <n v="4.5650999999999997E-2"/>
    <n v="0"/>
    <x v="0"/>
    <n v="1.7225000000000001E-2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19685"/>
    <n v="0"/>
    <n v="5"/>
    <x v="0"/>
    <n v="1"/>
    <x v="0"/>
    <n v="1"/>
    <x v="1"/>
    <n v="2153639"/>
    <n v="1"/>
    <x v="0"/>
    <n v="3715148"/>
    <n v="2"/>
    <x v="0"/>
    <n v="1"/>
    <x v="0"/>
    <n v="0"/>
    <x v="0"/>
    <n v="2703337"/>
    <n v="2"/>
    <x v="0"/>
    <n v="0"/>
    <x v="0"/>
    <n v="2"/>
    <n v="2"/>
    <x v="1"/>
    <n v="0.226096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506389"/>
    <n v="53"/>
    <n v="53"/>
    <x v="2"/>
    <n v="1"/>
    <x v="0"/>
    <n v="1"/>
    <x v="1"/>
    <n v="2793561"/>
    <n v="1"/>
    <x v="0"/>
    <n v="3788602"/>
    <n v="2"/>
    <x v="0"/>
    <n v="1"/>
    <x v="0"/>
    <n v="0"/>
    <x v="0"/>
    <n v="2429059"/>
    <n v="2"/>
    <x v="0"/>
    <n v="0"/>
    <x v="0"/>
    <n v="2094542"/>
    <n v="3"/>
    <x v="3"/>
    <n v="0.393357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"/>
    <n v="19"/>
    <n v="19"/>
    <x v="0"/>
    <n v="1"/>
    <x v="0"/>
    <n v="1"/>
    <x v="1"/>
    <n v="2"/>
    <n v="1"/>
    <x v="0"/>
    <n v="1893811"/>
    <n v="2"/>
    <x v="0"/>
    <n v="1"/>
    <x v="0"/>
    <n v="0"/>
    <x v="0"/>
    <n v="3"/>
    <n v="2"/>
    <x v="0"/>
    <n v="0"/>
    <x v="0"/>
    <n v="1376229"/>
    <n v="3"/>
    <x v="3"/>
    <n v="180132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8"/>
    <n v="18"/>
    <n v="18"/>
    <x v="0"/>
    <n v="1"/>
    <x v="0"/>
    <n v="1"/>
    <x v="1"/>
    <n v="2"/>
    <n v="1"/>
    <x v="0"/>
    <n v="1010319"/>
    <n v="2"/>
    <x v="0"/>
    <n v="1"/>
    <x v="0"/>
    <n v="0"/>
    <x v="0"/>
    <n v="1319437"/>
    <n v="2"/>
    <x v="0"/>
    <n v="0"/>
    <x v="0"/>
    <n v="0"/>
    <n v="0"/>
    <x v="0"/>
    <n v="1626456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18003153"/>
    <n v="49"/>
    <n v="49"/>
    <x v="1"/>
    <n v="1"/>
    <x v="0"/>
    <n v="1"/>
    <x v="1"/>
    <n v="2992329"/>
    <n v="1"/>
    <x v="0"/>
    <n v="3"/>
    <n v="2"/>
    <x v="0"/>
    <n v="1"/>
    <x v="0"/>
    <n v="0"/>
    <x v="0"/>
    <n v="2004908"/>
    <n v="2"/>
    <x v="0"/>
    <n v="0"/>
    <x v="0"/>
    <n v="1"/>
    <n v="1"/>
    <x v="2"/>
    <n v="1405086"/>
    <n v="2"/>
    <x v="2"/>
    <n v="2"/>
    <x v="2"/>
    <n v="0"/>
    <x v="0"/>
    <n v="0"/>
    <x v="0"/>
    <n v="0"/>
    <x v="0"/>
    <n v="1"/>
    <x v="0"/>
    <n v="0"/>
    <x v="0"/>
    <n v="0"/>
    <x v="0"/>
  </r>
  <r>
    <n v="0"/>
    <s v="F"/>
    <n v="18052394"/>
    <n v="49"/>
    <n v="49"/>
    <x v="1"/>
    <n v="1"/>
    <x v="0"/>
    <n v="1"/>
    <x v="1"/>
    <n v="2927409"/>
    <n v="1"/>
    <x v="0"/>
    <n v="3"/>
    <n v="2"/>
    <x v="0"/>
    <n v="1"/>
    <x v="0"/>
    <n v="0"/>
    <x v="0"/>
    <n v="2209991"/>
    <n v="2"/>
    <x v="0"/>
    <n v="0"/>
    <x v="0"/>
    <n v="1"/>
    <n v="1"/>
    <x v="2"/>
    <n v="0.79721500000000001"/>
    <n v="0"/>
    <x v="1"/>
    <n v="2"/>
    <x v="2"/>
    <n v="0"/>
    <x v="0"/>
    <n v="0"/>
    <x v="0"/>
    <n v="0"/>
    <x v="0"/>
    <n v="1"/>
    <x v="0"/>
    <n v="0"/>
    <x v="0"/>
    <n v="0"/>
    <x v="0"/>
  </r>
  <r>
    <n v="0"/>
    <s v="F"/>
    <n v="19774317"/>
    <n v="54"/>
    <n v="54"/>
    <x v="2"/>
    <n v="0"/>
    <x v="1"/>
    <n v="1"/>
    <x v="1"/>
    <n v="2706134"/>
    <n v="1"/>
    <x v="0"/>
    <n v="2669766"/>
    <n v="2"/>
    <x v="0"/>
    <n v="1"/>
    <x v="0"/>
    <n v="0"/>
    <x v="0"/>
    <n v="1979848"/>
    <n v="2"/>
    <x v="0"/>
    <n v="1"/>
    <x v="1"/>
    <n v="0.44523800000000002"/>
    <n v="0"/>
    <x v="0"/>
    <n v="0.9088359999999999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180346"/>
    <n v="58"/>
    <n v="58"/>
    <x v="2"/>
    <n v="1"/>
    <x v="0"/>
    <n v="1"/>
    <x v="1"/>
    <n v="2010684"/>
    <n v="1"/>
    <x v="0"/>
    <n v="1322087"/>
    <n v="2"/>
    <x v="0"/>
    <n v="1"/>
    <x v="0"/>
    <n v="0"/>
    <x v="0"/>
    <n v="2"/>
    <n v="2"/>
    <x v="0"/>
    <n v="0"/>
    <x v="0"/>
    <n v="0.54039700000000002"/>
    <n v="0"/>
    <x v="0"/>
    <n v="0.9738339999999999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793724"/>
    <n v="59"/>
    <n v="59"/>
    <x v="2"/>
    <n v="1"/>
    <x v="0"/>
    <n v="1"/>
    <x v="1"/>
    <n v="2"/>
    <n v="1"/>
    <x v="0"/>
    <n v="2041558"/>
    <n v="2"/>
    <x v="0"/>
    <n v="1"/>
    <x v="0"/>
    <n v="0"/>
    <x v="0"/>
    <n v="238725"/>
    <n v="2"/>
    <x v="0"/>
    <n v="0"/>
    <x v="0"/>
    <n v="0.813917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0880161"/>
    <n v="57"/>
    <n v="57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66639"/>
    <n v="2"/>
    <x v="1"/>
    <n v="144321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118354"/>
    <n v="5"/>
    <n v="5"/>
    <x v="0"/>
    <n v="1"/>
    <x v="0"/>
    <n v="1"/>
    <x v="1"/>
    <n v="2"/>
    <n v="1"/>
    <x v="0"/>
    <n v="2468421"/>
    <n v="2"/>
    <x v="0"/>
    <n v="1"/>
    <x v="0"/>
    <n v="0"/>
    <x v="0"/>
    <n v="2"/>
    <n v="2"/>
    <x v="0"/>
    <n v="0"/>
    <x v="0"/>
    <n v="2"/>
    <n v="2"/>
    <x v="1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32774488"/>
    <n v="89"/>
    <n v="89"/>
    <x v="3"/>
    <n v="1"/>
    <x v="0"/>
    <n v="1"/>
    <x v="1"/>
    <n v="2"/>
    <n v="1"/>
    <x v="0"/>
    <n v="2110937"/>
    <n v="2"/>
    <x v="0"/>
    <n v="1"/>
    <x v="0"/>
    <n v="0"/>
    <x v="0"/>
    <n v="2175632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0"/>
    <x v="1"/>
    <n v="1"/>
    <x v="1"/>
    <n v="0"/>
    <x v="0"/>
  </r>
  <r>
    <n v="1"/>
    <s v="M"/>
    <n v="31327609"/>
    <n v="85"/>
    <n v="85"/>
    <x v="3"/>
    <n v="1"/>
    <x v="0"/>
    <n v="1"/>
    <x v="1"/>
    <n v="2300408"/>
    <n v="1"/>
    <x v="0"/>
    <n v="3071028"/>
    <n v="2"/>
    <x v="0"/>
    <n v="1"/>
    <x v="0"/>
    <n v="0"/>
    <x v="0"/>
    <n v="1738959"/>
    <n v="2"/>
    <x v="0"/>
    <n v="0"/>
    <x v="0"/>
    <n v="9.0147000000000005E-2"/>
    <n v="0"/>
    <x v="0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9956198"/>
    <n v="82"/>
    <n v="82"/>
    <x v="3"/>
    <n v="1"/>
    <x v="0"/>
    <n v="1"/>
    <x v="1"/>
    <n v="2119643"/>
    <n v="1"/>
    <x v="0"/>
    <n v="3292956"/>
    <n v="2"/>
    <x v="0"/>
    <n v="1"/>
    <x v="0"/>
    <n v="0"/>
    <x v="0"/>
    <n v="1723372"/>
    <n v="2"/>
    <x v="0"/>
    <n v="0"/>
    <x v="0"/>
    <n v="0"/>
    <n v="0"/>
    <x v="0"/>
    <n v="0.98710200000000003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1403421"/>
    <n v="58"/>
    <n v="58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936551"/>
    <n v="3"/>
    <x v="3"/>
    <n v="140913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2591439"/>
    <n v="61"/>
    <n v="61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45107799999999998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8583944"/>
    <n v="78"/>
    <n v="78"/>
    <x v="3"/>
    <n v="1"/>
    <x v="0"/>
    <n v="0"/>
    <x v="0"/>
    <n v="2"/>
    <n v="1"/>
    <x v="0"/>
    <n v="2283673"/>
    <n v="2"/>
    <x v="0"/>
    <n v="1"/>
    <x v="0"/>
    <n v="0"/>
    <x v="0"/>
    <n v="1970622"/>
    <n v="2"/>
    <x v="0"/>
    <n v="0"/>
    <x v="0"/>
    <n v="1863258"/>
    <n v="3"/>
    <x v="3"/>
    <n v="158170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38825189"/>
    <n v="106"/>
    <n v="100"/>
    <x v="3"/>
    <n v="1"/>
    <x v="0"/>
    <n v="1"/>
    <x v="1"/>
    <n v="2901924"/>
    <n v="1"/>
    <x v="0"/>
    <n v="1124977"/>
    <n v="2"/>
    <x v="0"/>
    <n v="1"/>
    <x v="0"/>
    <n v="0"/>
    <x v="0"/>
    <n v="276382"/>
    <n v="2"/>
    <x v="0"/>
    <n v="0"/>
    <x v="0"/>
    <n v="0.85540000000000005"/>
    <n v="0"/>
    <x v="0"/>
    <n v="0.99918300000000004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5217173"/>
    <n v="96"/>
    <n v="96"/>
    <x v="3"/>
    <n v="1"/>
    <x v="0"/>
    <n v="1"/>
    <x v="1"/>
    <n v="2"/>
    <n v="1"/>
    <x v="0"/>
    <n v="29948"/>
    <n v="2"/>
    <x v="0"/>
    <n v="1"/>
    <x v="0"/>
    <n v="0"/>
    <x v="0"/>
    <n v="1290979"/>
    <n v="2"/>
    <x v="0"/>
    <n v="0"/>
    <x v="0"/>
    <n v="0.87599000000000005"/>
    <n v="0"/>
    <x v="0"/>
    <n v="0.85404999999999998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0392665"/>
    <n v="55"/>
    <n v="55"/>
    <x v="2"/>
    <n v="1"/>
    <x v="0"/>
    <n v="0"/>
    <x v="0"/>
    <n v="2451009"/>
    <n v="1"/>
    <x v="0"/>
    <n v="3"/>
    <n v="2"/>
    <x v="0"/>
    <n v="1"/>
    <x v="0"/>
    <n v="0"/>
    <x v="0"/>
    <n v="2"/>
    <n v="2"/>
    <x v="0"/>
    <n v="0"/>
    <x v="0"/>
    <n v="2177243"/>
    <n v="3"/>
    <x v="3"/>
    <n v="1323877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154854"/>
    <n v="60"/>
    <n v="60"/>
    <x v="2"/>
    <n v="1"/>
    <x v="0"/>
    <n v="0"/>
    <x v="0"/>
    <n v="2"/>
    <n v="1"/>
    <x v="0"/>
    <n v="2983297"/>
    <n v="2"/>
    <x v="0"/>
    <n v="1"/>
    <x v="0"/>
    <n v="0"/>
    <x v="0"/>
    <n v="1453626"/>
    <n v="2"/>
    <x v="0"/>
    <n v="0"/>
    <x v="0"/>
    <n v="0.32895999999999997"/>
    <n v="0"/>
    <x v="0"/>
    <n v="0.50939599999999996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108796"/>
    <n v="52"/>
    <n v="52"/>
    <x v="2"/>
    <n v="1"/>
    <x v="0"/>
    <n v="1"/>
    <x v="1"/>
    <n v="2754646"/>
    <n v="1"/>
    <x v="0"/>
    <n v="3"/>
    <n v="2"/>
    <x v="0"/>
    <n v="1"/>
    <x v="0"/>
    <n v="0"/>
    <x v="0"/>
    <n v="2957821"/>
    <n v="2"/>
    <x v="0"/>
    <n v="0"/>
    <x v="0"/>
    <n v="2242754"/>
    <n v="3"/>
    <x v="3"/>
    <n v="0.78660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70768"/>
    <n v="5"/>
    <n v="5"/>
    <x v="0"/>
    <n v="1"/>
    <x v="0"/>
    <n v="0"/>
    <x v="0"/>
    <n v="2417635"/>
    <n v="1"/>
    <x v="0"/>
    <n v="3"/>
    <n v="2"/>
    <x v="0"/>
    <n v="1"/>
    <x v="0"/>
    <n v="0"/>
    <x v="0"/>
    <n v="1937674"/>
    <n v="2"/>
    <x v="0"/>
    <n v="0"/>
    <x v="0"/>
    <n v="1417035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634694"/>
    <n v="56"/>
    <n v="56"/>
    <x v="2"/>
    <n v="1"/>
    <x v="0"/>
    <n v="0"/>
    <x v="0"/>
    <n v="2512719"/>
    <n v="1"/>
    <x v="0"/>
    <n v="3"/>
    <n v="2"/>
    <x v="0"/>
    <n v="1"/>
    <x v="0"/>
    <n v="0"/>
    <x v="0"/>
    <n v="1131169"/>
    <n v="2"/>
    <x v="0"/>
    <n v="0"/>
    <x v="0"/>
    <n v="9.5389000000000002E-2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2052152"/>
    <n v="60"/>
    <n v="60"/>
    <x v="2"/>
    <n v="1"/>
    <x v="0"/>
    <n v="1"/>
    <x v="1"/>
    <n v="1771693"/>
    <n v="1"/>
    <x v="0"/>
    <n v="1890213"/>
    <n v="2"/>
    <x v="0"/>
    <n v="1"/>
    <x v="0"/>
    <n v="0"/>
    <x v="0"/>
    <n v="2"/>
    <n v="2"/>
    <x v="0"/>
    <n v="0"/>
    <x v="0"/>
    <n v="0"/>
    <n v="0"/>
    <x v="0"/>
    <n v="136595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2869778"/>
    <n v="62"/>
    <n v="62"/>
    <x v="2"/>
    <n v="1"/>
    <x v="0"/>
    <n v="1"/>
    <x v="1"/>
    <n v="157223"/>
    <n v="1"/>
    <x v="0"/>
    <n v="1888067"/>
    <n v="2"/>
    <x v="0"/>
    <n v="1"/>
    <x v="0"/>
    <n v="0"/>
    <x v="0"/>
    <n v="2"/>
    <n v="2"/>
    <x v="0"/>
    <n v="0"/>
    <x v="0"/>
    <n v="0"/>
    <n v="0"/>
    <x v="0"/>
    <n v="0.55249800000000004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909992"/>
    <n v="62"/>
    <n v="62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97311400000000003"/>
    <n v="0"/>
    <x v="0"/>
    <n v="1540298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2256119"/>
    <n v="2"/>
    <x v="0"/>
    <n v="1"/>
    <x v="0"/>
    <n v="0"/>
    <x v="0"/>
    <n v="1142873"/>
    <n v="2"/>
    <x v="0"/>
    <n v="0"/>
    <x v="0"/>
    <n v="0.80707600000000002"/>
    <n v="0"/>
    <x v="0"/>
    <n v="1611271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4679807"/>
    <n v="67"/>
    <n v="67"/>
    <x v="2"/>
    <n v="1"/>
    <x v="0"/>
    <n v="1"/>
    <x v="1"/>
    <n v="2"/>
    <n v="1"/>
    <x v="0"/>
    <n v="3"/>
    <n v="2"/>
    <x v="0"/>
    <n v="1"/>
    <x v="0"/>
    <n v="0"/>
    <x v="0"/>
    <n v="2020424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884212"/>
    <n v="65"/>
    <n v="65"/>
    <x v="2"/>
    <n v="1"/>
    <x v="0"/>
    <n v="1"/>
    <x v="1"/>
    <n v="2"/>
    <n v="1"/>
    <x v="0"/>
    <n v="26648"/>
    <n v="2"/>
    <x v="0"/>
    <n v="1"/>
    <x v="0"/>
    <n v="0"/>
    <x v="0"/>
    <n v="1810738"/>
    <n v="2"/>
    <x v="0"/>
    <n v="0"/>
    <x v="0"/>
    <n v="0.80989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5461411"/>
    <n v="69"/>
    <n v="69"/>
    <x v="2"/>
    <n v="1"/>
    <x v="0"/>
    <n v="1"/>
    <x v="1"/>
    <n v="2661556"/>
    <n v="1"/>
    <x v="0"/>
    <n v="3"/>
    <n v="2"/>
    <x v="0"/>
    <n v="1"/>
    <x v="0"/>
    <n v="0"/>
    <x v="0"/>
    <n v="3"/>
    <n v="2"/>
    <x v="0"/>
    <n v="0"/>
    <x v="0"/>
    <n v="0.55181000000000002"/>
    <n v="0"/>
    <x v="0"/>
    <n v="0.658783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1333798"/>
    <n v="85"/>
    <n v="85"/>
    <x v="3"/>
    <n v="1"/>
    <x v="0"/>
    <n v="1"/>
    <x v="1"/>
    <n v="2"/>
    <n v="1"/>
    <x v="0"/>
    <n v="3"/>
    <n v="2"/>
    <x v="0"/>
    <n v="1"/>
    <x v="0"/>
    <n v="0"/>
    <x v="0"/>
    <n v="118423"/>
    <n v="2"/>
    <x v="0"/>
    <n v="0"/>
    <x v="0"/>
    <n v="0.155579"/>
    <n v="0"/>
    <x v="0"/>
    <n v="0.4534039999999999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4108711"/>
    <n v="66"/>
    <n v="66"/>
    <x v="2"/>
    <n v="1"/>
    <x v="0"/>
    <n v="1"/>
    <x v="1"/>
    <n v="2"/>
    <n v="1"/>
    <x v="0"/>
    <n v="3"/>
    <n v="2"/>
    <x v="0"/>
    <n v="1"/>
    <x v="0"/>
    <n v="0"/>
    <x v="0"/>
    <n v="2879402"/>
    <n v="2"/>
    <x v="0"/>
    <n v="0"/>
    <x v="0"/>
    <n v="0"/>
    <n v="0"/>
    <x v="0"/>
    <n v="0.32240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8830558"/>
    <n v="78"/>
    <n v="78"/>
    <x v="3"/>
    <n v="1"/>
    <x v="0"/>
    <n v="1"/>
    <x v="1"/>
    <n v="3"/>
    <n v="1"/>
    <x v="0"/>
    <n v="3"/>
    <n v="2"/>
    <x v="0"/>
    <n v="1"/>
    <x v="0"/>
    <n v="0"/>
    <x v="0"/>
    <n v="1699971"/>
    <n v="2"/>
    <x v="0"/>
    <n v="0"/>
    <x v="0"/>
    <n v="1727114"/>
    <n v="3"/>
    <x v="3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1"/>
    <s v="M"/>
    <n v="17570089"/>
    <n v="48"/>
    <n v="48"/>
    <x v="1"/>
    <n v="1"/>
    <x v="0"/>
    <n v="0"/>
    <x v="0"/>
    <n v="2097373"/>
    <n v="1"/>
    <x v="0"/>
    <n v="2547086"/>
    <n v="2"/>
    <x v="0"/>
    <n v="1"/>
    <x v="0"/>
    <n v="0"/>
    <x v="0"/>
    <n v="1538626"/>
    <n v="2"/>
    <x v="0"/>
    <n v="0"/>
    <x v="0"/>
    <n v="1"/>
    <n v="1"/>
    <x v="2"/>
    <n v="0.76189799999999996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19027574"/>
    <n v="52"/>
    <n v="52"/>
    <x v="2"/>
    <n v="1"/>
    <x v="0"/>
    <n v="1"/>
    <x v="1"/>
    <n v="2061461"/>
    <n v="1"/>
    <x v="0"/>
    <n v="2812283"/>
    <n v="2"/>
    <x v="0"/>
    <n v="1"/>
    <x v="0"/>
    <n v="0"/>
    <x v="0"/>
    <n v="3"/>
    <n v="2"/>
    <x v="0"/>
    <n v="0"/>
    <x v="0"/>
    <n v="0.36244100000000001"/>
    <n v="0"/>
    <x v="0"/>
    <n v="0.7851900000000000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5632447"/>
    <n v="70"/>
    <n v="70"/>
    <x v="2"/>
    <n v="1"/>
    <x v="0"/>
    <n v="1"/>
    <x v="1"/>
    <n v="1317729"/>
    <n v="1"/>
    <x v="0"/>
    <n v="2278652"/>
    <n v="2"/>
    <x v="0"/>
    <n v="1"/>
    <x v="0"/>
    <n v="0"/>
    <x v="0"/>
    <n v="2"/>
    <n v="2"/>
    <x v="0"/>
    <n v="0"/>
    <x v="0"/>
    <n v="180674"/>
    <n v="2"/>
    <x v="1"/>
    <n v="193977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294313"/>
    <n v="6"/>
    <n v="6"/>
    <x v="0"/>
    <n v="1"/>
    <x v="0"/>
    <n v="1"/>
    <x v="1"/>
    <n v="1882235"/>
    <n v="1"/>
    <x v="0"/>
    <n v="1240046"/>
    <n v="2"/>
    <x v="0"/>
    <n v="1"/>
    <x v="0"/>
    <n v="0"/>
    <x v="0"/>
    <n v="2"/>
    <n v="2"/>
    <x v="0"/>
    <n v="0"/>
    <x v="0"/>
    <n v="0"/>
    <n v="0"/>
    <x v="0"/>
    <n v="1541493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3285553"/>
    <n v="63"/>
    <n v="63"/>
    <x v="2"/>
    <n v="1"/>
    <x v="0"/>
    <n v="1"/>
    <x v="1"/>
    <n v="2951591"/>
    <n v="1"/>
    <x v="0"/>
    <n v="3"/>
    <n v="2"/>
    <x v="0"/>
    <n v="1"/>
    <x v="0"/>
    <n v="0"/>
    <x v="0"/>
    <n v="2971557"/>
    <n v="2"/>
    <x v="0"/>
    <n v="0"/>
    <x v="0"/>
    <n v="0"/>
    <n v="0"/>
    <x v="0"/>
    <n v="0.9471920000000000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067817"/>
    <n v="1"/>
    <x v="0"/>
    <n v="3"/>
    <n v="2"/>
    <x v="0"/>
    <n v="1"/>
    <x v="0"/>
    <n v="0"/>
    <x v="0"/>
    <n v="1082084"/>
    <n v="2"/>
    <x v="0"/>
    <n v="0"/>
    <x v="0"/>
    <n v="0"/>
    <n v="0"/>
    <x v="0"/>
    <n v="1922364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519291"/>
    <n v="6"/>
    <n v="6"/>
    <x v="0"/>
    <n v="1"/>
    <x v="0"/>
    <n v="1"/>
    <x v="1"/>
    <n v="254527"/>
    <n v="1"/>
    <x v="0"/>
    <n v="3"/>
    <n v="2"/>
    <x v="0"/>
    <n v="1"/>
    <x v="0"/>
    <n v="0"/>
    <x v="0"/>
    <n v="2269564"/>
    <n v="2"/>
    <x v="0"/>
    <n v="0"/>
    <x v="0"/>
    <n v="0.50312199999999996"/>
    <n v="0"/>
    <x v="0"/>
    <n v="1"/>
    <n v="1"/>
    <x v="0"/>
    <n v="2"/>
    <x v="2"/>
    <n v="0"/>
    <x v="0"/>
    <n v="0"/>
    <x v="0"/>
    <n v="0"/>
    <x v="0"/>
    <n v="1"/>
    <x v="0"/>
    <n v="0"/>
    <x v="0"/>
    <n v="0"/>
    <x v="0"/>
  </r>
  <r>
    <n v="1"/>
    <s v="M"/>
    <n v="34389906"/>
    <n v="94"/>
    <n v="94"/>
    <x v="3"/>
    <n v="1"/>
    <x v="0"/>
    <n v="1"/>
    <x v="1"/>
    <n v="2"/>
    <n v="1"/>
    <x v="0"/>
    <n v="1660768"/>
    <n v="2"/>
    <x v="0"/>
    <n v="1"/>
    <x v="0"/>
    <n v="0"/>
    <x v="0"/>
    <n v="2482294"/>
    <n v="2"/>
    <x v="0"/>
    <n v="0"/>
    <x v="0"/>
    <n v="0.89120500000000002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6595893"/>
    <n v="72"/>
    <n v="72"/>
    <x v="2"/>
    <n v="1"/>
    <x v="0"/>
    <n v="1"/>
    <x v="1"/>
    <n v="2"/>
    <n v="1"/>
    <x v="0"/>
    <n v="2597608"/>
    <n v="2"/>
    <x v="0"/>
    <n v="1"/>
    <x v="0"/>
    <n v="0"/>
    <x v="0"/>
    <n v="2"/>
    <n v="2"/>
    <x v="0"/>
    <n v="0"/>
    <x v="0"/>
    <n v="0"/>
    <n v="0"/>
    <x v="0"/>
    <n v="0.43419799999999997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5524625"/>
    <n v="15"/>
    <n v="15"/>
    <x v="0"/>
    <n v="0"/>
    <x v="1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4543563"/>
    <n v="94"/>
    <n v="94"/>
    <x v="3"/>
    <n v="1"/>
    <x v="0"/>
    <n v="1"/>
    <x v="1"/>
    <n v="2694281"/>
    <n v="1"/>
    <x v="0"/>
    <n v="3"/>
    <n v="2"/>
    <x v="0"/>
    <n v="1"/>
    <x v="0"/>
    <n v="0"/>
    <x v="0"/>
    <n v="2653831"/>
    <n v="2"/>
    <x v="0"/>
    <n v="0"/>
    <x v="0"/>
    <n v="196582"/>
    <n v="2"/>
    <x v="1"/>
    <n v="0.891189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808159"/>
    <n v="59"/>
    <n v="59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82660900000000004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8118277"/>
    <n v="49"/>
    <n v="49"/>
    <x v="1"/>
    <n v="1"/>
    <x v="0"/>
    <n v="1"/>
    <x v="1"/>
    <n v="2821977"/>
    <n v="1"/>
    <x v="0"/>
    <n v="2044035"/>
    <n v="2"/>
    <x v="0"/>
    <n v="1"/>
    <x v="0"/>
    <n v="0"/>
    <x v="0"/>
    <n v="1954968"/>
    <n v="2"/>
    <x v="0"/>
    <n v="0"/>
    <x v="0"/>
    <n v="1"/>
    <n v="1"/>
    <x v="2"/>
    <n v="0.85453599999999996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42189023"/>
    <n v="115"/>
    <n v="100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148189"/>
    <n v="1"/>
    <x v="0"/>
    <n v="0"/>
    <x v="0"/>
    <n v="1"/>
    <x v="1"/>
    <n v="0"/>
    <x v="0"/>
    <n v="0"/>
    <x v="0"/>
    <n v="0"/>
    <x v="1"/>
    <n v="0"/>
    <x v="0"/>
    <n v="0"/>
    <x v="0"/>
  </r>
  <r>
    <n v="1"/>
    <s v="M"/>
    <n v="22"/>
    <n v="22"/>
    <n v="22"/>
    <x v="0"/>
    <n v="1"/>
    <x v="0"/>
    <n v="1"/>
    <x v="1"/>
    <n v="2"/>
    <n v="1"/>
    <x v="0"/>
    <n v="2038373"/>
    <n v="2"/>
    <x v="0"/>
    <n v="1"/>
    <x v="0"/>
    <n v="0"/>
    <x v="0"/>
    <n v="2"/>
    <n v="2"/>
    <x v="0"/>
    <n v="0"/>
    <x v="0"/>
    <n v="270825"/>
    <n v="2"/>
    <x v="1"/>
    <n v="1506576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8770852"/>
    <n v="78"/>
    <n v="78"/>
    <x v="3"/>
    <n v="1"/>
    <x v="0"/>
    <n v="0"/>
    <x v="0"/>
    <n v="2"/>
    <n v="1"/>
    <x v="0"/>
    <n v="1"/>
    <n v="1"/>
    <x v="1"/>
    <n v="1"/>
    <x v="0"/>
    <n v="0"/>
    <x v="0"/>
    <n v="1"/>
    <n v="1"/>
    <x v="1"/>
    <n v="0"/>
    <x v="0"/>
    <n v="0.26217099999999999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5483381"/>
    <n v="69"/>
    <n v="69"/>
    <x v="2"/>
    <n v="1"/>
    <x v="0"/>
    <n v="0"/>
    <x v="0"/>
    <n v="2"/>
    <n v="1"/>
    <x v="0"/>
    <n v="1"/>
    <n v="1"/>
    <x v="1"/>
    <n v="1"/>
    <x v="0"/>
    <n v="0"/>
    <x v="0"/>
    <n v="1"/>
    <n v="1"/>
    <x v="1"/>
    <n v="0"/>
    <x v="0"/>
    <n v="0.74063299999999999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67315"/>
    <n v="5"/>
    <n v="5"/>
    <x v="0"/>
    <n v="1"/>
    <x v="0"/>
    <n v="0"/>
    <x v="0"/>
    <n v="2"/>
    <n v="1"/>
    <x v="0"/>
    <n v="1474836"/>
    <n v="2"/>
    <x v="0"/>
    <n v="1"/>
    <x v="0"/>
    <n v="0"/>
    <x v="0"/>
    <n v="2"/>
    <n v="2"/>
    <x v="0"/>
    <n v="0"/>
    <x v="0"/>
    <n v="0.27483800000000003"/>
    <n v="0"/>
    <x v="0"/>
    <n v="0.61390199999999995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3469538"/>
    <n v="64"/>
    <n v="64"/>
    <x v="2"/>
    <n v="1"/>
    <x v="0"/>
    <n v="0"/>
    <x v="0"/>
    <n v="2252472"/>
    <n v="1"/>
    <x v="0"/>
    <n v="3986652"/>
    <n v="2"/>
    <x v="0"/>
    <n v="1"/>
    <x v="0"/>
    <n v="0"/>
    <x v="0"/>
    <n v="2"/>
    <n v="2"/>
    <x v="0"/>
    <n v="0"/>
    <x v="0"/>
    <n v="0.93428599999999995"/>
    <n v="0"/>
    <x v="0"/>
    <n v="0.89062600000000003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2720642"/>
    <n v="2"/>
    <x v="0"/>
    <n v="1"/>
    <x v="0"/>
    <n v="0"/>
    <x v="0"/>
    <n v="15197"/>
    <n v="2"/>
    <x v="0"/>
    <n v="0"/>
    <x v="0"/>
    <n v="0.27937499999999998"/>
    <n v="0"/>
    <x v="0"/>
    <n v="104343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1976744"/>
    <n v="2"/>
    <x v="0"/>
    <n v="1"/>
    <x v="0"/>
    <n v="0"/>
    <x v="0"/>
    <n v="1628997"/>
    <n v="2"/>
    <x v="0"/>
    <n v="0"/>
    <x v="0"/>
    <n v="0.88058400000000003"/>
    <n v="0"/>
    <x v="0"/>
    <n v="1127675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8464538"/>
    <n v="105"/>
    <n v="100"/>
    <x v="3"/>
    <n v="1"/>
    <x v="0"/>
    <n v="1"/>
    <x v="1"/>
    <n v="3"/>
    <n v="1"/>
    <x v="0"/>
    <n v="3"/>
    <n v="2"/>
    <x v="0"/>
    <n v="1"/>
    <x v="0"/>
    <n v="0"/>
    <x v="0"/>
    <n v="2981604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7496175"/>
    <n v="102"/>
    <n v="100"/>
    <x v="3"/>
    <n v="1"/>
    <x v="0"/>
    <n v="1"/>
    <x v="1"/>
    <n v="2033745"/>
    <n v="1"/>
    <x v="0"/>
    <n v="3"/>
    <n v="2"/>
    <x v="0"/>
    <n v="1"/>
    <x v="0"/>
    <n v="0"/>
    <x v="0"/>
    <n v="1517225"/>
    <n v="2"/>
    <x v="0"/>
    <n v="0"/>
    <x v="0"/>
    <n v="0"/>
    <n v="0"/>
    <x v="0"/>
    <n v="1517897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33690239"/>
    <n v="92"/>
    <n v="92"/>
    <x v="3"/>
    <n v="1"/>
    <x v="0"/>
    <n v="1"/>
    <x v="1"/>
    <n v="3"/>
    <n v="1"/>
    <x v="0"/>
    <n v="2679724"/>
    <n v="2"/>
    <x v="0"/>
    <n v="1"/>
    <x v="0"/>
    <n v="0"/>
    <x v="0"/>
    <n v="1999737"/>
    <n v="2"/>
    <x v="0"/>
    <n v="0"/>
    <x v="0"/>
    <n v="1747347"/>
    <n v="3"/>
    <x v="3"/>
    <n v="0.68177299999999996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4369686"/>
    <n v="94"/>
    <n v="94"/>
    <x v="3"/>
    <n v="1"/>
    <x v="0"/>
    <n v="1"/>
    <x v="1"/>
    <n v="2595128"/>
    <n v="1"/>
    <x v="0"/>
    <n v="1619796"/>
    <n v="2"/>
    <x v="0"/>
    <n v="1"/>
    <x v="0"/>
    <n v="0"/>
    <x v="0"/>
    <n v="1642251"/>
    <n v="2"/>
    <x v="0"/>
    <n v="0"/>
    <x v="0"/>
    <n v="0.66283099999999995"/>
    <n v="0"/>
    <x v="0"/>
    <n v="0.99926800000000005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1426573"/>
    <n v="86"/>
    <n v="86"/>
    <x v="3"/>
    <n v="1"/>
    <x v="0"/>
    <n v="1"/>
    <x v="1"/>
    <n v="2759286"/>
    <n v="1"/>
    <x v="0"/>
    <n v="259257"/>
    <n v="2"/>
    <x v="0"/>
    <n v="1"/>
    <x v="0"/>
    <n v="0"/>
    <x v="0"/>
    <n v="2549617"/>
    <n v="2"/>
    <x v="0"/>
    <n v="0"/>
    <x v="0"/>
    <n v="1427233"/>
    <n v="3"/>
    <x v="3"/>
    <n v="0.51939500000000005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4288249"/>
    <n v="93"/>
    <n v="93"/>
    <x v="3"/>
    <n v="1"/>
    <x v="0"/>
    <n v="1"/>
    <x v="1"/>
    <n v="2"/>
    <n v="1"/>
    <x v="0"/>
    <n v="1546665"/>
    <n v="2"/>
    <x v="0"/>
    <n v="1"/>
    <x v="0"/>
    <n v="0"/>
    <x v="0"/>
    <n v="3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18863875"/>
    <n v="51"/>
    <n v="51"/>
    <x v="2"/>
    <n v="1"/>
    <x v="0"/>
    <n v="0"/>
    <x v="0"/>
    <n v="3"/>
    <n v="1"/>
    <x v="0"/>
    <n v="3339914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18951144"/>
    <n v="51"/>
    <n v="51"/>
    <x v="2"/>
    <n v="1"/>
    <x v="0"/>
    <n v="0"/>
    <x v="0"/>
    <n v="3"/>
    <n v="1"/>
    <x v="0"/>
    <n v="3884861"/>
    <n v="2"/>
    <x v="0"/>
    <n v="1"/>
    <x v="0"/>
    <n v="0"/>
    <x v="0"/>
    <n v="2"/>
    <n v="2"/>
    <x v="0"/>
    <n v="0"/>
    <x v="0"/>
    <n v="1"/>
    <n v="1"/>
    <x v="2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671876"/>
    <n v="53"/>
    <n v="53"/>
    <x v="2"/>
    <n v="1"/>
    <x v="0"/>
    <n v="0"/>
    <x v="0"/>
    <n v="1925064"/>
    <n v="1"/>
    <x v="0"/>
    <n v="2358298"/>
    <n v="2"/>
    <x v="0"/>
    <n v="1"/>
    <x v="0"/>
    <n v="0"/>
    <x v="0"/>
    <n v="2774043"/>
    <n v="2"/>
    <x v="0"/>
    <n v="0"/>
    <x v="0"/>
    <n v="0"/>
    <n v="0"/>
    <x v="0"/>
    <n v="0.13356599999999999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50832559"/>
    <n v="139"/>
    <n v="100"/>
    <x v="3"/>
    <n v="1"/>
    <x v="0"/>
    <n v="1"/>
    <x v="1"/>
    <n v="2"/>
    <n v="1"/>
    <x v="0"/>
    <n v="3"/>
    <n v="2"/>
    <x v="0"/>
    <n v="1"/>
    <x v="0"/>
    <n v="0"/>
    <x v="0"/>
    <n v="1774778"/>
    <n v="2"/>
    <x v="0"/>
    <n v="0"/>
    <x v="0"/>
    <n v="0.94326600000000005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971574"/>
    <n v="49"/>
    <n v="49"/>
    <x v="1"/>
    <n v="1"/>
    <x v="0"/>
    <n v="1"/>
    <x v="1"/>
    <n v="2"/>
    <n v="1"/>
    <x v="0"/>
    <n v="3"/>
    <n v="2"/>
    <x v="0"/>
    <n v="1"/>
    <x v="0"/>
    <n v="0"/>
    <x v="0"/>
    <n v="2802498"/>
    <n v="2"/>
    <x v="0"/>
    <n v="0"/>
    <x v="0"/>
    <n v="1"/>
    <n v="1"/>
    <x v="2"/>
    <n v="0.417580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2846981"/>
    <n v="1"/>
    <x v="0"/>
    <n v="3"/>
    <n v="2"/>
    <x v="0"/>
    <n v="1"/>
    <x v="0"/>
    <n v="0"/>
    <x v="0"/>
    <n v="287781"/>
    <n v="2"/>
    <x v="0"/>
    <n v="0"/>
    <x v="0"/>
    <n v="1"/>
    <n v="1"/>
    <x v="2"/>
    <n v="0.429080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701766"/>
    <n v="51"/>
    <n v="51"/>
    <x v="2"/>
    <n v="1"/>
    <x v="0"/>
    <n v="1"/>
    <x v="1"/>
    <n v="2650629"/>
    <n v="1"/>
    <x v="0"/>
    <n v="1"/>
    <n v="1"/>
    <x v="1"/>
    <n v="1"/>
    <x v="0"/>
    <n v="0"/>
    <x v="0"/>
    <n v="1708083"/>
    <n v="2"/>
    <x v="0"/>
    <n v="0"/>
    <x v="0"/>
    <n v="1876051"/>
    <n v="3"/>
    <x v="3"/>
    <n v="0.93879100000000004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4389679"/>
    <n v="94"/>
    <n v="94"/>
    <x v="3"/>
    <n v="1"/>
    <x v="0"/>
    <n v="1"/>
    <x v="1"/>
    <n v="3"/>
    <n v="1"/>
    <x v="0"/>
    <n v="1802305"/>
    <n v="2"/>
    <x v="0"/>
    <n v="1"/>
    <x v="0"/>
    <n v="0"/>
    <x v="0"/>
    <n v="2"/>
    <n v="2"/>
    <x v="0"/>
    <n v="0"/>
    <x v="0"/>
    <n v="0.39087699999999997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178483"/>
    <n v="47"/>
    <n v="47"/>
    <x v="1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1072318"/>
    <n v="3"/>
    <x v="3"/>
    <n v="0.6519040000000000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0816"/>
    <n v="0"/>
    <n v="5"/>
    <x v="0"/>
    <n v="1"/>
    <x v="0"/>
    <n v="1"/>
    <x v="1"/>
    <n v="2"/>
    <n v="1"/>
    <x v="0"/>
    <n v="27976"/>
    <n v="2"/>
    <x v="0"/>
    <n v="1"/>
    <x v="0"/>
    <n v="0"/>
    <x v="0"/>
    <n v="2991671"/>
    <n v="2"/>
    <x v="0"/>
    <n v="0"/>
    <x v="0"/>
    <n v="2148738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3270448"/>
    <n v="91"/>
    <n v="91"/>
    <x v="3"/>
    <n v="1"/>
    <x v="0"/>
    <n v="1"/>
    <x v="1"/>
    <n v="2631565"/>
    <n v="1"/>
    <x v="0"/>
    <n v="2627173"/>
    <n v="2"/>
    <x v="0"/>
    <n v="1"/>
    <x v="0"/>
    <n v="0"/>
    <x v="0"/>
    <n v="2253422"/>
    <n v="2"/>
    <x v="0"/>
    <n v="0"/>
    <x v="0"/>
    <n v="2690756"/>
    <n v="3"/>
    <x v="3"/>
    <n v="0.84577400000000003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6310292"/>
    <n v="99"/>
    <n v="99"/>
    <x v="3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1472172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0"/>
    <n v="20"/>
    <n v="20"/>
    <x v="0"/>
    <n v="1"/>
    <x v="0"/>
    <n v="0"/>
    <x v="0"/>
    <n v="2522399"/>
    <n v="1"/>
    <x v="0"/>
    <n v="1032887"/>
    <n v="2"/>
    <x v="0"/>
    <n v="1"/>
    <x v="0"/>
    <n v="0"/>
    <x v="0"/>
    <n v="2397653"/>
    <n v="2"/>
    <x v="0"/>
    <n v="0"/>
    <x v="0"/>
    <n v="2358699"/>
    <n v="3"/>
    <x v="3"/>
    <n v="0.440087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549437"/>
    <n v="50"/>
    <n v="50"/>
    <x v="1"/>
    <n v="1"/>
    <x v="0"/>
    <n v="0"/>
    <x v="0"/>
    <n v="3"/>
    <n v="1"/>
    <x v="0"/>
    <n v="3014808"/>
    <n v="2"/>
    <x v="0"/>
    <n v="1"/>
    <x v="0"/>
    <n v="0"/>
    <x v="0"/>
    <n v="2"/>
    <n v="2"/>
    <x v="0"/>
    <n v="0"/>
    <x v="0"/>
    <n v="1997529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34243146"/>
    <n v="93"/>
    <n v="93"/>
    <x v="3"/>
    <n v="1"/>
    <x v="0"/>
    <n v="1"/>
    <x v="1"/>
    <n v="2"/>
    <n v="1"/>
    <x v="0"/>
    <n v="2271734"/>
    <n v="2"/>
    <x v="0"/>
    <n v="1"/>
    <x v="0"/>
    <n v="0"/>
    <x v="0"/>
    <n v="2629043"/>
    <n v="2"/>
    <x v="0"/>
    <n v="0"/>
    <x v="0"/>
    <n v="1"/>
    <n v="1"/>
    <x v="2"/>
    <n v="7.5823000000000002E-2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332012"/>
    <n v="6"/>
    <n v="6"/>
    <x v="0"/>
    <n v="1"/>
    <x v="0"/>
    <n v="1"/>
    <x v="1"/>
    <n v="2784471"/>
    <n v="1"/>
    <x v="0"/>
    <n v="2122545"/>
    <n v="2"/>
    <x v="0"/>
    <n v="1"/>
    <x v="0"/>
    <n v="0"/>
    <x v="0"/>
    <n v="2984153"/>
    <n v="2"/>
    <x v="0"/>
    <n v="0"/>
    <x v="0"/>
    <n v="2164472"/>
    <n v="3"/>
    <x v="3"/>
    <n v="0.203977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703095"/>
    <n v="53"/>
    <n v="53"/>
    <x v="2"/>
    <n v="1"/>
    <x v="0"/>
    <n v="0"/>
    <x v="0"/>
    <n v="1650505"/>
    <n v="1"/>
    <x v="0"/>
    <n v="3"/>
    <n v="2"/>
    <x v="0"/>
    <n v="1"/>
    <x v="0"/>
    <n v="0"/>
    <x v="0"/>
    <n v="2"/>
    <n v="2"/>
    <x v="0"/>
    <n v="0"/>
    <x v="0"/>
    <n v="173234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223259"/>
    <n v="52"/>
    <n v="52"/>
    <x v="2"/>
    <n v="1"/>
    <x v="0"/>
    <n v="0"/>
    <x v="0"/>
    <n v="1961347"/>
    <n v="1"/>
    <x v="0"/>
    <n v="3"/>
    <n v="2"/>
    <x v="0"/>
    <n v="1"/>
    <x v="0"/>
    <n v="0"/>
    <x v="0"/>
    <n v="2"/>
    <n v="2"/>
    <x v="0"/>
    <n v="0"/>
    <x v="0"/>
    <n v="1655488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9695603"/>
    <n v="81"/>
    <n v="81"/>
    <x v="3"/>
    <n v="1"/>
    <x v="0"/>
    <n v="1"/>
    <x v="1"/>
    <n v="2133955"/>
    <n v="1"/>
    <x v="0"/>
    <n v="2902766"/>
    <n v="2"/>
    <x v="0"/>
    <n v="1"/>
    <x v="0"/>
    <n v="0"/>
    <x v="0"/>
    <n v="1753464"/>
    <n v="2"/>
    <x v="0"/>
    <n v="0"/>
    <x v="0"/>
    <n v="1729987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1"/>
    <x v="0"/>
    <n v="1"/>
    <x v="1"/>
    <n v="2684528"/>
    <n v="1"/>
    <x v="0"/>
    <n v="1"/>
    <n v="1"/>
    <x v="1"/>
    <n v="1"/>
    <x v="0"/>
    <n v="0"/>
    <x v="0"/>
    <n v="105668"/>
    <n v="2"/>
    <x v="0"/>
    <n v="0"/>
    <x v="0"/>
    <n v="1516147"/>
    <n v="3"/>
    <x v="3"/>
    <n v="8.4005999999999997E-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027662"/>
    <n v="57"/>
    <n v="57"/>
    <x v="2"/>
    <n v="1"/>
    <x v="0"/>
    <n v="1"/>
    <x v="1"/>
    <n v="2265973"/>
    <n v="1"/>
    <x v="0"/>
    <n v="2687502"/>
    <n v="2"/>
    <x v="0"/>
    <n v="1"/>
    <x v="0"/>
    <n v="0"/>
    <x v="0"/>
    <n v="2"/>
    <n v="2"/>
    <x v="0"/>
    <n v="0"/>
    <x v="0"/>
    <n v="221722"/>
    <n v="2"/>
    <x v="1"/>
    <n v="0.6485220000000000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015258"/>
    <n v="90"/>
    <n v="90"/>
    <x v="3"/>
    <n v="1"/>
    <x v="0"/>
    <n v="1"/>
    <x v="1"/>
    <n v="2"/>
    <n v="1"/>
    <x v="0"/>
    <n v="3"/>
    <n v="2"/>
    <x v="0"/>
    <n v="1"/>
    <x v="0"/>
    <n v="0"/>
    <x v="0"/>
    <n v="2205911"/>
    <n v="2"/>
    <x v="0"/>
    <n v="0"/>
    <x v="0"/>
    <n v="1293396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0"/>
    <x v="0"/>
    <n v="3"/>
    <n v="1"/>
    <x v="0"/>
    <n v="3"/>
    <n v="2"/>
    <x v="0"/>
    <n v="1"/>
    <x v="0"/>
    <n v="0"/>
    <x v="0"/>
    <n v="2"/>
    <n v="2"/>
    <x v="0"/>
    <n v="0"/>
    <x v="0"/>
    <n v="1271667"/>
    <n v="3"/>
    <x v="3"/>
    <n v="0.15527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0553097"/>
    <n v="83"/>
    <n v="83"/>
    <x v="3"/>
    <n v="1"/>
    <x v="0"/>
    <n v="1"/>
    <x v="1"/>
    <n v="2"/>
    <n v="1"/>
    <x v="0"/>
    <n v="1178708"/>
    <n v="2"/>
    <x v="0"/>
    <n v="1"/>
    <x v="0"/>
    <n v="0"/>
    <x v="0"/>
    <n v="1791286"/>
    <n v="2"/>
    <x v="0"/>
    <n v="0"/>
    <x v="0"/>
    <n v="0.89336199999999999"/>
    <n v="0"/>
    <x v="0"/>
    <n v="0.27636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"/>
    <n v="33"/>
    <n v="33"/>
    <x v="1"/>
    <n v="1"/>
    <x v="0"/>
    <n v="1"/>
    <x v="1"/>
    <n v="2"/>
    <n v="1"/>
    <x v="0"/>
    <n v="3"/>
    <n v="2"/>
    <x v="0"/>
    <n v="1"/>
    <x v="0"/>
    <n v="0"/>
    <x v="0"/>
    <n v="1117464"/>
    <n v="2"/>
    <x v="0"/>
    <n v="0"/>
    <x v="0"/>
    <n v="1"/>
    <n v="1"/>
    <x v="2"/>
    <n v="0.6636490000000000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4911994"/>
    <n v="68"/>
    <n v="68"/>
    <x v="2"/>
    <n v="1"/>
    <x v="0"/>
    <n v="1"/>
    <x v="1"/>
    <n v="1306844"/>
    <n v="1"/>
    <x v="0"/>
    <n v="2279546"/>
    <n v="2"/>
    <x v="0"/>
    <n v="1"/>
    <x v="0"/>
    <n v="0"/>
    <x v="0"/>
    <n v="2"/>
    <n v="2"/>
    <x v="0"/>
    <n v="0"/>
    <x v="0"/>
    <n v="0"/>
    <n v="0"/>
    <x v="0"/>
    <n v="0.73960899999999996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4444846"/>
    <n v="66"/>
    <n v="66"/>
    <x v="2"/>
    <n v="1"/>
    <x v="0"/>
    <n v="1"/>
    <x v="1"/>
    <n v="2"/>
    <n v="1"/>
    <x v="0"/>
    <n v="2677693"/>
    <n v="2"/>
    <x v="0"/>
    <n v="1"/>
    <x v="0"/>
    <n v="0"/>
    <x v="0"/>
    <n v="2693978"/>
    <n v="2"/>
    <x v="0"/>
    <n v="0"/>
    <x v="0"/>
    <n v="0"/>
    <n v="0"/>
    <x v="0"/>
    <n v="0.688012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911246"/>
    <n v="54"/>
    <n v="54"/>
    <x v="2"/>
    <n v="1"/>
    <x v="0"/>
    <n v="0"/>
    <x v="0"/>
    <n v="2258795"/>
    <n v="1"/>
    <x v="0"/>
    <n v="353009"/>
    <n v="2"/>
    <x v="0"/>
    <n v="1"/>
    <x v="0"/>
    <n v="0"/>
    <x v="0"/>
    <n v="1172186"/>
    <n v="2"/>
    <x v="0"/>
    <n v="0"/>
    <x v="0"/>
    <n v="0.67894299999999996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34204408"/>
    <n v="93"/>
    <n v="93"/>
    <x v="3"/>
    <n v="1"/>
    <x v="0"/>
    <n v="1"/>
    <x v="1"/>
    <n v="2"/>
    <n v="1"/>
    <x v="0"/>
    <n v="3"/>
    <n v="2"/>
    <x v="0"/>
    <n v="1"/>
    <x v="0"/>
    <n v="0"/>
    <x v="0"/>
    <n v="2641642"/>
    <n v="2"/>
    <x v="0"/>
    <n v="0"/>
    <x v="0"/>
    <n v="0.285889"/>
    <n v="0"/>
    <x v="0"/>
    <n v="150301"/>
    <n v="1"/>
    <x v="0"/>
    <n v="0"/>
    <x v="0"/>
    <n v="1"/>
    <x v="1"/>
    <n v="0"/>
    <x v="0"/>
    <n v="0"/>
    <x v="0"/>
    <n v="0"/>
    <x v="1"/>
    <n v="0"/>
    <x v="0"/>
    <n v="0"/>
    <x v="0"/>
  </r>
  <r>
    <n v="0"/>
    <s v="F"/>
    <n v="34281681"/>
    <n v="93"/>
    <n v="93"/>
    <x v="3"/>
    <n v="1"/>
    <x v="0"/>
    <n v="1"/>
    <x v="1"/>
    <n v="2689929"/>
    <n v="1"/>
    <x v="0"/>
    <n v="1835543"/>
    <n v="2"/>
    <x v="0"/>
    <n v="1"/>
    <x v="0"/>
    <n v="0"/>
    <x v="0"/>
    <n v="1718569"/>
    <n v="2"/>
    <x v="0"/>
    <n v="0"/>
    <x v="0"/>
    <n v="0.67434799999999995"/>
    <n v="0"/>
    <x v="0"/>
    <n v="0.70724600000000004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3384374"/>
    <n v="64"/>
    <n v="64"/>
    <x v="2"/>
    <n v="1"/>
    <x v="0"/>
    <n v="1"/>
    <x v="1"/>
    <n v="2712747"/>
    <n v="1"/>
    <x v="0"/>
    <n v="2853676"/>
    <n v="2"/>
    <x v="0"/>
    <n v="1"/>
    <x v="0"/>
    <n v="0"/>
    <x v="0"/>
    <n v="1526313"/>
    <n v="2"/>
    <x v="0"/>
    <n v="0"/>
    <x v="0"/>
    <n v="1"/>
    <n v="1"/>
    <x v="2"/>
    <n v="0.173665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43238402"/>
    <n v="118"/>
    <n v="100"/>
    <x v="3"/>
    <n v="1"/>
    <x v="0"/>
    <n v="1"/>
    <x v="1"/>
    <n v="2353603"/>
    <n v="1"/>
    <x v="0"/>
    <n v="2337035"/>
    <n v="2"/>
    <x v="0"/>
    <n v="1"/>
    <x v="0"/>
    <n v="0"/>
    <x v="0"/>
    <n v="1830614"/>
    <n v="2"/>
    <x v="0"/>
    <n v="0"/>
    <x v="0"/>
    <n v="0.706287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45"/>
    <n v="45"/>
    <n v="45"/>
    <x v="1"/>
    <n v="1"/>
    <x v="0"/>
    <n v="1"/>
    <x v="1"/>
    <n v="2598051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2087389"/>
    <n v="60"/>
    <n v="60"/>
    <x v="2"/>
    <n v="1"/>
    <x v="0"/>
    <n v="1"/>
    <x v="1"/>
    <n v="1718156"/>
    <n v="1"/>
    <x v="0"/>
    <n v="1631184"/>
    <n v="2"/>
    <x v="0"/>
    <n v="1"/>
    <x v="0"/>
    <n v="0"/>
    <x v="0"/>
    <n v="2"/>
    <n v="2"/>
    <x v="0"/>
    <n v="0"/>
    <x v="0"/>
    <n v="0"/>
    <n v="0"/>
    <x v="0"/>
    <n v="0.306124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378039"/>
    <n v="58"/>
    <n v="58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721646"/>
    <n v="3"/>
    <x v="3"/>
    <n v="126998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31398281"/>
    <n v="86"/>
    <n v="86"/>
    <x v="3"/>
    <n v="1"/>
    <x v="0"/>
    <n v="1"/>
    <x v="1"/>
    <n v="2"/>
    <n v="1"/>
    <x v="0"/>
    <n v="1005391"/>
    <n v="2"/>
    <x v="0"/>
    <n v="1"/>
    <x v="0"/>
    <n v="0"/>
    <x v="0"/>
    <n v="2001936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1484494"/>
    <n v="86"/>
    <n v="86"/>
    <x v="3"/>
    <n v="1"/>
    <x v="0"/>
    <n v="1"/>
    <x v="1"/>
    <n v="2795086"/>
    <n v="1"/>
    <x v="0"/>
    <n v="3250467"/>
    <n v="2"/>
    <x v="0"/>
    <n v="1"/>
    <x v="0"/>
    <n v="0"/>
    <x v="0"/>
    <n v="1367876"/>
    <n v="2"/>
    <x v="0"/>
    <n v="0"/>
    <x v="0"/>
    <n v="2.2957999999999999E-2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709159"/>
    <n v="59"/>
    <n v="59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939733"/>
    <n v="3"/>
    <x v="3"/>
    <n v="1692287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30711381"/>
    <n v="84"/>
    <n v="84"/>
    <x v="3"/>
    <n v="1"/>
    <x v="0"/>
    <n v="0"/>
    <x v="0"/>
    <n v="2030256"/>
    <n v="1"/>
    <x v="0"/>
    <n v="2948721"/>
    <n v="2"/>
    <x v="0"/>
    <n v="1"/>
    <x v="0"/>
    <n v="0"/>
    <x v="0"/>
    <n v="1984323"/>
    <n v="2"/>
    <x v="0"/>
    <n v="0"/>
    <x v="0"/>
    <n v="0.98641400000000001"/>
    <n v="0"/>
    <x v="0"/>
    <n v="0.333673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34821442"/>
    <n v="95"/>
    <n v="95"/>
    <x v="3"/>
    <n v="1"/>
    <x v="0"/>
    <n v="1"/>
    <x v="1"/>
    <n v="2"/>
    <n v="1"/>
    <x v="0"/>
    <n v="180993"/>
    <n v="2"/>
    <x v="0"/>
    <n v="1"/>
    <x v="0"/>
    <n v="0"/>
    <x v="0"/>
    <n v="2174835"/>
    <n v="2"/>
    <x v="0"/>
    <n v="0"/>
    <x v="0"/>
    <n v="0.34091500000000002"/>
    <n v="0"/>
    <x v="0"/>
    <n v="2.0153000000000001E-2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0843363"/>
    <n v="57"/>
    <n v="57"/>
    <x v="2"/>
    <n v="1"/>
    <x v="0"/>
    <n v="0"/>
    <x v="0"/>
    <n v="2493448"/>
    <n v="1"/>
    <x v="0"/>
    <n v="3"/>
    <n v="2"/>
    <x v="0"/>
    <n v="1"/>
    <x v="0"/>
    <n v="0"/>
    <x v="0"/>
    <n v="1849997"/>
    <n v="2"/>
    <x v="0"/>
    <n v="0"/>
    <x v="0"/>
    <n v="0.95445899999999995"/>
    <n v="0"/>
    <x v="0"/>
    <n v="144453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9443639"/>
    <n v="53"/>
    <n v="53"/>
    <x v="2"/>
    <n v="1"/>
    <x v="0"/>
    <n v="1"/>
    <x v="1"/>
    <n v="2442536"/>
    <n v="1"/>
    <x v="0"/>
    <n v="3"/>
    <n v="2"/>
    <x v="0"/>
    <n v="1"/>
    <x v="0"/>
    <n v="0"/>
    <x v="0"/>
    <n v="2825629"/>
    <n v="2"/>
    <x v="0"/>
    <n v="0"/>
    <x v="0"/>
    <n v="3"/>
    <n v="3"/>
    <x v="3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0492077"/>
    <n v="56"/>
    <n v="56"/>
    <x v="2"/>
    <n v="1"/>
    <x v="0"/>
    <n v="0"/>
    <x v="0"/>
    <n v="2003951"/>
    <n v="1"/>
    <x v="0"/>
    <n v="3"/>
    <n v="2"/>
    <x v="0"/>
    <n v="1"/>
    <x v="0"/>
    <n v="0"/>
    <x v="0"/>
    <n v="1207978"/>
    <n v="2"/>
    <x v="0"/>
    <n v="0"/>
    <x v="0"/>
    <n v="1916751"/>
    <n v="3"/>
    <x v="3"/>
    <n v="1228995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2944349"/>
    <n v="62"/>
    <n v="62"/>
    <x v="2"/>
    <n v="1"/>
    <x v="0"/>
    <n v="1"/>
    <x v="1"/>
    <n v="134138"/>
    <n v="1"/>
    <x v="0"/>
    <n v="194671"/>
    <n v="2"/>
    <x v="0"/>
    <n v="1"/>
    <x v="0"/>
    <n v="0"/>
    <x v="0"/>
    <n v="2"/>
    <n v="2"/>
    <x v="0"/>
    <n v="0"/>
    <x v="0"/>
    <n v="0"/>
    <n v="0"/>
    <x v="0"/>
    <n v="0.97550400000000004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3"/>
    <n v="23"/>
    <n v="23"/>
    <x v="0"/>
    <n v="1"/>
    <x v="0"/>
    <n v="1"/>
    <x v="1"/>
    <n v="2"/>
    <n v="1"/>
    <x v="0"/>
    <n v="29796"/>
    <n v="2"/>
    <x v="0"/>
    <n v="1"/>
    <x v="0"/>
    <n v="0"/>
    <x v="0"/>
    <n v="1964435"/>
    <n v="2"/>
    <x v="0"/>
    <n v="0"/>
    <x v="0"/>
    <n v="0.18995699999999999"/>
    <n v="0"/>
    <x v="0"/>
    <n v="173216"/>
    <n v="1"/>
    <x v="0"/>
    <n v="0"/>
    <x v="0"/>
    <n v="0"/>
    <x v="0"/>
    <n v="0"/>
    <x v="0"/>
    <n v="0"/>
    <x v="0"/>
    <n v="1"/>
    <x v="0"/>
    <n v="0"/>
    <x v="0"/>
    <n v="0"/>
    <x v="0"/>
  </r>
  <r>
    <n v="1"/>
    <s v="M"/>
    <n v="2406894"/>
    <n v="6"/>
    <n v="6"/>
    <x v="0"/>
    <n v="1"/>
    <x v="0"/>
    <n v="1"/>
    <x v="1"/>
    <n v="2"/>
    <n v="1"/>
    <x v="0"/>
    <n v="2994198"/>
    <n v="2"/>
    <x v="0"/>
    <n v="1"/>
    <x v="0"/>
    <n v="0"/>
    <x v="0"/>
    <n v="2747302"/>
    <n v="2"/>
    <x v="0"/>
    <n v="0"/>
    <x v="0"/>
    <n v="0"/>
    <n v="0"/>
    <x v="0"/>
    <n v="0.7997560000000000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3728707"/>
    <n v="65"/>
    <n v="65"/>
    <x v="2"/>
    <n v="1"/>
    <x v="0"/>
    <n v="1"/>
    <x v="1"/>
    <n v="2"/>
    <n v="1"/>
    <x v="0"/>
    <n v="3"/>
    <n v="2"/>
    <x v="0"/>
    <n v="1"/>
    <x v="0"/>
    <n v="0"/>
    <x v="0"/>
    <n v="213755"/>
    <n v="2"/>
    <x v="0"/>
    <n v="0"/>
    <x v="0"/>
    <n v="0"/>
    <n v="0"/>
    <x v="0"/>
    <n v="0.124977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9216019"/>
    <n v="80"/>
    <n v="80"/>
    <x v="3"/>
    <n v="1"/>
    <x v="0"/>
    <n v="1"/>
    <x v="1"/>
    <n v="2"/>
    <n v="1"/>
    <x v="0"/>
    <n v="1894384"/>
    <n v="2"/>
    <x v="0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4751511"/>
    <n v="67"/>
    <n v="67"/>
    <x v="2"/>
    <n v="1"/>
    <x v="0"/>
    <n v="1"/>
    <x v="1"/>
    <n v="2607335"/>
    <n v="1"/>
    <x v="0"/>
    <n v="3"/>
    <n v="2"/>
    <x v="0"/>
    <n v="1"/>
    <x v="0"/>
    <n v="0"/>
    <x v="0"/>
    <n v="2"/>
    <n v="2"/>
    <x v="0"/>
    <n v="0"/>
    <x v="0"/>
    <n v="0.45100899999999999"/>
    <n v="0"/>
    <x v="0"/>
    <n v="0.63086600000000004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8977792"/>
    <n v="79"/>
    <n v="79"/>
    <x v="3"/>
    <n v="1"/>
    <x v="0"/>
    <n v="1"/>
    <x v="1"/>
    <n v="3"/>
    <n v="1"/>
    <x v="0"/>
    <n v="3"/>
    <n v="2"/>
    <x v="0"/>
    <n v="1"/>
    <x v="0"/>
    <n v="0"/>
    <x v="0"/>
    <n v="1507638"/>
    <n v="2"/>
    <x v="0"/>
    <n v="0"/>
    <x v="0"/>
    <n v="182434"/>
    <n v="2"/>
    <x v="1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1"/>
    <s v="M"/>
    <n v="17441593"/>
    <n v="47"/>
    <n v="47"/>
    <x v="1"/>
    <n v="1"/>
    <x v="0"/>
    <n v="0"/>
    <x v="0"/>
    <n v="2061384"/>
    <n v="1"/>
    <x v="0"/>
    <n v="2579291"/>
    <n v="2"/>
    <x v="0"/>
    <n v="1"/>
    <x v="0"/>
    <n v="0"/>
    <x v="0"/>
    <n v="1909253"/>
    <n v="2"/>
    <x v="0"/>
    <n v="0"/>
    <x v="0"/>
    <n v="1"/>
    <n v="1"/>
    <x v="2"/>
    <n v="0.962467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126145"/>
    <n v="52"/>
    <n v="52"/>
    <x v="2"/>
    <n v="1"/>
    <x v="0"/>
    <n v="0"/>
    <x v="0"/>
    <n v="2696381"/>
    <n v="1"/>
    <x v="0"/>
    <n v="3"/>
    <n v="2"/>
    <x v="0"/>
    <n v="1"/>
    <x v="0"/>
    <n v="0"/>
    <x v="0"/>
    <n v="2472964"/>
    <n v="2"/>
    <x v="0"/>
    <n v="0"/>
    <x v="0"/>
    <n v="1856119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4122589"/>
    <n v="66"/>
    <n v="66"/>
    <x v="2"/>
    <n v="1"/>
    <x v="0"/>
    <n v="1"/>
    <x v="1"/>
    <n v="1116068"/>
    <n v="1"/>
    <x v="0"/>
    <n v="2449067"/>
    <n v="2"/>
    <x v="0"/>
    <n v="1"/>
    <x v="0"/>
    <n v="0"/>
    <x v="0"/>
    <n v="2"/>
    <n v="2"/>
    <x v="0"/>
    <n v="0"/>
    <x v="0"/>
    <n v="0.92635000000000001"/>
    <n v="0"/>
    <x v="0"/>
    <n v="197117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116432"/>
    <n v="1"/>
    <x v="0"/>
    <n v="3"/>
    <n v="2"/>
    <x v="0"/>
    <n v="1"/>
    <x v="0"/>
    <n v="0"/>
    <x v="0"/>
    <n v="1002292"/>
    <n v="2"/>
    <x v="0"/>
    <n v="0"/>
    <x v="0"/>
    <n v="0"/>
    <n v="0"/>
    <x v="0"/>
    <n v="1066708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8824194"/>
    <n v="78"/>
    <n v="78"/>
    <x v="3"/>
    <n v="1"/>
    <x v="0"/>
    <n v="1"/>
    <x v="1"/>
    <n v="3"/>
    <n v="1"/>
    <x v="0"/>
    <n v="3"/>
    <n v="2"/>
    <x v="0"/>
    <n v="1"/>
    <x v="0"/>
    <n v="0"/>
    <x v="0"/>
    <n v="2147074"/>
    <n v="2"/>
    <x v="0"/>
    <n v="0"/>
    <x v="0"/>
    <n v="1416076"/>
    <n v="3"/>
    <x v="3"/>
    <n v="1"/>
    <n v="1"/>
    <x v="0"/>
    <n v="2"/>
    <x v="2"/>
    <n v="1"/>
    <x v="1"/>
    <n v="0"/>
    <x v="0"/>
    <n v="0"/>
    <x v="0"/>
    <n v="0"/>
    <x v="1"/>
    <n v="0"/>
    <x v="0"/>
    <n v="0"/>
    <x v="0"/>
  </r>
  <r>
    <n v="1"/>
    <s v="M"/>
    <n v="34204611"/>
    <n v="93"/>
    <n v="93"/>
    <x v="3"/>
    <n v="1"/>
    <x v="0"/>
    <n v="1"/>
    <x v="1"/>
    <n v="2031246"/>
    <n v="1"/>
    <x v="0"/>
    <n v="3"/>
    <n v="2"/>
    <x v="0"/>
    <n v="1"/>
    <x v="0"/>
    <n v="0"/>
    <x v="0"/>
    <n v="2803002"/>
    <n v="2"/>
    <x v="0"/>
    <n v="0"/>
    <x v="0"/>
    <n v="198448"/>
    <n v="2"/>
    <x v="1"/>
    <n v="0.41862300000000002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8167799"/>
    <n v="77"/>
    <n v="77"/>
    <x v="3"/>
    <n v="1"/>
    <x v="0"/>
    <n v="1"/>
    <x v="1"/>
    <n v="2938031"/>
    <n v="1"/>
    <x v="0"/>
    <n v="1532833"/>
    <n v="2"/>
    <x v="0"/>
    <n v="1"/>
    <x v="0"/>
    <n v="0"/>
    <x v="0"/>
    <n v="1931242"/>
    <n v="2"/>
    <x v="0"/>
    <n v="0"/>
    <x v="0"/>
    <n v="0.52500199999999997"/>
    <n v="0"/>
    <x v="0"/>
    <n v="0.37194100000000002"/>
    <n v="0"/>
    <x v="1"/>
    <n v="2"/>
    <x v="2"/>
    <n v="1"/>
    <x v="1"/>
    <n v="0"/>
    <x v="0"/>
    <n v="0"/>
    <x v="0"/>
    <n v="0"/>
    <x v="1"/>
    <n v="0"/>
    <x v="0"/>
    <n v="0"/>
    <x v="0"/>
  </r>
  <r>
    <n v="1"/>
    <s v="M"/>
    <n v="55137881"/>
    <n v="151"/>
    <n v="100"/>
    <x v="3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4970367"/>
    <n v="95"/>
    <n v="95"/>
    <x v="3"/>
    <n v="1"/>
    <x v="0"/>
    <n v="1"/>
    <x v="1"/>
    <n v="2884212"/>
    <n v="1"/>
    <x v="0"/>
    <n v="3"/>
    <n v="2"/>
    <x v="0"/>
    <n v="1"/>
    <x v="0"/>
    <n v="0"/>
    <x v="0"/>
    <n v="3"/>
    <n v="2"/>
    <x v="0"/>
    <n v="0"/>
    <x v="0"/>
    <n v="2"/>
    <n v="2"/>
    <x v="1"/>
    <n v="0.83240000000000003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0986834"/>
    <n v="57"/>
    <n v="57"/>
    <x v="2"/>
    <n v="1"/>
    <x v="0"/>
    <n v="1"/>
    <x v="1"/>
    <n v="2"/>
    <n v="1"/>
    <x v="0"/>
    <n v="2961706"/>
    <n v="2"/>
    <x v="0"/>
    <n v="1"/>
    <x v="0"/>
    <n v="0"/>
    <x v="0"/>
    <n v="2"/>
    <n v="2"/>
    <x v="0"/>
    <n v="0"/>
    <x v="0"/>
    <n v="1661556"/>
    <n v="3"/>
    <x v="3"/>
    <n v="1114716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38378056"/>
    <n v="105"/>
    <n v="100"/>
    <x v="3"/>
    <n v="1"/>
    <x v="0"/>
    <n v="1"/>
    <x v="1"/>
    <n v="2444599"/>
    <n v="1"/>
    <x v="0"/>
    <n v="3"/>
    <n v="2"/>
    <x v="0"/>
    <n v="1"/>
    <x v="0"/>
    <n v="0"/>
    <x v="0"/>
    <n v="1029798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218881"/>
    <n v="6"/>
    <n v="6"/>
    <x v="0"/>
    <n v="1"/>
    <x v="0"/>
    <n v="1"/>
    <x v="1"/>
    <n v="2"/>
    <n v="1"/>
    <x v="0"/>
    <n v="1152521"/>
    <n v="2"/>
    <x v="0"/>
    <n v="1"/>
    <x v="0"/>
    <n v="0"/>
    <x v="0"/>
    <n v="1723159"/>
    <n v="2"/>
    <x v="0"/>
    <n v="0"/>
    <x v="0"/>
    <n v="139016"/>
    <n v="2"/>
    <x v="1"/>
    <n v="1094941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1082384"/>
    <n v="57"/>
    <n v="57"/>
    <x v="2"/>
    <n v="1"/>
    <x v="0"/>
    <n v="0"/>
    <x v="0"/>
    <n v="2"/>
    <n v="1"/>
    <x v="0"/>
    <n v="1104642"/>
    <n v="2"/>
    <x v="0"/>
    <n v="1"/>
    <x v="0"/>
    <n v="0"/>
    <x v="0"/>
    <n v="1"/>
    <n v="1"/>
    <x v="1"/>
    <n v="0"/>
    <x v="0"/>
    <n v="0"/>
    <n v="0"/>
    <x v="0"/>
    <n v="0.96909699999999999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5293202"/>
    <n v="69"/>
    <n v="69"/>
    <x v="2"/>
    <n v="1"/>
    <x v="0"/>
    <n v="0"/>
    <x v="0"/>
    <n v="2"/>
    <n v="1"/>
    <x v="0"/>
    <n v="1"/>
    <n v="1"/>
    <x v="1"/>
    <n v="1"/>
    <x v="0"/>
    <n v="0"/>
    <x v="0"/>
    <n v="1639807"/>
    <n v="2"/>
    <x v="0"/>
    <n v="0"/>
    <x v="0"/>
    <n v="7.2117000000000001E-2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1729553"/>
    <n v="2"/>
    <x v="0"/>
    <n v="1"/>
    <x v="0"/>
    <n v="0"/>
    <x v="0"/>
    <n v="1400247"/>
    <n v="2"/>
    <x v="0"/>
    <n v="0"/>
    <x v="0"/>
    <n v="0.88792300000000002"/>
    <n v="0"/>
    <x v="0"/>
    <n v="1011983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39170029"/>
    <n v="107"/>
    <n v="100"/>
    <x v="3"/>
    <n v="1"/>
    <x v="0"/>
    <n v="1"/>
    <x v="1"/>
    <n v="3"/>
    <n v="1"/>
    <x v="0"/>
    <n v="3"/>
    <n v="2"/>
    <x v="0"/>
    <n v="1"/>
    <x v="0"/>
    <n v="0"/>
    <x v="0"/>
    <n v="2994515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4044229"/>
    <n v="93"/>
    <n v="93"/>
    <x v="3"/>
    <n v="1"/>
    <x v="0"/>
    <n v="1"/>
    <x v="1"/>
    <n v="2976975"/>
    <n v="1"/>
    <x v="0"/>
    <n v="1346987"/>
    <n v="2"/>
    <x v="0"/>
    <n v="1"/>
    <x v="0"/>
    <n v="0"/>
    <x v="0"/>
    <n v="1868349"/>
    <n v="2"/>
    <x v="0"/>
    <n v="0"/>
    <x v="0"/>
    <n v="0.702538"/>
    <n v="0"/>
    <x v="0"/>
    <n v="0.87933300000000003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3182127"/>
    <n v="90"/>
    <n v="90"/>
    <x v="3"/>
    <n v="1"/>
    <x v="0"/>
    <n v="1"/>
    <x v="1"/>
    <n v="2"/>
    <n v="1"/>
    <x v="0"/>
    <n v="1977221"/>
    <n v="2"/>
    <x v="0"/>
    <n v="1"/>
    <x v="0"/>
    <n v="0"/>
    <x v="0"/>
    <n v="3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19821996"/>
    <n v="54"/>
    <n v="54"/>
    <x v="2"/>
    <n v="1"/>
    <x v="0"/>
    <n v="0"/>
    <x v="0"/>
    <n v="2766036"/>
    <n v="1"/>
    <x v="0"/>
    <n v="2443812"/>
    <n v="2"/>
    <x v="0"/>
    <n v="1"/>
    <x v="0"/>
    <n v="0"/>
    <x v="0"/>
    <n v="2707927"/>
    <n v="2"/>
    <x v="0"/>
    <n v="0"/>
    <x v="0"/>
    <n v="0.70283899999999999"/>
    <n v="0"/>
    <x v="0"/>
    <n v="0.8274390000000000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149706"/>
    <n v="52"/>
    <n v="52"/>
    <x v="2"/>
    <n v="1"/>
    <x v="0"/>
    <n v="0"/>
    <x v="0"/>
    <n v="1096455"/>
    <n v="1"/>
    <x v="0"/>
    <n v="2491315"/>
    <n v="2"/>
    <x v="0"/>
    <n v="1"/>
    <x v="0"/>
    <n v="0"/>
    <x v="0"/>
    <n v="2450069"/>
    <n v="2"/>
    <x v="0"/>
    <n v="0"/>
    <x v="0"/>
    <n v="0"/>
    <n v="0"/>
    <x v="0"/>
    <n v="0.72611800000000004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46491859"/>
    <n v="127"/>
    <n v="100"/>
    <x v="3"/>
    <n v="1"/>
    <x v="0"/>
    <n v="1"/>
    <x v="1"/>
    <n v="2129969"/>
    <n v="1"/>
    <x v="0"/>
    <n v="3"/>
    <n v="2"/>
    <x v="0"/>
    <n v="1"/>
    <x v="0"/>
    <n v="0"/>
    <x v="0"/>
    <n v="1568035"/>
    <n v="2"/>
    <x v="0"/>
    <n v="0"/>
    <x v="0"/>
    <n v="0.87012699999999998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894784"/>
    <n v="49"/>
    <n v="49"/>
    <x v="1"/>
    <n v="1"/>
    <x v="0"/>
    <n v="0"/>
    <x v="0"/>
    <n v="2019674"/>
    <n v="1"/>
    <x v="0"/>
    <n v="2843319"/>
    <n v="2"/>
    <x v="0"/>
    <n v="1"/>
    <x v="0"/>
    <n v="0"/>
    <x v="0"/>
    <n v="2832004"/>
    <n v="2"/>
    <x v="0"/>
    <n v="0"/>
    <x v="0"/>
    <n v="1"/>
    <n v="1"/>
    <x v="2"/>
    <n v="0.6086070000000000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88485"/>
    <n v="5"/>
    <n v="5"/>
    <x v="0"/>
    <n v="1"/>
    <x v="0"/>
    <n v="0"/>
    <x v="0"/>
    <n v="2735297"/>
    <n v="1"/>
    <x v="0"/>
    <n v="2157164"/>
    <n v="2"/>
    <x v="0"/>
    <n v="1"/>
    <x v="0"/>
    <n v="0"/>
    <x v="0"/>
    <n v="1087166"/>
    <n v="2"/>
    <x v="0"/>
    <n v="0"/>
    <x v="0"/>
    <n v="0.11017399999999999"/>
    <n v="0"/>
    <x v="0"/>
    <n v="3.6949999999999999E-3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38384177"/>
    <n v="105"/>
    <n v="100"/>
    <x v="3"/>
    <n v="1"/>
    <x v="0"/>
    <n v="1"/>
    <x v="1"/>
    <n v="3"/>
    <n v="1"/>
    <x v="0"/>
    <n v="3"/>
    <n v="2"/>
    <x v="0"/>
    <n v="1"/>
    <x v="0"/>
    <n v="0"/>
    <x v="0"/>
    <n v="2503198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2675679"/>
    <n v="62"/>
    <n v="62"/>
    <x v="2"/>
    <n v="1"/>
    <x v="0"/>
    <n v="1"/>
    <x v="1"/>
    <n v="1588782"/>
    <n v="1"/>
    <x v="0"/>
    <n v="2601675"/>
    <n v="2"/>
    <x v="0"/>
    <n v="1"/>
    <x v="0"/>
    <n v="0"/>
    <x v="0"/>
    <n v="2469469"/>
    <n v="2"/>
    <x v="0"/>
    <n v="0"/>
    <x v="0"/>
    <n v="1736538"/>
    <n v="3"/>
    <x v="3"/>
    <n v="188685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33049121"/>
    <n v="90"/>
    <n v="90"/>
    <x v="3"/>
    <n v="1"/>
    <x v="0"/>
    <n v="1"/>
    <x v="1"/>
    <n v="2"/>
    <n v="1"/>
    <x v="0"/>
    <n v="1171027"/>
    <n v="2"/>
    <x v="0"/>
    <n v="1"/>
    <x v="0"/>
    <n v="0"/>
    <x v="0"/>
    <n v="2405172"/>
    <n v="2"/>
    <x v="0"/>
    <n v="0"/>
    <x v="0"/>
    <n v="2300282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7205173"/>
    <n v="101"/>
    <n v="100"/>
    <x v="3"/>
    <n v="1"/>
    <x v="0"/>
    <n v="1"/>
    <x v="1"/>
    <n v="201054"/>
    <n v="1"/>
    <x v="0"/>
    <n v="277684"/>
    <n v="2"/>
    <x v="0"/>
    <n v="1"/>
    <x v="0"/>
    <n v="0"/>
    <x v="0"/>
    <n v="1651548"/>
    <n v="2"/>
    <x v="0"/>
    <n v="0"/>
    <x v="0"/>
    <n v="0"/>
    <n v="0"/>
    <x v="0"/>
    <n v="0.79096699999999998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19027417"/>
    <n v="52"/>
    <n v="52"/>
    <x v="2"/>
    <n v="1"/>
    <x v="0"/>
    <n v="0"/>
    <x v="0"/>
    <n v="3"/>
    <n v="1"/>
    <x v="0"/>
    <n v="3362758"/>
    <n v="2"/>
    <x v="0"/>
    <n v="1"/>
    <x v="0"/>
    <n v="0"/>
    <x v="0"/>
    <n v="2"/>
    <n v="2"/>
    <x v="0"/>
    <n v="0"/>
    <x v="0"/>
    <n v="2892922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37492444"/>
    <n v="102"/>
    <n v="100"/>
    <x v="3"/>
    <n v="1"/>
    <x v="0"/>
    <n v="1"/>
    <x v="1"/>
    <n v="2"/>
    <n v="1"/>
    <x v="0"/>
    <n v="1672706"/>
    <n v="2"/>
    <x v="0"/>
    <n v="1"/>
    <x v="0"/>
    <n v="0"/>
    <x v="0"/>
    <n v="2766674"/>
    <n v="2"/>
    <x v="0"/>
    <n v="0"/>
    <x v="0"/>
    <n v="1"/>
    <n v="1"/>
    <x v="2"/>
    <n v="2.7092999999999999E-2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4657598"/>
    <n v="67"/>
    <n v="67"/>
    <x v="2"/>
    <n v="1"/>
    <x v="0"/>
    <n v="1"/>
    <x v="1"/>
    <n v="2689577"/>
    <n v="1"/>
    <x v="0"/>
    <n v="2714115"/>
    <n v="2"/>
    <x v="0"/>
    <n v="1"/>
    <x v="0"/>
    <n v="0"/>
    <x v="0"/>
    <n v="2279214"/>
    <n v="2"/>
    <x v="0"/>
    <n v="0"/>
    <x v="0"/>
    <n v="0.970661"/>
    <n v="0"/>
    <x v="0"/>
    <n v="0.82854899999999998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8011718"/>
    <n v="49"/>
    <n v="49"/>
    <x v="1"/>
    <n v="1"/>
    <x v="0"/>
    <n v="1"/>
    <x v="1"/>
    <n v="2413156"/>
    <n v="1"/>
    <x v="0"/>
    <n v="2521546"/>
    <n v="2"/>
    <x v="0"/>
    <n v="1"/>
    <x v="0"/>
    <n v="0"/>
    <x v="0"/>
    <n v="1985312"/>
    <n v="2"/>
    <x v="0"/>
    <n v="0"/>
    <x v="0"/>
    <n v="7.0499999999999998E-3"/>
    <n v="0"/>
    <x v="0"/>
    <n v="0.965463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7349745"/>
    <n v="74"/>
    <n v="74"/>
    <x v="2"/>
    <n v="1"/>
    <x v="0"/>
    <n v="1"/>
    <x v="1"/>
    <n v="2923433"/>
    <n v="1"/>
    <x v="0"/>
    <n v="1338033"/>
    <n v="2"/>
    <x v="0"/>
    <n v="1"/>
    <x v="0"/>
    <n v="0"/>
    <x v="0"/>
    <n v="1944095"/>
    <n v="2"/>
    <x v="0"/>
    <n v="0"/>
    <x v="0"/>
    <n v="1931829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8"/>
    <n v="18"/>
    <n v="18"/>
    <x v="0"/>
    <n v="1"/>
    <x v="0"/>
    <n v="1"/>
    <x v="1"/>
    <n v="3"/>
    <n v="1"/>
    <x v="0"/>
    <n v="3"/>
    <n v="2"/>
    <x v="0"/>
    <n v="1"/>
    <x v="0"/>
    <n v="0"/>
    <x v="0"/>
    <n v="2"/>
    <n v="2"/>
    <x v="0"/>
    <n v="0"/>
    <x v="0"/>
    <n v="2040816"/>
    <n v="3"/>
    <x v="3"/>
    <n v="0.860321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009285"/>
    <n v="90"/>
    <n v="90"/>
    <x v="3"/>
    <n v="1"/>
    <x v="0"/>
    <n v="1"/>
    <x v="1"/>
    <n v="2"/>
    <n v="1"/>
    <x v="0"/>
    <n v="3"/>
    <n v="2"/>
    <x v="0"/>
    <n v="1"/>
    <x v="0"/>
    <n v="0"/>
    <x v="0"/>
    <n v="2035954"/>
    <n v="2"/>
    <x v="0"/>
    <n v="0"/>
    <x v="0"/>
    <n v="1210736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2882522"/>
    <n v="1"/>
    <x v="0"/>
    <n v="3"/>
    <n v="2"/>
    <x v="0"/>
    <n v="1"/>
    <x v="0"/>
    <n v="0"/>
    <x v="0"/>
    <n v="2452986"/>
    <n v="2"/>
    <x v="0"/>
    <n v="0"/>
    <x v="0"/>
    <n v="1"/>
    <n v="1"/>
    <x v="2"/>
    <n v="0.746650999999999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0079371"/>
    <n v="82"/>
    <n v="82"/>
    <x v="3"/>
    <n v="1"/>
    <x v="0"/>
    <n v="1"/>
    <x v="1"/>
    <n v="2"/>
    <n v="1"/>
    <x v="0"/>
    <n v="3"/>
    <n v="2"/>
    <x v="0"/>
    <n v="1"/>
    <x v="0"/>
    <n v="0"/>
    <x v="0"/>
    <n v="1622638"/>
    <n v="2"/>
    <x v="0"/>
    <n v="0"/>
    <x v="0"/>
    <n v="3.3744999999999997E-2"/>
    <n v="0"/>
    <x v="0"/>
    <n v="0.1058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5035915"/>
    <n v="68"/>
    <n v="68"/>
    <x v="2"/>
    <n v="1"/>
    <x v="0"/>
    <n v="1"/>
    <x v="1"/>
    <n v="1973499"/>
    <n v="1"/>
    <x v="0"/>
    <n v="1081805"/>
    <n v="2"/>
    <x v="0"/>
    <n v="1"/>
    <x v="0"/>
    <n v="0"/>
    <x v="0"/>
    <n v="2"/>
    <n v="2"/>
    <x v="0"/>
    <n v="0"/>
    <x v="0"/>
    <n v="0"/>
    <n v="0"/>
    <x v="0"/>
    <n v="0.4640219999999999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198322"/>
    <n v="49"/>
    <n v="49"/>
    <x v="1"/>
    <n v="1"/>
    <x v="0"/>
    <n v="0"/>
    <x v="0"/>
    <n v="3"/>
    <n v="1"/>
    <x v="0"/>
    <n v="3087119"/>
    <n v="2"/>
    <x v="0"/>
    <n v="1"/>
    <x v="0"/>
    <n v="0"/>
    <x v="0"/>
    <n v="2"/>
    <n v="2"/>
    <x v="0"/>
    <n v="0"/>
    <x v="0"/>
    <n v="1403872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35456326"/>
    <n v="97"/>
    <n v="97"/>
    <x v="3"/>
    <n v="1"/>
    <x v="0"/>
    <n v="1"/>
    <x v="1"/>
    <n v="2156065"/>
    <n v="1"/>
    <x v="0"/>
    <n v="2909117"/>
    <n v="2"/>
    <x v="0"/>
    <n v="1"/>
    <x v="0"/>
    <n v="0"/>
    <x v="0"/>
    <n v="1221281"/>
    <n v="2"/>
    <x v="0"/>
    <n v="0"/>
    <x v="0"/>
    <n v="0.50327900000000003"/>
    <n v="0"/>
    <x v="0"/>
    <n v="1796136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23806789"/>
    <n v="65"/>
    <n v="65"/>
    <x v="2"/>
    <n v="1"/>
    <x v="0"/>
    <n v="1"/>
    <x v="1"/>
    <n v="2992205"/>
    <n v="1"/>
    <x v="0"/>
    <n v="3"/>
    <n v="2"/>
    <x v="0"/>
    <n v="1"/>
    <x v="0"/>
    <n v="0"/>
    <x v="0"/>
    <n v="2413813"/>
    <n v="2"/>
    <x v="0"/>
    <n v="0"/>
    <x v="0"/>
    <n v="0.45823700000000001"/>
    <n v="0"/>
    <x v="0"/>
    <n v="0.68829300000000004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9392569"/>
    <n v="107"/>
    <n v="100"/>
    <x v="3"/>
    <n v="1"/>
    <x v="0"/>
    <n v="1"/>
    <x v="1"/>
    <n v="2944287"/>
    <n v="1"/>
    <x v="0"/>
    <n v="1466393"/>
    <n v="2"/>
    <x v="0"/>
    <n v="1"/>
    <x v="0"/>
    <n v="0"/>
    <x v="0"/>
    <n v="2442775"/>
    <n v="2"/>
    <x v="0"/>
    <n v="0"/>
    <x v="0"/>
    <n v="0.67526200000000003"/>
    <n v="0"/>
    <x v="0"/>
    <n v="0.77933399999999997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384259"/>
    <n v="58"/>
    <n v="58"/>
    <x v="2"/>
    <n v="1"/>
    <x v="0"/>
    <n v="1"/>
    <x v="1"/>
    <n v="1780746"/>
    <n v="1"/>
    <x v="0"/>
    <n v="1471053"/>
    <n v="2"/>
    <x v="0"/>
    <n v="1"/>
    <x v="0"/>
    <n v="0"/>
    <x v="0"/>
    <n v="2"/>
    <n v="2"/>
    <x v="0"/>
    <n v="0"/>
    <x v="0"/>
    <n v="0.46756199999999998"/>
    <n v="0"/>
    <x v="0"/>
    <n v="0.568667999999999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730414"/>
    <n v="62"/>
    <n v="62"/>
    <x v="2"/>
    <n v="1"/>
    <x v="0"/>
    <n v="1"/>
    <x v="1"/>
    <n v="2164062"/>
    <n v="1"/>
    <x v="0"/>
    <n v="2983201"/>
    <n v="2"/>
    <x v="0"/>
    <n v="1"/>
    <x v="0"/>
    <n v="0"/>
    <x v="0"/>
    <n v="2168904"/>
    <n v="2"/>
    <x v="0"/>
    <n v="0"/>
    <x v="0"/>
    <n v="0.75292599999999998"/>
    <n v="0"/>
    <x v="0"/>
    <n v="0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20563"/>
    <n v="5"/>
    <n v="5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847761"/>
    <n v="3"/>
    <x v="3"/>
    <n v="1413375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1333429"/>
    <n v="58"/>
    <n v="58"/>
    <x v="2"/>
    <n v="1"/>
    <x v="0"/>
    <n v="1"/>
    <x v="1"/>
    <n v="2"/>
    <n v="1"/>
    <x v="0"/>
    <n v="2783336"/>
    <n v="2"/>
    <x v="0"/>
    <n v="1"/>
    <x v="0"/>
    <n v="0"/>
    <x v="0"/>
    <n v="2"/>
    <n v="2"/>
    <x v="0"/>
    <n v="0"/>
    <x v="0"/>
    <n v="2536615"/>
    <n v="3"/>
    <x v="3"/>
    <n v="1206535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32787101"/>
    <n v="89"/>
    <n v="89"/>
    <x v="3"/>
    <n v="1"/>
    <x v="0"/>
    <n v="1"/>
    <x v="1"/>
    <n v="2"/>
    <n v="1"/>
    <x v="0"/>
    <n v="1863012"/>
    <n v="2"/>
    <x v="0"/>
    <n v="1"/>
    <x v="0"/>
    <n v="0"/>
    <x v="0"/>
    <n v="2196471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2610018"/>
    <n v="89"/>
    <n v="89"/>
    <x v="3"/>
    <n v="1"/>
    <x v="0"/>
    <n v="1"/>
    <x v="1"/>
    <n v="2247704"/>
    <n v="1"/>
    <x v="0"/>
    <n v="3053598"/>
    <n v="2"/>
    <x v="0"/>
    <n v="1"/>
    <x v="0"/>
    <n v="0"/>
    <x v="0"/>
    <n v="1919629"/>
    <n v="2"/>
    <x v="0"/>
    <n v="0"/>
    <x v="0"/>
    <n v="0.40802300000000002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0022598"/>
    <n v="82"/>
    <n v="82"/>
    <x v="3"/>
    <n v="1"/>
    <x v="0"/>
    <n v="1"/>
    <x v="1"/>
    <n v="2011656"/>
    <n v="1"/>
    <x v="0"/>
    <n v="3165837"/>
    <n v="2"/>
    <x v="0"/>
    <n v="1"/>
    <x v="0"/>
    <n v="0"/>
    <x v="0"/>
    <n v="1844645"/>
    <n v="2"/>
    <x v="0"/>
    <n v="0"/>
    <x v="0"/>
    <n v="0.88996299999999995"/>
    <n v="0"/>
    <x v="0"/>
    <n v="0.39597900000000003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123048"/>
    <n v="57"/>
    <n v="57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2270555"/>
    <n v="3"/>
    <x v="3"/>
    <n v="1343044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2989846"/>
    <n v="62"/>
    <n v="62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14691899999999999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4320154"/>
    <n v="66"/>
    <n v="66"/>
    <x v="2"/>
    <n v="1"/>
    <x v="0"/>
    <n v="0"/>
    <x v="0"/>
    <n v="203414"/>
    <n v="1"/>
    <x v="0"/>
    <n v="2741413"/>
    <n v="2"/>
    <x v="0"/>
    <n v="1"/>
    <x v="0"/>
    <n v="0"/>
    <x v="0"/>
    <n v="1996384"/>
    <n v="2"/>
    <x v="0"/>
    <n v="0"/>
    <x v="0"/>
    <n v="1276552"/>
    <n v="3"/>
    <x v="3"/>
    <n v="101945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37275298"/>
    <n v="102"/>
    <n v="100"/>
    <x v="3"/>
    <n v="1"/>
    <x v="0"/>
    <n v="1"/>
    <x v="1"/>
    <n v="2746408"/>
    <n v="1"/>
    <x v="0"/>
    <n v="1058123"/>
    <n v="2"/>
    <x v="0"/>
    <n v="1"/>
    <x v="0"/>
    <n v="0"/>
    <x v="0"/>
    <n v="2265727"/>
    <n v="2"/>
    <x v="0"/>
    <n v="0"/>
    <x v="0"/>
    <n v="0.885633"/>
    <n v="0"/>
    <x v="0"/>
    <n v="0.673408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4098174"/>
    <n v="93"/>
    <n v="93"/>
    <x v="3"/>
    <n v="1"/>
    <x v="0"/>
    <n v="1"/>
    <x v="1"/>
    <n v="2"/>
    <n v="1"/>
    <x v="0"/>
    <n v="2997414"/>
    <n v="2"/>
    <x v="0"/>
    <n v="1"/>
    <x v="0"/>
    <n v="0"/>
    <x v="0"/>
    <n v="1259454"/>
    <n v="2"/>
    <x v="0"/>
    <n v="0"/>
    <x v="0"/>
    <n v="0.93521699999999996"/>
    <n v="0"/>
    <x v="0"/>
    <n v="0.99760000000000004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21001282"/>
    <n v="57"/>
    <n v="57"/>
    <x v="2"/>
    <n v="1"/>
    <x v="0"/>
    <n v="0"/>
    <x v="0"/>
    <n v="21239"/>
    <n v="1"/>
    <x v="0"/>
    <n v="1672958"/>
    <n v="2"/>
    <x v="0"/>
    <n v="1"/>
    <x v="0"/>
    <n v="0"/>
    <x v="0"/>
    <n v="2"/>
    <n v="2"/>
    <x v="0"/>
    <n v="0"/>
    <x v="0"/>
    <n v="1582428"/>
    <n v="3"/>
    <x v="3"/>
    <n v="1313363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195994"/>
    <n v="6"/>
    <n v="6"/>
    <x v="0"/>
    <n v="1"/>
    <x v="0"/>
    <n v="0"/>
    <x v="0"/>
    <n v="2"/>
    <n v="1"/>
    <x v="0"/>
    <n v="1680838"/>
    <n v="2"/>
    <x v="0"/>
    <n v="1"/>
    <x v="0"/>
    <n v="0"/>
    <x v="0"/>
    <n v="1833635"/>
    <n v="2"/>
    <x v="0"/>
    <n v="0"/>
    <x v="0"/>
    <n v="0.28187600000000002"/>
    <n v="0"/>
    <x v="0"/>
    <n v="0.57584800000000003"/>
    <n v="0"/>
    <x v="1"/>
    <n v="0"/>
    <x v="0"/>
    <n v="0"/>
    <x v="0"/>
    <n v="0"/>
    <x v="0"/>
    <n v="0"/>
    <x v="0"/>
    <n v="1"/>
    <x v="0"/>
    <n v="0"/>
    <x v="0"/>
    <n v="0"/>
    <x v="0"/>
  </r>
  <r>
    <n v="1"/>
    <s v="M"/>
    <n v="19795269"/>
    <n v="54"/>
    <n v="54"/>
    <x v="2"/>
    <n v="1"/>
    <x v="0"/>
    <n v="1"/>
    <x v="1"/>
    <n v="2332074"/>
    <n v="1"/>
    <x v="0"/>
    <n v="3"/>
    <n v="2"/>
    <x v="0"/>
    <n v="1"/>
    <x v="0"/>
    <n v="0"/>
    <x v="0"/>
    <n v="2999495"/>
    <n v="2"/>
    <x v="0"/>
    <n v="0"/>
    <x v="0"/>
    <n v="2405963"/>
    <n v="3"/>
    <x v="3"/>
    <n v="0.44150200000000001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090023"/>
    <n v="52"/>
    <n v="52"/>
    <x v="2"/>
    <n v="1"/>
    <x v="0"/>
    <n v="0"/>
    <x v="0"/>
    <n v="2748243"/>
    <n v="1"/>
    <x v="0"/>
    <n v="3070386"/>
    <n v="2"/>
    <x v="0"/>
    <n v="1"/>
    <x v="0"/>
    <n v="0"/>
    <x v="0"/>
    <n v="1962322"/>
    <n v="2"/>
    <x v="0"/>
    <n v="0"/>
    <x v="0"/>
    <n v="1145752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20820455"/>
    <n v="57"/>
    <n v="57"/>
    <x v="2"/>
    <n v="1"/>
    <x v="0"/>
    <n v="0"/>
    <x v="0"/>
    <n v="2303656"/>
    <n v="1"/>
    <x v="0"/>
    <n v="3"/>
    <n v="2"/>
    <x v="0"/>
    <n v="1"/>
    <x v="0"/>
    <n v="0"/>
    <x v="0"/>
    <n v="1163111"/>
    <n v="2"/>
    <x v="0"/>
    <n v="0"/>
    <x v="0"/>
    <n v="1926381"/>
    <n v="3"/>
    <x v="3"/>
    <n v="1119877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2087056"/>
    <n v="60"/>
    <n v="60"/>
    <x v="2"/>
    <n v="1"/>
    <x v="0"/>
    <n v="1"/>
    <x v="1"/>
    <n v="1904732"/>
    <n v="1"/>
    <x v="0"/>
    <n v="2608416"/>
    <n v="2"/>
    <x v="0"/>
    <n v="1"/>
    <x v="0"/>
    <n v="0"/>
    <x v="0"/>
    <n v="1204175"/>
    <n v="2"/>
    <x v="0"/>
    <n v="0"/>
    <x v="0"/>
    <n v="0"/>
    <n v="0"/>
    <x v="0"/>
    <n v="1895312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2185756"/>
    <n v="60"/>
    <n v="60"/>
    <x v="2"/>
    <n v="1"/>
    <x v="0"/>
    <n v="1"/>
    <x v="1"/>
    <n v="1979944"/>
    <n v="1"/>
    <x v="0"/>
    <n v="1599464"/>
    <n v="2"/>
    <x v="0"/>
    <n v="1"/>
    <x v="0"/>
    <n v="0"/>
    <x v="0"/>
    <n v="2"/>
    <n v="2"/>
    <x v="0"/>
    <n v="0"/>
    <x v="0"/>
    <n v="0.17047999999999999"/>
    <n v="0"/>
    <x v="0"/>
    <n v="0.8194749999999999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2980957"/>
    <n v="62"/>
    <n v="62"/>
    <x v="2"/>
    <n v="1"/>
    <x v="0"/>
    <n v="1"/>
    <x v="1"/>
    <n v="2"/>
    <n v="1"/>
    <x v="0"/>
    <n v="2815255"/>
    <n v="2"/>
    <x v="0"/>
    <n v="1"/>
    <x v="0"/>
    <n v="0"/>
    <x v="0"/>
    <n v="1622214"/>
    <n v="2"/>
    <x v="0"/>
    <n v="0"/>
    <x v="0"/>
    <n v="0.463891"/>
    <n v="0"/>
    <x v="0"/>
    <n v="1462664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3"/>
    <n v="23"/>
    <n v="23"/>
    <x v="0"/>
    <n v="1"/>
    <x v="0"/>
    <n v="1"/>
    <x v="1"/>
    <n v="2"/>
    <n v="1"/>
    <x v="0"/>
    <n v="2395785"/>
    <n v="2"/>
    <x v="0"/>
    <n v="1"/>
    <x v="0"/>
    <n v="0"/>
    <x v="0"/>
    <n v="140077"/>
    <n v="2"/>
    <x v="0"/>
    <n v="0"/>
    <x v="0"/>
    <n v="0.788659"/>
    <n v="0"/>
    <x v="0"/>
    <n v="1544357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4190896"/>
    <n v="66"/>
    <n v="66"/>
    <x v="2"/>
    <n v="1"/>
    <x v="0"/>
    <n v="1"/>
    <x v="1"/>
    <n v="2"/>
    <n v="1"/>
    <x v="0"/>
    <n v="3"/>
    <n v="2"/>
    <x v="0"/>
    <n v="1"/>
    <x v="0"/>
    <n v="0"/>
    <x v="0"/>
    <n v="2056053"/>
    <n v="2"/>
    <x v="0"/>
    <n v="0"/>
    <x v="0"/>
    <n v="0"/>
    <n v="0"/>
    <x v="0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2394003"/>
    <n v="6"/>
    <n v="6"/>
    <x v="0"/>
    <n v="1"/>
    <x v="0"/>
    <n v="1"/>
    <x v="1"/>
    <n v="2407817"/>
    <n v="1"/>
    <x v="0"/>
    <n v="2844138"/>
    <n v="2"/>
    <x v="0"/>
    <n v="1"/>
    <x v="0"/>
    <n v="0"/>
    <x v="0"/>
    <n v="1983649"/>
    <n v="2"/>
    <x v="0"/>
    <n v="0"/>
    <x v="0"/>
    <n v="0.86872099999999997"/>
    <n v="0"/>
    <x v="0"/>
    <n v="8.9354000000000003E-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6591628"/>
    <n v="72"/>
    <n v="72"/>
    <x v="2"/>
    <n v="1"/>
    <x v="0"/>
    <n v="1"/>
    <x v="1"/>
    <n v="2734314"/>
    <n v="1"/>
    <x v="0"/>
    <n v="3"/>
    <n v="2"/>
    <x v="0"/>
    <n v="1"/>
    <x v="0"/>
    <n v="0"/>
    <x v="0"/>
    <n v="3"/>
    <n v="2"/>
    <x v="0"/>
    <n v="0"/>
    <x v="0"/>
    <n v="0.897702"/>
    <n v="0"/>
    <x v="0"/>
    <n v="0.90827100000000005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31264628"/>
    <n v="85"/>
    <n v="85"/>
    <x v="3"/>
    <n v="1"/>
    <x v="0"/>
    <n v="1"/>
    <x v="1"/>
    <n v="2"/>
    <n v="1"/>
    <x v="0"/>
    <n v="3"/>
    <n v="2"/>
    <x v="0"/>
    <n v="1"/>
    <x v="0"/>
    <n v="0"/>
    <x v="0"/>
    <n v="1199517"/>
    <n v="2"/>
    <x v="0"/>
    <n v="0"/>
    <x v="0"/>
    <n v="4.7738000000000003E-2"/>
    <n v="0"/>
    <x v="0"/>
    <n v="0.163329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23629159"/>
    <n v="64"/>
    <n v="64"/>
    <x v="2"/>
    <n v="1"/>
    <x v="0"/>
    <n v="1"/>
    <x v="1"/>
    <n v="2"/>
    <n v="1"/>
    <x v="0"/>
    <n v="3"/>
    <n v="2"/>
    <x v="0"/>
    <n v="1"/>
    <x v="0"/>
    <n v="0"/>
    <x v="0"/>
    <n v="2386904"/>
    <n v="2"/>
    <x v="0"/>
    <n v="0"/>
    <x v="0"/>
    <n v="0.92620100000000005"/>
    <n v="0"/>
    <x v="0"/>
    <n v="134403"/>
    <n v="1"/>
    <x v="0"/>
    <n v="1"/>
    <x v="1"/>
    <n v="0"/>
    <x v="0"/>
    <n v="0"/>
    <x v="0"/>
    <n v="0"/>
    <x v="0"/>
    <n v="1"/>
    <x v="0"/>
    <n v="0"/>
    <x v="0"/>
    <n v="0"/>
    <x v="0"/>
  </r>
  <r>
    <n v="0"/>
    <s v="F"/>
    <n v="26208134"/>
    <n v="71"/>
    <n v="71"/>
    <x v="2"/>
    <n v="1"/>
    <x v="0"/>
    <n v="1"/>
    <x v="1"/>
    <n v="2784383"/>
    <n v="1"/>
    <x v="0"/>
    <n v="3"/>
    <n v="2"/>
    <x v="0"/>
    <n v="1"/>
    <x v="0"/>
    <n v="0"/>
    <x v="0"/>
    <n v="2165605"/>
    <n v="2"/>
    <x v="0"/>
    <n v="0"/>
    <x v="0"/>
    <n v="0.85597299999999998"/>
    <n v="0"/>
    <x v="0"/>
    <n v="0.83965900000000004"/>
    <n v="0"/>
    <x v="1"/>
    <n v="2"/>
    <x v="2"/>
    <n v="1"/>
    <x v="1"/>
    <n v="0"/>
    <x v="0"/>
    <n v="0"/>
    <x v="0"/>
    <n v="0"/>
    <x v="1"/>
    <n v="0"/>
    <x v="0"/>
    <n v="0"/>
    <x v="0"/>
  </r>
  <r>
    <n v="1"/>
    <s v="M"/>
    <n v="17689057"/>
    <n v="48"/>
    <n v="48"/>
    <x v="1"/>
    <n v="1"/>
    <x v="0"/>
    <n v="1"/>
    <x v="1"/>
    <n v="2009952"/>
    <n v="1"/>
    <x v="0"/>
    <n v="2716106"/>
    <n v="2"/>
    <x v="0"/>
    <n v="1"/>
    <x v="0"/>
    <n v="0"/>
    <x v="0"/>
    <n v="1660614"/>
    <n v="2"/>
    <x v="0"/>
    <n v="0"/>
    <x v="0"/>
    <n v="1"/>
    <n v="1"/>
    <x v="2"/>
    <n v="0.604729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16097"/>
    <n v="5"/>
    <n v="5"/>
    <x v="0"/>
    <n v="1"/>
    <x v="0"/>
    <n v="0"/>
    <x v="0"/>
    <n v="2008656"/>
    <n v="1"/>
    <x v="0"/>
    <n v="1402771"/>
    <n v="2"/>
    <x v="0"/>
    <n v="1"/>
    <x v="0"/>
    <n v="0"/>
    <x v="0"/>
    <n v="3"/>
    <n v="2"/>
    <x v="0"/>
    <n v="0"/>
    <x v="0"/>
    <n v="0.112383"/>
    <n v="0"/>
    <x v="0"/>
    <n v="0.328029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545763"/>
    <n v="6"/>
    <n v="6"/>
    <x v="0"/>
    <n v="1"/>
    <x v="0"/>
    <n v="1"/>
    <x v="1"/>
    <n v="1122127"/>
    <n v="1"/>
    <x v="0"/>
    <n v="2865657"/>
    <n v="2"/>
    <x v="0"/>
    <n v="1"/>
    <x v="0"/>
    <n v="0"/>
    <x v="0"/>
    <n v="2"/>
    <n v="2"/>
    <x v="0"/>
    <n v="0"/>
    <x v="0"/>
    <n v="128775"/>
    <n v="2"/>
    <x v="1"/>
    <n v="1944177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2988004"/>
    <n v="62"/>
    <n v="62"/>
    <x v="2"/>
    <n v="1"/>
    <x v="0"/>
    <n v="1"/>
    <x v="1"/>
    <n v="1963965"/>
    <n v="1"/>
    <x v="0"/>
    <n v="1836226"/>
    <n v="2"/>
    <x v="0"/>
    <n v="1"/>
    <x v="0"/>
    <n v="0"/>
    <x v="0"/>
    <n v="185537"/>
    <n v="2"/>
    <x v="0"/>
    <n v="0"/>
    <x v="0"/>
    <n v="0"/>
    <n v="0"/>
    <x v="0"/>
    <n v="166774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23603191"/>
    <n v="64"/>
    <n v="64"/>
    <x v="2"/>
    <n v="1"/>
    <x v="0"/>
    <n v="1"/>
    <x v="1"/>
    <n v="2319776"/>
    <n v="1"/>
    <x v="0"/>
    <n v="2884848"/>
    <n v="2"/>
    <x v="0"/>
    <n v="1"/>
    <x v="0"/>
    <n v="0"/>
    <x v="0"/>
    <n v="2154898"/>
    <n v="2"/>
    <x v="0"/>
    <n v="0"/>
    <x v="0"/>
    <n v="0.32553399999999999"/>
    <n v="0"/>
    <x v="0"/>
    <n v="0.954215999999999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2882558"/>
    <n v="62"/>
    <n v="62"/>
    <x v="2"/>
    <n v="1"/>
    <x v="0"/>
    <n v="1"/>
    <x v="1"/>
    <n v="1899116"/>
    <n v="1"/>
    <x v="0"/>
    <n v="2375026"/>
    <n v="2"/>
    <x v="0"/>
    <n v="1"/>
    <x v="0"/>
    <n v="0"/>
    <x v="0"/>
    <n v="139854"/>
    <n v="2"/>
    <x v="0"/>
    <n v="0"/>
    <x v="0"/>
    <n v="0"/>
    <n v="0"/>
    <x v="0"/>
    <n v="1365793"/>
    <n v="2"/>
    <x v="2"/>
    <n v="1"/>
    <x v="1"/>
    <n v="0"/>
    <x v="0"/>
    <n v="0"/>
    <x v="0"/>
    <n v="0"/>
    <x v="0"/>
    <n v="1"/>
    <x v="0"/>
    <n v="0"/>
    <x v="0"/>
    <n v="0"/>
    <x v="0"/>
  </r>
  <r>
    <n v="0"/>
    <s v="F"/>
    <n v="23586058"/>
    <n v="64"/>
    <n v="64"/>
    <x v="2"/>
    <n v="1"/>
    <x v="0"/>
    <n v="1"/>
    <x v="1"/>
    <n v="2042762"/>
    <n v="1"/>
    <x v="0"/>
    <n v="29774"/>
    <n v="2"/>
    <x v="0"/>
    <n v="1"/>
    <x v="0"/>
    <n v="0"/>
    <x v="0"/>
    <n v="1522426"/>
    <n v="2"/>
    <x v="0"/>
    <n v="0"/>
    <x v="0"/>
    <n v="0.501417"/>
    <n v="0"/>
    <x v="0"/>
    <n v="1029135"/>
    <n v="2"/>
    <x v="2"/>
    <n v="1"/>
    <x v="1"/>
    <n v="0"/>
    <x v="0"/>
    <n v="0"/>
    <x v="0"/>
    <n v="0"/>
    <x v="0"/>
    <n v="1"/>
    <x v="0"/>
    <n v="0"/>
    <x v="0"/>
    <n v="0"/>
    <x v="0"/>
  </r>
  <r>
    <n v="1"/>
    <s v="M"/>
    <n v="34432669"/>
    <n v="94"/>
    <n v="94"/>
    <x v="3"/>
    <n v="1"/>
    <x v="0"/>
    <n v="1"/>
    <x v="1"/>
    <n v="2129668"/>
    <n v="1"/>
    <x v="0"/>
    <n v="2693646"/>
    <n v="2"/>
    <x v="0"/>
    <n v="1"/>
    <x v="0"/>
    <n v="0"/>
    <x v="0"/>
    <n v="260669"/>
    <n v="2"/>
    <x v="0"/>
    <n v="0"/>
    <x v="0"/>
    <n v="1170823"/>
    <n v="3"/>
    <x v="3"/>
    <n v="0.29089799999999999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25472995"/>
    <n v="69"/>
    <n v="69"/>
    <x v="2"/>
    <n v="1"/>
    <x v="0"/>
    <n v="1"/>
    <x v="1"/>
    <n v="2182401"/>
    <n v="1"/>
    <x v="0"/>
    <n v="2832018"/>
    <n v="2"/>
    <x v="0"/>
    <n v="1"/>
    <x v="0"/>
    <n v="0"/>
    <x v="0"/>
    <n v="2456939"/>
    <n v="2"/>
    <x v="0"/>
    <n v="0"/>
    <x v="0"/>
    <n v="3.8809000000000003E-2"/>
    <n v="0"/>
    <x v="0"/>
    <n v="0.52401500000000001"/>
    <n v="0"/>
    <x v="1"/>
    <n v="2"/>
    <x v="2"/>
    <n v="0"/>
    <x v="0"/>
    <n v="0"/>
    <x v="0"/>
    <n v="0"/>
    <x v="0"/>
    <n v="1"/>
    <x v="0"/>
    <n v="0"/>
    <x v="0"/>
    <n v="0"/>
    <x v="0"/>
  </r>
  <r>
    <n v="1"/>
    <s v="M"/>
    <n v="55022494"/>
    <n v="150"/>
    <n v="100"/>
    <x v="3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"/>
    <n v="1"/>
    <x v="2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4647036"/>
    <n v="94"/>
    <n v="94"/>
    <x v="3"/>
    <n v="1"/>
    <x v="0"/>
    <n v="1"/>
    <x v="1"/>
    <n v="2802696"/>
    <n v="1"/>
    <x v="0"/>
    <n v="3"/>
    <n v="2"/>
    <x v="0"/>
    <n v="1"/>
    <x v="0"/>
    <n v="0"/>
    <x v="0"/>
    <n v="2978465"/>
    <n v="2"/>
    <x v="0"/>
    <n v="0"/>
    <x v="0"/>
    <n v="1974656"/>
    <n v="3"/>
    <x v="3"/>
    <n v="0.936925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1997335"/>
    <n v="60"/>
    <n v="60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.52734099999999995"/>
    <n v="0"/>
    <x v="0"/>
    <n v="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8181821"/>
    <n v="49"/>
    <n v="49"/>
    <x v="1"/>
    <n v="1"/>
    <x v="0"/>
    <n v="0"/>
    <x v="0"/>
    <n v="2492758"/>
    <n v="1"/>
    <x v="0"/>
    <n v="2270163"/>
    <n v="2"/>
    <x v="0"/>
    <n v="1"/>
    <x v="0"/>
    <n v="0"/>
    <x v="0"/>
    <n v="1992586"/>
    <n v="2"/>
    <x v="0"/>
    <n v="0"/>
    <x v="0"/>
    <n v="1452467"/>
    <n v="3"/>
    <x v="3"/>
    <n v="0.86458299999999999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41743333"/>
    <n v="114"/>
    <n v="100"/>
    <x v="3"/>
    <n v="1"/>
    <x v="0"/>
    <n v="1"/>
    <x v="1"/>
    <n v="2733129"/>
    <n v="1"/>
    <x v="0"/>
    <n v="3"/>
    <n v="2"/>
    <x v="0"/>
    <n v="1"/>
    <x v="0"/>
    <n v="0"/>
    <x v="0"/>
    <n v="1302594"/>
    <n v="2"/>
    <x v="0"/>
    <n v="0"/>
    <x v="0"/>
    <n v="0"/>
    <n v="0"/>
    <x v="0"/>
    <n v="1103349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21473078"/>
    <n v="58"/>
    <n v="58"/>
    <x v="2"/>
    <n v="1"/>
    <x v="0"/>
    <n v="1"/>
    <x v="1"/>
    <n v="2"/>
    <n v="1"/>
    <x v="0"/>
    <n v="2646717"/>
    <n v="2"/>
    <x v="0"/>
    <n v="1"/>
    <x v="0"/>
    <n v="0"/>
    <x v="0"/>
    <n v="2"/>
    <n v="2"/>
    <x v="0"/>
    <n v="0"/>
    <x v="0"/>
    <n v="2627515"/>
    <n v="3"/>
    <x v="3"/>
    <n v="1358812"/>
    <n v="2"/>
    <x v="2"/>
    <n v="0"/>
    <x v="0"/>
    <n v="0"/>
    <x v="0"/>
    <n v="0"/>
    <x v="0"/>
    <n v="0"/>
    <x v="0"/>
    <n v="1"/>
    <x v="0"/>
    <n v="0"/>
    <x v="0"/>
    <n v="0"/>
    <x v="0"/>
  </r>
  <r>
    <n v="0"/>
    <s v="F"/>
    <n v="27757187"/>
    <n v="76"/>
    <n v="76"/>
    <x v="3"/>
    <n v="1"/>
    <x v="0"/>
    <n v="0"/>
    <x v="0"/>
    <n v="2"/>
    <n v="1"/>
    <x v="0"/>
    <n v="1"/>
    <n v="1"/>
    <x v="1"/>
    <n v="1"/>
    <x v="0"/>
    <n v="0"/>
    <x v="0"/>
    <n v="1278578"/>
    <n v="2"/>
    <x v="0"/>
    <n v="0"/>
    <x v="0"/>
    <n v="2.112E-2"/>
    <n v="0"/>
    <x v="0"/>
    <n v="0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5113537"/>
    <n v="68"/>
    <n v="68"/>
    <x v="2"/>
    <n v="1"/>
    <x v="0"/>
    <n v="0"/>
    <x v="0"/>
    <n v="2"/>
    <n v="1"/>
    <x v="0"/>
    <n v="1193729"/>
    <n v="2"/>
    <x v="0"/>
    <n v="1"/>
    <x v="0"/>
    <n v="0"/>
    <x v="0"/>
    <n v="1846441"/>
    <n v="2"/>
    <x v="0"/>
    <n v="0"/>
    <x v="0"/>
    <n v="0.54640200000000005"/>
    <n v="0"/>
    <x v="0"/>
    <n v="0.235711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182165"/>
    <n v="5"/>
    <n v="5"/>
    <x v="0"/>
    <n v="1"/>
    <x v="0"/>
    <n v="0"/>
    <x v="0"/>
    <n v="2"/>
    <n v="1"/>
    <x v="0"/>
    <n v="1477581"/>
    <n v="2"/>
    <x v="0"/>
    <n v="1"/>
    <x v="0"/>
    <n v="0"/>
    <x v="0"/>
    <n v="1995035"/>
    <n v="2"/>
    <x v="0"/>
    <n v="0"/>
    <x v="0"/>
    <n v="0.32467600000000002"/>
    <n v="0"/>
    <x v="0"/>
    <n v="0.51742999999999995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20670975"/>
    <n v="56"/>
    <n v="56"/>
    <x v="2"/>
    <n v="1"/>
    <x v="0"/>
    <n v="0"/>
    <x v="0"/>
    <n v="2294067"/>
    <n v="1"/>
    <x v="0"/>
    <n v="3209508"/>
    <n v="2"/>
    <x v="0"/>
    <n v="1"/>
    <x v="0"/>
    <n v="0"/>
    <x v="0"/>
    <n v="2"/>
    <n v="2"/>
    <x v="0"/>
    <n v="0"/>
    <x v="0"/>
    <n v="1103088"/>
    <n v="3"/>
    <x v="3"/>
    <n v="1261043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2649792"/>
    <n v="62"/>
    <n v="62"/>
    <x v="2"/>
    <n v="1"/>
    <x v="0"/>
    <n v="1"/>
    <x v="1"/>
    <n v="2"/>
    <n v="1"/>
    <x v="0"/>
    <n v="2756622"/>
    <n v="2"/>
    <x v="0"/>
    <n v="1"/>
    <x v="0"/>
    <n v="0"/>
    <x v="0"/>
    <n v="1606076"/>
    <n v="2"/>
    <x v="0"/>
    <n v="0"/>
    <x v="0"/>
    <n v="0.432973"/>
    <n v="0"/>
    <x v="0"/>
    <n v="1749586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23154311"/>
    <n v="63"/>
    <n v="63"/>
    <x v="2"/>
    <n v="1"/>
    <x v="0"/>
    <n v="1"/>
    <x v="1"/>
    <n v="2315932"/>
    <n v="1"/>
    <x v="0"/>
    <n v="2658478"/>
    <n v="2"/>
    <x v="0"/>
    <n v="1"/>
    <x v="0"/>
    <n v="0"/>
    <x v="0"/>
    <n v="1568476"/>
    <n v="2"/>
    <x v="0"/>
    <n v="0"/>
    <x v="0"/>
    <n v="0.94997600000000004"/>
    <n v="0"/>
    <x v="0"/>
    <n v="0.54489900000000002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38097395"/>
    <n v="104"/>
    <n v="100"/>
    <x v="3"/>
    <n v="1"/>
    <x v="0"/>
    <n v="1"/>
    <x v="1"/>
    <n v="3"/>
    <n v="1"/>
    <x v="0"/>
    <n v="3"/>
    <n v="2"/>
    <x v="0"/>
    <n v="1"/>
    <x v="0"/>
    <n v="0"/>
    <x v="0"/>
    <n v="2166024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7642177"/>
    <n v="103"/>
    <n v="100"/>
    <x v="3"/>
    <n v="1"/>
    <x v="0"/>
    <n v="1"/>
    <x v="1"/>
    <n v="2802128"/>
    <n v="1"/>
    <x v="0"/>
    <n v="3"/>
    <n v="2"/>
    <x v="0"/>
    <n v="1"/>
    <x v="0"/>
    <n v="0"/>
    <x v="0"/>
    <n v="1744628"/>
    <n v="2"/>
    <x v="0"/>
    <n v="0"/>
    <x v="0"/>
    <n v="0"/>
    <n v="0"/>
    <x v="0"/>
    <n v="0.721167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4176795"/>
    <n v="93"/>
    <n v="93"/>
    <x v="3"/>
    <n v="1"/>
    <x v="0"/>
    <n v="1"/>
    <x v="1"/>
    <n v="279606"/>
    <n v="1"/>
    <x v="0"/>
    <n v="1971472"/>
    <n v="2"/>
    <x v="0"/>
    <n v="1"/>
    <x v="0"/>
    <n v="0"/>
    <x v="0"/>
    <n v="1921601"/>
    <n v="2"/>
    <x v="0"/>
    <n v="0"/>
    <x v="0"/>
    <n v="0.93521699999999996"/>
    <n v="0"/>
    <x v="0"/>
    <n v="0.70463699999999996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34231083"/>
    <n v="93"/>
    <n v="93"/>
    <x v="3"/>
    <n v="1"/>
    <x v="0"/>
    <n v="1"/>
    <x v="1"/>
    <n v="2086898"/>
    <n v="1"/>
    <x v="0"/>
    <n v="1818026"/>
    <n v="2"/>
    <x v="0"/>
    <n v="1"/>
    <x v="0"/>
    <n v="0"/>
    <x v="0"/>
    <n v="2088929"/>
    <n v="2"/>
    <x v="0"/>
    <n v="0"/>
    <x v="0"/>
    <n v="0.30542200000000003"/>
    <n v="0"/>
    <x v="0"/>
    <n v="1040787"/>
    <n v="2"/>
    <x v="2"/>
    <n v="0"/>
    <x v="0"/>
    <n v="1"/>
    <x v="1"/>
    <n v="0"/>
    <x v="0"/>
    <n v="0"/>
    <x v="0"/>
    <n v="0"/>
    <x v="1"/>
    <n v="0"/>
    <x v="0"/>
    <n v="0"/>
    <x v="0"/>
  </r>
  <r>
    <n v="1"/>
    <s v="M"/>
    <n v="31965402"/>
    <n v="87"/>
    <n v="87"/>
    <x v="3"/>
    <n v="1"/>
    <x v="0"/>
    <n v="1"/>
    <x v="1"/>
    <n v="2333503"/>
    <n v="1"/>
    <x v="0"/>
    <n v="1820779"/>
    <n v="2"/>
    <x v="0"/>
    <n v="1"/>
    <x v="0"/>
    <n v="0"/>
    <x v="0"/>
    <n v="2559265"/>
    <n v="2"/>
    <x v="0"/>
    <n v="0"/>
    <x v="0"/>
    <n v="1327193"/>
    <n v="3"/>
    <x v="3"/>
    <n v="0.48135699999999998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33185661"/>
    <n v="90"/>
    <n v="90"/>
    <x v="3"/>
    <n v="1"/>
    <x v="0"/>
    <n v="1"/>
    <x v="1"/>
    <n v="2"/>
    <n v="1"/>
    <x v="0"/>
    <n v="1724887"/>
    <n v="2"/>
    <x v="0"/>
    <n v="1"/>
    <x v="0"/>
    <n v="0"/>
    <x v="0"/>
    <n v="3"/>
    <n v="2"/>
    <x v="0"/>
    <n v="0"/>
    <x v="0"/>
    <n v="1"/>
    <n v="1"/>
    <x v="2"/>
    <n v="0"/>
    <n v="0"/>
    <x v="1"/>
    <n v="1"/>
    <x v="1"/>
    <n v="1"/>
    <x v="1"/>
    <n v="0"/>
    <x v="0"/>
    <n v="0"/>
    <x v="0"/>
    <n v="0"/>
    <x v="1"/>
    <n v="0"/>
    <x v="0"/>
    <n v="0"/>
    <x v="0"/>
  </r>
  <r>
    <n v="0"/>
    <s v="F"/>
    <n v="18741188"/>
    <n v="51"/>
    <n v="51"/>
    <x v="2"/>
    <n v="1"/>
    <x v="0"/>
    <n v="0"/>
    <x v="0"/>
    <n v="3"/>
    <n v="1"/>
    <x v="0"/>
    <n v="3129155"/>
    <n v="2"/>
    <x v="0"/>
    <n v="1"/>
    <x v="0"/>
    <n v="0"/>
    <x v="0"/>
    <n v="2"/>
    <n v="2"/>
    <x v="0"/>
    <n v="0"/>
    <x v="0"/>
    <n v="1634134"/>
    <n v="3"/>
    <x v="3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19955257"/>
    <n v="54"/>
    <n v="54"/>
    <x v="2"/>
    <n v="1"/>
    <x v="0"/>
    <n v="0"/>
    <x v="0"/>
    <n v="3"/>
    <n v="1"/>
    <x v="0"/>
    <n v="3856434"/>
    <n v="2"/>
    <x v="0"/>
    <n v="1"/>
    <x v="0"/>
    <n v="0"/>
    <x v="0"/>
    <n v="2"/>
    <n v="2"/>
    <x v="0"/>
    <n v="0"/>
    <x v="0"/>
    <n v="132417"/>
    <n v="2"/>
    <x v="1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19684891"/>
    <n v="53"/>
    <n v="53"/>
    <x v="2"/>
    <n v="1"/>
    <x v="0"/>
    <n v="0"/>
    <x v="0"/>
    <n v="1653081"/>
    <n v="1"/>
    <x v="0"/>
    <n v="2753418"/>
    <n v="2"/>
    <x v="0"/>
    <n v="1"/>
    <x v="0"/>
    <n v="0"/>
    <x v="0"/>
    <n v="2192063"/>
    <n v="2"/>
    <x v="0"/>
    <n v="0"/>
    <x v="0"/>
    <n v="1474937"/>
    <n v="3"/>
    <x v="3"/>
    <n v="0.5185419999999999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477061"/>
    <n v="1"/>
    <n v="5"/>
    <x v="0"/>
    <n v="1"/>
    <x v="0"/>
    <n v="1"/>
    <x v="1"/>
    <n v="2535315"/>
    <n v="1"/>
    <x v="0"/>
    <n v="3"/>
    <n v="2"/>
    <x v="0"/>
    <n v="1"/>
    <x v="0"/>
    <n v="0"/>
    <x v="0"/>
    <n v="1146595"/>
    <n v="2"/>
    <x v="0"/>
    <n v="0"/>
    <x v="0"/>
    <n v="0.31380999999999998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997009"/>
    <n v="49"/>
    <n v="49"/>
    <x v="1"/>
    <n v="1"/>
    <x v="0"/>
    <n v="0"/>
    <x v="0"/>
    <n v="2"/>
    <n v="1"/>
    <x v="0"/>
    <n v="3"/>
    <n v="2"/>
    <x v="0"/>
    <n v="1"/>
    <x v="0"/>
    <n v="0"/>
    <x v="0"/>
    <n v="2976229"/>
    <n v="2"/>
    <x v="0"/>
    <n v="0"/>
    <x v="0"/>
    <n v="1"/>
    <n v="1"/>
    <x v="2"/>
    <n v="0.12199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7971786"/>
    <n v="49"/>
    <n v="49"/>
    <x v="1"/>
    <n v="1"/>
    <x v="0"/>
    <n v="1"/>
    <x v="1"/>
    <n v="2765769"/>
    <n v="1"/>
    <x v="0"/>
    <n v="3"/>
    <n v="2"/>
    <x v="0"/>
    <n v="1"/>
    <x v="0"/>
    <n v="0"/>
    <x v="0"/>
    <n v="2845134"/>
    <n v="2"/>
    <x v="0"/>
    <n v="0"/>
    <x v="0"/>
    <n v="1"/>
    <n v="1"/>
    <x v="2"/>
    <n v="0.426829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0432717"/>
    <n v="55"/>
    <n v="55"/>
    <x v="2"/>
    <n v="1"/>
    <x v="0"/>
    <n v="1"/>
    <x v="1"/>
    <n v="2215464"/>
    <n v="1"/>
    <x v="0"/>
    <n v="2116195"/>
    <n v="2"/>
    <x v="0"/>
    <n v="1"/>
    <x v="0"/>
    <n v="0"/>
    <x v="0"/>
    <n v="180996"/>
    <n v="2"/>
    <x v="0"/>
    <n v="0"/>
    <x v="0"/>
    <n v="1910577"/>
    <n v="3"/>
    <x v="3"/>
    <n v="0.971746"/>
    <n v="0"/>
    <x v="1"/>
    <n v="0"/>
    <x v="0"/>
    <n v="0"/>
    <x v="0"/>
    <n v="0"/>
    <x v="0"/>
    <n v="0"/>
    <x v="0"/>
    <n v="1"/>
    <x v="0"/>
    <n v="0"/>
    <x v="0"/>
    <n v="0"/>
    <x v="0"/>
  </r>
  <r>
    <n v="0"/>
    <s v="F"/>
    <n v="33954433"/>
    <n v="93"/>
    <n v="93"/>
    <x v="3"/>
    <n v="1"/>
    <x v="0"/>
    <n v="1"/>
    <x v="1"/>
    <n v="3"/>
    <n v="1"/>
    <x v="0"/>
    <n v="2049908"/>
    <n v="2"/>
    <x v="0"/>
    <n v="1"/>
    <x v="0"/>
    <n v="0"/>
    <x v="0"/>
    <n v="1999882"/>
    <n v="2"/>
    <x v="0"/>
    <n v="0"/>
    <x v="0"/>
    <n v="1637368"/>
    <n v="3"/>
    <x v="3"/>
    <n v="0.10724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7039058"/>
    <n v="46"/>
    <n v="46"/>
    <x v="1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104729"/>
    <n v="2"/>
    <x v="1"/>
    <n v="0.933802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070142"/>
    <n v="90"/>
    <n v="90"/>
    <x v="3"/>
    <n v="1"/>
    <x v="0"/>
    <n v="1"/>
    <x v="1"/>
    <n v="2"/>
    <n v="1"/>
    <x v="0"/>
    <n v="1044628"/>
    <n v="2"/>
    <x v="0"/>
    <n v="1"/>
    <x v="0"/>
    <n v="0"/>
    <x v="0"/>
    <n v="201051"/>
    <n v="2"/>
    <x v="0"/>
    <n v="0"/>
    <x v="0"/>
    <n v="2805801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4993835"/>
    <n v="95"/>
    <n v="95"/>
    <x v="3"/>
    <n v="1"/>
    <x v="0"/>
    <n v="1"/>
    <x v="1"/>
    <n v="263165"/>
    <n v="1"/>
    <x v="0"/>
    <n v="298212"/>
    <n v="2"/>
    <x v="0"/>
    <n v="1"/>
    <x v="0"/>
    <n v="0"/>
    <x v="0"/>
    <n v="2778587"/>
    <n v="2"/>
    <x v="0"/>
    <n v="0"/>
    <x v="0"/>
    <n v="2667739"/>
    <n v="3"/>
    <x v="3"/>
    <n v="0.90518100000000001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35719457"/>
    <n v="97"/>
    <n v="97"/>
    <x v="3"/>
    <n v="1"/>
    <x v="0"/>
    <n v="1"/>
    <x v="1"/>
    <n v="2"/>
    <n v="1"/>
    <x v="0"/>
    <n v="1009426"/>
    <n v="2"/>
    <x v="0"/>
    <n v="1"/>
    <x v="0"/>
    <n v="0"/>
    <x v="0"/>
    <n v="2136398"/>
    <n v="2"/>
    <x v="0"/>
    <n v="0"/>
    <x v="0"/>
    <n v="1060349"/>
    <n v="3"/>
    <x v="3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19005725"/>
    <n v="52"/>
    <n v="52"/>
    <x v="2"/>
    <n v="1"/>
    <x v="0"/>
    <n v="0"/>
    <x v="0"/>
    <n v="2942154"/>
    <n v="1"/>
    <x v="0"/>
    <n v="2667711"/>
    <n v="2"/>
    <x v="0"/>
    <n v="1"/>
    <x v="0"/>
    <n v="0"/>
    <x v="0"/>
    <n v="2184768"/>
    <n v="2"/>
    <x v="0"/>
    <n v="0"/>
    <x v="0"/>
    <n v="1524405"/>
    <n v="3"/>
    <x v="3"/>
    <n v="0.8050079999999999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8850466"/>
    <n v="51"/>
    <n v="51"/>
    <x v="2"/>
    <n v="1"/>
    <x v="0"/>
    <n v="0"/>
    <x v="0"/>
    <n v="3"/>
    <n v="1"/>
    <x v="0"/>
    <n v="3000974"/>
    <n v="2"/>
    <x v="0"/>
    <n v="1"/>
    <x v="0"/>
    <n v="0"/>
    <x v="0"/>
    <n v="2"/>
    <n v="2"/>
    <x v="0"/>
    <n v="0"/>
    <x v="0"/>
    <n v="2274248"/>
    <n v="3"/>
    <x v="3"/>
    <n v="1"/>
    <n v="1"/>
    <x v="0"/>
    <n v="1"/>
    <x v="1"/>
    <n v="0"/>
    <x v="0"/>
    <n v="0"/>
    <x v="0"/>
    <n v="0"/>
    <x v="0"/>
    <n v="1"/>
    <x v="0"/>
    <n v="0"/>
    <x v="0"/>
    <n v="0"/>
    <x v="0"/>
  </r>
  <r>
    <n v="1"/>
    <s v="M"/>
    <n v="31540751"/>
    <n v="86"/>
    <n v="86"/>
    <x v="3"/>
    <n v="1"/>
    <x v="0"/>
    <n v="1"/>
    <x v="1"/>
    <n v="2"/>
    <n v="1"/>
    <x v="0"/>
    <n v="2698883"/>
    <n v="2"/>
    <x v="0"/>
    <n v="1"/>
    <x v="0"/>
    <n v="0"/>
    <x v="0"/>
    <n v="2035104"/>
    <n v="2"/>
    <x v="0"/>
    <n v="0"/>
    <x v="0"/>
    <n v="0.59843800000000003"/>
    <n v="0"/>
    <x v="0"/>
    <n v="1.7016E-2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3335391"/>
    <n v="63"/>
    <n v="63"/>
    <x v="2"/>
    <n v="1"/>
    <x v="0"/>
    <n v="1"/>
    <x v="1"/>
    <n v="2716909"/>
    <n v="1"/>
    <x v="0"/>
    <n v="2598079"/>
    <n v="2"/>
    <x v="0"/>
    <n v="1"/>
    <x v="0"/>
    <n v="0"/>
    <x v="0"/>
    <n v="290545"/>
    <n v="2"/>
    <x v="0"/>
    <n v="0"/>
    <x v="0"/>
    <n v="1600431"/>
    <n v="3"/>
    <x v="3"/>
    <n v="0.176891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19749627"/>
    <n v="54"/>
    <n v="54"/>
    <x v="2"/>
    <n v="1"/>
    <x v="0"/>
    <n v="0"/>
    <x v="0"/>
    <n v="183746"/>
    <n v="1"/>
    <x v="0"/>
    <n v="3"/>
    <n v="2"/>
    <x v="0"/>
    <n v="1"/>
    <x v="0"/>
    <n v="0"/>
    <x v="0"/>
    <n v="2"/>
    <n v="2"/>
    <x v="0"/>
    <n v="0"/>
    <x v="0"/>
    <n v="1194519"/>
    <n v="3"/>
    <x v="3"/>
    <n v="1212762"/>
    <n v="2"/>
    <x v="2"/>
    <n v="0"/>
    <x v="0"/>
    <n v="0"/>
    <x v="0"/>
    <n v="0"/>
    <x v="0"/>
    <n v="0"/>
    <x v="0"/>
    <n v="1"/>
    <x v="0"/>
    <n v="0"/>
    <x v="0"/>
    <n v="0"/>
    <x v="0"/>
  </r>
  <r>
    <n v="1"/>
    <s v="M"/>
    <n v="19565496"/>
    <n v="53"/>
    <n v="53"/>
    <x v="2"/>
    <n v="1"/>
    <x v="0"/>
    <n v="0"/>
    <x v="0"/>
    <n v="1936479"/>
    <n v="1"/>
    <x v="0"/>
    <n v="2837388"/>
    <n v="2"/>
    <x v="0"/>
    <n v="1"/>
    <x v="0"/>
    <n v="0"/>
    <x v="0"/>
    <n v="2159987"/>
    <n v="2"/>
    <x v="0"/>
    <n v="0"/>
    <x v="0"/>
    <n v="1475772"/>
    <n v="3"/>
    <x v="3"/>
    <n v="0.6465140000000000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0357745"/>
    <n v="83"/>
    <n v="83"/>
    <x v="3"/>
    <n v="1"/>
    <x v="0"/>
    <n v="1"/>
    <x v="1"/>
    <n v="2045027"/>
    <n v="1"/>
    <x v="0"/>
    <n v="2946063"/>
    <n v="2"/>
    <x v="0"/>
    <n v="1"/>
    <x v="0"/>
    <n v="0"/>
    <x v="0"/>
    <n v="1307563"/>
    <n v="2"/>
    <x v="0"/>
    <n v="0"/>
    <x v="0"/>
    <n v="1442485"/>
    <n v="3"/>
    <x v="3"/>
    <n v="0.9344930000000000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7"/>
    <n v="27"/>
    <n v="27"/>
    <x v="1"/>
    <n v="1"/>
    <x v="0"/>
    <n v="1"/>
    <x v="1"/>
    <n v="2760607"/>
    <n v="1"/>
    <x v="0"/>
    <n v="1"/>
    <n v="1"/>
    <x v="1"/>
    <n v="1"/>
    <x v="0"/>
    <n v="0"/>
    <x v="0"/>
    <n v="1336378"/>
    <n v="2"/>
    <x v="0"/>
    <n v="0"/>
    <x v="0"/>
    <n v="1898889"/>
    <n v="3"/>
    <x v="3"/>
    <n v="0.487375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1380336"/>
    <n v="58"/>
    <n v="58"/>
    <x v="2"/>
    <n v="1"/>
    <x v="0"/>
    <n v="1"/>
    <x v="1"/>
    <n v="209449"/>
    <n v="1"/>
    <x v="0"/>
    <n v="1873484"/>
    <n v="2"/>
    <x v="0"/>
    <n v="1"/>
    <x v="0"/>
    <n v="0"/>
    <x v="0"/>
    <n v="2"/>
    <n v="2"/>
    <x v="0"/>
    <n v="0"/>
    <x v="0"/>
    <n v="2079709"/>
    <n v="3"/>
    <x v="3"/>
    <n v="0.88041400000000003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3151905"/>
    <n v="90"/>
    <n v="90"/>
    <x v="3"/>
    <n v="1"/>
    <x v="0"/>
    <n v="1"/>
    <x v="1"/>
    <n v="2"/>
    <n v="1"/>
    <x v="0"/>
    <n v="2473911"/>
    <n v="2"/>
    <x v="0"/>
    <n v="1"/>
    <x v="0"/>
    <n v="0"/>
    <x v="0"/>
    <n v="2452789"/>
    <n v="2"/>
    <x v="0"/>
    <n v="0"/>
    <x v="0"/>
    <n v="0.93279199999999995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18"/>
    <n v="18"/>
    <n v="18"/>
    <x v="0"/>
    <n v="1"/>
    <x v="0"/>
    <n v="1"/>
    <x v="1"/>
    <n v="2907062"/>
    <n v="1"/>
    <x v="0"/>
    <n v="3"/>
    <n v="2"/>
    <x v="0"/>
    <n v="1"/>
    <x v="0"/>
    <n v="0"/>
    <x v="0"/>
    <n v="2740848"/>
    <n v="2"/>
    <x v="0"/>
    <n v="0"/>
    <x v="0"/>
    <n v="1219827"/>
    <n v="3"/>
    <x v="3"/>
    <n v="3.7634000000000001E-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2241587"/>
    <n v="88"/>
    <n v="88"/>
    <x v="3"/>
    <n v="1"/>
    <x v="0"/>
    <n v="1"/>
    <x v="1"/>
    <n v="2"/>
    <n v="1"/>
    <x v="0"/>
    <n v="179558"/>
    <n v="2"/>
    <x v="0"/>
    <n v="1"/>
    <x v="0"/>
    <n v="0"/>
    <x v="0"/>
    <n v="1855054"/>
    <n v="2"/>
    <x v="0"/>
    <n v="0"/>
    <x v="0"/>
    <n v="1083572"/>
    <n v="3"/>
    <x v="3"/>
    <n v="0.21857399999999999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1662814"/>
    <n v="86"/>
    <n v="86"/>
    <x v="3"/>
    <n v="1"/>
    <x v="0"/>
    <n v="1"/>
    <x v="1"/>
    <n v="2399531"/>
    <n v="1"/>
    <x v="0"/>
    <n v="2623079"/>
    <n v="2"/>
    <x v="0"/>
    <n v="1"/>
    <x v="0"/>
    <n v="0"/>
    <x v="0"/>
    <n v="2535127"/>
    <n v="2"/>
    <x v="0"/>
    <n v="0"/>
    <x v="0"/>
    <n v="1030752"/>
    <n v="3"/>
    <x v="3"/>
    <n v="0.60626400000000003"/>
    <n v="0"/>
    <x v="1"/>
    <n v="1"/>
    <x v="1"/>
    <n v="1"/>
    <x v="1"/>
    <n v="0"/>
    <x v="0"/>
    <n v="0"/>
    <x v="0"/>
    <n v="0"/>
    <x v="1"/>
    <n v="0"/>
    <x v="0"/>
    <n v="0"/>
    <x v="0"/>
  </r>
  <r>
    <n v="1"/>
    <s v="M"/>
    <n v="24347414"/>
    <n v="66"/>
    <n v="66"/>
    <x v="2"/>
    <n v="1"/>
    <x v="0"/>
    <n v="1"/>
    <x v="1"/>
    <n v="1521604"/>
    <n v="1"/>
    <x v="0"/>
    <n v="2174968"/>
    <n v="2"/>
    <x v="0"/>
    <n v="1"/>
    <x v="0"/>
    <n v="0"/>
    <x v="0"/>
    <n v="2"/>
    <n v="2"/>
    <x v="0"/>
    <n v="0"/>
    <x v="0"/>
    <n v="0"/>
    <n v="0"/>
    <x v="0"/>
    <n v="0.632467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24362124"/>
    <n v="66"/>
    <n v="66"/>
    <x v="2"/>
    <n v="1"/>
    <x v="0"/>
    <n v="1"/>
    <x v="1"/>
    <n v="2"/>
    <n v="1"/>
    <x v="0"/>
    <n v="2676148"/>
    <n v="2"/>
    <x v="0"/>
    <n v="1"/>
    <x v="0"/>
    <n v="0"/>
    <x v="0"/>
    <n v="2083939"/>
    <n v="2"/>
    <x v="0"/>
    <n v="0"/>
    <x v="0"/>
    <n v="0.63216399999999995"/>
    <n v="0"/>
    <x v="0"/>
    <n v="0.99378599999999995"/>
    <n v="0"/>
    <x v="1"/>
    <n v="1"/>
    <x v="1"/>
    <n v="0"/>
    <x v="0"/>
    <n v="0"/>
    <x v="0"/>
    <n v="0"/>
    <x v="0"/>
    <n v="1"/>
    <x v="0"/>
    <n v="0"/>
    <x v="0"/>
    <n v="0"/>
    <x v="0"/>
  </r>
  <r>
    <n v="0"/>
    <s v="F"/>
    <n v="19462713"/>
    <n v="53"/>
    <n v="53"/>
    <x v="2"/>
    <n v="1"/>
    <x v="0"/>
    <n v="0"/>
    <x v="0"/>
    <n v="2501683"/>
    <n v="1"/>
    <x v="0"/>
    <n v="3394788"/>
    <n v="2"/>
    <x v="0"/>
    <n v="1"/>
    <x v="0"/>
    <n v="0"/>
    <x v="0"/>
    <n v="1337378"/>
    <n v="2"/>
    <x v="0"/>
    <n v="0"/>
    <x v="0"/>
    <n v="0.93288800000000005"/>
    <n v="0"/>
    <x v="0"/>
    <n v="1"/>
    <n v="1"/>
    <x v="0"/>
    <n v="0"/>
    <x v="0"/>
    <n v="0"/>
    <x v="0"/>
    <n v="0"/>
    <x v="0"/>
    <n v="0"/>
    <x v="0"/>
    <n v="1"/>
    <x v="0"/>
    <n v="0"/>
    <x v="0"/>
    <n v="0"/>
    <x v="0"/>
  </r>
  <r>
    <n v="0"/>
    <s v="F"/>
    <n v="35432059"/>
    <n v="97"/>
    <n v="97"/>
    <x v="3"/>
    <n v="1"/>
    <x v="0"/>
    <n v="1"/>
    <x v="1"/>
    <n v="2"/>
    <n v="1"/>
    <x v="0"/>
    <n v="3"/>
    <n v="2"/>
    <x v="0"/>
    <n v="1"/>
    <x v="0"/>
    <n v="0"/>
    <x v="0"/>
    <n v="1992548"/>
    <n v="2"/>
    <x v="0"/>
    <n v="0"/>
    <x v="0"/>
    <n v="3.9206999999999999E-2"/>
    <n v="0"/>
    <x v="0"/>
    <n v="1528714"/>
    <n v="2"/>
    <x v="2"/>
    <n v="0"/>
    <x v="0"/>
    <n v="1"/>
    <x v="1"/>
    <n v="0"/>
    <x v="0"/>
    <n v="0"/>
    <x v="0"/>
    <n v="0"/>
    <x v="1"/>
    <n v="0"/>
    <x v="0"/>
    <n v="0"/>
    <x v="0"/>
  </r>
  <r>
    <n v="0"/>
    <s v="F"/>
    <n v="33864257"/>
    <n v="92"/>
    <n v="92"/>
    <x v="3"/>
    <n v="1"/>
    <x v="0"/>
    <n v="1"/>
    <x v="1"/>
    <n v="276802"/>
    <n v="1"/>
    <x v="0"/>
    <n v="2137068"/>
    <n v="2"/>
    <x v="0"/>
    <n v="1"/>
    <x v="0"/>
    <n v="0"/>
    <x v="0"/>
    <n v="1873591"/>
    <n v="2"/>
    <x v="0"/>
    <n v="0"/>
    <x v="0"/>
    <n v="0.96697299999999997"/>
    <n v="0"/>
    <x v="0"/>
    <n v="0.691944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3807181"/>
    <n v="65"/>
    <n v="65"/>
    <x v="2"/>
    <n v="1"/>
    <x v="0"/>
    <n v="1"/>
    <x v="1"/>
    <n v="2742796"/>
    <n v="1"/>
    <x v="0"/>
    <n v="2937607"/>
    <n v="2"/>
    <x v="0"/>
    <n v="1"/>
    <x v="0"/>
    <n v="0"/>
    <x v="0"/>
    <n v="199467"/>
    <n v="2"/>
    <x v="0"/>
    <n v="0"/>
    <x v="0"/>
    <n v="1"/>
    <n v="1"/>
    <x v="2"/>
    <n v="2.3564000000000002E-2"/>
    <n v="0"/>
    <x v="1"/>
    <n v="1"/>
    <x v="1"/>
    <n v="0"/>
    <x v="0"/>
    <n v="0"/>
    <x v="0"/>
    <n v="0"/>
    <x v="0"/>
    <n v="1"/>
    <x v="0"/>
    <n v="0"/>
    <x v="0"/>
    <n v="0"/>
    <x v="0"/>
  </r>
  <r>
    <n v="1"/>
    <s v="M"/>
    <n v="39585811"/>
    <n v="108"/>
    <n v="100"/>
    <x v="3"/>
    <n v="1"/>
    <x v="0"/>
    <n v="1"/>
    <x v="1"/>
    <n v="2325623"/>
    <n v="1"/>
    <x v="0"/>
    <n v="1313403"/>
    <n v="2"/>
    <x v="0"/>
    <n v="1"/>
    <x v="0"/>
    <n v="0"/>
    <x v="0"/>
    <n v="194609"/>
    <n v="2"/>
    <x v="0"/>
    <n v="0"/>
    <x v="0"/>
    <n v="0.60425899999999999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0"/>
    <s v="F"/>
    <n v="45821267"/>
    <n v="125"/>
    <n v="100"/>
    <x v="3"/>
    <n v="1"/>
    <x v="0"/>
    <n v="1"/>
    <x v="1"/>
    <n v="2076689"/>
    <n v="1"/>
    <x v="0"/>
    <n v="3"/>
    <n v="2"/>
    <x v="0"/>
    <n v="1"/>
    <x v="0"/>
    <n v="0"/>
    <x v="0"/>
    <n v="1026729"/>
    <n v="2"/>
    <x v="0"/>
    <n v="0"/>
    <x v="0"/>
    <n v="0.64779799999999998"/>
    <n v="0"/>
    <x v="0"/>
    <n v="0"/>
    <n v="0"/>
    <x v="1"/>
    <n v="0"/>
    <x v="0"/>
    <n v="1"/>
    <x v="1"/>
    <n v="0"/>
    <x v="0"/>
    <n v="0"/>
    <x v="0"/>
    <n v="0"/>
    <x v="1"/>
    <n v="0"/>
    <x v="0"/>
    <n v="0"/>
    <x v="0"/>
  </r>
  <r>
    <n v="1"/>
    <s v="M"/>
    <n v="25929746"/>
    <n v="71"/>
    <n v="71"/>
    <x v="2"/>
    <n v="1"/>
    <x v="0"/>
    <n v="1"/>
    <x v="1"/>
    <n v="3"/>
    <n v="1"/>
    <x v="0"/>
    <n v="3"/>
    <n v="2"/>
    <x v="0"/>
    <n v="1"/>
    <x v="0"/>
    <n v="0"/>
    <x v="0"/>
    <n v="2045069"/>
    <n v="2"/>
    <x v="0"/>
    <n v="0"/>
    <x v="0"/>
    <n v="1725931"/>
    <n v="3"/>
    <x v="3"/>
    <n v="1619596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6042738"/>
    <n v="71"/>
    <n v="71"/>
    <x v="2"/>
    <n v="1"/>
    <x v="0"/>
    <n v="1"/>
    <x v="1"/>
    <n v="3"/>
    <n v="1"/>
    <x v="0"/>
    <n v="3"/>
    <n v="2"/>
    <x v="0"/>
    <n v="1"/>
    <x v="0"/>
    <n v="0"/>
    <x v="0"/>
    <n v="2509147"/>
    <n v="2"/>
    <x v="0"/>
    <n v="0"/>
    <x v="0"/>
    <n v="2"/>
    <n v="2"/>
    <x v="1"/>
    <n v="1564796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30551762"/>
    <n v="83"/>
    <n v="83"/>
    <x v="3"/>
    <n v="1"/>
    <x v="0"/>
    <n v="1"/>
    <x v="1"/>
    <n v="2271306"/>
    <n v="1"/>
    <x v="0"/>
    <n v="3"/>
    <n v="2"/>
    <x v="0"/>
    <n v="1"/>
    <x v="0"/>
    <n v="0"/>
    <x v="0"/>
    <n v="1771198"/>
    <n v="2"/>
    <x v="0"/>
    <n v="0"/>
    <x v="0"/>
    <n v="2"/>
    <n v="2"/>
    <x v="1"/>
    <n v="0.413752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9759575"/>
    <n v="108"/>
    <n v="100"/>
    <x v="3"/>
    <n v="1"/>
    <x v="0"/>
    <n v="1"/>
    <x v="1"/>
    <n v="233361"/>
    <n v="1"/>
    <x v="0"/>
    <n v="2113575"/>
    <n v="2"/>
    <x v="0"/>
    <n v="1"/>
    <x v="0"/>
    <n v="0"/>
    <x v="0"/>
    <n v="2504136"/>
    <n v="2"/>
    <x v="0"/>
    <n v="0"/>
    <x v="0"/>
    <n v="2998981"/>
    <n v="3"/>
    <x v="3"/>
    <n v="1"/>
    <n v="1"/>
    <x v="0"/>
    <n v="1"/>
    <x v="1"/>
    <n v="1"/>
    <x v="1"/>
    <n v="0"/>
    <x v="0"/>
    <n v="0"/>
    <x v="0"/>
    <n v="0"/>
    <x v="1"/>
    <n v="0"/>
    <x v="0"/>
    <n v="1"/>
    <x v="1"/>
  </r>
  <r>
    <n v="0"/>
    <s v="F"/>
    <n v="31386405"/>
    <n v="85"/>
    <n v="85"/>
    <x v="3"/>
    <n v="1"/>
    <x v="0"/>
    <n v="1"/>
    <x v="1"/>
    <n v="213683"/>
    <n v="1"/>
    <x v="0"/>
    <n v="2092179"/>
    <n v="2"/>
    <x v="0"/>
    <n v="1"/>
    <x v="0"/>
    <n v="0"/>
    <x v="0"/>
    <n v="1505381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06285"/>
    <n v="70"/>
    <n v="70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43604901"/>
    <n v="119"/>
    <n v="100"/>
    <x v="3"/>
    <n v="1"/>
    <x v="0"/>
    <n v="1"/>
    <x v="1"/>
    <n v="2909853"/>
    <n v="1"/>
    <x v="0"/>
    <n v="1"/>
    <n v="1"/>
    <x v="1"/>
    <n v="1"/>
    <x v="0"/>
    <n v="0"/>
    <x v="0"/>
    <n v="2"/>
    <n v="2"/>
    <x v="0"/>
    <n v="0"/>
    <x v="0"/>
    <n v="1308852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4231607"/>
    <n v="11"/>
    <n v="11"/>
    <x v="0"/>
    <n v="1"/>
    <x v="0"/>
    <n v="1"/>
    <x v="1"/>
    <n v="2490507"/>
    <n v="1"/>
    <x v="0"/>
    <n v="2974204"/>
    <n v="2"/>
    <x v="0"/>
    <n v="1"/>
    <x v="0"/>
    <n v="0"/>
    <x v="0"/>
    <n v="1846754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22654316"/>
    <n v="62"/>
    <n v="62"/>
    <x v="2"/>
    <n v="1"/>
    <x v="0"/>
    <n v="1"/>
    <x v="1"/>
    <n v="1063449"/>
    <n v="1"/>
    <x v="0"/>
    <n v="1"/>
    <n v="1"/>
    <x v="1"/>
    <n v="1"/>
    <x v="0"/>
    <n v="0"/>
    <x v="0"/>
    <n v="2"/>
    <n v="2"/>
    <x v="0"/>
    <n v="0"/>
    <x v="0"/>
    <n v="0"/>
    <n v="0"/>
    <x v="0"/>
    <n v="1482016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679935"/>
    <n v="62"/>
    <n v="62"/>
    <x v="2"/>
    <n v="1"/>
    <x v="0"/>
    <n v="1"/>
    <x v="1"/>
    <n v="2699282"/>
    <n v="1"/>
    <x v="0"/>
    <n v="1"/>
    <n v="1"/>
    <x v="1"/>
    <n v="1"/>
    <x v="0"/>
    <n v="0"/>
    <x v="0"/>
    <n v="2598632"/>
    <n v="2"/>
    <x v="0"/>
    <n v="0"/>
    <x v="0"/>
    <n v="0.29209299999999999"/>
    <n v="0"/>
    <x v="0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4079524"/>
    <n v="65"/>
    <n v="65"/>
    <x v="2"/>
    <n v="1"/>
    <x v="0"/>
    <n v="1"/>
    <x v="1"/>
    <n v="2"/>
    <n v="1"/>
    <x v="0"/>
    <n v="3"/>
    <n v="2"/>
    <x v="0"/>
    <n v="1"/>
    <x v="0"/>
    <n v="0"/>
    <x v="0"/>
    <n v="2843675"/>
    <n v="2"/>
    <x v="0"/>
    <n v="0"/>
    <x v="0"/>
    <n v="1309304"/>
    <n v="3"/>
    <x v="3"/>
    <n v="1338655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1196152"/>
    <n v="58"/>
    <n v="58"/>
    <x v="2"/>
    <n v="1"/>
    <x v="0"/>
    <n v="1"/>
    <x v="1"/>
    <n v="24277"/>
    <n v="1"/>
    <x v="0"/>
    <n v="1001633"/>
    <n v="2"/>
    <x v="0"/>
    <n v="1"/>
    <x v="0"/>
    <n v="0"/>
    <x v="0"/>
    <n v="3"/>
    <n v="2"/>
    <x v="0"/>
    <n v="0"/>
    <x v="0"/>
    <n v="1172641"/>
    <n v="3"/>
    <x v="3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2596576"/>
    <n v="61"/>
    <n v="61"/>
    <x v="2"/>
    <n v="1"/>
    <x v="0"/>
    <n v="1"/>
    <x v="1"/>
    <n v="287599"/>
    <n v="1"/>
    <x v="0"/>
    <n v="12919"/>
    <n v="2"/>
    <x v="0"/>
    <n v="1"/>
    <x v="0"/>
    <n v="0"/>
    <x v="0"/>
    <n v="2777712"/>
    <n v="2"/>
    <x v="0"/>
    <n v="0"/>
    <x v="0"/>
    <n v="0.432813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177243"/>
    <n v="1"/>
    <x v="0"/>
    <n v="3"/>
    <n v="2"/>
    <x v="0"/>
    <n v="1"/>
    <x v="0"/>
    <n v="0"/>
    <x v="0"/>
    <n v="2715572"/>
    <n v="2"/>
    <x v="0"/>
    <n v="0"/>
    <x v="0"/>
    <n v="2230109"/>
    <n v="3"/>
    <x v="3"/>
    <n v="7.0897000000000002E-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7356288"/>
    <n v="102"/>
    <n v="100"/>
    <x v="3"/>
    <n v="1"/>
    <x v="0"/>
    <n v="1"/>
    <x v="1"/>
    <n v="2"/>
    <n v="1"/>
    <x v="0"/>
    <n v="3"/>
    <n v="2"/>
    <x v="0"/>
    <n v="1"/>
    <x v="0"/>
    <n v="0"/>
    <x v="0"/>
    <n v="1630528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2754646"/>
    <n v="62"/>
    <n v="62"/>
    <x v="2"/>
    <n v="1"/>
    <x v="0"/>
    <n v="1"/>
    <x v="1"/>
    <n v="2"/>
    <n v="1"/>
    <x v="0"/>
    <n v="3"/>
    <n v="2"/>
    <x v="0"/>
    <n v="1"/>
    <x v="0"/>
    <n v="0"/>
    <x v="0"/>
    <n v="2287248"/>
    <n v="2"/>
    <x v="0"/>
    <n v="0"/>
    <x v="0"/>
    <n v="2669179"/>
    <n v="3"/>
    <x v="3"/>
    <n v="123786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3252906"/>
    <n v="63"/>
    <n v="63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2025438"/>
    <n v="60"/>
    <n v="60"/>
    <x v="2"/>
    <n v="1"/>
    <x v="0"/>
    <n v="1"/>
    <x v="1"/>
    <n v="3"/>
    <n v="1"/>
    <x v="0"/>
    <n v="1"/>
    <n v="1"/>
    <x v="1"/>
    <n v="1"/>
    <x v="0"/>
    <n v="0"/>
    <x v="0"/>
    <n v="3"/>
    <n v="2"/>
    <x v="0"/>
    <n v="0"/>
    <x v="0"/>
    <n v="1280924"/>
    <n v="3"/>
    <x v="3"/>
    <n v="177795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18086772"/>
    <n v="49"/>
    <n v="49"/>
    <x v="1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102975"/>
    <n v="2"/>
    <x v="1"/>
    <n v="1350099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994393"/>
    <n v="71"/>
    <n v="71"/>
    <x v="2"/>
    <n v="1"/>
    <x v="0"/>
    <n v="1"/>
    <x v="1"/>
    <n v="3"/>
    <n v="1"/>
    <x v="0"/>
    <n v="3"/>
    <n v="2"/>
    <x v="0"/>
    <n v="1"/>
    <x v="0"/>
    <n v="0"/>
    <x v="0"/>
    <n v="1776991"/>
    <n v="2"/>
    <x v="0"/>
    <n v="0"/>
    <x v="0"/>
    <n v="1757724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0821515"/>
    <n v="111"/>
    <n v="100"/>
    <x v="3"/>
    <n v="1"/>
    <x v="0"/>
    <n v="1"/>
    <x v="1"/>
    <n v="2"/>
    <n v="1"/>
    <x v="0"/>
    <n v="3"/>
    <n v="2"/>
    <x v="0"/>
    <n v="1"/>
    <x v="0"/>
    <n v="0"/>
    <x v="0"/>
    <n v="1406115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1530493"/>
    <n v="2"/>
    <x v="0"/>
    <n v="0"/>
    <x v="0"/>
    <n v="0.96762700000000001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37955371"/>
    <n v="103"/>
    <n v="100"/>
    <x v="3"/>
    <n v="1"/>
    <x v="0"/>
    <n v="1"/>
    <x v="1"/>
    <n v="2846452"/>
    <n v="1"/>
    <x v="0"/>
    <n v="1139317"/>
    <n v="2"/>
    <x v="0"/>
    <n v="1"/>
    <x v="0"/>
    <n v="0"/>
    <x v="0"/>
    <n v="1459511"/>
    <n v="2"/>
    <x v="0"/>
    <n v="0"/>
    <x v="0"/>
    <n v="171807"/>
    <n v="2"/>
    <x v="1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315593"/>
    <n v="85"/>
    <n v="85"/>
    <x v="3"/>
    <n v="1"/>
    <x v="0"/>
    <n v="1"/>
    <x v="1"/>
    <n v="219011"/>
    <n v="1"/>
    <x v="0"/>
    <n v="2029858"/>
    <n v="2"/>
    <x v="0"/>
    <n v="1"/>
    <x v="0"/>
    <n v="0"/>
    <x v="0"/>
    <n v="2348981"/>
    <n v="2"/>
    <x v="0"/>
    <n v="0"/>
    <x v="0"/>
    <n v="1946907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2661556"/>
    <n v="62"/>
    <n v="62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.105936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40317787"/>
    <n v="110"/>
    <n v="100"/>
    <x v="3"/>
    <n v="1"/>
    <x v="0"/>
    <n v="1"/>
    <x v="1"/>
    <n v="2"/>
    <n v="1"/>
    <x v="0"/>
    <n v="3"/>
    <n v="2"/>
    <x v="0"/>
    <n v="1"/>
    <x v="0"/>
    <n v="0"/>
    <x v="0"/>
    <n v="2680292"/>
    <n v="2"/>
    <x v="0"/>
    <n v="0"/>
    <x v="0"/>
    <n v="1549693"/>
    <n v="3"/>
    <x v="3"/>
    <n v="0.52225900000000003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3365649"/>
    <n v="64"/>
    <n v="64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172127"/>
    <n v="5"/>
    <n v="5"/>
    <x v="0"/>
    <n v="1"/>
    <x v="0"/>
    <n v="1"/>
    <x v="1"/>
    <n v="2"/>
    <n v="1"/>
    <x v="0"/>
    <n v="2977543"/>
    <n v="2"/>
    <x v="0"/>
    <n v="1"/>
    <x v="0"/>
    <n v="0"/>
    <x v="0"/>
    <n v="2205977"/>
    <n v="2"/>
    <x v="0"/>
    <n v="0"/>
    <x v="0"/>
    <n v="2698874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5389491"/>
    <n v="96"/>
    <n v="96"/>
    <x v="3"/>
    <n v="1"/>
    <x v="0"/>
    <n v="1"/>
    <x v="1"/>
    <n v="2069267"/>
    <n v="1"/>
    <x v="0"/>
    <n v="1476204"/>
    <n v="2"/>
    <x v="0"/>
    <n v="1"/>
    <x v="0"/>
    <n v="0"/>
    <x v="0"/>
    <n v="3"/>
    <n v="2"/>
    <x v="0"/>
    <n v="0"/>
    <x v="0"/>
    <n v="205252"/>
    <n v="2"/>
    <x v="1"/>
    <n v="9.2735999999999999E-2"/>
    <n v="0"/>
    <x v="1"/>
    <n v="2"/>
    <x v="2"/>
    <n v="1"/>
    <x v="1"/>
    <n v="0"/>
    <x v="0"/>
    <n v="0"/>
    <x v="0"/>
    <n v="0"/>
    <x v="1"/>
    <n v="0"/>
    <x v="0"/>
    <n v="1"/>
    <x v="1"/>
  </r>
  <r>
    <n v="0"/>
    <s v="F"/>
    <n v="22061461"/>
    <n v="60"/>
    <n v="60"/>
    <x v="2"/>
    <n v="1"/>
    <x v="0"/>
    <n v="1"/>
    <x v="1"/>
    <n v="1362441"/>
    <n v="1"/>
    <x v="0"/>
    <n v="257038"/>
    <n v="2"/>
    <x v="0"/>
    <n v="1"/>
    <x v="0"/>
    <n v="0"/>
    <x v="0"/>
    <n v="2166228"/>
    <n v="2"/>
    <x v="0"/>
    <n v="0"/>
    <x v="0"/>
    <n v="2232851"/>
    <n v="3"/>
    <x v="3"/>
    <n v="1281141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09663"/>
    <n v="1"/>
    <x v="0"/>
    <n v="2879541"/>
    <n v="2"/>
    <x v="0"/>
    <n v="1"/>
    <x v="0"/>
    <n v="0"/>
    <x v="0"/>
    <n v="2432967"/>
    <n v="2"/>
    <x v="0"/>
    <n v="0"/>
    <x v="0"/>
    <n v="1887012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928234"/>
    <n v="1"/>
    <x v="0"/>
    <n v="1458507"/>
    <n v="2"/>
    <x v="0"/>
    <n v="1"/>
    <x v="0"/>
    <n v="0"/>
    <x v="0"/>
    <n v="2777379"/>
    <n v="2"/>
    <x v="0"/>
    <n v="0"/>
    <x v="0"/>
    <n v="0.354541"/>
    <n v="0"/>
    <x v="0"/>
    <n v="1707018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40951591"/>
    <n v="112"/>
    <n v="100"/>
    <x v="3"/>
    <n v="1"/>
    <x v="0"/>
    <n v="1"/>
    <x v="1"/>
    <n v="2"/>
    <n v="1"/>
    <x v="0"/>
    <n v="1105617"/>
    <n v="2"/>
    <x v="0"/>
    <n v="1"/>
    <x v="0"/>
    <n v="0"/>
    <x v="0"/>
    <n v="1372811"/>
    <n v="2"/>
    <x v="0"/>
    <n v="0"/>
    <x v="0"/>
    <n v="1629432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9135634"/>
    <n v="107"/>
    <n v="100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6271621"/>
    <n v="71"/>
    <n v="71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66927800000000004"/>
    <n v="0"/>
    <x v="0"/>
    <n v="0.50526599999999999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3779235"/>
    <n v="65"/>
    <n v="65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.82750199999999996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586978"/>
    <n v="56"/>
    <n v="56"/>
    <x v="2"/>
    <n v="1"/>
    <x v="0"/>
    <n v="1"/>
    <x v="1"/>
    <n v="2"/>
    <n v="1"/>
    <x v="0"/>
    <n v="3"/>
    <n v="2"/>
    <x v="0"/>
    <n v="1"/>
    <x v="0"/>
    <n v="0"/>
    <x v="0"/>
    <n v="1689793"/>
    <n v="2"/>
    <x v="0"/>
    <n v="0"/>
    <x v="0"/>
    <n v="1464204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669478"/>
    <n v="59"/>
    <n v="59"/>
    <x v="2"/>
    <n v="1"/>
    <x v="0"/>
    <n v="1"/>
    <x v="1"/>
    <n v="2"/>
    <n v="1"/>
    <x v="0"/>
    <n v="3"/>
    <n v="2"/>
    <x v="0"/>
    <n v="1"/>
    <x v="0"/>
    <n v="0"/>
    <x v="0"/>
    <n v="2771469"/>
    <n v="2"/>
    <x v="0"/>
    <n v="0"/>
    <x v="0"/>
    <n v="2359339"/>
    <n v="3"/>
    <x v="3"/>
    <n v="1206251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2.6141999999999999E-2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825962"/>
    <n v="57"/>
    <n v="57"/>
    <x v="2"/>
    <n v="1"/>
    <x v="0"/>
    <n v="1"/>
    <x v="1"/>
    <n v="2"/>
    <n v="1"/>
    <x v="0"/>
    <n v="3"/>
    <n v="2"/>
    <x v="0"/>
    <n v="1"/>
    <x v="0"/>
    <n v="0"/>
    <x v="0"/>
    <n v="1155384"/>
    <n v="2"/>
    <x v="0"/>
    <n v="0"/>
    <x v="0"/>
    <n v="3.9379999999999997E-3"/>
    <n v="0"/>
    <x v="0"/>
    <n v="0.526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8178023"/>
    <n v="49"/>
    <n v="49"/>
    <x v="1"/>
    <n v="1"/>
    <x v="0"/>
    <n v="1"/>
    <x v="1"/>
    <n v="2"/>
    <n v="1"/>
    <x v="0"/>
    <n v="1854536"/>
    <n v="2"/>
    <x v="0"/>
    <n v="1"/>
    <x v="0"/>
    <n v="0"/>
    <x v="0"/>
    <n v="2160169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1"/>
    <x v="0"/>
    <n v="1"/>
    <x v="1"/>
    <n v="2496455"/>
    <n v="1"/>
    <x v="0"/>
    <n v="3"/>
    <n v="2"/>
    <x v="0"/>
    <n v="1"/>
    <x v="0"/>
    <n v="0"/>
    <x v="0"/>
    <n v="1850344"/>
    <n v="2"/>
    <x v="0"/>
    <n v="0"/>
    <x v="0"/>
    <n v="1066101"/>
    <n v="3"/>
    <x v="3"/>
    <n v="0.732265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267696"/>
    <n v="50"/>
    <n v="50"/>
    <x v="1"/>
    <n v="1"/>
    <x v="0"/>
    <n v="1"/>
    <x v="1"/>
    <n v="170825"/>
    <n v="1"/>
    <x v="0"/>
    <n v="3"/>
    <n v="2"/>
    <x v="0"/>
    <n v="1"/>
    <x v="0"/>
    <n v="0"/>
    <x v="0"/>
    <n v="1"/>
    <n v="1"/>
    <x v="1"/>
    <n v="0"/>
    <x v="0"/>
    <n v="0.899864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262171"/>
    <n v="1"/>
    <x v="0"/>
    <n v="3"/>
    <n v="2"/>
    <x v="0"/>
    <n v="1"/>
    <x v="0"/>
    <n v="0"/>
    <x v="0"/>
    <n v="203415"/>
    <n v="2"/>
    <x v="0"/>
    <n v="0"/>
    <x v="0"/>
    <n v="0.31736300000000001"/>
    <n v="0"/>
    <x v="0"/>
    <n v="0.508662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740633"/>
    <n v="1"/>
    <x v="0"/>
    <n v="3"/>
    <n v="2"/>
    <x v="0"/>
    <n v="1"/>
    <x v="0"/>
    <n v="0"/>
    <x v="0"/>
    <n v="2081005"/>
    <n v="2"/>
    <x v="0"/>
    <n v="0"/>
    <x v="0"/>
    <n v="0.65023500000000001"/>
    <n v="0"/>
    <x v="0"/>
    <n v="0.76905999999999997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09859"/>
    <n v="0"/>
    <n v="5"/>
    <x v="0"/>
    <n v="1"/>
    <x v="0"/>
    <n v="1"/>
    <x v="1"/>
    <n v="2"/>
    <n v="1"/>
    <x v="0"/>
    <n v="3"/>
    <n v="2"/>
    <x v="0"/>
    <n v="1"/>
    <x v="0"/>
    <n v="0"/>
    <x v="0"/>
    <n v="1608128"/>
    <n v="2"/>
    <x v="0"/>
    <n v="0"/>
    <x v="0"/>
    <n v="0.478134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504943"/>
    <n v="58"/>
    <n v="58"/>
    <x v="2"/>
    <n v="1"/>
    <x v="0"/>
    <n v="1"/>
    <x v="1"/>
    <n v="2"/>
    <n v="1"/>
    <x v="0"/>
    <n v="3"/>
    <n v="2"/>
    <x v="0"/>
    <n v="1"/>
    <x v="0"/>
    <n v="0"/>
    <x v="0"/>
    <n v="2715252"/>
    <n v="2"/>
    <x v="0"/>
    <n v="0"/>
    <x v="0"/>
    <n v="0"/>
    <n v="0"/>
    <x v="0"/>
    <n v="0.62160499999999996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08687"/>
    <n v="2"/>
    <x v="0"/>
    <n v="1"/>
    <x v="0"/>
    <n v="0"/>
    <x v="0"/>
    <n v="2279124"/>
    <n v="2"/>
    <x v="0"/>
    <n v="0"/>
    <x v="0"/>
    <n v="1"/>
    <n v="1"/>
    <x v="2"/>
    <n v="1609773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25535"/>
    <n v="2"/>
    <x v="0"/>
    <n v="1"/>
    <x v="0"/>
    <n v="0"/>
    <x v="0"/>
    <n v="2497065"/>
    <n v="2"/>
    <x v="0"/>
    <n v="0"/>
    <x v="0"/>
    <n v="1"/>
    <n v="1"/>
    <x v="2"/>
    <n v="1441605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9442663"/>
    <n v="53"/>
    <n v="53"/>
    <x v="2"/>
    <n v="1"/>
    <x v="0"/>
    <n v="1"/>
    <x v="1"/>
    <n v="1081585"/>
    <n v="1"/>
    <x v="0"/>
    <n v="2870661"/>
    <n v="2"/>
    <x v="0"/>
    <n v="1"/>
    <x v="0"/>
    <n v="0"/>
    <x v="0"/>
    <n v="111756"/>
    <n v="2"/>
    <x v="0"/>
    <n v="0"/>
    <x v="0"/>
    <n v="0"/>
    <n v="0"/>
    <x v="0"/>
    <n v="1616826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865018"/>
    <n v="62"/>
    <n v="62"/>
    <x v="2"/>
    <n v="1"/>
    <x v="0"/>
    <n v="1"/>
    <x v="1"/>
    <n v="2587789"/>
    <n v="1"/>
    <x v="0"/>
    <n v="1482103"/>
    <n v="2"/>
    <x v="0"/>
    <n v="1"/>
    <x v="0"/>
    <n v="0"/>
    <x v="0"/>
    <n v="1911664"/>
    <n v="2"/>
    <x v="0"/>
    <n v="0"/>
    <x v="0"/>
    <n v="0"/>
    <n v="0"/>
    <x v="0"/>
    <n v="0.128680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948577"/>
    <n v="60"/>
    <n v="60"/>
    <x v="2"/>
    <n v="1"/>
    <x v="0"/>
    <n v="1"/>
    <x v="1"/>
    <n v="2252653"/>
    <n v="1"/>
    <x v="0"/>
    <n v="3"/>
    <n v="2"/>
    <x v="0"/>
    <n v="1"/>
    <x v="0"/>
    <n v="0"/>
    <x v="0"/>
    <n v="2962371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214617"/>
    <n v="58"/>
    <n v="58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732186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2277859"/>
    <n v="61"/>
    <n v="61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97518700000000003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37832949"/>
    <n v="103"/>
    <n v="100"/>
    <x v="3"/>
    <n v="1"/>
    <x v="0"/>
    <n v="1"/>
    <x v="1"/>
    <n v="2036613"/>
    <n v="1"/>
    <x v="0"/>
    <n v="181698"/>
    <n v="2"/>
    <x v="0"/>
    <n v="1"/>
    <x v="0"/>
    <n v="0"/>
    <x v="0"/>
    <n v="193059"/>
    <n v="2"/>
    <x v="0"/>
    <n v="0"/>
    <x v="0"/>
    <n v="1851404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631769"/>
    <n v="103"/>
    <n v="100"/>
    <x v="3"/>
    <n v="1"/>
    <x v="0"/>
    <n v="1"/>
    <x v="1"/>
    <n v="2"/>
    <n v="1"/>
    <x v="0"/>
    <n v="2582591"/>
    <n v="2"/>
    <x v="0"/>
    <n v="1"/>
    <x v="0"/>
    <n v="0"/>
    <x v="0"/>
    <n v="1535134"/>
    <n v="2"/>
    <x v="0"/>
    <n v="0"/>
    <x v="0"/>
    <n v="188452"/>
    <n v="2"/>
    <x v="1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176739"/>
    <n v="0"/>
    <n v="5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.23331399999999999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7524551"/>
    <n v="102"/>
    <n v="100"/>
    <x v="3"/>
    <n v="1"/>
    <x v="0"/>
    <n v="1"/>
    <x v="1"/>
    <n v="2"/>
    <n v="1"/>
    <x v="0"/>
    <n v="3"/>
    <n v="2"/>
    <x v="0"/>
    <n v="1"/>
    <x v="0"/>
    <n v="0"/>
    <x v="0"/>
    <n v="2102976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3510672"/>
    <n v="119"/>
    <n v="100"/>
    <x v="3"/>
    <n v="1"/>
    <x v="0"/>
    <n v="1"/>
    <x v="1"/>
    <n v="2"/>
    <n v="1"/>
    <x v="0"/>
    <n v="3"/>
    <n v="2"/>
    <x v="0"/>
    <n v="1"/>
    <x v="0"/>
    <n v="0"/>
    <x v="0"/>
    <n v="2091934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2164839"/>
    <n v="2"/>
    <x v="0"/>
    <n v="1"/>
    <x v="0"/>
    <n v="0"/>
    <x v="0"/>
    <n v="2094479"/>
    <n v="2"/>
    <x v="0"/>
    <n v="0"/>
    <x v="0"/>
    <n v="1"/>
    <n v="1"/>
    <x v="2"/>
    <n v="0.6765569999999999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2141839"/>
    <n v="2"/>
    <x v="0"/>
    <n v="1"/>
    <x v="0"/>
    <n v="0"/>
    <x v="0"/>
    <n v="2939847"/>
    <n v="2"/>
    <x v="0"/>
    <n v="0"/>
    <x v="0"/>
    <n v="1"/>
    <n v="1"/>
    <x v="2"/>
    <n v="0.103055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9506287"/>
    <n v="80"/>
    <n v="80"/>
    <x v="3"/>
    <n v="1"/>
    <x v="0"/>
    <n v="1"/>
    <x v="1"/>
    <n v="2"/>
    <n v="1"/>
    <x v="0"/>
    <n v="2877583"/>
    <n v="2"/>
    <x v="0"/>
    <n v="1"/>
    <x v="0"/>
    <n v="0"/>
    <x v="0"/>
    <n v="2358038"/>
    <n v="2"/>
    <x v="0"/>
    <n v="0"/>
    <x v="0"/>
    <n v="0.87729500000000005"/>
    <n v="0"/>
    <x v="0"/>
    <n v="1817146"/>
    <n v="2"/>
    <x v="2"/>
    <n v="1"/>
    <x v="1"/>
    <n v="1"/>
    <x v="1"/>
    <n v="0"/>
    <x v="0"/>
    <n v="0"/>
    <x v="0"/>
    <n v="0"/>
    <x v="1"/>
    <n v="0"/>
    <x v="0"/>
    <n v="1"/>
    <x v="1"/>
  </r>
  <r>
    <n v="0"/>
    <s v="F"/>
    <n v="18"/>
    <n v="18"/>
    <n v="18"/>
    <x v="0"/>
    <n v="1"/>
    <x v="0"/>
    <n v="1"/>
    <x v="1"/>
    <n v="2609123"/>
    <n v="1"/>
    <x v="0"/>
    <n v="3"/>
    <n v="2"/>
    <x v="0"/>
    <n v="1"/>
    <x v="0"/>
    <n v="0"/>
    <x v="0"/>
    <n v="1955053"/>
    <n v="2"/>
    <x v="0"/>
    <n v="0"/>
    <x v="0"/>
    <n v="1186013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4733308"/>
    <n v="67"/>
    <n v="67"/>
    <x v="2"/>
    <n v="1"/>
    <x v="0"/>
    <n v="1"/>
    <x v="1"/>
    <n v="1036159"/>
    <n v="1"/>
    <x v="0"/>
    <n v="3"/>
    <n v="2"/>
    <x v="0"/>
    <n v="1"/>
    <x v="0"/>
    <n v="0"/>
    <x v="0"/>
    <n v="1"/>
    <n v="1"/>
    <x v="1"/>
    <n v="0"/>
    <x v="0"/>
    <n v="0.34401300000000001"/>
    <n v="0"/>
    <x v="0"/>
    <n v="0.3293670000000000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9"/>
    <n v="29"/>
    <n v="29"/>
    <x v="1"/>
    <n v="1"/>
    <x v="0"/>
    <n v="1"/>
    <x v="1"/>
    <n v="1851262"/>
    <n v="1"/>
    <x v="0"/>
    <n v="3"/>
    <n v="2"/>
    <x v="0"/>
    <n v="1"/>
    <x v="0"/>
    <n v="0"/>
    <x v="0"/>
    <n v="211267"/>
    <n v="2"/>
    <x v="0"/>
    <n v="0"/>
    <x v="0"/>
    <n v="0.38826899999999998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1051735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098035"/>
    <n v="57"/>
    <n v="57"/>
    <x v="2"/>
    <n v="1"/>
    <x v="0"/>
    <n v="1"/>
    <x v="1"/>
    <n v="2"/>
    <n v="1"/>
    <x v="0"/>
    <n v="295833"/>
    <n v="2"/>
    <x v="0"/>
    <n v="1"/>
    <x v="0"/>
    <n v="0"/>
    <x v="0"/>
    <n v="2"/>
    <n v="2"/>
    <x v="0"/>
    <n v="0"/>
    <x v="0"/>
    <n v="0"/>
    <n v="0"/>
    <x v="0"/>
    <n v="1595306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19089595"/>
    <n v="52"/>
    <n v="52"/>
    <x v="2"/>
    <n v="1"/>
    <x v="0"/>
    <n v="1"/>
    <x v="1"/>
    <n v="2"/>
    <n v="1"/>
    <x v="0"/>
    <n v="2119826"/>
    <n v="2"/>
    <x v="0"/>
    <n v="1"/>
    <x v="0"/>
    <n v="0"/>
    <x v="0"/>
    <n v="2"/>
    <n v="2"/>
    <x v="0"/>
    <n v="0"/>
    <x v="0"/>
    <n v="0"/>
    <n v="0"/>
    <x v="0"/>
    <n v="1882539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8312665"/>
    <n v="50"/>
    <n v="50"/>
    <x v="1"/>
    <n v="1"/>
    <x v="0"/>
    <n v="1"/>
    <x v="1"/>
    <n v="2501236"/>
    <n v="1"/>
    <x v="0"/>
    <n v="3"/>
    <n v="2"/>
    <x v="0"/>
    <n v="1"/>
    <x v="0"/>
    <n v="0"/>
    <x v="0"/>
    <n v="1220331"/>
    <n v="2"/>
    <x v="0"/>
    <n v="0"/>
    <x v="0"/>
    <n v="0.245003"/>
    <n v="0"/>
    <x v="0"/>
    <n v="0.53720199999999996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260079"/>
    <n v="50"/>
    <n v="50"/>
    <x v="1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1783858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6004294"/>
    <n v="71"/>
    <n v="71"/>
    <x v="2"/>
    <n v="1"/>
    <x v="0"/>
    <n v="1"/>
    <x v="1"/>
    <n v="3"/>
    <n v="1"/>
    <x v="0"/>
    <n v="3"/>
    <n v="2"/>
    <x v="0"/>
    <n v="1"/>
    <x v="0"/>
    <n v="0"/>
    <x v="0"/>
    <n v="2925029"/>
    <n v="2"/>
    <x v="0"/>
    <n v="0"/>
    <x v="0"/>
    <n v="2"/>
    <n v="2"/>
    <x v="1"/>
    <n v="1758865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994746"/>
    <n v="71"/>
    <n v="71"/>
    <x v="2"/>
    <n v="1"/>
    <x v="0"/>
    <n v="1"/>
    <x v="1"/>
    <n v="3"/>
    <n v="1"/>
    <x v="0"/>
    <n v="3"/>
    <n v="2"/>
    <x v="0"/>
    <n v="1"/>
    <x v="0"/>
    <n v="0"/>
    <x v="0"/>
    <n v="2858171"/>
    <n v="2"/>
    <x v="0"/>
    <n v="0"/>
    <x v="0"/>
    <n v="1813318"/>
    <n v="3"/>
    <x v="3"/>
    <n v="0.680215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6726617"/>
    <n v="100"/>
    <n v="100"/>
    <x v="3"/>
    <n v="1"/>
    <x v="0"/>
    <n v="1"/>
    <x v="1"/>
    <n v="2031185"/>
    <n v="1"/>
    <x v="0"/>
    <n v="2992606"/>
    <n v="2"/>
    <x v="0"/>
    <n v="1"/>
    <x v="0"/>
    <n v="0"/>
    <x v="0"/>
    <n v="2852254"/>
    <n v="2"/>
    <x v="0"/>
    <n v="0"/>
    <x v="0"/>
    <n v="200123"/>
    <n v="2"/>
    <x v="1"/>
    <n v="0.36037000000000002"/>
    <n v="0"/>
    <x v="1"/>
    <n v="2"/>
    <x v="2"/>
    <n v="1"/>
    <x v="1"/>
    <n v="0"/>
    <x v="0"/>
    <n v="0"/>
    <x v="0"/>
    <n v="0"/>
    <x v="1"/>
    <n v="0"/>
    <x v="0"/>
    <n v="1"/>
    <x v="1"/>
  </r>
  <r>
    <n v="1"/>
    <s v="M"/>
    <n v="38297259"/>
    <n v="104"/>
    <n v="100"/>
    <x v="3"/>
    <n v="1"/>
    <x v="0"/>
    <n v="1"/>
    <x v="1"/>
    <n v="2014194"/>
    <n v="1"/>
    <x v="0"/>
    <n v="2050121"/>
    <n v="2"/>
    <x v="0"/>
    <n v="1"/>
    <x v="0"/>
    <n v="0"/>
    <x v="0"/>
    <n v="2184707"/>
    <n v="2"/>
    <x v="0"/>
    <n v="0"/>
    <x v="0"/>
    <n v="2000561"/>
    <n v="3"/>
    <x v="3"/>
    <n v="0.85389099999999996"/>
    <n v="0"/>
    <x v="1"/>
    <n v="2"/>
    <x v="2"/>
    <n v="1"/>
    <x v="1"/>
    <n v="0"/>
    <x v="0"/>
    <n v="0"/>
    <x v="0"/>
    <n v="0"/>
    <x v="1"/>
    <n v="0"/>
    <x v="0"/>
    <n v="1"/>
    <x v="1"/>
  </r>
  <r>
    <n v="0"/>
    <s v="F"/>
    <n v="30163408"/>
    <n v="82"/>
    <n v="82"/>
    <x v="3"/>
    <n v="1"/>
    <x v="0"/>
    <n v="1"/>
    <x v="1"/>
    <n v="2028225"/>
    <n v="1"/>
    <x v="0"/>
    <n v="1923607"/>
    <n v="2"/>
    <x v="0"/>
    <n v="1"/>
    <x v="0"/>
    <n v="0"/>
    <x v="0"/>
    <n v="1798917"/>
    <n v="2"/>
    <x v="0"/>
    <n v="0"/>
    <x v="0"/>
    <n v="0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8770039"/>
    <n v="78"/>
    <n v="78"/>
    <x v="3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5.4050000000000001E-3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42337283"/>
    <n v="115"/>
    <n v="100"/>
    <x v="3"/>
    <n v="1"/>
    <x v="0"/>
    <n v="1"/>
    <x v="1"/>
    <n v="281646"/>
    <n v="1"/>
    <x v="0"/>
    <n v="227374"/>
    <n v="2"/>
    <x v="0"/>
    <n v="1"/>
    <x v="0"/>
    <n v="0"/>
    <x v="0"/>
    <n v="1722063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47283374"/>
    <n v="129"/>
    <n v="100"/>
    <x v="3"/>
    <n v="1"/>
    <x v="0"/>
    <n v="1"/>
    <x v="1"/>
    <n v="2037585"/>
    <n v="1"/>
    <x v="0"/>
    <n v="1418985"/>
    <n v="2"/>
    <x v="0"/>
    <n v="1"/>
    <x v="0"/>
    <n v="0"/>
    <x v="0"/>
    <n v="1827351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22518787"/>
    <n v="61"/>
    <n v="61"/>
    <x v="2"/>
    <n v="1"/>
    <x v="0"/>
    <n v="1"/>
    <x v="1"/>
    <n v="1853314"/>
    <n v="1"/>
    <x v="0"/>
    <n v="1320768"/>
    <n v="2"/>
    <x v="0"/>
    <n v="1"/>
    <x v="0"/>
    <n v="0"/>
    <x v="0"/>
    <n v="2135552"/>
    <n v="2"/>
    <x v="0"/>
    <n v="0"/>
    <x v="0"/>
    <n v="0.248034"/>
    <n v="0"/>
    <x v="0"/>
    <n v="1727828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836315"/>
    <n v="62"/>
    <n v="62"/>
    <x v="2"/>
    <n v="1"/>
    <x v="0"/>
    <n v="1"/>
    <x v="1"/>
    <n v="100876"/>
    <n v="1"/>
    <x v="0"/>
    <n v="1"/>
    <n v="1"/>
    <x v="1"/>
    <n v="1"/>
    <x v="0"/>
    <n v="0"/>
    <x v="0"/>
    <n v="2"/>
    <n v="2"/>
    <x v="0"/>
    <n v="0"/>
    <x v="0"/>
    <n v="0"/>
    <n v="0"/>
    <x v="0"/>
    <n v="0.585911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1490613"/>
    <n v="2"/>
    <x v="0"/>
    <n v="0"/>
    <x v="0"/>
    <n v="0.65431600000000001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2975526"/>
    <n v="62"/>
    <n v="62"/>
    <x v="2"/>
    <n v="1"/>
    <x v="0"/>
    <n v="1"/>
    <x v="1"/>
    <n v="2"/>
    <n v="1"/>
    <x v="0"/>
    <n v="3"/>
    <n v="2"/>
    <x v="0"/>
    <n v="1"/>
    <x v="0"/>
    <n v="0"/>
    <x v="0"/>
    <n v="202127"/>
    <n v="2"/>
    <x v="0"/>
    <n v="0"/>
    <x v="0"/>
    <n v="1814869"/>
    <n v="3"/>
    <x v="3"/>
    <n v="1066603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720449"/>
    <n v="62"/>
    <n v="62"/>
    <x v="2"/>
    <n v="1"/>
    <x v="0"/>
    <n v="1"/>
    <x v="1"/>
    <n v="2103335"/>
    <n v="1"/>
    <x v="0"/>
    <n v="2964024"/>
    <n v="2"/>
    <x v="0"/>
    <n v="1"/>
    <x v="0"/>
    <n v="0"/>
    <x v="0"/>
    <n v="3"/>
    <n v="2"/>
    <x v="0"/>
    <n v="0"/>
    <x v="0"/>
    <n v="0.63294700000000004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3887569"/>
    <n v="65"/>
    <n v="65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60363800000000001"/>
    <n v="0"/>
    <x v="0"/>
    <n v="0.96908499999999997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060922"/>
    <n v="1"/>
    <x v="0"/>
    <n v="2933409"/>
    <n v="2"/>
    <x v="0"/>
    <n v="1"/>
    <x v="0"/>
    <n v="0"/>
    <x v="0"/>
    <n v="2235282"/>
    <n v="2"/>
    <x v="0"/>
    <n v="0"/>
    <x v="0"/>
    <n v="0.380633"/>
    <n v="0"/>
    <x v="0"/>
    <n v="2.5999999999999999E-3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058687"/>
    <n v="1"/>
    <x v="0"/>
    <n v="2962004"/>
    <n v="2"/>
    <x v="0"/>
    <n v="1"/>
    <x v="0"/>
    <n v="0"/>
    <x v="0"/>
    <n v="2010596"/>
    <n v="2"/>
    <x v="0"/>
    <n v="0"/>
    <x v="0"/>
    <n v="0.85105900000000001"/>
    <n v="0"/>
    <x v="0"/>
    <n v="0.63086600000000004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8148845"/>
    <n v="104"/>
    <n v="100"/>
    <x v="3"/>
    <n v="1"/>
    <x v="0"/>
    <n v="1"/>
    <x v="1"/>
    <n v="2"/>
    <n v="1"/>
    <x v="0"/>
    <n v="3"/>
    <n v="2"/>
    <x v="0"/>
    <n v="1"/>
    <x v="0"/>
    <n v="0"/>
    <x v="0"/>
    <n v="1274774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96543"/>
    <n v="10"/>
    <n v="10"/>
    <x v="0"/>
    <n v="1"/>
    <x v="0"/>
    <n v="1"/>
    <x v="1"/>
    <n v="2533605"/>
    <n v="1"/>
    <x v="0"/>
    <n v="1271624"/>
    <n v="2"/>
    <x v="0"/>
    <n v="1"/>
    <x v="0"/>
    <n v="0"/>
    <x v="0"/>
    <n v="1893691"/>
    <n v="2"/>
    <x v="0"/>
    <n v="0"/>
    <x v="0"/>
    <n v="1296535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2771612"/>
    <n v="62"/>
    <n v="62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582371"/>
    <n v="61"/>
    <n v="61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1008051"/>
    <n v="57"/>
    <n v="57"/>
    <x v="2"/>
    <n v="1"/>
    <x v="0"/>
    <n v="1"/>
    <x v="1"/>
    <n v="2457547"/>
    <n v="1"/>
    <x v="0"/>
    <n v="100061"/>
    <n v="2"/>
    <x v="0"/>
    <n v="1"/>
    <x v="0"/>
    <n v="0"/>
    <x v="0"/>
    <n v="3"/>
    <n v="2"/>
    <x v="0"/>
    <n v="0"/>
    <x v="0"/>
    <n v="1361533"/>
    <n v="3"/>
    <x v="3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2591026"/>
    <n v="61"/>
    <n v="61"/>
    <x v="2"/>
    <n v="1"/>
    <x v="0"/>
    <n v="1"/>
    <x v="1"/>
    <n v="2983851"/>
    <n v="1"/>
    <x v="0"/>
    <n v="1068443"/>
    <n v="2"/>
    <x v="0"/>
    <n v="1"/>
    <x v="0"/>
    <n v="0"/>
    <x v="0"/>
    <n v="2854161"/>
    <n v="2"/>
    <x v="0"/>
    <n v="0"/>
    <x v="0"/>
    <n v="1103209"/>
    <n v="3"/>
    <x v="3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16129279"/>
    <n v="44"/>
    <n v="44"/>
    <x v="1"/>
    <n v="1"/>
    <x v="0"/>
    <n v="1"/>
    <x v="1"/>
    <n v="2954996"/>
    <n v="1"/>
    <x v="0"/>
    <n v="3"/>
    <n v="2"/>
    <x v="0"/>
    <n v="1"/>
    <x v="0"/>
    <n v="0"/>
    <x v="0"/>
    <n v="1"/>
    <n v="1"/>
    <x v="1"/>
    <n v="0"/>
    <x v="0"/>
    <n v="2091862"/>
    <n v="3"/>
    <x v="3"/>
    <n v="106053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16913841"/>
    <n v="46"/>
    <n v="46"/>
    <x v="1"/>
    <n v="1"/>
    <x v="0"/>
    <n v="1"/>
    <x v="1"/>
    <n v="2061969"/>
    <n v="1"/>
    <x v="0"/>
    <n v="3"/>
    <n v="2"/>
    <x v="0"/>
    <n v="1"/>
    <x v="0"/>
    <n v="0"/>
    <x v="0"/>
    <n v="1229171"/>
    <n v="2"/>
    <x v="0"/>
    <n v="0"/>
    <x v="0"/>
    <n v="2392047"/>
    <n v="3"/>
    <x v="3"/>
    <n v="1256119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943879"/>
    <n v="8"/>
    <n v="8"/>
    <x v="0"/>
    <n v="1"/>
    <x v="0"/>
    <n v="1"/>
    <x v="1"/>
    <n v="3"/>
    <n v="1"/>
    <x v="0"/>
    <n v="3"/>
    <n v="2"/>
    <x v="0"/>
    <n v="1"/>
    <x v="0"/>
    <n v="0"/>
    <x v="0"/>
    <n v="1163264"/>
    <n v="2"/>
    <x v="0"/>
    <n v="0"/>
    <x v="0"/>
    <n v="1866023"/>
    <n v="3"/>
    <x v="3"/>
    <n v="1604608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9881301"/>
    <n v="81"/>
    <n v="81"/>
    <x v="3"/>
    <n v="1"/>
    <x v="0"/>
    <n v="1"/>
    <x v="1"/>
    <n v="3"/>
    <n v="1"/>
    <x v="0"/>
    <n v="3"/>
    <n v="2"/>
    <x v="0"/>
    <n v="1"/>
    <x v="0"/>
    <n v="0"/>
    <x v="0"/>
    <n v="1271178"/>
    <n v="2"/>
    <x v="0"/>
    <n v="0"/>
    <x v="0"/>
    <n v="1944728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3591999"/>
    <n v="119"/>
    <n v="100"/>
    <x v="3"/>
    <n v="1"/>
    <x v="0"/>
    <n v="1"/>
    <x v="1"/>
    <n v="2"/>
    <n v="1"/>
    <x v="0"/>
    <n v="3"/>
    <n v="2"/>
    <x v="0"/>
    <n v="1"/>
    <x v="0"/>
    <n v="0"/>
    <x v="0"/>
    <n v="2117346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40993179"/>
    <n v="112"/>
    <n v="100"/>
    <x v="3"/>
    <n v="1"/>
    <x v="0"/>
    <n v="1"/>
    <x v="1"/>
    <n v="2"/>
    <n v="1"/>
    <x v="0"/>
    <n v="3"/>
    <n v="2"/>
    <x v="0"/>
    <n v="1"/>
    <x v="0"/>
    <n v="0"/>
    <x v="0"/>
    <n v="2952506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22936098"/>
    <n v="62"/>
    <n v="62"/>
    <x v="2"/>
    <n v="1"/>
    <x v="0"/>
    <n v="1"/>
    <x v="1"/>
    <n v="2"/>
    <n v="1"/>
    <x v="0"/>
    <n v="3"/>
    <n v="2"/>
    <x v="0"/>
    <n v="1"/>
    <x v="0"/>
    <n v="0"/>
    <x v="0"/>
    <n v="1746197"/>
    <n v="2"/>
    <x v="0"/>
    <n v="0"/>
    <x v="0"/>
    <n v="0.45521600000000001"/>
    <n v="0"/>
    <x v="0"/>
    <n v="0.335158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"/>
    <n v="1"/>
    <x v="0"/>
    <n v="3"/>
    <n v="2"/>
    <x v="0"/>
    <n v="1"/>
    <x v="0"/>
    <n v="0"/>
    <x v="0"/>
    <n v="1249307"/>
    <n v="2"/>
    <x v="0"/>
    <n v="0"/>
    <x v="0"/>
    <n v="0.97346500000000002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37597953"/>
    <n v="103"/>
    <n v="100"/>
    <x v="3"/>
    <n v="1"/>
    <x v="0"/>
    <n v="1"/>
    <x v="1"/>
    <n v="2450784"/>
    <n v="1"/>
    <x v="0"/>
    <n v="2952821"/>
    <n v="2"/>
    <x v="0"/>
    <n v="1"/>
    <x v="0"/>
    <n v="0"/>
    <x v="0"/>
    <n v="1335192"/>
    <n v="2"/>
    <x v="0"/>
    <n v="0"/>
    <x v="0"/>
    <n v="0.180275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532066"/>
    <n v="102"/>
    <n v="100"/>
    <x v="3"/>
    <n v="1"/>
    <x v="0"/>
    <n v="1"/>
    <x v="1"/>
    <n v="2972426"/>
    <n v="1"/>
    <x v="0"/>
    <n v="3"/>
    <n v="2"/>
    <x v="0"/>
    <n v="1"/>
    <x v="0"/>
    <n v="0"/>
    <x v="0"/>
    <n v="1636326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630054"/>
    <n v="86"/>
    <n v="86"/>
    <x v="3"/>
    <n v="1"/>
    <x v="0"/>
    <n v="1"/>
    <x v="1"/>
    <n v="2467002"/>
    <n v="1"/>
    <x v="0"/>
    <n v="1851088"/>
    <n v="2"/>
    <x v="0"/>
    <n v="1"/>
    <x v="0"/>
    <n v="0"/>
    <x v="0"/>
    <n v="2104054"/>
    <n v="2"/>
    <x v="0"/>
    <n v="0"/>
    <x v="0"/>
    <n v="1991565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641081"/>
    <n v="86"/>
    <n v="86"/>
    <x v="3"/>
    <n v="1"/>
    <x v="0"/>
    <n v="1"/>
    <x v="1"/>
    <n v="2934671"/>
    <n v="1"/>
    <x v="0"/>
    <n v="2119682"/>
    <n v="2"/>
    <x v="0"/>
    <n v="1"/>
    <x v="0"/>
    <n v="0"/>
    <x v="0"/>
    <n v="2041462"/>
    <n v="2"/>
    <x v="0"/>
    <n v="0"/>
    <x v="0"/>
    <n v="0.57807399999999998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1872484"/>
    <n v="59"/>
    <n v="59"/>
    <x v="2"/>
    <n v="1"/>
    <x v="0"/>
    <n v="1"/>
    <x v="1"/>
    <n v="2"/>
    <n v="1"/>
    <x v="0"/>
    <n v="2970675"/>
    <n v="2"/>
    <x v="0"/>
    <n v="1"/>
    <x v="0"/>
    <n v="0"/>
    <x v="0"/>
    <n v="2"/>
    <n v="2"/>
    <x v="0"/>
    <n v="0"/>
    <x v="0"/>
    <n v="0"/>
    <n v="0"/>
    <x v="0"/>
    <n v="0.16929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834894"/>
    <n v="59"/>
    <n v="59"/>
    <x v="2"/>
    <n v="1"/>
    <x v="0"/>
    <n v="1"/>
    <x v="1"/>
    <n v="2"/>
    <n v="1"/>
    <x v="0"/>
    <n v="2966803"/>
    <n v="2"/>
    <x v="0"/>
    <n v="1"/>
    <x v="0"/>
    <n v="0"/>
    <x v="0"/>
    <n v="2"/>
    <n v="2"/>
    <x v="0"/>
    <n v="0"/>
    <x v="0"/>
    <n v="0"/>
    <n v="0"/>
    <x v="0"/>
    <n v="1281541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6023972"/>
    <n v="98"/>
    <n v="98"/>
    <x v="3"/>
    <n v="1"/>
    <x v="0"/>
    <n v="1"/>
    <x v="1"/>
    <n v="2903545"/>
    <n v="1"/>
    <x v="0"/>
    <n v="1508685"/>
    <n v="2"/>
    <x v="0"/>
    <n v="1"/>
    <x v="0"/>
    <n v="0"/>
    <x v="0"/>
    <n v="2450069"/>
    <n v="2"/>
    <x v="0"/>
    <n v="0"/>
    <x v="0"/>
    <n v="145473"/>
    <n v="2"/>
    <x v="1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9656559"/>
    <n v="108"/>
    <n v="100"/>
    <x v="3"/>
    <n v="1"/>
    <x v="0"/>
    <n v="1"/>
    <x v="1"/>
    <n v="2043359"/>
    <n v="1"/>
    <x v="0"/>
    <n v="2209314"/>
    <n v="2"/>
    <x v="0"/>
    <n v="1"/>
    <x v="0"/>
    <n v="0"/>
    <x v="0"/>
    <n v="2785804"/>
    <n v="2"/>
    <x v="0"/>
    <n v="0"/>
    <x v="0"/>
    <n v="1259613"/>
    <n v="3"/>
    <x v="3"/>
    <n v="0.66961599999999999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4184891"/>
    <n v="66"/>
    <n v="66"/>
    <x v="2"/>
    <n v="1"/>
    <x v="0"/>
    <n v="1"/>
    <x v="1"/>
    <n v="2"/>
    <n v="1"/>
    <x v="0"/>
    <n v="3"/>
    <n v="2"/>
    <x v="0"/>
    <n v="1"/>
    <x v="0"/>
    <n v="0"/>
    <x v="0"/>
    <n v="2973729"/>
    <n v="2"/>
    <x v="0"/>
    <n v="0"/>
    <x v="0"/>
    <n v="2491642"/>
    <n v="3"/>
    <x v="3"/>
    <n v="136595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3237302"/>
    <n v="63"/>
    <n v="63"/>
    <x v="2"/>
    <n v="1"/>
    <x v="0"/>
    <n v="1"/>
    <x v="1"/>
    <n v="2"/>
    <n v="1"/>
    <x v="0"/>
    <n v="3"/>
    <n v="2"/>
    <x v="0"/>
    <n v="1"/>
    <x v="0"/>
    <n v="0"/>
    <x v="0"/>
    <n v="2988771"/>
    <n v="2"/>
    <x v="0"/>
    <n v="0"/>
    <x v="0"/>
    <n v="2429923"/>
    <n v="3"/>
    <x v="3"/>
    <n v="1978043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5322112"/>
    <n v="96"/>
    <n v="96"/>
    <x v="3"/>
    <n v="1"/>
    <x v="0"/>
    <n v="1"/>
    <x v="1"/>
    <n v="2787589"/>
    <n v="1"/>
    <x v="0"/>
    <n v="1114564"/>
    <n v="2"/>
    <x v="0"/>
    <n v="1"/>
    <x v="0"/>
    <n v="0"/>
    <x v="0"/>
    <n v="3"/>
    <n v="2"/>
    <x v="0"/>
    <n v="0"/>
    <x v="0"/>
    <n v="2710338"/>
    <n v="3"/>
    <x v="3"/>
    <n v="0.57218500000000005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387982"/>
    <n v="85"/>
    <n v="85"/>
    <x v="3"/>
    <n v="1"/>
    <x v="0"/>
    <n v="1"/>
    <x v="1"/>
    <n v="239728"/>
    <n v="1"/>
    <x v="0"/>
    <n v="2036794"/>
    <n v="2"/>
    <x v="0"/>
    <n v="1"/>
    <x v="0"/>
    <n v="0"/>
    <x v="0"/>
    <n v="2659419"/>
    <n v="2"/>
    <x v="0"/>
    <n v="0"/>
    <x v="0"/>
    <n v="1062011"/>
    <n v="3"/>
    <x v="3"/>
    <n v="1771135"/>
    <n v="2"/>
    <x v="2"/>
    <n v="1"/>
    <x v="1"/>
    <n v="1"/>
    <x v="1"/>
    <n v="0"/>
    <x v="0"/>
    <n v="0"/>
    <x v="0"/>
    <n v="0"/>
    <x v="1"/>
    <n v="0"/>
    <x v="0"/>
    <n v="1"/>
    <x v="1"/>
  </r>
  <r>
    <n v="0"/>
    <s v="F"/>
    <n v="23"/>
    <n v="23"/>
    <n v="23"/>
    <x v="0"/>
    <n v="1"/>
    <x v="0"/>
    <n v="1"/>
    <x v="1"/>
    <n v="2150054"/>
    <n v="1"/>
    <x v="0"/>
    <n v="2988539"/>
    <n v="2"/>
    <x v="0"/>
    <n v="1"/>
    <x v="0"/>
    <n v="0"/>
    <x v="0"/>
    <n v="2768325"/>
    <n v="2"/>
    <x v="0"/>
    <n v="0"/>
    <x v="0"/>
    <n v="208515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977585"/>
    <n v="1"/>
    <x v="0"/>
    <n v="1630506"/>
    <n v="2"/>
    <x v="0"/>
    <n v="1"/>
    <x v="0"/>
    <n v="0"/>
    <x v="0"/>
    <n v="2839319"/>
    <n v="2"/>
    <x v="0"/>
    <n v="0"/>
    <x v="0"/>
    <n v="1091474"/>
    <n v="3"/>
    <x v="3"/>
    <n v="0.889517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679454"/>
    <n v="62"/>
    <n v="62"/>
    <x v="2"/>
    <n v="1"/>
    <x v="0"/>
    <n v="1"/>
    <x v="1"/>
    <n v="2274491"/>
    <n v="1"/>
    <x v="0"/>
    <n v="1"/>
    <n v="1"/>
    <x v="1"/>
    <n v="1"/>
    <x v="0"/>
    <n v="0"/>
    <x v="0"/>
    <n v="22695"/>
    <n v="2"/>
    <x v="0"/>
    <n v="0"/>
    <x v="0"/>
    <n v="0.946461"/>
    <n v="0"/>
    <x v="0"/>
    <n v="173107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2480889"/>
    <n v="61"/>
    <n v="61"/>
    <x v="2"/>
    <n v="1"/>
    <x v="0"/>
    <n v="1"/>
    <x v="1"/>
    <n v="1557287"/>
    <n v="1"/>
    <x v="0"/>
    <n v="1"/>
    <n v="1"/>
    <x v="1"/>
    <n v="1"/>
    <x v="0"/>
    <n v="0"/>
    <x v="0"/>
    <n v="2371015"/>
    <n v="2"/>
    <x v="0"/>
    <n v="0"/>
    <x v="0"/>
    <n v="0.28803200000000001"/>
    <n v="0"/>
    <x v="0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41403862"/>
    <n v="113"/>
    <n v="100"/>
    <x v="3"/>
    <n v="1"/>
    <x v="0"/>
    <n v="1"/>
    <x v="1"/>
    <n v="2152264"/>
    <n v="1"/>
    <x v="0"/>
    <n v="2977999"/>
    <n v="2"/>
    <x v="0"/>
    <n v="1"/>
    <x v="0"/>
    <n v="0"/>
    <x v="0"/>
    <n v="1513199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0702771"/>
    <n v="111"/>
    <n v="100"/>
    <x v="3"/>
    <n v="1"/>
    <x v="0"/>
    <n v="1"/>
    <x v="1"/>
    <n v="2"/>
    <n v="1"/>
    <x v="0"/>
    <n v="3"/>
    <n v="2"/>
    <x v="0"/>
    <n v="1"/>
    <x v="0"/>
    <n v="0"/>
    <x v="0"/>
    <n v="1326165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9389239"/>
    <n v="80"/>
    <n v="80"/>
    <x v="3"/>
    <n v="1"/>
    <x v="0"/>
    <n v="1"/>
    <x v="1"/>
    <n v="208841"/>
    <n v="1"/>
    <x v="0"/>
    <n v="2644692"/>
    <n v="2"/>
    <x v="0"/>
    <n v="1"/>
    <x v="0"/>
    <n v="0"/>
    <x v="0"/>
    <n v="2773236"/>
    <n v="2"/>
    <x v="0"/>
    <n v="0"/>
    <x v="0"/>
    <n v="1252472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967417"/>
    <n v="84"/>
    <n v="84"/>
    <x v="3"/>
    <n v="1"/>
    <x v="0"/>
    <n v="1"/>
    <x v="1"/>
    <n v="2180047"/>
    <n v="1"/>
    <x v="0"/>
    <n v="2733077"/>
    <n v="2"/>
    <x v="0"/>
    <n v="1"/>
    <x v="0"/>
    <n v="0"/>
    <x v="0"/>
    <n v="277962"/>
    <n v="2"/>
    <x v="0"/>
    <n v="0"/>
    <x v="0"/>
    <n v="1454129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3474165"/>
    <n v="64"/>
    <n v="64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.87610100000000002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4317607"/>
    <n v="66"/>
    <n v="66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.85244600000000004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7052914"/>
    <n v="46"/>
    <n v="46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6.7490999999999995E-2"/>
    <n v="0"/>
    <x v="0"/>
    <n v="0.8941050000000000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04892"/>
    <n v="4"/>
    <n v="4"/>
    <x v="0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579431"/>
    <n v="3"/>
    <x v="3"/>
    <n v="0.83986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875223"/>
    <n v="62"/>
    <n v="62"/>
    <x v="2"/>
    <n v="1"/>
    <x v="0"/>
    <n v="1"/>
    <x v="1"/>
    <n v="1826885"/>
    <n v="1"/>
    <x v="0"/>
    <n v="1"/>
    <n v="1"/>
    <x v="1"/>
    <n v="1"/>
    <x v="0"/>
    <n v="0"/>
    <x v="0"/>
    <n v="2"/>
    <n v="2"/>
    <x v="0"/>
    <n v="0"/>
    <x v="0"/>
    <n v="0"/>
    <n v="0"/>
    <x v="0"/>
    <n v="0.4592740000000000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884722"/>
    <n v="62"/>
    <n v="62"/>
    <x v="2"/>
    <n v="1"/>
    <x v="0"/>
    <n v="1"/>
    <x v="1"/>
    <n v="1754401"/>
    <n v="1"/>
    <x v="0"/>
    <n v="1"/>
    <n v="1"/>
    <x v="1"/>
    <n v="1"/>
    <x v="0"/>
    <n v="0"/>
    <x v="0"/>
    <n v="2"/>
    <n v="2"/>
    <x v="0"/>
    <n v="0"/>
    <x v="0"/>
    <n v="0"/>
    <n v="0"/>
    <x v="0"/>
    <n v="0.30190899999999998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729566"/>
    <n v="51"/>
    <n v="51"/>
    <x v="2"/>
    <n v="1"/>
    <x v="0"/>
    <n v="1"/>
    <x v="1"/>
    <n v="2"/>
    <n v="1"/>
    <x v="0"/>
    <n v="2427137"/>
    <n v="2"/>
    <x v="0"/>
    <n v="1"/>
    <x v="0"/>
    <n v="0"/>
    <x v="0"/>
    <n v="2574073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1011124"/>
    <n v="57"/>
    <n v="57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78858499999999998"/>
    <n v="0"/>
    <x v="0"/>
    <n v="1220029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18603496"/>
    <n v="50"/>
    <n v="50"/>
    <x v="1"/>
    <n v="1"/>
    <x v="0"/>
    <n v="1"/>
    <x v="1"/>
    <n v="1524428"/>
    <n v="1"/>
    <x v="0"/>
    <n v="3"/>
    <n v="2"/>
    <x v="0"/>
    <n v="1"/>
    <x v="0"/>
    <n v="0"/>
    <x v="0"/>
    <n v="1383831"/>
    <n v="2"/>
    <x v="0"/>
    <n v="0"/>
    <x v="0"/>
    <n v="0.13041700000000001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1106056"/>
    <n v="57"/>
    <n v="57"/>
    <x v="2"/>
    <n v="1"/>
    <x v="0"/>
    <n v="1"/>
    <x v="1"/>
    <n v="1164062"/>
    <n v="1"/>
    <x v="0"/>
    <n v="3"/>
    <n v="2"/>
    <x v="0"/>
    <n v="1"/>
    <x v="0"/>
    <n v="0"/>
    <x v="0"/>
    <n v="1157395"/>
    <n v="2"/>
    <x v="0"/>
    <n v="0"/>
    <x v="0"/>
    <n v="0"/>
    <n v="0"/>
    <x v="0"/>
    <n v="0.32085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123159"/>
    <n v="1"/>
    <x v="0"/>
    <n v="3"/>
    <n v="2"/>
    <x v="0"/>
    <n v="1"/>
    <x v="0"/>
    <n v="0"/>
    <x v="0"/>
    <n v="2415343"/>
    <n v="2"/>
    <x v="0"/>
    <n v="0"/>
    <x v="0"/>
    <n v="0.295178"/>
    <n v="0"/>
    <x v="0"/>
    <n v="0.5698520000000000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980847"/>
    <n v="60"/>
    <n v="60"/>
    <x v="2"/>
    <n v="1"/>
    <x v="0"/>
    <n v="1"/>
    <x v="1"/>
    <n v="2"/>
    <n v="1"/>
    <x v="0"/>
    <n v="3"/>
    <n v="2"/>
    <x v="0"/>
    <n v="1"/>
    <x v="0"/>
    <n v="0"/>
    <x v="0"/>
    <n v="2745242"/>
    <n v="2"/>
    <x v="0"/>
    <n v="0"/>
    <x v="0"/>
    <n v="0"/>
    <n v="0"/>
    <x v="0"/>
    <n v="0.8089800000000000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016665"/>
    <n v="57"/>
    <n v="57"/>
    <x v="2"/>
    <n v="1"/>
    <x v="0"/>
    <n v="1"/>
    <x v="1"/>
    <n v="2259679"/>
    <n v="1"/>
    <x v="0"/>
    <n v="3"/>
    <n v="2"/>
    <x v="0"/>
    <n v="1"/>
    <x v="0"/>
    <n v="0"/>
    <x v="0"/>
    <n v="1026143"/>
    <n v="2"/>
    <x v="0"/>
    <n v="0"/>
    <x v="0"/>
    <n v="0.26880100000000001"/>
    <n v="0"/>
    <x v="0"/>
    <n v="7.7817999999999998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72738"/>
    <n v="5"/>
    <n v="5"/>
    <x v="0"/>
    <n v="1"/>
    <x v="0"/>
    <n v="1"/>
    <x v="1"/>
    <n v="2044326"/>
    <n v="1"/>
    <x v="0"/>
    <n v="3"/>
    <n v="2"/>
    <x v="0"/>
    <n v="1"/>
    <x v="0"/>
    <n v="0"/>
    <x v="0"/>
    <n v="235818"/>
    <n v="2"/>
    <x v="0"/>
    <n v="0"/>
    <x v="0"/>
    <n v="0.34937099999999999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867836"/>
    <n v="2"/>
    <x v="0"/>
    <n v="1"/>
    <x v="0"/>
    <n v="0"/>
    <x v="0"/>
    <n v="2438398"/>
    <n v="2"/>
    <x v="0"/>
    <n v="0"/>
    <x v="0"/>
    <n v="1"/>
    <n v="1"/>
    <x v="2"/>
    <n v="0.80230500000000005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548407"/>
    <n v="2"/>
    <x v="0"/>
    <n v="1"/>
    <x v="0"/>
    <n v="0"/>
    <x v="0"/>
    <n v="2191401"/>
    <n v="2"/>
    <x v="0"/>
    <n v="0"/>
    <x v="0"/>
    <n v="1"/>
    <n v="1"/>
    <x v="2"/>
    <n v="1676944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9431662"/>
    <n v="53"/>
    <n v="53"/>
    <x v="2"/>
    <n v="1"/>
    <x v="0"/>
    <n v="1"/>
    <x v="1"/>
    <n v="2843456"/>
    <n v="1"/>
    <x v="0"/>
    <n v="2937989"/>
    <n v="2"/>
    <x v="0"/>
    <n v="1"/>
    <x v="0"/>
    <n v="0"/>
    <x v="0"/>
    <n v="1001995"/>
    <n v="2"/>
    <x v="0"/>
    <n v="0"/>
    <x v="0"/>
    <n v="0"/>
    <n v="0"/>
    <x v="0"/>
    <n v="1554404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8166318"/>
    <n v="49"/>
    <n v="49"/>
    <x v="1"/>
    <n v="1"/>
    <x v="0"/>
    <n v="1"/>
    <x v="1"/>
    <n v="2864776"/>
    <n v="1"/>
    <x v="0"/>
    <n v="3"/>
    <n v="2"/>
    <x v="0"/>
    <n v="1"/>
    <x v="0"/>
    <n v="0"/>
    <x v="0"/>
    <n v="1876915"/>
    <n v="2"/>
    <x v="0"/>
    <n v="0"/>
    <x v="0"/>
    <n v="0.63156500000000004"/>
    <n v="0"/>
    <x v="0"/>
    <n v="0.18641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2352025"/>
    <n v="61"/>
    <n v="61"/>
    <x v="2"/>
    <n v="1"/>
    <x v="0"/>
    <n v="1"/>
    <x v="1"/>
    <n v="2871137"/>
    <n v="1"/>
    <x v="0"/>
    <n v="3"/>
    <n v="2"/>
    <x v="0"/>
    <n v="1"/>
    <x v="0"/>
    <n v="0"/>
    <x v="0"/>
    <n v="2627569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469351"/>
    <n v="61"/>
    <n v="61"/>
    <x v="2"/>
    <n v="1"/>
    <x v="0"/>
    <n v="1"/>
    <x v="1"/>
    <n v="2282803"/>
    <n v="1"/>
    <x v="0"/>
    <n v="3"/>
    <n v="2"/>
    <x v="0"/>
    <n v="1"/>
    <x v="0"/>
    <n v="0"/>
    <x v="0"/>
    <n v="2104264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9524698"/>
    <n v="53"/>
    <n v="53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1"/>
    <n v="1"/>
    <x v="2"/>
    <n v="1014808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0491475"/>
    <n v="56"/>
    <n v="56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76701299999999994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39213399"/>
    <n v="107"/>
    <n v="100"/>
    <x v="3"/>
    <n v="1"/>
    <x v="0"/>
    <n v="1"/>
    <x v="1"/>
    <n v="2020502"/>
    <n v="1"/>
    <x v="0"/>
    <n v="1237454"/>
    <n v="2"/>
    <x v="0"/>
    <n v="1"/>
    <x v="0"/>
    <n v="0"/>
    <x v="0"/>
    <n v="193142"/>
    <n v="2"/>
    <x v="0"/>
    <n v="0"/>
    <x v="0"/>
    <n v="1967973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8098745"/>
    <n v="104"/>
    <n v="100"/>
    <x v="3"/>
    <n v="1"/>
    <x v="0"/>
    <n v="1"/>
    <x v="1"/>
    <n v="2020785"/>
    <n v="1"/>
    <x v="0"/>
    <n v="1169173"/>
    <n v="2"/>
    <x v="0"/>
    <n v="1"/>
    <x v="0"/>
    <n v="0"/>
    <x v="0"/>
    <n v="1972551"/>
    <n v="2"/>
    <x v="0"/>
    <n v="0"/>
    <x v="0"/>
    <n v="1903338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19034033"/>
    <n v="52"/>
    <n v="52"/>
    <x v="2"/>
    <n v="1"/>
    <x v="0"/>
    <n v="1"/>
    <x v="1"/>
    <n v="2"/>
    <n v="1"/>
    <x v="0"/>
    <n v="2391753"/>
    <n v="2"/>
    <x v="0"/>
    <n v="1"/>
    <x v="0"/>
    <n v="0"/>
    <x v="0"/>
    <n v="2"/>
    <n v="2"/>
    <x v="0"/>
    <n v="0"/>
    <x v="0"/>
    <n v="0"/>
    <n v="0"/>
    <x v="0"/>
    <n v="111987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17073648"/>
    <n v="46"/>
    <n v="46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73209"/>
    <n v="2"/>
    <x v="1"/>
    <n v="4.8617E-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8547267"/>
    <n v="105"/>
    <n v="100"/>
    <x v="3"/>
    <n v="1"/>
    <x v="0"/>
    <n v="1"/>
    <x v="1"/>
    <n v="2"/>
    <n v="1"/>
    <x v="0"/>
    <n v="3"/>
    <n v="2"/>
    <x v="0"/>
    <n v="1"/>
    <x v="0"/>
    <n v="0"/>
    <x v="0"/>
    <n v="108444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8683794"/>
    <n v="105"/>
    <n v="100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2475444"/>
    <n v="2"/>
    <x v="0"/>
    <n v="1"/>
    <x v="0"/>
    <n v="0"/>
    <x v="0"/>
    <n v="2655795"/>
    <n v="2"/>
    <x v="0"/>
    <n v="0"/>
    <x v="0"/>
    <n v="1"/>
    <n v="1"/>
    <x v="2"/>
    <n v="0.16987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2478794"/>
    <n v="2"/>
    <x v="0"/>
    <n v="1"/>
    <x v="0"/>
    <n v="0"/>
    <x v="0"/>
    <n v="2967064"/>
    <n v="2"/>
    <x v="0"/>
    <n v="0"/>
    <x v="0"/>
    <n v="1"/>
    <n v="1"/>
    <x v="2"/>
    <n v="0.4345999999999999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9622804"/>
    <n v="81"/>
    <n v="81"/>
    <x v="3"/>
    <n v="1"/>
    <x v="0"/>
    <n v="1"/>
    <x v="1"/>
    <n v="2407817"/>
    <n v="1"/>
    <x v="0"/>
    <n v="2070033"/>
    <n v="2"/>
    <x v="0"/>
    <n v="1"/>
    <x v="0"/>
    <n v="0"/>
    <x v="0"/>
    <n v="1796257"/>
    <n v="2"/>
    <x v="0"/>
    <n v="0"/>
    <x v="0"/>
    <n v="1234483"/>
    <n v="3"/>
    <x v="3"/>
    <n v="0.178708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79626"/>
    <n v="8"/>
    <n v="8"/>
    <x v="0"/>
    <n v="1"/>
    <x v="0"/>
    <n v="1"/>
    <x v="1"/>
    <n v="221498"/>
    <n v="1"/>
    <x v="0"/>
    <n v="2282392"/>
    <n v="2"/>
    <x v="0"/>
    <n v="1"/>
    <x v="0"/>
    <n v="0"/>
    <x v="0"/>
    <n v="1179942"/>
    <n v="2"/>
    <x v="0"/>
    <n v="0"/>
    <x v="0"/>
    <n v="1771754"/>
    <n v="3"/>
    <x v="3"/>
    <n v="0.537659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18"/>
    <n v="18"/>
    <n v="18"/>
    <x v="0"/>
    <n v="1"/>
    <x v="0"/>
    <n v="1"/>
    <x v="1"/>
    <n v="2737149"/>
    <n v="1"/>
    <x v="0"/>
    <n v="3"/>
    <n v="2"/>
    <x v="0"/>
    <n v="1"/>
    <x v="0"/>
    <n v="0"/>
    <x v="0"/>
    <n v="1997195"/>
    <n v="2"/>
    <x v="0"/>
    <n v="0"/>
    <x v="0"/>
    <n v="1352663"/>
    <n v="3"/>
    <x v="3"/>
    <n v="0.468482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07092"/>
    <n v="49"/>
    <n v="49"/>
    <x v="1"/>
    <n v="1"/>
    <x v="0"/>
    <n v="1"/>
    <x v="1"/>
    <n v="1899793"/>
    <n v="1"/>
    <x v="0"/>
    <n v="3"/>
    <n v="2"/>
    <x v="0"/>
    <n v="1"/>
    <x v="0"/>
    <n v="0"/>
    <x v="0"/>
    <n v="1439962"/>
    <n v="2"/>
    <x v="0"/>
    <n v="0"/>
    <x v="0"/>
    <n v="0.95289999999999997"/>
    <n v="0"/>
    <x v="0"/>
    <n v="0.838847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335093"/>
    <n v="85"/>
    <n v="85"/>
    <x v="3"/>
    <n v="1"/>
    <x v="0"/>
    <n v="1"/>
    <x v="1"/>
    <n v="2274164"/>
    <n v="1"/>
    <x v="0"/>
    <n v="1049534"/>
    <n v="2"/>
    <x v="0"/>
    <n v="1"/>
    <x v="0"/>
    <n v="0"/>
    <x v="0"/>
    <n v="1358172"/>
    <n v="2"/>
    <x v="0"/>
    <n v="0"/>
    <x v="0"/>
    <n v="1482411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9"/>
    <n v="29"/>
    <n v="29"/>
    <x v="1"/>
    <n v="1"/>
    <x v="0"/>
    <n v="1"/>
    <x v="1"/>
    <n v="1897796"/>
    <n v="1"/>
    <x v="0"/>
    <n v="3"/>
    <n v="2"/>
    <x v="0"/>
    <n v="1"/>
    <x v="0"/>
    <n v="0"/>
    <x v="0"/>
    <n v="1193039"/>
    <n v="2"/>
    <x v="0"/>
    <n v="0"/>
    <x v="0"/>
    <n v="1.1519E-2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18011903"/>
    <n v="49"/>
    <n v="49"/>
    <x v="1"/>
    <n v="1"/>
    <x v="0"/>
    <n v="1"/>
    <x v="1"/>
    <n v="285916"/>
    <n v="1"/>
    <x v="0"/>
    <n v="3"/>
    <n v="2"/>
    <x v="0"/>
    <n v="1"/>
    <x v="0"/>
    <n v="0"/>
    <x v="0"/>
    <n v="1"/>
    <n v="1"/>
    <x v="1"/>
    <n v="0"/>
    <x v="0"/>
    <n v="1020525"/>
    <n v="3"/>
    <x v="3"/>
    <n v="0.78606600000000004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1"/>
    <x v="0"/>
    <n v="1"/>
    <x v="1"/>
    <n v="2"/>
    <n v="1"/>
    <x v="0"/>
    <n v="3"/>
    <n v="2"/>
    <x v="0"/>
    <n v="1"/>
    <x v="0"/>
    <n v="0"/>
    <x v="0"/>
    <n v="1039313"/>
    <n v="2"/>
    <x v="0"/>
    <n v="0"/>
    <x v="0"/>
    <n v="1"/>
    <n v="1"/>
    <x v="2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077356"/>
    <n v="57"/>
    <n v="57"/>
    <x v="2"/>
    <n v="1"/>
    <x v="0"/>
    <n v="1"/>
    <x v="1"/>
    <n v="2"/>
    <n v="1"/>
    <x v="0"/>
    <n v="166338"/>
    <n v="2"/>
    <x v="0"/>
    <n v="1"/>
    <x v="0"/>
    <n v="0"/>
    <x v="0"/>
    <n v="2"/>
    <n v="2"/>
    <x v="0"/>
    <n v="0"/>
    <x v="0"/>
    <n v="0"/>
    <n v="0"/>
    <x v="0"/>
    <n v="1865851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1052016"/>
    <n v="57"/>
    <n v="57"/>
    <x v="2"/>
    <n v="1"/>
    <x v="0"/>
    <n v="1"/>
    <x v="1"/>
    <n v="2"/>
    <n v="1"/>
    <x v="0"/>
    <n v="1672751"/>
    <n v="2"/>
    <x v="0"/>
    <n v="1"/>
    <x v="0"/>
    <n v="0"/>
    <x v="0"/>
    <n v="2"/>
    <n v="2"/>
    <x v="0"/>
    <n v="0"/>
    <x v="0"/>
    <n v="0"/>
    <n v="0"/>
    <x v="0"/>
    <n v="1946173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8078256"/>
    <n v="49"/>
    <n v="49"/>
    <x v="1"/>
    <n v="1"/>
    <x v="0"/>
    <n v="1"/>
    <x v="1"/>
    <n v="2340405"/>
    <n v="1"/>
    <x v="0"/>
    <n v="3"/>
    <n v="2"/>
    <x v="0"/>
    <n v="1"/>
    <x v="0"/>
    <n v="0"/>
    <x v="0"/>
    <n v="1655245"/>
    <n v="2"/>
    <x v="0"/>
    <n v="0"/>
    <x v="0"/>
    <n v="1006884"/>
    <n v="3"/>
    <x v="3"/>
    <n v="0.548539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8063582"/>
    <n v="49"/>
    <n v="49"/>
    <x v="1"/>
    <n v="1"/>
    <x v="0"/>
    <n v="1"/>
    <x v="1"/>
    <n v="2921576"/>
    <n v="1"/>
    <x v="0"/>
    <n v="3"/>
    <n v="2"/>
    <x v="0"/>
    <n v="1"/>
    <x v="0"/>
    <n v="0"/>
    <x v="0"/>
    <n v="1003636"/>
    <n v="2"/>
    <x v="0"/>
    <n v="0"/>
    <x v="0"/>
    <n v="1000227"/>
    <n v="3"/>
    <x v="3"/>
    <n v="0.90559599999999996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418832"/>
    <n v="55"/>
    <n v="55"/>
    <x v="2"/>
    <n v="1"/>
    <x v="0"/>
    <n v="1"/>
    <x v="1"/>
    <n v="2"/>
    <n v="1"/>
    <x v="0"/>
    <n v="3"/>
    <n v="2"/>
    <x v="0"/>
    <n v="1"/>
    <x v="0"/>
    <n v="0"/>
    <x v="0"/>
    <n v="2793505"/>
    <n v="2"/>
    <x v="0"/>
    <n v="0"/>
    <x v="0"/>
    <n v="221939"/>
    <n v="2"/>
    <x v="1"/>
    <n v="0.20290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580984"/>
    <n v="56"/>
    <n v="56"/>
    <x v="2"/>
    <n v="1"/>
    <x v="0"/>
    <n v="1"/>
    <x v="1"/>
    <n v="2"/>
    <n v="1"/>
    <x v="0"/>
    <n v="3"/>
    <n v="2"/>
    <x v="0"/>
    <n v="1"/>
    <x v="0"/>
    <n v="0"/>
    <x v="0"/>
    <n v="2401315"/>
    <n v="2"/>
    <x v="0"/>
    <n v="0"/>
    <x v="0"/>
    <n v="2891986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6032416"/>
    <n v="71"/>
    <n v="71"/>
    <x v="2"/>
    <n v="1"/>
    <x v="0"/>
    <n v="1"/>
    <x v="1"/>
    <n v="3"/>
    <n v="1"/>
    <x v="0"/>
    <n v="3"/>
    <n v="2"/>
    <x v="0"/>
    <n v="1"/>
    <x v="0"/>
    <n v="0"/>
    <x v="0"/>
    <n v="2110611"/>
    <n v="2"/>
    <x v="0"/>
    <n v="0"/>
    <x v="0"/>
    <n v="1890907"/>
    <n v="3"/>
    <x v="3"/>
    <n v="158483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5955361"/>
    <n v="71"/>
    <n v="71"/>
    <x v="2"/>
    <n v="1"/>
    <x v="0"/>
    <n v="1"/>
    <x v="1"/>
    <n v="3"/>
    <n v="1"/>
    <x v="0"/>
    <n v="3"/>
    <n v="2"/>
    <x v="0"/>
    <n v="1"/>
    <x v="0"/>
    <n v="0"/>
    <x v="0"/>
    <n v="2480277"/>
    <n v="2"/>
    <x v="0"/>
    <n v="0"/>
    <x v="0"/>
    <n v="1796779"/>
    <n v="3"/>
    <x v="3"/>
    <n v="1596562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6015448"/>
    <n v="71"/>
    <n v="71"/>
    <x v="2"/>
    <n v="1"/>
    <x v="0"/>
    <n v="1"/>
    <x v="1"/>
    <n v="3"/>
    <n v="1"/>
    <x v="0"/>
    <n v="3"/>
    <n v="2"/>
    <x v="0"/>
    <n v="1"/>
    <x v="0"/>
    <n v="0"/>
    <x v="0"/>
    <n v="2224914"/>
    <n v="2"/>
    <x v="0"/>
    <n v="0"/>
    <x v="0"/>
    <n v="1781589"/>
    <n v="3"/>
    <x v="3"/>
    <n v="159405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5920738"/>
    <n v="71"/>
    <n v="71"/>
    <x v="2"/>
    <n v="1"/>
    <x v="0"/>
    <n v="1"/>
    <x v="1"/>
    <n v="292711"/>
    <n v="1"/>
    <x v="0"/>
    <n v="3"/>
    <n v="2"/>
    <x v="0"/>
    <n v="1"/>
    <x v="0"/>
    <n v="0"/>
    <x v="0"/>
    <n v="2151496"/>
    <n v="2"/>
    <x v="0"/>
    <n v="0"/>
    <x v="0"/>
    <n v="1166064"/>
    <n v="3"/>
    <x v="3"/>
    <n v="1509831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9633715"/>
    <n v="81"/>
    <n v="81"/>
    <x v="3"/>
    <n v="1"/>
    <x v="0"/>
    <n v="1"/>
    <x v="1"/>
    <n v="2805533"/>
    <n v="1"/>
    <x v="0"/>
    <n v="3"/>
    <n v="2"/>
    <x v="0"/>
    <n v="1"/>
    <x v="0"/>
    <n v="0"/>
    <x v="0"/>
    <n v="1882847"/>
    <n v="2"/>
    <x v="0"/>
    <n v="0"/>
    <x v="0"/>
    <n v="2"/>
    <n v="2"/>
    <x v="1"/>
    <n v="0.70777999999999996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2895637"/>
    <n v="90"/>
    <n v="90"/>
    <x v="3"/>
    <n v="1"/>
    <x v="0"/>
    <n v="1"/>
    <x v="1"/>
    <n v="2902469"/>
    <n v="1"/>
    <x v="0"/>
    <n v="1734762"/>
    <n v="2"/>
    <x v="0"/>
    <n v="1"/>
    <x v="0"/>
    <n v="0"/>
    <x v="0"/>
    <n v="2600238"/>
    <n v="2"/>
    <x v="0"/>
    <n v="0"/>
    <x v="0"/>
    <n v="2113992"/>
    <n v="3"/>
    <x v="3"/>
    <n v="0.5847550000000000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8748307"/>
    <n v="106"/>
    <n v="100"/>
    <x v="3"/>
    <n v="1"/>
    <x v="0"/>
    <n v="1"/>
    <x v="1"/>
    <n v="2845961"/>
    <n v="1"/>
    <x v="0"/>
    <n v="192822"/>
    <n v="2"/>
    <x v="0"/>
    <n v="1"/>
    <x v="0"/>
    <n v="0"/>
    <x v="0"/>
    <n v="2642273"/>
    <n v="2"/>
    <x v="0"/>
    <n v="0"/>
    <x v="0"/>
    <n v="2999918"/>
    <n v="3"/>
    <x v="3"/>
    <n v="1"/>
    <n v="1"/>
    <x v="0"/>
    <n v="2"/>
    <x v="2"/>
    <n v="1"/>
    <x v="1"/>
    <n v="0"/>
    <x v="0"/>
    <n v="0"/>
    <x v="0"/>
    <n v="0"/>
    <x v="1"/>
    <n v="0"/>
    <x v="0"/>
    <n v="1"/>
    <x v="1"/>
  </r>
  <r>
    <n v="1"/>
    <s v="M"/>
    <n v="39685846"/>
    <n v="108"/>
    <n v="100"/>
    <x v="3"/>
    <n v="1"/>
    <x v="0"/>
    <n v="1"/>
    <x v="1"/>
    <n v="2252698"/>
    <n v="1"/>
    <x v="0"/>
    <n v="2475228"/>
    <n v="2"/>
    <x v="0"/>
    <n v="1"/>
    <x v="0"/>
    <n v="0"/>
    <x v="0"/>
    <n v="2923856"/>
    <n v="2"/>
    <x v="0"/>
    <n v="0"/>
    <x v="0"/>
    <n v="2165429"/>
    <n v="3"/>
    <x v="3"/>
    <n v="0.61604499999999995"/>
    <n v="0"/>
    <x v="1"/>
    <n v="2"/>
    <x v="2"/>
    <n v="1"/>
    <x v="1"/>
    <n v="0"/>
    <x v="0"/>
    <n v="0"/>
    <x v="0"/>
    <n v="0"/>
    <x v="1"/>
    <n v="0"/>
    <x v="0"/>
    <n v="1"/>
    <x v="1"/>
  </r>
  <r>
    <n v="0"/>
    <s v="F"/>
    <n v="33226808"/>
    <n v="91"/>
    <n v="91"/>
    <x v="3"/>
    <n v="1"/>
    <x v="0"/>
    <n v="1"/>
    <x v="1"/>
    <n v="202091"/>
    <n v="1"/>
    <x v="0"/>
    <n v="2093831"/>
    <n v="2"/>
    <x v="0"/>
    <n v="1"/>
    <x v="0"/>
    <n v="0"/>
    <x v="0"/>
    <n v="1506518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6220065"/>
    <n v="71"/>
    <n v="71"/>
    <x v="2"/>
    <n v="1"/>
    <x v="0"/>
    <n v="1"/>
    <x v="1"/>
    <n v="2108163"/>
    <n v="1"/>
    <x v="0"/>
    <n v="1231915"/>
    <n v="2"/>
    <x v="0"/>
    <n v="1"/>
    <x v="0"/>
    <n v="0"/>
    <x v="0"/>
    <n v="1808127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3090215"/>
    <n v="63"/>
    <n v="63"/>
    <x v="2"/>
    <n v="1"/>
    <x v="0"/>
    <n v="1"/>
    <x v="1"/>
    <n v="1518966"/>
    <n v="1"/>
    <x v="0"/>
    <n v="1"/>
    <n v="1"/>
    <x v="1"/>
    <n v="1"/>
    <x v="0"/>
    <n v="0"/>
    <x v="0"/>
    <n v="2"/>
    <n v="2"/>
    <x v="0"/>
    <n v="0"/>
    <x v="0"/>
    <n v="0"/>
    <n v="0"/>
    <x v="0"/>
    <n v="1094046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4565628"/>
    <n v="67"/>
    <n v="67"/>
    <x v="2"/>
    <n v="1"/>
    <x v="0"/>
    <n v="1"/>
    <x v="1"/>
    <n v="2260543"/>
    <n v="1"/>
    <x v="0"/>
    <n v="1374791"/>
    <n v="2"/>
    <x v="0"/>
    <n v="1"/>
    <x v="0"/>
    <n v="0"/>
    <x v="0"/>
    <n v="1947935"/>
    <n v="2"/>
    <x v="0"/>
    <n v="0"/>
    <x v="0"/>
    <n v="0"/>
    <n v="0"/>
    <x v="0"/>
    <n v="7.8606999999999996E-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42586285"/>
    <n v="116"/>
    <n v="100"/>
    <x v="3"/>
    <n v="1"/>
    <x v="0"/>
    <n v="1"/>
    <x v="1"/>
    <n v="2522183"/>
    <n v="1"/>
    <x v="0"/>
    <n v="1326982"/>
    <n v="2"/>
    <x v="0"/>
    <n v="1"/>
    <x v="0"/>
    <n v="0"/>
    <x v="0"/>
    <n v="1872673"/>
    <n v="2"/>
    <x v="0"/>
    <n v="0"/>
    <x v="0"/>
    <n v="1048507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43719395"/>
    <n v="119"/>
    <n v="100"/>
    <x v="3"/>
    <n v="1"/>
    <x v="0"/>
    <n v="1"/>
    <x v="1"/>
    <n v="2186322"/>
    <n v="1"/>
    <x v="0"/>
    <n v="2900915"/>
    <n v="2"/>
    <x v="0"/>
    <n v="1"/>
    <x v="0"/>
    <n v="0"/>
    <x v="0"/>
    <n v="2471033"/>
    <n v="2"/>
    <x v="0"/>
    <n v="0"/>
    <x v="0"/>
    <n v="0.25611299999999998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4337634"/>
    <n v="11"/>
    <n v="11"/>
    <x v="0"/>
    <n v="1"/>
    <x v="0"/>
    <n v="1"/>
    <x v="1"/>
    <n v="276632"/>
    <n v="1"/>
    <x v="0"/>
    <n v="1317884"/>
    <n v="2"/>
    <x v="0"/>
    <n v="1"/>
    <x v="0"/>
    <n v="0"/>
    <x v="0"/>
    <n v="1889341"/>
    <n v="2"/>
    <x v="0"/>
    <n v="0"/>
    <x v="0"/>
    <n v="0.99064200000000002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39648946"/>
    <n v="108"/>
    <n v="100"/>
    <x v="3"/>
    <n v="1"/>
    <x v="0"/>
    <n v="1"/>
    <x v="1"/>
    <n v="2071622"/>
    <n v="1"/>
    <x v="0"/>
    <n v="2977909"/>
    <n v="2"/>
    <x v="0"/>
    <n v="1"/>
    <x v="0"/>
    <n v="0"/>
    <x v="0"/>
    <n v="1468297"/>
    <n v="2"/>
    <x v="0"/>
    <n v="0"/>
    <x v="0"/>
    <n v="0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22693989"/>
    <n v="62"/>
    <n v="62"/>
    <x v="2"/>
    <n v="1"/>
    <x v="0"/>
    <n v="1"/>
    <x v="1"/>
    <n v="1918251"/>
    <n v="1"/>
    <x v="0"/>
    <n v="1355752"/>
    <n v="2"/>
    <x v="0"/>
    <n v="1"/>
    <x v="0"/>
    <n v="0"/>
    <x v="0"/>
    <n v="1998108"/>
    <n v="2"/>
    <x v="0"/>
    <n v="0"/>
    <x v="0"/>
    <n v="0"/>
    <n v="0"/>
    <x v="0"/>
    <n v="1382906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676243"/>
    <n v="62"/>
    <n v="62"/>
    <x v="2"/>
    <n v="1"/>
    <x v="0"/>
    <n v="1"/>
    <x v="1"/>
    <n v="1967061"/>
    <n v="1"/>
    <x v="0"/>
    <n v="1"/>
    <n v="1"/>
    <x v="1"/>
    <n v="1"/>
    <x v="0"/>
    <n v="0"/>
    <x v="0"/>
    <n v="2548651"/>
    <n v="2"/>
    <x v="0"/>
    <n v="0"/>
    <x v="0"/>
    <n v="0.24926400000000001"/>
    <n v="0"/>
    <x v="0"/>
    <n v="1516731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804818"/>
    <n v="62"/>
    <n v="62"/>
    <x v="2"/>
    <n v="1"/>
    <x v="0"/>
    <n v="1"/>
    <x v="1"/>
    <n v="2964419"/>
    <n v="1"/>
    <x v="0"/>
    <n v="1"/>
    <n v="1"/>
    <x v="1"/>
    <n v="1"/>
    <x v="0"/>
    <n v="0"/>
    <x v="0"/>
    <n v="2977516"/>
    <n v="2"/>
    <x v="0"/>
    <n v="0"/>
    <x v="0"/>
    <n v="0.74211300000000002"/>
    <n v="0"/>
    <x v="0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857123"/>
    <n v="62"/>
    <n v="62"/>
    <x v="2"/>
    <n v="1"/>
    <x v="0"/>
    <n v="1"/>
    <x v="1"/>
    <n v="2640801"/>
    <n v="1"/>
    <x v="0"/>
    <n v="1015488"/>
    <n v="2"/>
    <x v="0"/>
    <n v="1"/>
    <x v="0"/>
    <n v="0"/>
    <x v="0"/>
    <n v="2022355"/>
    <n v="2"/>
    <x v="0"/>
    <n v="0"/>
    <x v="0"/>
    <n v="0.24474899999999999"/>
    <n v="0"/>
    <x v="0"/>
    <n v="0.289217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096353"/>
    <n v="63"/>
    <n v="63"/>
    <x v="2"/>
    <n v="1"/>
    <x v="0"/>
    <n v="1"/>
    <x v="1"/>
    <n v="2"/>
    <n v="1"/>
    <x v="0"/>
    <n v="2986172"/>
    <n v="2"/>
    <x v="0"/>
    <n v="1"/>
    <x v="0"/>
    <n v="0"/>
    <x v="0"/>
    <n v="2364208"/>
    <n v="2"/>
    <x v="0"/>
    <n v="0"/>
    <x v="0"/>
    <n v="2492402"/>
    <n v="3"/>
    <x v="3"/>
    <n v="1632506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815416"/>
    <n v="62"/>
    <n v="62"/>
    <x v="2"/>
    <n v="1"/>
    <x v="0"/>
    <n v="1"/>
    <x v="1"/>
    <n v="2"/>
    <n v="1"/>
    <x v="0"/>
    <n v="2993623"/>
    <n v="2"/>
    <x v="0"/>
    <n v="1"/>
    <x v="0"/>
    <n v="0"/>
    <x v="0"/>
    <n v="2326635"/>
    <n v="2"/>
    <x v="0"/>
    <n v="0"/>
    <x v="0"/>
    <n v="2236586"/>
    <n v="3"/>
    <x v="3"/>
    <n v="1529423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102064"/>
    <n v="5"/>
    <n v="5"/>
    <x v="0"/>
    <n v="1"/>
    <x v="0"/>
    <n v="1"/>
    <x v="1"/>
    <n v="2870152"/>
    <n v="1"/>
    <x v="0"/>
    <n v="1001383"/>
    <n v="2"/>
    <x v="0"/>
    <n v="1"/>
    <x v="0"/>
    <n v="0"/>
    <x v="0"/>
    <n v="3"/>
    <n v="2"/>
    <x v="0"/>
    <n v="0"/>
    <x v="0"/>
    <n v="1322558"/>
    <n v="3"/>
    <x v="3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1001458"/>
    <n v="57"/>
    <n v="57"/>
    <x v="2"/>
    <n v="1"/>
    <x v="0"/>
    <n v="1"/>
    <x v="1"/>
    <n v="2482575"/>
    <n v="1"/>
    <x v="0"/>
    <n v="1001542"/>
    <n v="2"/>
    <x v="0"/>
    <n v="1"/>
    <x v="0"/>
    <n v="0"/>
    <x v="0"/>
    <n v="3"/>
    <n v="2"/>
    <x v="0"/>
    <n v="0"/>
    <x v="0"/>
    <n v="1751656"/>
    <n v="3"/>
    <x v="3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287795"/>
    <n v="6"/>
    <n v="6"/>
    <x v="0"/>
    <n v="1"/>
    <x v="0"/>
    <n v="1"/>
    <x v="1"/>
    <n v="2290095"/>
    <n v="1"/>
    <x v="0"/>
    <n v="2590283"/>
    <n v="2"/>
    <x v="0"/>
    <n v="1"/>
    <x v="0"/>
    <n v="0"/>
    <x v="0"/>
    <n v="2506296"/>
    <n v="2"/>
    <x v="0"/>
    <n v="0"/>
    <x v="0"/>
    <n v="0.31225399999999998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2847618"/>
    <n v="62"/>
    <n v="62"/>
    <x v="2"/>
    <n v="1"/>
    <x v="0"/>
    <n v="1"/>
    <x v="1"/>
    <n v="2074843"/>
    <n v="1"/>
    <x v="0"/>
    <n v="1773916"/>
    <n v="2"/>
    <x v="0"/>
    <n v="1"/>
    <x v="0"/>
    <n v="0"/>
    <x v="0"/>
    <n v="2428271"/>
    <n v="2"/>
    <x v="0"/>
    <n v="0"/>
    <x v="0"/>
    <n v="3.5090999999999997E-2"/>
    <n v="0"/>
    <x v="0"/>
    <n v="1"/>
    <n v="1"/>
    <x v="0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14128"/>
    <n v="1"/>
    <x v="0"/>
    <n v="2989112"/>
    <n v="2"/>
    <x v="0"/>
    <n v="1"/>
    <x v="0"/>
    <n v="0"/>
    <x v="0"/>
    <n v="2519841"/>
    <n v="2"/>
    <x v="0"/>
    <n v="0"/>
    <x v="0"/>
    <n v="211137"/>
    <n v="2"/>
    <x v="1"/>
    <n v="1.3483E-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3"/>
    <n v="23"/>
    <n v="23"/>
    <x v="0"/>
    <n v="1"/>
    <x v="0"/>
    <n v="1"/>
    <x v="1"/>
    <n v="2334474"/>
    <n v="1"/>
    <x v="0"/>
    <n v="1496776"/>
    <n v="2"/>
    <x v="0"/>
    <n v="1"/>
    <x v="0"/>
    <n v="0"/>
    <x v="0"/>
    <n v="2776724"/>
    <n v="2"/>
    <x v="0"/>
    <n v="0"/>
    <x v="0"/>
    <n v="0.782416"/>
    <n v="0"/>
    <x v="0"/>
    <n v="0.16772799999999999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9129291"/>
    <n v="107"/>
    <n v="100"/>
    <x v="3"/>
    <n v="1"/>
    <x v="0"/>
    <n v="1"/>
    <x v="1"/>
    <n v="2"/>
    <n v="1"/>
    <x v="0"/>
    <n v="3"/>
    <n v="2"/>
    <x v="0"/>
    <n v="1"/>
    <x v="0"/>
    <n v="0"/>
    <x v="0"/>
    <n v="1186996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441044"/>
    <n v="102"/>
    <n v="100"/>
    <x v="3"/>
    <n v="1"/>
    <x v="0"/>
    <n v="1"/>
    <x v="1"/>
    <n v="2"/>
    <n v="1"/>
    <x v="0"/>
    <n v="2994046"/>
    <n v="2"/>
    <x v="0"/>
    <n v="1"/>
    <x v="0"/>
    <n v="0"/>
    <x v="0"/>
    <n v="1603549"/>
    <n v="2"/>
    <x v="0"/>
    <n v="0"/>
    <x v="0"/>
    <n v="1335857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2969366"/>
    <n v="62"/>
    <n v="62"/>
    <x v="2"/>
    <n v="1"/>
    <x v="0"/>
    <n v="1"/>
    <x v="1"/>
    <n v="2"/>
    <n v="1"/>
    <x v="0"/>
    <n v="3"/>
    <n v="2"/>
    <x v="0"/>
    <n v="1"/>
    <x v="0"/>
    <n v="0"/>
    <x v="0"/>
    <n v="2133469"/>
    <n v="2"/>
    <x v="0"/>
    <n v="0"/>
    <x v="0"/>
    <n v="1030199"/>
    <n v="3"/>
    <x v="3"/>
    <n v="1082838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735328"/>
    <n v="62"/>
    <n v="62"/>
    <x v="2"/>
    <n v="1"/>
    <x v="0"/>
    <n v="1"/>
    <x v="1"/>
    <n v="2"/>
    <n v="1"/>
    <x v="0"/>
    <n v="3"/>
    <n v="2"/>
    <x v="0"/>
    <n v="1"/>
    <x v="0"/>
    <n v="0"/>
    <x v="0"/>
    <n v="2183149"/>
    <n v="2"/>
    <x v="0"/>
    <n v="0"/>
    <x v="0"/>
    <n v="1932386"/>
    <n v="3"/>
    <x v="3"/>
    <n v="0.212767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32471"/>
    <n v="6"/>
    <n v="6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3668137"/>
    <n v="64"/>
    <n v="64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1895468"/>
    <n v="59"/>
    <n v="59"/>
    <x v="2"/>
    <n v="1"/>
    <x v="0"/>
    <n v="1"/>
    <x v="1"/>
    <n v="2693859"/>
    <n v="1"/>
    <x v="0"/>
    <n v="1000283"/>
    <n v="2"/>
    <x v="0"/>
    <n v="1"/>
    <x v="0"/>
    <n v="0"/>
    <x v="0"/>
    <n v="3"/>
    <n v="2"/>
    <x v="0"/>
    <n v="0"/>
    <x v="0"/>
    <n v="1201403"/>
    <n v="3"/>
    <x v="3"/>
    <n v="1612432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13928"/>
    <n v="0"/>
    <n v="5"/>
    <x v="0"/>
    <n v="1"/>
    <x v="0"/>
    <n v="1"/>
    <x v="1"/>
    <n v="2607747"/>
    <n v="1"/>
    <x v="0"/>
    <n v="1000414"/>
    <n v="2"/>
    <x v="0"/>
    <n v="1"/>
    <x v="0"/>
    <n v="0"/>
    <x v="0"/>
    <n v="3"/>
    <n v="2"/>
    <x v="0"/>
    <n v="0"/>
    <x v="0"/>
    <n v="1269169"/>
    <n v="3"/>
    <x v="3"/>
    <n v="1460564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8178076"/>
    <n v="49"/>
    <n v="49"/>
    <x v="1"/>
    <n v="1"/>
    <x v="0"/>
    <n v="1"/>
    <x v="1"/>
    <n v="266889"/>
    <n v="1"/>
    <x v="0"/>
    <n v="3"/>
    <n v="2"/>
    <x v="0"/>
    <n v="1"/>
    <x v="0"/>
    <n v="0"/>
    <x v="0"/>
    <n v="1172593"/>
    <n v="2"/>
    <x v="0"/>
    <n v="0"/>
    <x v="0"/>
    <n v="0.88644800000000001"/>
    <n v="0"/>
    <x v="0"/>
    <n v="1252677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8907514"/>
    <n v="51"/>
    <n v="51"/>
    <x v="2"/>
    <n v="1"/>
    <x v="0"/>
    <n v="1"/>
    <x v="1"/>
    <n v="3"/>
    <n v="1"/>
    <x v="0"/>
    <n v="3"/>
    <n v="2"/>
    <x v="0"/>
    <n v="1"/>
    <x v="0"/>
    <n v="0"/>
    <x v="0"/>
    <n v="1"/>
    <n v="1"/>
    <x v="1"/>
    <n v="0"/>
    <x v="0"/>
    <n v="0.21518699999999999"/>
    <n v="0"/>
    <x v="0"/>
    <n v="1195929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6011928"/>
    <n v="71"/>
    <n v="71"/>
    <x v="2"/>
    <n v="1"/>
    <x v="0"/>
    <n v="1"/>
    <x v="1"/>
    <n v="3"/>
    <n v="1"/>
    <x v="0"/>
    <n v="3"/>
    <n v="2"/>
    <x v="0"/>
    <n v="1"/>
    <x v="0"/>
    <n v="0"/>
    <x v="0"/>
    <n v="1911379"/>
    <n v="2"/>
    <x v="0"/>
    <n v="0"/>
    <x v="0"/>
    <n v="1911096"/>
    <n v="3"/>
    <x v="3"/>
    <n v="1032392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696736"/>
    <n v="70"/>
    <n v="70"/>
    <x v="2"/>
    <n v="1"/>
    <x v="0"/>
    <n v="1"/>
    <x v="1"/>
    <n v="2921225"/>
    <n v="1"/>
    <x v="0"/>
    <n v="3"/>
    <n v="2"/>
    <x v="0"/>
    <n v="1"/>
    <x v="0"/>
    <n v="0"/>
    <x v="0"/>
    <n v="2869439"/>
    <n v="2"/>
    <x v="0"/>
    <n v="0"/>
    <x v="0"/>
    <n v="0.181753"/>
    <n v="0"/>
    <x v="0"/>
    <n v="0.13352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40466313"/>
    <n v="110"/>
    <n v="100"/>
    <x v="3"/>
    <n v="1"/>
    <x v="0"/>
    <n v="1"/>
    <x v="1"/>
    <n v="2"/>
    <n v="1"/>
    <x v="0"/>
    <n v="3"/>
    <n v="2"/>
    <x v="0"/>
    <n v="1"/>
    <x v="0"/>
    <n v="0"/>
    <x v="0"/>
    <n v="1572371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8445148"/>
    <n v="105"/>
    <n v="100"/>
    <x v="3"/>
    <n v="1"/>
    <x v="0"/>
    <n v="1"/>
    <x v="1"/>
    <n v="2"/>
    <n v="1"/>
    <x v="0"/>
    <n v="3"/>
    <n v="2"/>
    <x v="0"/>
    <n v="1"/>
    <x v="0"/>
    <n v="0"/>
    <x v="0"/>
    <n v="1440629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4473062"/>
    <n v="67"/>
    <n v="67"/>
    <x v="2"/>
    <n v="1"/>
    <x v="0"/>
    <n v="1"/>
    <x v="1"/>
    <n v="1492834"/>
    <n v="1"/>
    <x v="0"/>
    <n v="3"/>
    <n v="2"/>
    <x v="0"/>
    <n v="1"/>
    <x v="0"/>
    <n v="0"/>
    <x v="0"/>
    <n v="1005367"/>
    <n v="2"/>
    <x v="0"/>
    <n v="0"/>
    <x v="0"/>
    <n v="0.92273899999999998"/>
    <n v="0"/>
    <x v="0"/>
    <n v="0.73322100000000001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23479181"/>
    <n v="64"/>
    <n v="64"/>
    <x v="2"/>
    <n v="1"/>
    <x v="0"/>
    <n v="1"/>
    <x v="1"/>
    <n v="1220024"/>
    <n v="1"/>
    <x v="0"/>
    <n v="3"/>
    <n v="2"/>
    <x v="0"/>
    <n v="1"/>
    <x v="0"/>
    <n v="0"/>
    <x v="0"/>
    <n v="1046254"/>
    <n v="2"/>
    <x v="0"/>
    <n v="0"/>
    <x v="0"/>
    <n v="0.52098900000000004"/>
    <n v="0"/>
    <x v="0"/>
    <n v="0.61599000000000004"/>
    <n v="0"/>
    <x v="1"/>
    <n v="0"/>
    <x v="0"/>
    <n v="1"/>
    <x v="1"/>
    <n v="0"/>
    <x v="0"/>
    <n v="0"/>
    <x v="0"/>
    <n v="0"/>
    <x v="1"/>
    <n v="0"/>
    <x v="0"/>
    <n v="1"/>
    <x v="1"/>
  </r>
  <r>
    <n v="0"/>
    <s v="F"/>
    <n v="38397463"/>
    <n v="105"/>
    <n v="100"/>
    <x v="3"/>
    <n v="1"/>
    <x v="0"/>
    <n v="1"/>
    <x v="1"/>
    <n v="2667676"/>
    <n v="1"/>
    <x v="0"/>
    <n v="1135278"/>
    <n v="2"/>
    <x v="0"/>
    <n v="1"/>
    <x v="0"/>
    <n v="0"/>
    <x v="0"/>
    <n v="1399629"/>
    <n v="2"/>
    <x v="0"/>
    <n v="0"/>
    <x v="0"/>
    <n v="1648883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974483"/>
    <n v="104"/>
    <n v="100"/>
    <x v="3"/>
    <n v="1"/>
    <x v="0"/>
    <n v="1"/>
    <x v="1"/>
    <n v="2569075"/>
    <n v="1"/>
    <x v="0"/>
    <n v="2463113"/>
    <n v="2"/>
    <x v="0"/>
    <n v="1"/>
    <x v="0"/>
    <n v="0"/>
    <x v="0"/>
    <n v="1567366"/>
    <n v="2"/>
    <x v="0"/>
    <n v="0"/>
    <x v="0"/>
    <n v="0.35913400000000001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783524"/>
    <n v="87"/>
    <n v="87"/>
    <x v="3"/>
    <n v="1"/>
    <x v="0"/>
    <n v="1"/>
    <x v="1"/>
    <n v="2949242"/>
    <n v="1"/>
    <x v="0"/>
    <n v="1782109"/>
    <n v="2"/>
    <x v="0"/>
    <n v="1"/>
    <x v="0"/>
    <n v="0"/>
    <x v="0"/>
    <n v="2210997"/>
    <n v="2"/>
    <x v="0"/>
    <n v="0"/>
    <x v="0"/>
    <n v="1992719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9681308"/>
    <n v="81"/>
    <n v="81"/>
    <x v="3"/>
    <n v="1"/>
    <x v="0"/>
    <n v="1"/>
    <x v="1"/>
    <n v="2104772"/>
    <n v="1"/>
    <x v="0"/>
    <n v="2376374"/>
    <n v="2"/>
    <x v="0"/>
    <n v="1"/>
    <x v="0"/>
    <n v="0"/>
    <x v="0"/>
    <n v="2218691"/>
    <n v="2"/>
    <x v="0"/>
    <n v="0"/>
    <x v="0"/>
    <n v="152184"/>
    <n v="2"/>
    <x v="1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1587743"/>
    <n v="59"/>
    <n v="59"/>
    <x v="2"/>
    <n v="1"/>
    <x v="0"/>
    <n v="1"/>
    <x v="1"/>
    <n v="2"/>
    <n v="1"/>
    <x v="0"/>
    <n v="2976098"/>
    <n v="2"/>
    <x v="0"/>
    <n v="1"/>
    <x v="0"/>
    <n v="0"/>
    <x v="0"/>
    <n v="2"/>
    <n v="2"/>
    <x v="0"/>
    <n v="0"/>
    <x v="0"/>
    <n v="0"/>
    <n v="0"/>
    <x v="0"/>
    <n v="139322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1746113"/>
    <n v="59"/>
    <n v="59"/>
    <x v="2"/>
    <n v="1"/>
    <x v="0"/>
    <n v="1"/>
    <x v="1"/>
    <n v="2"/>
    <n v="1"/>
    <x v="0"/>
    <n v="2968098"/>
    <n v="2"/>
    <x v="0"/>
    <n v="1"/>
    <x v="0"/>
    <n v="0"/>
    <x v="0"/>
    <n v="2"/>
    <n v="2"/>
    <x v="0"/>
    <n v="0"/>
    <x v="0"/>
    <n v="0"/>
    <n v="0"/>
    <x v="0"/>
    <n v="1292476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9569004"/>
    <n v="108"/>
    <n v="100"/>
    <x v="3"/>
    <n v="1"/>
    <x v="0"/>
    <n v="1"/>
    <x v="1"/>
    <n v="2871768"/>
    <n v="1"/>
    <x v="0"/>
    <n v="1792695"/>
    <n v="2"/>
    <x v="0"/>
    <n v="1"/>
    <x v="0"/>
    <n v="0"/>
    <x v="0"/>
    <n v="2691322"/>
    <n v="2"/>
    <x v="0"/>
    <n v="0"/>
    <x v="0"/>
    <n v="2545707"/>
    <n v="3"/>
    <x v="3"/>
    <n v="0.90390300000000001"/>
    <n v="0"/>
    <x v="1"/>
    <n v="2"/>
    <x v="2"/>
    <n v="1"/>
    <x v="1"/>
    <n v="0"/>
    <x v="0"/>
    <n v="0"/>
    <x v="0"/>
    <n v="0"/>
    <x v="1"/>
    <n v="0"/>
    <x v="0"/>
    <n v="1"/>
    <x v="1"/>
  </r>
  <r>
    <n v="1"/>
    <s v="M"/>
    <n v="3667933"/>
    <n v="10"/>
    <n v="10"/>
    <x v="0"/>
    <n v="1"/>
    <x v="0"/>
    <n v="1"/>
    <x v="1"/>
    <n v="2540949"/>
    <n v="1"/>
    <x v="0"/>
    <n v="1116401"/>
    <n v="2"/>
    <x v="0"/>
    <n v="1"/>
    <x v="0"/>
    <n v="0"/>
    <x v="0"/>
    <n v="2929123"/>
    <n v="2"/>
    <x v="0"/>
    <n v="0"/>
    <x v="0"/>
    <n v="2787319"/>
    <n v="3"/>
    <x v="3"/>
    <n v="0.732881"/>
    <n v="0"/>
    <x v="1"/>
    <n v="2"/>
    <x v="2"/>
    <n v="1"/>
    <x v="1"/>
    <n v="0"/>
    <x v="0"/>
    <n v="0"/>
    <x v="0"/>
    <n v="0"/>
    <x v="1"/>
    <n v="0"/>
    <x v="0"/>
    <n v="1"/>
    <x v="1"/>
  </r>
  <r>
    <n v="1"/>
    <s v="M"/>
    <n v="22927011"/>
    <n v="62"/>
    <n v="62"/>
    <x v="2"/>
    <n v="1"/>
    <x v="0"/>
    <n v="1"/>
    <x v="1"/>
    <n v="2"/>
    <n v="1"/>
    <x v="0"/>
    <n v="3"/>
    <n v="2"/>
    <x v="0"/>
    <n v="1"/>
    <x v="0"/>
    <n v="0"/>
    <x v="0"/>
    <n v="2530301"/>
    <n v="2"/>
    <x v="0"/>
    <n v="0"/>
    <x v="0"/>
    <n v="289118"/>
    <n v="2"/>
    <x v="1"/>
    <n v="128711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3329344"/>
    <n v="63"/>
    <n v="63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3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126325"/>
    <n v="60"/>
    <n v="60"/>
    <x v="2"/>
    <n v="1"/>
    <x v="0"/>
    <n v="1"/>
    <x v="1"/>
    <n v="2"/>
    <n v="1"/>
    <x v="0"/>
    <n v="2984523"/>
    <n v="2"/>
    <x v="0"/>
    <n v="1"/>
    <x v="0"/>
    <n v="0"/>
    <x v="0"/>
    <n v="2263551"/>
    <n v="2"/>
    <x v="0"/>
    <n v="0"/>
    <x v="0"/>
    <n v="2819661"/>
    <n v="3"/>
    <x v="3"/>
    <n v="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1679158"/>
    <n v="59"/>
    <n v="59"/>
    <x v="2"/>
    <n v="1"/>
    <x v="0"/>
    <n v="1"/>
    <x v="1"/>
    <n v="2"/>
    <n v="1"/>
    <x v="0"/>
    <n v="2978103"/>
    <n v="2"/>
    <x v="0"/>
    <n v="1"/>
    <x v="0"/>
    <n v="0"/>
    <x v="0"/>
    <n v="2668261"/>
    <n v="2"/>
    <x v="0"/>
    <n v="0"/>
    <x v="0"/>
    <n v="2462269"/>
    <n v="3"/>
    <x v="3"/>
    <n v="1402414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6673882"/>
    <n v="100"/>
    <n v="100"/>
    <x v="3"/>
    <n v="1"/>
    <x v="0"/>
    <n v="1"/>
    <x v="1"/>
    <n v="2222282"/>
    <n v="1"/>
    <x v="0"/>
    <n v="1578751"/>
    <n v="2"/>
    <x v="0"/>
    <n v="1"/>
    <x v="0"/>
    <n v="0"/>
    <x v="0"/>
    <n v="2791604"/>
    <n v="2"/>
    <x v="0"/>
    <n v="0"/>
    <x v="0"/>
    <n v="2352091"/>
    <n v="3"/>
    <x v="3"/>
    <n v="0.3178460000000000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7936044"/>
    <n v="103"/>
    <n v="100"/>
    <x v="3"/>
    <n v="1"/>
    <x v="0"/>
    <n v="1"/>
    <x v="1"/>
    <n v="204516"/>
    <n v="1"/>
    <x v="0"/>
    <n v="1874532"/>
    <n v="2"/>
    <x v="0"/>
    <n v="1"/>
    <x v="0"/>
    <n v="0"/>
    <x v="0"/>
    <n v="2856521"/>
    <n v="2"/>
    <x v="0"/>
    <n v="0"/>
    <x v="0"/>
    <n v="2005286"/>
    <n v="3"/>
    <x v="3"/>
    <n v="0.105408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2226815"/>
    <n v="60"/>
    <n v="60"/>
    <x v="2"/>
    <n v="1"/>
    <x v="0"/>
    <n v="1"/>
    <x v="1"/>
    <n v="2094184"/>
    <n v="1"/>
    <x v="0"/>
    <n v="2735706"/>
    <n v="2"/>
    <x v="0"/>
    <n v="1"/>
    <x v="0"/>
    <n v="0"/>
    <x v="0"/>
    <n v="2257922"/>
    <n v="2"/>
    <x v="0"/>
    <n v="0"/>
    <x v="0"/>
    <n v="2230547"/>
    <n v="3"/>
    <x v="3"/>
    <n v="0.19533900000000001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538932"/>
    <n v="61"/>
    <n v="61"/>
    <x v="2"/>
    <n v="1"/>
    <x v="0"/>
    <n v="1"/>
    <x v="1"/>
    <n v="1123672"/>
    <n v="1"/>
    <x v="0"/>
    <n v="1014916"/>
    <n v="2"/>
    <x v="0"/>
    <n v="1"/>
    <x v="0"/>
    <n v="0"/>
    <x v="0"/>
    <n v="2042078"/>
    <n v="2"/>
    <x v="0"/>
    <n v="0"/>
    <x v="0"/>
    <n v="1846666"/>
    <n v="3"/>
    <x v="3"/>
    <n v="1426103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2307413"/>
    <n v="61"/>
    <n v="61"/>
    <x v="2"/>
    <n v="1"/>
    <x v="0"/>
    <n v="1"/>
    <x v="1"/>
    <n v="2049112"/>
    <n v="1"/>
    <x v="0"/>
    <n v="2622055"/>
    <n v="2"/>
    <x v="0"/>
    <n v="1"/>
    <x v="0"/>
    <n v="0"/>
    <x v="0"/>
    <n v="2280555"/>
    <n v="2"/>
    <x v="0"/>
    <n v="0"/>
    <x v="0"/>
    <n v="2052896"/>
    <n v="3"/>
    <x v="3"/>
    <n v="0.89618500000000001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362877"/>
    <n v="61"/>
    <n v="61"/>
    <x v="2"/>
    <n v="1"/>
    <x v="0"/>
    <n v="1"/>
    <x v="1"/>
    <n v="1880534"/>
    <n v="1"/>
    <x v="0"/>
    <n v="2806566"/>
    <n v="2"/>
    <x v="0"/>
    <n v="1"/>
    <x v="0"/>
    <n v="0"/>
    <x v="0"/>
    <n v="2313245"/>
    <n v="2"/>
    <x v="0"/>
    <n v="0"/>
    <x v="0"/>
    <n v="2146778"/>
    <n v="3"/>
    <x v="3"/>
    <n v="0.19608400000000001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89974"/>
    <n v="6"/>
    <n v="6"/>
    <x v="0"/>
    <n v="1"/>
    <x v="0"/>
    <n v="1"/>
    <x v="1"/>
    <n v="1203754"/>
    <n v="1"/>
    <x v="0"/>
    <n v="1355354"/>
    <n v="2"/>
    <x v="0"/>
    <n v="1"/>
    <x v="0"/>
    <n v="0"/>
    <x v="0"/>
    <n v="2765593"/>
    <n v="2"/>
    <x v="0"/>
    <n v="0"/>
    <x v="0"/>
    <n v="0.12834200000000001"/>
    <n v="0"/>
    <x v="0"/>
    <n v="1659476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997168"/>
    <n v="63"/>
    <n v="63"/>
    <x v="2"/>
    <n v="1"/>
    <x v="0"/>
    <n v="1"/>
    <x v="1"/>
    <n v="273691"/>
    <n v="1"/>
    <x v="0"/>
    <n v="1478334"/>
    <n v="2"/>
    <x v="0"/>
    <n v="1"/>
    <x v="0"/>
    <n v="0"/>
    <x v="0"/>
    <n v="2677409"/>
    <n v="2"/>
    <x v="0"/>
    <n v="0"/>
    <x v="0"/>
    <n v="6.5264000000000003E-2"/>
    <n v="0"/>
    <x v="0"/>
    <n v="0.406990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38895069"/>
    <n v="106"/>
    <n v="100"/>
    <x v="3"/>
    <n v="1"/>
    <x v="0"/>
    <n v="1"/>
    <x v="1"/>
    <n v="2736628"/>
    <n v="1"/>
    <x v="0"/>
    <n v="1130751"/>
    <n v="2"/>
    <x v="0"/>
    <n v="1"/>
    <x v="0"/>
    <n v="0"/>
    <x v="0"/>
    <n v="1385175"/>
    <n v="2"/>
    <x v="0"/>
    <n v="0"/>
    <x v="0"/>
    <n v="1666965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0789529"/>
    <n v="111"/>
    <n v="100"/>
    <x v="3"/>
    <n v="1"/>
    <x v="0"/>
    <n v="1"/>
    <x v="1"/>
    <n v="2"/>
    <n v="1"/>
    <x v="0"/>
    <n v="1099151"/>
    <n v="2"/>
    <x v="0"/>
    <n v="1"/>
    <x v="0"/>
    <n v="0"/>
    <x v="0"/>
    <n v="1687611"/>
    <n v="2"/>
    <x v="0"/>
    <n v="0"/>
    <x v="0"/>
    <n v="1874662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0654155"/>
    <n v="111"/>
    <n v="100"/>
    <x v="3"/>
    <n v="1"/>
    <x v="0"/>
    <n v="1"/>
    <x v="1"/>
    <n v="2"/>
    <n v="1"/>
    <x v="0"/>
    <n v="3"/>
    <n v="2"/>
    <x v="0"/>
    <n v="1"/>
    <x v="0"/>
    <n v="0"/>
    <x v="0"/>
    <n v="1"/>
    <n v="1"/>
    <x v="1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8542937"/>
    <n v="105"/>
    <n v="100"/>
    <x v="3"/>
    <n v="1"/>
    <x v="0"/>
    <n v="1"/>
    <x v="1"/>
    <n v="2"/>
    <n v="1"/>
    <x v="0"/>
    <n v="3"/>
    <n v="2"/>
    <x v="0"/>
    <n v="1"/>
    <x v="0"/>
    <n v="0"/>
    <x v="0"/>
    <n v="1095134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95383"/>
    <n v="7"/>
    <n v="7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41364299999999998"/>
    <n v="0"/>
    <x v="0"/>
    <n v="0.92085799999999995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6826961"/>
    <n v="73"/>
    <n v="73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88493500000000003"/>
    <n v="0"/>
    <x v="0"/>
    <n v="0.12228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23803904"/>
    <n v="65"/>
    <n v="65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5.7757999999999997E-2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3652435"/>
    <n v="64"/>
    <n v="64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.38971699999999998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677105"/>
    <n v="56"/>
    <n v="56"/>
    <x v="2"/>
    <n v="1"/>
    <x v="0"/>
    <n v="1"/>
    <x v="1"/>
    <n v="2"/>
    <n v="1"/>
    <x v="0"/>
    <n v="3"/>
    <n v="2"/>
    <x v="0"/>
    <n v="1"/>
    <x v="0"/>
    <n v="0"/>
    <x v="0"/>
    <n v="1618189"/>
    <n v="2"/>
    <x v="0"/>
    <n v="0"/>
    <x v="0"/>
    <n v="0.57164800000000004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797388"/>
    <n v="59"/>
    <n v="59"/>
    <x v="2"/>
    <n v="1"/>
    <x v="0"/>
    <n v="1"/>
    <x v="1"/>
    <n v="2121909"/>
    <n v="1"/>
    <x v="0"/>
    <n v="3"/>
    <n v="2"/>
    <x v="0"/>
    <n v="1"/>
    <x v="0"/>
    <n v="0"/>
    <x v="0"/>
    <n v="2500556"/>
    <n v="2"/>
    <x v="0"/>
    <n v="0"/>
    <x v="0"/>
    <n v="120758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2719385"/>
    <n v="62"/>
    <n v="62"/>
    <x v="2"/>
    <n v="1"/>
    <x v="0"/>
    <n v="1"/>
    <x v="1"/>
    <n v="2"/>
    <n v="1"/>
    <x v="0"/>
    <n v="3"/>
    <n v="2"/>
    <x v="0"/>
    <n v="1"/>
    <x v="0"/>
    <n v="0"/>
    <x v="0"/>
    <n v="2714091"/>
    <n v="2"/>
    <x v="0"/>
    <n v="0"/>
    <x v="0"/>
    <n v="264102"/>
    <n v="2"/>
    <x v="1"/>
    <n v="122473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177099"/>
    <n v="60"/>
    <n v="60"/>
    <x v="2"/>
    <n v="1"/>
    <x v="0"/>
    <n v="1"/>
    <x v="1"/>
    <n v="2"/>
    <n v="1"/>
    <x v="0"/>
    <n v="3"/>
    <n v="2"/>
    <x v="0"/>
    <n v="1"/>
    <x v="0"/>
    <n v="0"/>
    <x v="0"/>
    <n v="2697661"/>
    <n v="2"/>
    <x v="0"/>
    <n v="0"/>
    <x v="0"/>
    <n v="2614909"/>
    <n v="3"/>
    <x v="3"/>
    <n v="1229474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3099906"/>
    <n v="63"/>
    <n v="63"/>
    <x v="2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0.40261400000000003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417851"/>
    <n v="6"/>
    <n v="6"/>
    <x v="0"/>
    <n v="1"/>
    <x v="0"/>
    <n v="1"/>
    <x v="1"/>
    <n v="2"/>
    <n v="1"/>
    <x v="0"/>
    <n v="1"/>
    <n v="1"/>
    <x v="1"/>
    <n v="1"/>
    <x v="0"/>
    <n v="0"/>
    <x v="0"/>
    <n v="2"/>
    <n v="2"/>
    <x v="0"/>
    <n v="0"/>
    <x v="0"/>
    <n v="1.1476999999999999E-2"/>
    <n v="0"/>
    <x v="0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924808"/>
    <n v="57"/>
    <n v="57"/>
    <x v="2"/>
    <n v="1"/>
    <x v="0"/>
    <n v="1"/>
    <x v="1"/>
    <n v="2"/>
    <n v="1"/>
    <x v="0"/>
    <n v="3"/>
    <n v="2"/>
    <x v="0"/>
    <n v="1"/>
    <x v="0"/>
    <n v="0"/>
    <x v="0"/>
    <n v="2290368"/>
    <n v="2"/>
    <x v="0"/>
    <n v="0"/>
    <x v="0"/>
    <n v="1.0859999999999999E-3"/>
    <n v="0"/>
    <x v="0"/>
    <n v="0.5441279999999999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0975973"/>
    <n v="57"/>
    <n v="57"/>
    <x v="2"/>
    <n v="1"/>
    <x v="0"/>
    <n v="1"/>
    <x v="1"/>
    <n v="2"/>
    <n v="1"/>
    <x v="0"/>
    <n v="3"/>
    <n v="2"/>
    <x v="0"/>
    <n v="1"/>
    <x v="0"/>
    <n v="0"/>
    <x v="0"/>
    <n v="1025275"/>
    <n v="2"/>
    <x v="0"/>
    <n v="0"/>
    <x v="0"/>
    <n v="2.0300000000000001E-3"/>
    <n v="0"/>
    <x v="0"/>
    <n v="0.175586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856301"/>
    <n v="59"/>
    <n v="59"/>
    <x v="2"/>
    <n v="1"/>
    <x v="0"/>
    <n v="1"/>
    <x v="1"/>
    <n v="2"/>
    <n v="1"/>
    <x v="0"/>
    <n v="2358455"/>
    <n v="2"/>
    <x v="0"/>
    <n v="1"/>
    <x v="0"/>
    <n v="0"/>
    <x v="0"/>
    <n v="2515765"/>
    <n v="2"/>
    <x v="0"/>
    <n v="0"/>
    <x v="0"/>
    <n v="0.98231999999999997"/>
    <n v="0"/>
    <x v="0"/>
    <n v="1157466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18140751"/>
    <n v="49"/>
    <n v="49"/>
    <x v="1"/>
    <n v="1"/>
    <x v="0"/>
    <n v="1"/>
    <x v="1"/>
    <n v="2"/>
    <n v="1"/>
    <x v="0"/>
    <n v="1706551"/>
    <n v="2"/>
    <x v="0"/>
    <n v="1"/>
    <x v="0"/>
    <n v="0"/>
    <x v="0"/>
    <n v="2039514"/>
    <n v="2"/>
    <x v="0"/>
    <n v="0"/>
    <x v="0"/>
    <n v="1"/>
    <n v="1"/>
    <x v="2"/>
    <n v="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1"/>
    <x v="0"/>
    <n v="1"/>
    <x v="1"/>
    <n v="2642744"/>
    <n v="1"/>
    <x v="0"/>
    <n v="3"/>
    <n v="2"/>
    <x v="0"/>
    <n v="1"/>
    <x v="0"/>
    <n v="0"/>
    <x v="0"/>
    <n v="1904054"/>
    <n v="2"/>
    <x v="0"/>
    <n v="0"/>
    <x v="0"/>
    <n v="1645654"/>
    <n v="3"/>
    <x v="3"/>
    <n v="0.363549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1"/>
    <x v="0"/>
    <n v="1"/>
    <x v="1"/>
    <n v="2387426"/>
    <n v="1"/>
    <x v="0"/>
    <n v="3"/>
    <n v="2"/>
    <x v="0"/>
    <n v="1"/>
    <x v="0"/>
    <n v="0"/>
    <x v="0"/>
    <n v="177962"/>
    <n v="2"/>
    <x v="0"/>
    <n v="0"/>
    <x v="0"/>
    <n v="0.74300500000000003"/>
    <n v="0"/>
    <x v="0"/>
    <n v="0.920162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206358"/>
    <n v="55"/>
    <n v="55"/>
    <x v="2"/>
    <n v="1"/>
    <x v="0"/>
    <n v="1"/>
    <x v="1"/>
    <n v="1996638"/>
    <n v="1"/>
    <x v="0"/>
    <n v="3"/>
    <n v="2"/>
    <x v="0"/>
    <n v="1"/>
    <x v="0"/>
    <n v="0"/>
    <x v="0"/>
    <n v="1033199"/>
    <n v="2"/>
    <x v="0"/>
    <n v="0"/>
    <x v="0"/>
    <n v="0.58479300000000001"/>
    <n v="0"/>
    <x v="0"/>
    <n v="0.518297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52876"/>
    <n v="49"/>
    <n v="49"/>
    <x v="1"/>
    <n v="1"/>
    <x v="0"/>
    <n v="1"/>
    <x v="1"/>
    <n v="2107854"/>
    <n v="1"/>
    <x v="0"/>
    <n v="3"/>
    <n v="2"/>
    <x v="0"/>
    <n v="1"/>
    <x v="0"/>
    <n v="0"/>
    <x v="0"/>
    <n v="1383894"/>
    <n v="2"/>
    <x v="0"/>
    <n v="0"/>
    <x v="0"/>
    <n v="1030526"/>
    <n v="3"/>
    <x v="3"/>
    <n v="0.831412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336216"/>
    <n v="61"/>
    <n v="61"/>
    <x v="2"/>
    <n v="1"/>
    <x v="0"/>
    <n v="1"/>
    <x v="1"/>
    <n v="2253707"/>
    <n v="1"/>
    <x v="0"/>
    <n v="3"/>
    <n v="2"/>
    <x v="0"/>
    <n v="1"/>
    <x v="0"/>
    <n v="0"/>
    <x v="0"/>
    <n v="2524432"/>
    <n v="2"/>
    <x v="0"/>
    <n v="0"/>
    <x v="0"/>
    <n v="0.58216000000000001"/>
    <n v="0"/>
    <x v="0"/>
    <n v="0.175693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393837"/>
    <n v="1"/>
    <x v="0"/>
    <n v="3"/>
    <n v="2"/>
    <x v="0"/>
    <n v="1"/>
    <x v="0"/>
    <n v="0"/>
    <x v="0"/>
    <n v="201499"/>
    <n v="2"/>
    <x v="0"/>
    <n v="0"/>
    <x v="0"/>
    <n v="0.97881499999999999"/>
    <n v="0"/>
    <x v="0"/>
    <n v="0.413219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088059"/>
    <n v="60"/>
    <n v="60"/>
    <x v="2"/>
    <n v="1"/>
    <x v="0"/>
    <n v="1"/>
    <x v="1"/>
    <n v="2348745"/>
    <n v="1"/>
    <x v="0"/>
    <n v="3"/>
    <n v="2"/>
    <x v="0"/>
    <n v="1"/>
    <x v="0"/>
    <n v="0"/>
    <x v="0"/>
    <n v="2096751"/>
    <n v="2"/>
    <x v="0"/>
    <n v="0"/>
    <x v="0"/>
    <n v="0.54456400000000005"/>
    <n v="0"/>
    <x v="0"/>
    <n v="0.676880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"/>
    <n v="23"/>
    <n v="23"/>
    <x v="0"/>
    <n v="1"/>
    <x v="0"/>
    <n v="1"/>
    <x v="1"/>
    <n v="2312825"/>
    <n v="1"/>
    <x v="0"/>
    <n v="3"/>
    <n v="2"/>
    <x v="0"/>
    <n v="1"/>
    <x v="0"/>
    <n v="0"/>
    <x v="0"/>
    <n v="2073497"/>
    <n v="2"/>
    <x v="0"/>
    <n v="0"/>
    <x v="0"/>
    <n v="0.61446599999999996"/>
    <n v="0"/>
    <x v="0"/>
    <n v="0.57954099999999997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0993067"/>
    <n v="57"/>
    <n v="57"/>
    <x v="2"/>
    <n v="1"/>
    <x v="0"/>
    <n v="1"/>
    <x v="1"/>
    <n v="2"/>
    <n v="1"/>
    <x v="0"/>
    <n v="3"/>
    <n v="2"/>
    <x v="0"/>
    <n v="1"/>
    <x v="0"/>
    <n v="0"/>
    <x v="0"/>
    <n v="1234943"/>
    <n v="2"/>
    <x v="0"/>
    <n v="0"/>
    <x v="0"/>
    <n v="8.3680000000000004E-3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0654752"/>
    <n v="56"/>
    <n v="56"/>
    <x v="2"/>
    <n v="1"/>
    <x v="0"/>
    <n v="1"/>
    <x v="1"/>
    <n v="2"/>
    <n v="1"/>
    <x v="0"/>
    <n v="3"/>
    <n v="2"/>
    <x v="0"/>
    <n v="1"/>
    <x v="0"/>
    <n v="0"/>
    <x v="0"/>
    <n v="1613829"/>
    <n v="2"/>
    <x v="0"/>
    <n v="0"/>
    <x v="0"/>
    <n v="1251665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624552"/>
    <n v="59"/>
    <n v="59"/>
    <x v="2"/>
    <n v="1"/>
    <x v="0"/>
    <n v="1"/>
    <x v="1"/>
    <n v="2490776"/>
    <n v="1"/>
    <x v="0"/>
    <n v="3"/>
    <n v="2"/>
    <x v="0"/>
    <n v="1"/>
    <x v="0"/>
    <n v="0"/>
    <x v="0"/>
    <n v="2654517"/>
    <n v="2"/>
    <x v="0"/>
    <n v="0"/>
    <x v="0"/>
    <n v="0.112454"/>
    <n v="0"/>
    <x v="0"/>
    <n v="0.756338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682636"/>
    <n v="59"/>
    <n v="59"/>
    <x v="2"/>
    <n v="1"/>
    <x v="0"/>
    <n v="1"/>
    <x v="1"/>
    <n v="2078082"/>
    <n v="1"/>
    <x v="0"/>
    <n v="3"/>
    <n v="2"/>
    <x v="0"/>
    <n v="1"/>
    <x v="0"/>
    <n v="0"/>
    <x v="0"/>
    <n v="2895614"/>
    <n v="2"/>
    <x v="0"/>
    <n v="0"/>
    <x v="0"/>
    <n v="6.275E-2"/>
    <n v="0"/>
    <x v="0"/>
    <n v="0.26179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24884"/>
    <n v="2"/>
    <x v="0"/>
    <n v="1"/>
    <x v="0"/>
    <n v="0"/>
    <x v="0"/>
    <n v="2416213"/>
    <n v="2"/>
    <x v="0"/>
    <n v="0"/>
    <x v="0"/>
    <n v="1"/>
    <n v="1"/>
    <x v="2"/>
    <n v="1546738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250548"/>
    <n v="2"/>
    <x v="0"/>
    <n v="1"/>
    <x v="0"/>
    <n v="0"/>
    <x v="0"/>
    <n v="2121176"/>
    <n v="2"/>
    <x v="0"/>
    <n v="0"/>
    <x v="0"/>
    <n v="1"/>
    <n v="1"/>
    <x v="2"/>
    <n v="0.74106899999999998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202179"/>
    <n v="2"/>
    <x v="0"/>
    <n v="1"/>
    <x v="0"/>
    <n v="0"/>
    <x v="0"/>
    <n v="236293"/>
    <n v="2"/>
    <x v="0"/>
    <n v="0"/>
    <x v="0"/>
    <n v="1"/>
    <n v="1"/>
    <x v="2"/>
    <n v="147574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194815"/>
    <n v="2"/>
    <x v="0"/>
    <n v="1"/>
    <x v="0"/>
    <n v="0"/>
    <x v="0"/>
    <n v="2434832"/>
    <n v="2"/>
    <x v="0"/>
    <n v="0"/>
    <x v="0"/>
    <n v="1"/>
    <n v="1"/>
    <x v="2"/>
    <n v="1541455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9374207"/>
    <n v="53"/>
    <n v="53"/>
    <x v="2"/>
    <n v="1"/>
    <x v="0"/>
    <n v="1"/>
    <x v="1"/>
    <n v="2805512"/>
    <n v="1"/>
    <x v="0"/>
    <n v="2880817"/>
    <n v="2"/>
    <x v="0"/>
    <n v="1"/>
    <x v="0"/>
    <n v="0"/>
    <x v="0"/>
    <n v="1001307"/>
    <n v="2"/>
    <x v="0"/>
    <n v="0"/>
    <x v="0"/>
    <n v="0"/>
    <n v="0"/>
    <x v="0"/>
    <n v="1376597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19275687"/>
    <n v="52"/>
    <n v="52"/>
    <x v="2"/>
    <n v="1"/>
    <x v="0"/>
    <n v="1"/>
    <x v="1"/>
    <n v="1276858"/>
    <n v="1"/>
    <x v="0"/>
    <n v="2918124"/>
    <n v="2"/>
    <x v="0"/>
    <n v="1"/>
    <x v="0"/>
    <n v="0"/>
    <x v="0"/>
    <n v="1403784"/>
    <n v="2"/>
    <x v="0"/>
    <n v="0"/>
    <x v="0"/>
    <n v="0.55251099999999997"/>
    <n v="0"/>
    <x v="0"/>
    <n v="1560402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22956845"/>
    <n v="62"/>
    <n v="62"/>
    <x v="2"/>
    <n v="1"/>
    <x v="0"/>
    <n v="1"/>
    <x v="1"/>
    <n v="2396265"/>
    <n v="1"/>
    <x v="0"/>
    <n v="1073421"/>
    <n v="2"/>
    <x v="0"/>
    <n v="1"/>
    <x v="0"/>
    <n v="0"/>
    <x v="0"/>
    <n v="1979833"/>
    <n v="2"/>
    <x v="0"/>
    <n v="0"/>
    <x v="0"/>
    <n v="2.2598E-2"/>
    <n v="0"/>
    <x v="0"/>
    <n v="6.1282000000000003E-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22829681"/>
    <n v="62"/>
    <n v="62"/>
    <x v="2"/>
    <n v="1"/>
    <x v="0"/>
    <n v="1"/>
    <x v="1"/>
    <n v="2663866"/>
    <n v="1"/>
    <x v="0"/>
    <n v="1416309"/>
    <n v="2"/>
    <x v="0"/>
    <n v="1"/>
    <x v="0"/>
    <n v="0"/>
    <x v="0"/>
    <n v="2379275"/>
    <n v="2"/>
    <x v="0"/>
    <n v="0"/>
    <x v="0"/>
    <n v="0.25632300000000002"/>
    <n v="0"/>
    <x v="0"/>
    <n v="0.59824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2200779"/>
    <n v="60"/>
    <n v="60"/>
    <x v="2"/>
    <n v="1"/>
    <x v="0"/>
    <n v="1"/>
    <x v="1"/>
    <n v="2685484"/>
    <n v="1"/>
    <x v="0"/>
    <n v="3"/>
    <n v="2"/>
    <x v="0"/>
    <n v="1"/>
    <x v="0"/>
    <n v="0"/>
    <x v="0"/>
    <n v="2649459"/>
    <n v="2"/>
    <x v="0"/>
    <n v="0"/>
    <x v="0"/>
    <n v="1"/>
    <n v="1"/>
    <x v="2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688557"/>
    <n v="59"/>
    <n v="59"/>
    <x v="2"/>
    <n v="1"/>
    <x v="0"/>
    <n v="1"/>
    <x v="1"/>
    <n v="2055209"/>
    <n v="1"/>
    <x v="0"/>
    <n v="3"/>
    <n v="2"/>
    <x v="0"/>
    <n v="1"/>
    <x v="0"/>
    <n v="0"/>
    <x v="0"/>
    <n v="2885852"/>
    <n v="2"/>
    <x v="0"/>
    <n v="0"/>
    <x v="0"/>
    <n v="0.90336899999999998"/>
    <n v="0"/>
    <x v="0"/>
    <n v="0.1445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0803186"/>
    <n v="56"/>
    <n v="56"/>
    <x v="2"/>
    <n v="1"/>
    <x v="0"/>
    <n v="1"/>
    <x v="1"/>
    <n v="2"/>
    <n v="1"/>
    <x v="0"/>
    <n v="218162"/>
    <n v="2"/>
    <x v="0"/>
    <n v="1"/>
    <x v="0"/>
    <n v="0"/>
    <x v="0"/>
    <n v="2325091"/>
    <n v="2"/>
    <x v="0"/>
    <n v="0"/>
    <x v="0"/>
    <n v="0.89144400000000001"/>
    <n v="0"/>
    <x v="0"/>
    <n v="1223661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19515324"/>
    <n v="53"/>
    <n v="53"/>
    <x v="2"/>
    <n v="1"/>
    <x v="0"/>
    <n v="1"/>
    <x v="1"/>
    <n v="2"/>
    <n v="1"/>
    <x v="0"/>
    <n v="2152733"/>
    <n v="2"/>
    <x v="0"/>
    <n v="1"/>
    <x v="0"/>
    <n v="0"/>
    <x v="0"/>
    <n v="253369"/>
    <n v="2"/>
    <x v="0"/>
    <n v="0"/>
    <x v="0"/>
    <n v="0.91756300000000002"/>
    <n v="0"/>
    <x v="0"/>
    <n v="1285838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1962219"/>
    <n v="60"/>
    <n v="60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74359299999999995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0534089"/>
    <n v="56"/>
    <n v="56"/>
    <x v="2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0.987591"/>
    <n v="0"/>
    <x v="0"/>
    <n v="1914531"/>
    <n v="2"/>
    <x v="2"/>
    <n v="1"/>
    <x v="1"/>
    <n v="0"/>
    <x v="0"/>
    <n v="0"/>
    <x v="0"/>
    <n v="0"/>
    <x v="0"/>
    <n v="1"/>
    <x v="0"/>
    <n v="0"/>
    <x v="0"/>
    <n v="1"/>
    <x v="1"/>
  </r>
  <r>
    <n v="0"/>
    <s v="F"/>
    <n v="3929266"/>
    <n v="10"/>
    <n v="10"/>
    <x v="0"/>
    <n v="1"/>
    <x v="0"/>
    <n v="1"/>
    <x v="1"/>
    <n v="2025479"/>
    <n v="1"/>
    <x v="0"/>
    <n v="1046144"/>
    <n v="2"/>
    <x v="0"/>
    <n v="1"/>
    <x v="0"/>
    <n v="0"/>
    <x v="0"/>
    <n v="1941224"/>
    <n v="2"/>
    <x v="0"/>
    <n v="0"/>
    <x v="0"/>
    <n v="1983265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872971"/>
    <n v="103"/>
    <n v="100"/>
    <x v="3"/>
    <n v="1"/>
    <x v="0"/>
    <n v="1"/>
    <x v="1"/>
    <n v="2002564"/>
    <n v="1"/>
    <x v="0"/>
    <n v="1974233"/>
    <n v="2"/>
    <x v="0"/>
    <n v="1"/>
    <x v="0"/>
    <n v="0"/>
    <x v="0"/>
    <n v="1935398"/>
    <n v="2"/>
    <x v="0"/>
    <n v="0"/>
    <x v="0"/>
    <n v="1649299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613378"/>
    <n v="103"/>
    <n v="100"/>
    <x v="3"/>
    <n v="1"/>
    <x v="0"/>
    <n v="1"/>
    <x v="1"/>
    <n v="2"/>
    <n v="1"/>
    <x v="0"/>
    <n v="2880794"/>
    <n v="2"/>
    <x v="0"/>
    <n v="1"/>
    <x v="0"/>
    <n v="0"/>
    <x v="0"/>
    <n v="161837"/>
    <n v="2"/>
    <x v="0"/>
    <n v="0"/>
    <x v="0"/>
    <n v="0.120164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471683"/>
    <n v="102"/>
    <n v="100"/>
    <x v="3"/>
    <n v="1"/>
    <x v="0"/>
    <n v="1"/>
    <x v="1"/>
    <n v="2"/>
    <n v="1"/>
    <x v="0"/>
    <n v="2765213"/>
    <n v="2"/>
    <x v="0"/>
    <n v="1"/>
    <x v="0"/>
    <n v="0"/>
    <x v="0"/>
    <n v="1551266"/>
    <n v="2"/>
    <x v="0"/>
    <n v="0"/>
    <x v="0"/>
    <n v="1350001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18611197"/>
    <n v="50"/>
    <n v="50"/>
    <x v="1"/>
    <n v="1"/>
    <x v="0"/>
    <n v="1"/>
    <x v="1"/>
    <n v="2"/>
    <n v="1"/>
    <x v="0"/>
    <n v="2967089"/>
    <n v="2"/>
    <x v="0"/>
    <n v="1"/>
    <x v="0"/>
    <n v="0"/>
    <x v="0"/>
    <n v="2"/>
    <n v="2"/>
    <x v="0"/>
    <n v="0"/>
    <x v="0"/>
    <n v="0"/>
    <n v="0"/>
    <x v="0"/>
    <n v="0.4670480000000000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7412629"/>
    <n v="47"/>
    <n v="47"/>
    <x v="1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0"/>
    <n v="0"/>
    <x v="0"/>
    <n v="0.9317210000000000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3912631"/>
    <n v="10"/>
    <n v="10"/>
    <x v="0"/>
    <n v="1"/>
    <x v="0"/>
    <n v="1"/>
    <x v="1"/>
    <n v="2"/>
    <n v="1"/>
    <x v="0"/>
    <n v="3"/>
    <n v="2"/>
    <x v="0"/>
    <n v="1"/>
    <x v="0"/>
    <n v="0"/>
    <x v="0"/>
    <n v="1440526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37063599"/>
    <n v="101"/>
    <n v="100"/>
    <x v="3"/>
    <n v="1"/>
    <x v="0"/>
    <n v="1"/>
    <x v="1"/>
    <n v="2"/>
    <n v="1"/>
    <x v="0"/>
    <n v="3"/>
    <n v="2"/>
    <x v="0"/>
    <n v="1"/>
    <x v="0"/>
    <n v="0"/>
    <x v="0"/>
    <n v="1759803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1318302"/>
    <n v="113"/>
    <n v="100"/>
    <x v="3"/>
    <n v="1"/>
    <x v="0"/>
    <n v="1"/>
    <x v="1"/>
    <n v="2"/>
    <n v="1"/>
    <x v="0"/>
    <n v="3"/>
    <n v="2"/>
    <x v="0"/>
    <n v="1"/>
    <x v="0"/>
    <n v="0"/>
    <x v="0"/>
    <n v="2090413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43726081"/>
    <n v="119"/>
    <n v="100"/>
    <x v="3"/>
    <n v="1"/>
    <x v="0"/>
    <n v="1"/>
    <x v="1"/>
    <n v="2"/>
    <n v="1"/>
    <x v="0"/>
    <n v="3"/>
    <n v="2"/>
    <x v="0"/>
    <n v="1"/>
    <x v="0"/>
    <n v="0"/>
    <x v="0"/>
    <n v="2806922"/>
    <n v="2"/>
    <x v="0"/>
    <n v="0"/>
    <x v="0"/>
    <n v="0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237985"/>
    <n v="2"/>
    <x v="0"/>
    <n v="1"/>
    <x v="0"/>
    <n v="0"/>
    <x v="0"/>
    <n v="2616138"/>
    <n v="2"/>
    <x v="0"/>
    <n v="0"/>
    <x v="0"/>
    <n v="1"/>
    <n v="1"/>
    <x v="2"/>
    <n v="0.65248499999999998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2655265"/>
    <n v="2"/>
    <x v="0"/>
    <n v="1"/>
    <x v="0"/>
    <n v="0"/>
    <x v="0"/>
    <n v="2297896"/>
    <n v="2"/>
    <x v="0"/>
    <n v="0"/>
    <x v="0"/>
    <n v="1"/>
    <n v="1"/>
    <x v="2"/>
    <n v="0.55266499999999996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941307"/>
    <n v="2"/>
    <x v="0"/>
    <n v="1"/>
    <x v="0"/>
    <n v="0"/>
    <x v="0"/>
    <n v="2708168"/>
    <n v="2"/>
    <x v="0"/>
    <n v="0"/>
    <x v="0"/>
    <n v="1"/>
    <n v="1"/>
    <x v="2"/>
    <n v="142585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18"/>
    <n v="18"/>
    <n v="18"/>
    <x v="0"/>
    <n v="1"/>
    <x v="0"/>
    <n v="1"/>
    <x v="1"/>
    <n v="2"/>
    <n v="1"/>
    <x v="0"/>
    <n v="1709546"/>
    <n v="2"/>
    <x v="0"/>
    <n v="1"/>
    <x v="0"/>
    <n v="0"/>
    <x v="0"/>
    <n v="2530157"/>
    <n v="2"/>
    <x v="0"/>
    <n v="0"/>
    <x v="0"/>
    <n v="1"/>
    <n v="1"/>
    <x v="2"/>
    <n v="0.64539999999999997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9409825"/>
    <n v="80"/>
    <n v="80"/>
    <x v="3"/>
    <n v="1"/>
    <x v="0"/>
    <n v="1"/>
    <x v="1"/>
    <n v="2385502"/>
    <n v="1"/>
    <x v="0"/>
    <n v="2883984"/>
    <n v="2"/>
    <x v="0"/>
    <n v="1"/>
    <x v="0"/>
    <n v="0"/>
    <x v="0"/>
    <n v="2140544"/>
    <n v="2"/>
    <x v="0"/>
    <n v="0"/>
    <x v="0"/>
    <n v="1144876"/>
    <n v="3"/>
    <x v="3"/>
    <n v="1767468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8421533"/>
    <n v="77"/>
    <n v="77"/>
    <x v="3"/>
    <n v="1"/>
    <x v="0"/>
    <n v="1"/>
    <x v="1"/>
    <n v="2465575"/>
    <n v="1"/>
    <x v="0"/>
    <n v="2935381"/>
    <n v="2"/>
    <x v="0"/>
    <n v="1"/>
    <x v="0"/>
    <n v="0"/>
    <x v="0"/>
    <n v="2480555"/>
    <n v="2"/>
    <x v="0"/>
    <n v="0"/>
    <x v="0"/>
    <n v="100183"/>
    <n v="2"/>
    <x v="1"/>
    <n v="1670313"/>
    <n v="2"/>
    <x v="2"/>
    <n v="1"/>
    <x v="1"/>
    <n v="1"/>
    <x v="1"/>
    <n v="0"/>
    <x v="0"/>
    <n v="0"/>
    <x v="0"/>
    <n v="0"/>
    <x v="1"/>
    <n v="0"/>
    <x v="0"/>
    <n v="1"/>
    <x v="1"/>
  </r>
  <r>
    <n v="0"/>
    <s v="F"/>
    <n v="18"/>
    <n v="18"/>
    <n v="18"/>
    <x v="0"/>
    <n v="1"/>
    <x v="0"/>
    <n v="1"/>
    <x v="1"/>
    <n v="2818502"/>
    <n v="1"/>
    <x v="0"/>
    <n v="3"/>
    <n v="2"/>
    <x v="0"/>
    <n v="1"/>
    <x v="0"/>
    <n v="0"/>
    <x v="0"/>
    <n v="1991251"/>
    <n v="2"/>
    <x v="0"/>
    <n v="0"/>
    <x v="0"/>
    <n v="1492967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8"/>
    <n v="18"/>
    <n v="18"/>
    <x v="0"/>
    <n v="1"/>
    <x v="0"/>
    <n v="1"/>
    <x v="1"/>
    <n v="2081238"/>
    <n v="1"/>
    <x v="0"/>
    <n v="3"/>
    <n v="2"/>
    <x v="0"/>
    <n v="1"/>
    <x v="0"/>
    <n v="0"/>
    <x v="0"/>
    <n v="118363"/>
    <n v="2"/>
    <x v="0"/>
    <n v="0"/>
    <x v="0"/>
    <n v="117177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246702"/>
    <n v="63"/>
    <n v="63"/>
    <x v="2"/>
    <n v="1"/>
    <x v="0"/>
    <n v="1"/>
    <x v="1"/>
    <n v="1368978"/>
    <n v="1"/>
    <x v="0"/>
    <n v="3"/>
    <n v="2"/>
    <x v="0"/>
    <n v="1"/>
    <x v="0"/>
    <n v="0"/>
    <x v="0"/>
    <n v="1953152"/>
    <n v="2"/>
    <x v="0"/>
    <n v="0"/>
    <x v="0"/>
    <n v="0.10470699999999999"/>
    <n v="0"/>
    <x v="0"/>
    <n v="0.22183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24481032"/>
    <n v="67"/>
    <n v="67"/>
    <x v="2"/>
    <n v="1"/>
    <x v="0"/>
    <n v="1"/>
    <x v="1"/>
    <n v="1712848"/>
    <n v="1"/>
    <x v="0"/>
    <n v="3"/>
    <n v="2"/>
    <x v="0"/>
    <n v="1"/>
    <x v="0"/>
    <n v="0"/>
    <x v="0"/>
    <n v="1162153"/>
    <n v="2"/>
    <x v="0"/>
    <n v="0"/>
    <x v="0"/>
    <n v="0.45898099999999997"/>
    <n v="0"/>
    <x v="0"/>
    <n v="0.88553199999999999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29"/>
    <n v="29"/>
    <n v="29"/>
    <x v="1"/>
    <n v="1"/>
    <x v="0"/>
    <n v="1"/>
    <x v="1"/>
    <n v="13307"/>
    <n v="1"/>
    <x v="0"/>
    <n v="3"/>
    <n v="2"/>
    <x v="0"/>
    <n v="1"/>
    <x v="0"/>
    <n v="0"/>
    <x v="0"/>
    <n v="1880967"/>
    <n v="2"/>
    <x v="0"/>
    <n v="0"/>
    <x v="0"/>
    <n v="0.322012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7968765"/>
    <n v="76"/>
    <n v="76"/>
    <x v="3"/>
    <n v="1"/>
    <x v="0"/>
    <n v="1"/>
    <x v="1"/>
    <n v="1961069"/>
    <n v="1"/>
    <x v="0"/>
    <n v="3"/>
    <n v="2"/>
    <x v="0"/>
    <n v="1"/>
    <x v="0"/>
    <n v="0"/>
    <x v="0"/>
    <n v="2652327"/>
    <n v="2"/>
    <x v="0"/>
    <n v="0"/>
    <x v="0"/>
    <n v="0.56930999999999998"/>
    <n v="0"/>
    <x v="0"/>
    <n v="0.31900800000000001"/>
    <n v="0"/>
    <x v="1"/>
    <n v="1"/>
    <x v="1"/>
    <n v="1"/>
    <x v="1"/>
    <n v="0"/>
    <x v="0"/>
    <n v="0"/>
    <x v="0"/>
    <n v="0"/>
    <x v="1"/>
    <n v="0"/>
    <x v="0"/>
    <n v="1"/>
    <x v="1"/>
  </r>
  <r>
    <n v="0"/>
    <s v="F"/>
    <n v="18024744"/>
    <n v="49"/>
    <n v="49"/>
    <x v="1"/>
    <n v="1"/>
    <x v="0"/>
    <n v="1"/>
    <x v="1"/>
    <n v="2976509"/>
    <n v="1"/>
    <x v="0"/>
    <n v="3"/>
    <n v="2"/>
    <x v="0"/>
    <n v="1"/>
    <x v="0"/>
    <n v="0"/>
    <x v="0"/>
    <n v="1022705"/>
    <n v="2"/>
    <x v="0"/>
    <n v="0"/>
    <x v="0"/>
    <n v="102569"/>
    <n v="2"/>
    <x v="1"/>
    <n v="0.31301600000000002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810682"/>
    <n v="4"/>
    <n v="4"/>
    <x v="0"/>
    <n v="1"/>
    <x v="0"/>
    <n v="1"/>
    <x v="1"/>
    <n v="2319648"/>
    <n v="1"/>
    <x v="0"/>
    <n v="3"/>
    <n v="2"/>
    <x v="0"/>
    <n v="1"/>
    <x v="0"/>
    <n v="0"/>
    <x v="0"/>
    <n v="1107164"/>
    <n v="2"/>
    <x v="0"/>
    <n v="0"/>
    <x v="0"/>
    <n v="0.69212300000000004"/>
    <n v="0"/>
    <x v="0"/>
    <n v="0.304020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1379676"/>
    <n v="58"/>
    <n v="58"/>
    <x v="2"/>
    <n v="1"/>
    <x v="0"/>
    <n v="1"/>
    <x v="1"/>
    <n v="2"/>
    <n v="1"/>
    <x v="0"/>
    <n v="2961192"/>
    <n v="2"/>
    <x v="0"/>
    <n v="1"/>
    <x v="0"/>
    <n v="0"/>
    <x v="0"/>
    <n v="2623344"/>
    <n v="2"/>
    <x v="0"/>
    <n v="0"/>
    <x v="0"/>
    <n v="0.98168599999999995"/>
    <n v="0"/>
    <x v="0"/>
    <n v="135537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1353237"/>
    <n v="58"/>
    <n v="58"/>
    <x v="2"/>
    <n v="1"/>
    <x v="0"/>
    <n v="1"/>
    <x v="1"/>
    <n v="2"/>
    <n v="1"/>
    <x v="0"/>
    <n v="2973476"/>
    <n v="2"/>
    <x v="0"/>
    <n v="1"/>
    <x v="0"/>
    <n v="0"/>
    <x v="0"/>
    <n v="2"/>
    <n v="2"/>
    <x v="0"/>
    <n v="0"/>
    <x v="0"/>
    <n v="0"/>
    <n v="0"/>
    <x v="0"/>
    <n v="133152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0338815"/>
    <n v="55"/>
    <n v="55"/>
    <x v="2"/>
    <n v="1"/>
    <x v="0"/>
    <n v="1"/>
    <x v="1"/>
    <n v="2"/>
    <n v="1"/>
    <x v="0"/>
    <n v="2392811"/>
    <n v="2"/>
    <x v="0"/>
    <n v="1"/>
    <x v="0"/>
    <n v="0"/>
    <x v="0"/>
    <n v="2"/>
    <n v="2"/>
    <x v="0"/>
    <n v="0"/>
    <x v="0"/>
    <n v="0"/>
    <n v="0"/>
    <x v="0"/>
    <n v="180931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0720639"/>
    <n v="56"/>
    <n v="56"/>
    <x v="2"/>
    <n v="1"/>
    <x v="0"/>
    <n v="1"/>
    <x v="1"/>
    <n v="2"/>
    <n v="1"/>
    <x v="0"/>
    <n v="1293342"/>
    <n v="2"/>
    <x v="0"/>
    <n v="1"/>
    <x v="0"/>
    <n v="0"/>
    <x v="0"/>
    <n v="2"/>
    <n v="2"/>
    <x v="0"/>
    <n v="0"/>
    <x v="0"/>
    <n v="0"/>
    <n v="0"/>
    <x v="0"/>
    <n v="1917679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19045357"/>
    <n v="52"/>
    <n v="52"/>
    <x v="2"/>
    <n v="1"/>
    <x v="0"/>
    <n v="1"/>
    <x v="1"/>
    <n v="1261288"/>
    <n v="1"/>
    <x v="0"/>
    <n v="2930044"/>
    <n v="2"/>
    <x v="0"/>
    <n v="1"/>
    <x v="0"/>
    <n v="0"/>
    <x v="0"/>
    <n v="1166655"/>
    <n v="2"/>
    <x v="0"/>
    <n v="0"/>
    <x v="0"/>
    <n v="0.13339799999999999"/>
    <n v="0"/>
    <x v="0"/>
    <n v="0.95174000000000003"/>
    <n v="0"/>
    <x v="1"/>
    <n v="0"/>
    <x v="0"/>
    <n v="0"/>
    <x v="0"/>
    <n v="0"/>
    <x v="0"/>
    <n v="0"/>
    <x v="0"/>
    <n v="1"/>
    <x v="0"/>
    <n v="0"/>
    <x v="0"/>
    <n v="1"/>
    <x v="1"/>
  </r>
  <r>
    <n v="0"/>
    <s v="F"/>
    <n v="18945961"/>
    <n v="51"/>
    <n v="51"/>
    <x v="2"/>
    <n v="1"/>
    <x v="0"/>
    <n v="1"/>
    <x v="1"/>
    <n v="276533"/>
    <n v="1"/>
    <x v="0"/>
    <n v="3"/>
    <n v="2"/>
    <x v="0"/>
    <n v="1"/>
    <x v="0"/>
    <n v="0"/>
    <x v="0"/>
    <n v="1048584"/>
    <n v="2"/>
    <x v="0"/>
    <n v="0"/>
    <x v="0"/>
    <n v="0.19255900000000001"/>
    <n v="0"/>
    <x v="0"/>
    <n v="0.7204110000000000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888061"/>
    <n v="5"/>
    <n v="5"/>
    <x v="0"/>
    <n v="1"/>
    <x v="0"/>
    <n v="1"/>
    <x v="1"/>
    <n v="2"/>
    <n v="1"/>
    <x v="0"/>
    <n v="3"/>
    <n v="2"/>
    <x v="0"/>
    <n v="1"/>
    <x v="0"/>
    <n v="0"/>
    <x v="0"/>
    <n v="3"/>
    <n v="2"/>
    <x v="0"/>
    <n v="0"/>
    <x v="0"/>
    <n v="22405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19850524"/>
    <n v="54"/>
    <n v="54"/>
    <x v="2"/>
    <n v="1"/>
    <x v="0"/>
    <n v="1"/>
    <x v="1"/>
    <n v="2"/>
    <n v="1"/>
    <x v="0"/>
    <n v="3"/>
    <n v="2"/>
    <x v="0"/>
    <n v="1"/>
    <x v="0"/>
    <n v="0"/>
    <x v="0"/>
    <n v="215157"/>
    <n v="2"/>
    <x v="0"/>
    <n v="0"/>
    <x v="0"/>
    <n v="1605983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200946"/>
    <n v="82"/>
    <n v="82"/>
    <x v="3"/>
    <n v="1"/>
    <x v="0"/>
    <n v="1"/>
    <x v="1"/>
    <n v="2317734"/>
    <n v="1"/>
    <x v="0"/>
    <n v="3"/>
    <n v="2"/>
    <x v="0"/>
    <n v="1"/>
    <x v="0"/>
    <n v="0"/>
    <x v="0"/>
    <n v="2152736"/>
    <n v="2"/>
    <x v="0"/>
    <n v="0"/>
    <x v="0"/>
    <n v="0"/>
    <n v="0"/>
    <x v="0"/>
    <n v="1108145"/>
    <n v="2"/>
    <x v="2"/>
    <n v="0"/>
    <x v="0"/>
    <n v="1"/>
    <x v="1"/>
    <n v="0"/>
    <x v="0"/>
    <n v="0"/>
    <x v="0"/>
    <n v="0"/>
    <x v="1"/>
    <n v="0"/>
    <x v="0"/>
    <n v="1"/>
    <x v="1"/>
  </r>
  <r>
    <n v="1"/>
    <s v="M"/>
    <n v="25314589"/>
    <n v="69"/>
    <n v="69"/>
    <x v="2"/>
    <n v="1"/>
    <x v="0"/>
    <n v="1"/>
    <x v="1"/>
    <n v="1588114"/>
    <n v="1"/>
    <x v="0"/>
    <n v="3"/>
    <n v="2"/>
    <x v="0"/>
    <n v="1"/>
    <x v="0"/>
    <n v="0"/>
    <x v="0"/>
    <n v="2115967"/>
    <n v="2"/>
    <x v="0"/>
    <n v="0"/>
    <x v="0"/>
    <n v="1541072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7186795"/>
    <n v="101"/>
    <n v="100"/>
    <x v="3"/>
    <n v="1"/>
    <x v="0"/>
    <n v="1"/>
    <x v="1"/>
    <n v="2549782"/>
    <n v="1"/>
    <x v="0"/>
    <n v="3985442"/>
    <n v="2"/>
    <x v="0"/>
    <n v="1"/>
    <x v="0"/>
    <n v="0"/>
    <x v="0"/>
    <n v="1"/>
    <n v="1"/>
    <x v="1"/>
    <n v="0"/>
    <x v="0"/>
    <n v="1976582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2707653"/>
    <n v="89"/>
    <n v="89"/>
    <x v="3"/>
    <n v="1"/>
    <x v="0"/>
    <n v="1"/>
    <x v="1"/>
    <n v="2795086"/>
    <n v="1"/>
    <x v="0"/>
    <n v="2129909"/>
    <n v="2"/>
    <x v="0"/>
    <n v="1"/>
    <x v="0"/>
    <n v="0"/>
    <x v="0"/>
    <n v="1"/>
    <n v="1"/>
    <x v="1"/>
    <n v="0"/>
    <x v="0"/>
    <n v="1989316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7562425"/>
    <n v="75"/>
    <n v="75"/>
    <x v="2"/>
    <n v="1"/>
    <x v="0"/>
    <n v="1"/>
    <x v="1"/>
    <n v="2206276"/>
    <n v="1"/>
    <x v="0"/>
    <n v="3"/>
    <n v="2"/>
    <x v="0"/>
    <n v="1"/>
    <x v="0"/>
    <n v="0"/>
    <x v="0"/>
    <n v="1813082"/>
    <n v="2"/>
    <x v="0"/>
    <n v="0"/>
    <x v="0"/>
    <n v="194984"/>
    <n v="2"/>
    <x v="1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421596"/>
    <n v="83"/>
    <n v="83"/>
    <x v="3"/>
    <n v="1"/>
    <x v="0"/>
    <n v="1"/>
    <x v="1"/>
    <n v="2"/>
    <n v="1"/>
    <x v="0"/>
    <n v="3"/>
    <n v="2"/>
    <x v="0"/>
    <n v="1"/>
    <x v="0"/>
    <n v="0"/>
    <x v="0"/>
    <n v="1984323"/>
    <n v="2"/>
    <x v="0"/>
    <n v="0"/>
    <x v="0"/>
    <n v="0.79326200000000002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6945139"/>
    <n v="73"/>
    <n v="73"/>
    <x v="2"/>
    <n v="1"/>
    <x v="0"/>
    <n v="0"/>
    <x v="0"/>
    <n v="218354"/>
    <n v="1"/>
    <x v="0"/>
    <n v="3"/>
    <n v="2"/>
    <x v="0"/>
    <n v="1"/>
    <x v="0"/>
    <n v="0"/>
    <x v="0"/>
    <n v="2277937"/>
    <n v="2"/>
    <x v="0"/>
    <n v="0"/>
    <x v="0"/>
    <n v="0.68183000000000005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4139453"/>
    <n v="93"/>
    <n v="93"/>
    <x v="3"/>
    <n v="1"/>
    <x v="0"/>
    <n v="0"/>
    <x v="0"/>
    <n v="2962415"/>
    <n v="1"/>
    <x v="0"/>
    <n v="3"/>
    <n v="2"/>
    <x v="0"/>
    <n v="1"/>
    <x v="0"/>
    <n v="0"/>
    <x v="0"/>
    <n v="2172649"/>
    <n v="2"/>
    <x v="0"/>
    <n v="0"/>
    <x v="0"/>
    <n v="1097905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6225442"/>
    <n v="71"/>
    <n v="71"/>
    <x v="2"/>
    <n v="1"/>
    <x v="0"/>
    <n v="1"/>
    <x v="1"/>
    <n v="2442536"/>
    <n v="1"/>
    <x v="0"/>
    <n v="3"/>
    <n v="2"/>
    <x v="0"/>
    <n v="1"/>
    <x v="0"/>
    <n v="0"/>
    <x v="0"/>
    <n v="2174371"/>
    <n v="2"/>
    <x v="0"/>
    <n v="0"/>
    <x v="0"/>
    <n v="0"/>
    <n v="0"/>
    <x v="0"/>
    <n v="1928972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8363149"/>
    <n v="77"/>
    <n v="77"/>
    <x v="3"/>
    <n v="1"/>
    <x v="0"/>
    <n v="1"/>
    <x v="1"/>
    <n v="199124"/>
    <n v="1"/>
    <x v="0"/>
    <n v="3"/>
    <n v="2"/>
    <x v="0"/>
    <n v="1"/>
    <x v="0"/>
    <n v="0"/>
    <x v="0"/>
    <n v="2"/>
    <n v="2"/>
    <x v="0"/>
    <n v="0"/>
    <x v="0"/>
    <n v="0"/>
    <n v="0"/>
    <x v="0"/>
    <n v="0.292955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7991467"/>
    <n v="76"/>
    <n v="76"/>
    <x v="3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0.69136900000000001"/>
    <n v="0"/>
    <x v="0"/>
    <n v="1415536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498751"/>
    <n v="69"/>
    <n v="69"/>
    <x v="2"/>
    <n v="1"/>
    <x v="0"/>
    <n v="1"/>
    <x v="1"/>
    <n v="2408561"/>
    <n v="1"/>
    <x v="0"/>
    <n v="3"/>
    <n v="2"/>
    <x v="0"/>
    <n v="1"/>
    <x v="0"/>
    <n v="0"/>
    <x v="0"/>
    <n v="2851904"/>
    <n v="2"/>
    <x v="0"/>
    <n v="0"/>
    <x v="0"/>
    <n v="1320065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605225"/>
    <n v="83"/>
    <n v="83"/>
    <x v="3"/>
    <n v="1"/>
    <x v="0"/>
    <n v="1"/>
    <x v="1"/>
    <n v="2758394"/>
    <n v="1"/>
    <x v="0"/>
    <n v="3"/>
    <n v="2"/>
    <x v="0"/>
    <n v="1"/>
    <x v="0"/>
    <n v="1"/>
    <x v="1"/>
    <n v="2174248"/>
    <n v="2"/>
    <x v="0"/>
    <n v="0"/>
    <x v="0"/>
    <n v="1079524"/>
    <n v="3"/>
    <x v="3"/>
    <n v="1358163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457413"/>
    <n v="86"/>
    <n v="86"/>
    <x v="3"/>
    <n v="1"/>
    <x v="0"/>
    <n v="1"/>
    <x v="1"/>
    <n v="2956297"/>
    <n v="1"/>
    <x v="0"/>
    <n v="3"/>
    <n v="2"/>
    <x v="0"/>
    <n v="1"/>
    <x v="0"/>
    <n v="1"/>
    <x v="1"/>
    <n v="12751"/>
    <n v="2"/>
    <x v="0"/>
    <n v="0"/>
    <x v="0"/>
    <n v="0.90192399999999995"/>
    <n v="0"/>
    <x v="0"/>
    <n v="1875023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482929"/>
    <n v="6"/>
    <n v="6"/>
    <x v="0"/>
    <n v="1"/>
    <x v="0"/>
    <n v="1"/>
    <x v="1"/>
    <n v="1369529"/>
    <n v="1"/>
    <x v="0"/>
    <n v="3"/>
    <n v="2"/>
    <x v="0"/>
    <n v="1"/>
    <x v="0"/>
    <n v="0"/>
    <x v="0"/>
    <n v="2"/>
    <n v="2"/>
    <x v="0"/>
    <n v="0"/>
    <x v="0"/>
    <n v="1596576"/>
    <n v="3"/>
    <x v="3"/>
    <n v="2.5999999999999999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739421"/>
    <n v="67"/>
    <n v="67"/>
    <x v="2"/>
    <n v="1"/>
    <x v="0"/>
    <n v="1"/>
    <x v="1"/>
    <n v="1392665"/>
    <n v="1"/>
    <x v="0"/>
    <n v="3"/>
    <n v="2"/>
    <x v="0"/>
    <n v="1"/>
    <x v="0"/>
    <n v="0"/>
    <x v="0"/>
    <n v="2"/>
    <n v="2"/>
    <x v="0"/>
    <n v="0"/>
    <x v="0"/>
    <n v="1097983"/>
    <n v="3"/>
    <x v="3"/>
    <n v="0.630866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41"/>
    <n v="41"/>
    <n v="41"/>
    <x v="1"/>
    <n v="1"/>
    <x v="0"/>
    <n v="1"/>
    <x v="1"/>
    <n v="2"/>
    <n v="1"/>
    <x v="0"/>
    <n v="2831771"/>
    <n v="2"/>
    <x v="0"/>
    <n v="1"/>
    <x v="0"/>
    <n v="0"/>
    <x v="0"/>
    <n v="1725226"/>
    <n v="2"/>
    <x v="0"/>
    <n v="0"/>
    <x v="0"/>
    <n v="0.356287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783173"/>
    <n v="7"/>
    <n v="7"/>
    <x v="0"/>
    <n v="1"/>
    <x v="0"/>
    <n v="1"/>
    <x v="1"/>
    <n v="2630401"/>
    <n v="1"/>
    <x v="0"/>
    <n v="1"/>
    <n v="1"/>
    <x v="1"/>
    <n v="1"/>
    <x v="0"/>
    <n v="0"/>
    <x v="0"/>
    <n v="1"/>
    <n v="1"/>
    <x v="1"/>
    <n v="0"/>
    <x v="0"/>
    <n v="0.24535399999999999"/>
    <n v="0"/>
    <x v="0"/>
    <n v="0.315261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3260061"/>
    <n v="63"/>
    <n v="63"/>
    <x v="2"/>
    <n v="1"/>
    <x v="0"/>
    <n v="1"/>
    <x v="1"/>
    <n v="3"/>
    <n v="1"/>
    <x v="0"/>
    <n v="2595126"/>
    <n v="2"/>
    <x v="0"/>
    <n v="1"/>
    <x v="0"/>
    <n v="0"/>
    <x v="0"/>
    <n v="2054072"/>
    <n v="2"/>
    <x v="0"/>
    <n v="0"/>
    <x v="0"/>
    <n v="0.83527099999999999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705772"/>
    <n v="62"/>
    <n v="62"/>
    <x v="2"/>
    <n v="1"/>
    <x v="0"/>
    <n v="1"/>
    <x v="1"/>
    <n v="3"/>
    <n v="1"/>
    <x v="0"/>
    <n v="252751"/>
    <n v="2"/>
    <x v="0"/>
    <n v="1"/>
    <x v="0"/>
    <n v="0"/>
    <x v="0"/>
    <n v="1645338"/>
    <n v="2"/>
    <x v="0"/>
    <n v="0"/>
    <x v="0"/>
    <n v="1025438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41043"/>
    <n v="65"/>
    <n v="65"/>
    <x v="2"/>
    <n v="1"/>
    <x v="0"/>
    <n v="1"/>
    <x v="1"/>
    <n v="3"/>
    <n v="1"/>
    <x v="0"/>
    <n v="2120936"/>
    <n v="2"/>
    <x v="0"/>
    <n v="1"/>
    <x v="0"/>
    <n v="0"/>
    <x v="0"/>
    <n v="1"/>
    <n v="1"/>
    <x v="1"/>
    <n v="0"/>
    <x v="0"/>
    <n v="1543386"/>
    <n v="3"/>
    <x v="3"/>
    <n v="0.89021300000000003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013906"/>
    <n v="54"/>
    <n v="54"/>
    <x v="2"/>
    <n v="1"/>
    <x v="0"/>
    <n v="1"/>
    <x v="1"/>
    <n v="2869778"/>
    <n v="1"/>
    <x v="0"/>
    <n v="1468948"/>
    <n v="2"/>
    <x v="0"/>
    <n v="1"/>
    <x v="0"/>
    <n v="0"/>
    <x v="0"/>
    <n v="1656082"/>
    <n v="2"/>
    <x v="0"/>
    <n v="0"/>
    <x v="0"/>
    <n v="0"/>
    <n v="0"/>
    <x v="0"/>
    <n v="1444033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002019"/>
    <n v="8"/>
    <n v="8"/>
    <x v="0"/>
    <n v="1"/>
    <x v="0"/>
    <n v="1"/>
    <x v="1"/>
    <n v="1868212"/>
    <n v="1"/>
    <x v="0"/>
    <n v="3"/>
    <n v="2"/>
    <x v="0"/>
    <n v="1"/>
    <x v="0"/>
    <n v="0"/>
    <x v="0"/>
    <n v="2023328"/>
    <n v="2"/>
    <x v="0"/>
    <n v="0"/>
    <x v="0"/>
    <n v="0"/>
    <n v="0"/>
    <x v="0"/>
    <n v="0.61399199999999998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15462"/>
    <n v="6"/>
    <n v="6"/>
    <x v="0"/>
    <n v="1"/>
    <x v="0"/>
    <n v="1"/>
    <x v="1"/>
    <n v="1108663"/>
    <n v="1"/>
    <x v="0"/>
    <n v="3"/>
    <n v="2"/>
    <x v="0"/>
    <n v="1"/>
    <x v="0"/>
    <n v="0"/>
    <x v="0"/>
    <n v="2"/>
    <n v="2"/>
    <x v="0"/>
    <n v="0"/>
    <x v="0"/>
    <n v="1230219"/>
    <n v="3"/>
    <x v="3"/>
    <n v="1.7160000000000001E-3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870724"/>
    <n v="84"/>
    <n v="84"/>
    <x v="3"/>
    <n v="1"/>
    <x v="0"/>
    <n v="1"/>
    <x v="1"/>
    <n v="2907744"/>
    <n v="1"/>
    <x v="0"/>
    <n v="3990925"/>
    <n v="2"/>
    <x v="0"/>
    <n v="1"/>
    <x v="0"/>
    <n v="0"/>
    <x v="0"/>
    <n v="1"/>
    <n v="1"/>
    <x v="1"/>
    <n v="0"/>
    <x v="0"/>
    <n v="199975"/>
    <n v="2"/>
    <x v="1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8712995"/>
    <n v="78"/>
    <n v="78"/>
    <x v="3"/>
    <n v="1"/>
    <x v="0"/>
    <n v="1"/>
    <x v="1"/>
    <n v="295801"/>
    <n v="1"/>
    <x v="0"/>
    <n v="2834253"/>
    <n v="2"/>
    <x v="0"/>
    <n v="1"/>
    <x v="0"/>
    <n v="0"/>
    <x v="0"/>
    <n v="1"/>
    <n v="1"/>
    <x v="1"/>
    <n v="0"/>
    <x v="0"/>
    <n v="1999886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710511"/>
    <n v="84"/>
    <n v="84"/>
    <x v="3"/>
    <n v="1"/>
    <x v="0"/>
    <n v="1"/>
    <x v="1"/>
    <n v="2197261"/>
    <n v="1"/>
    <x v="0"/>
    <n v="3"/>
    <n v="2"/>
    <x v="0"/>
    <n v="1"/>
    <x v="0"/>
    <n v="0"/>
    <x v="0"/>
    <n v="111184"/>
    <n v="2"/>
    <x v="0"/>
    <n v="0"/>
    <x v="0"/>
    <n v="0.90684299999999995"/>
    <n v="0"/>
    <x v="0"/>
    <n v="0.976473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9827481"/>
    <n v="81"/>
    <n v="81"/>
    <x v="3"/>
    <n v="1"/>
    <x v="0"/>
    <n v="1"/>
    <x v="1"/>
    <n v="2048962"/>
    <n v="1"/>
    <x v="0"/>
    <n v="3"/>
    <n v="2"/>
    <x v="0"/>
    <n v="1"/>
    <x v="0"/>
    <n v="0"/>
    <x v="0"/>
    <n v="2822871"/>
    <n v="2"/>
    <x v="0"/>
    <n v="0"/>
    <x v="0"/>
    <n v="1066169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86893"/>
    <n v="8"/>
    <n v="8"/>
    <x v="0"/>
    <n v="1"/>
    <x v="0"/>
    <n v="1"/>
    <x v="1"/>
    <n v="2139196"/>
    <n v="1"/>
    <x v="0"/>
    <n v="3"/>
    <n v="2"/>
    <x v="0"/>
    <n v="1"/>
    <x v="0"/>
    <n v="0"/>
    <x v="0"/>
    <n v="204843"/>
    <n v="2"/>
    <x v="0"/>
    <n v="0"/>
    <x v="0"/>
    <n v="0.36802600000000002"/>
    <n v="0"/>
    <x v="0"/>
    <n v="0.36098599999999997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6542885"/>
    <n v="100"/>
    <n v="100"/>
    <x v="3"/>
    <n v="1"/>
    <x v="0"/>
    <n v="1"/>
    <x v="1"/>
    <n v="272989"/>
    <n v="1"/>
    <x v="0"/>
    <n v="3"/>
    <n v="2"/>
    <x v="0"/>
    <n v="1"/>
    <x v="0"/>
    <n v="0"/>
    <x v="0"/>
    <n v="2030084"/>
    <n v="2"/>
    <x v="0"/>
    <n v="0"/>
    <x v="0"/>
    <n v="0.59260699999999999"/>
    <n v="0"/>
    <x v="0"/>
    <n v="0.754417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1556361"/>
    <n v="59"/>
    <n v="59"/>
    <x v="2"/>
    <n v="1"/>
    <x v="0"/>
    <n v="1"/>
    <x v="1"/>
    <n v="2"/>
    <n v="1"/>
    <x v="0"/>
    <n v="3"/>
    <n v="2"/>
    <x v="0"/>
    <n v="1"/>
    <x v="0"/>
    <n v="0"/>
    <x v="0"/>
    <n v="2"/>
    <n v="2"/>
    <x v="0"/>
    <n v="0"/>
    <x v="0"/>
    <n v="1399183"/>
    <n v="3"/>
    <x v="3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3963649"/>
    <n v="65"/>
    <n v="65"/>
    <x v="2"/>
    <n v="1"/>
    <x v="0"/>
    <n v="1"/>
    <x v="1"/>
    <n v="1994679"/>
    <n v="1"/>
    <x v="0"/>
    <n v="3"/>
    <n v="2"/>
    <x v="0"/>
    <n v="1"/>
    <x v="0"/>
    <n v="0"/>
    <x v="0"/>
    <n v="2"/>
    <n v="2"/>
    <x v="0"/>
    <n v="0"/>
    <x v="0"/>
    <n v="0.96661699999999995"/>
    <n v="0"/>
    <x v="0"/>
    <n v="0.7390060000000000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145295"/>
    <n v="66"/>
    <n v="66"/>
    <x v="2"/>
    <n v="1"/>
    <x v="0"/>
    <n v="1"/>
    <x v="1"/>
    <n v="2403421"/>
    <n v="1"/>
    <x v="0"/>
    <n v="3"/>
    <n v="2"/>
    <x v="0"/>
    <n v="1"/>
    <x v="0"/>
    <n v="0"/>
    <x v="0"/>
    <n v="2490613"/>
    <n v="2"/>
    <x v="0"/>
    <n v="0"/>
    <x v="0"/>
    <n v="2"/>
    <n v="2"/>
    <x v="1"/>
    <n v="0.7077679999999999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2984"/>
    <n v="0"/>
    <n v="5"/>
    <x v="0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1110215"/>
    <n v="3"/>
    <x v="3"/>
    <n v="0.396351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755387"/>
    <n v="87"/>
    <n v="87"/>
    <x v="3"/>
    <n v="1"/>
    <x v="0"/>
    <n v="1"/>
    <x v="1"/>
    <n v="2758394"/>
    <n v="1"/>
    <x v="0"/>
    <n v="3"/>
    <n v="2"/>
    <x v="0"/>
    <n v="1"/>
    <x v="0"/>
    <n v="0"/>
    <x v="0"/>
    <n v="2161303"/>
    <n v="2"/>
    <x v="0"/>
    <n v="0"/>
    <x v="0"/>
    <n v="0.42817300000000003"/>
    <n v="0"/>
    <x v="0"/>
    <n v="0.71632700000000005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62865"/>
    <n v="8"/>
    <n v="8"/>
    <x v="0"/>
    <n v="1"/>
    <x v="0"/>
    <n v="1"/>
    <x v="1"/>
    <n v="2964319"/>
    <n v="1"/>
    <x v="0"/>
    <n v="3"/>
    <n v="2"/>
    <x v="0"/>
    <n v="1"/>
    <x v="0"/>
    <n v="0"/>
    <x v="0"/>
    <n v="2377257"/>
    <n v="2"/>
    <x v="0"/>
    <n v="0"/>
    <x v="0"/>
    <n v="0.61495900000000003"/>
    <n v="0"/>
    <x v="0"/>
    <n v="1875023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3454558"/>
    <n v="64"/>
    <n v="64"/>
    <x v="2"/>
    <n v="1"/>
    <x v="0"/>
    <n v="1"/>
    <x v="1"/>
    <n v="1617093"/>
    <n v="1"/>
    <x v="0"/>
    <n v="3"/>
    <n v="2"/>
    <x v="0"/>
    <n v="1"/>
    <x v="0"/>
    <n v="0"/>
    <x v="0"/>
    <n v="2"/>
    <n v="2"/>
    <x v="0"/>
    <n v="0"/>
    <x v="0"/>
    <n v="1818052"/>
    <n v="3"/>
    <x v="3"/>
    <n v="0.63182499999999997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432227"/>
    <n v="64"/>
    <n v="64"/>
    <x v="2"/>
    <n v="1"/>
    <x v="0"/>
    <n v="1"/>
    <x v="1"/>
    <n v="1631144"/>
    <n v="1"/>
    <x v="0"/>
    <n v="3"/>
    <n v="2"/>
    <x v="0"/>
    <n v="1"/>
    <x v="0"/>
    <n v="0"/>
    <x v="0"/>
    <n v="2"/>
    <n v="2"/>
    <x v="0"/>
    <n v="0"/>
    <x v="0"/>
    <n v="1593183"/>
    <n v="3"/>
    <x v="3"/>
    <n v="0.8637399999999999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4050021"/>
    <n v="11"/>
    <n v="11"/>
    <x v="0"/>
    <n v="1"/>
    <x v="0"/>
    <n v="1"/>
    <x v="1"/>
    <n v="2317459"/>
    <n v="1"/>
    <x v="0"/>
    <n v="3734323"/>
    <n v="2"/>
    <x v="0"/>
    <n v="1"/>
    <x v="0"/>
    <n v="0"/>
    <x v="0"/>
    <n v="1"/>
    <n v="1"/>
    <x v="1"/>
    <n v="0"/>
    <x v="0"/>
    <n v="1628637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4576714"/>
    <n v="94"/>
    <n v="94"/>
    <x v="3"/>
    <n v="1"/>
    <x v="0"/>
    <n v="1"/>
    <x v="1"/>
    <n v="2501224"/>
    <n v="1"/>
    <x v="0"/>
    <n v="2049565"/>
    <n v="2"/>
    <x v="0"/>
    <n v="1"/>
    <x v="0"/>
    <n v="0"/>
    <x v="0"/>
    <n v="1"/>
    <n v="1"/>
    <x v="1"/>
    <n v="0"/>
    <x v="0"/>
    <n v="1746583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22276969"/>
    <n v="61"/>
    <n v="61"/>
    <x v="2"/>
    <n v="1"/>
    <x v="0"/>
    <n v="1"/>
    <x v="1"/>
    <n v="3"/>
    <n v="1"/>
    <x v="0"/>
    <n v="2272214"/>
    <n v="2"/>
    <x v="0"/>
    <n v="1"/>
    <x v="0"/>
    <n v="0"/>
    <x v="0"/>
    <n v="1555534"/>
    <n v="2"/>
    <x v="0"/>
    <n v="0"/>
    <x v="0"/>
    <n v="0.34883900000000001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963787"/>
    <n v="60"/>
    <n v="60"/>
    <x v="2"/>
    <n v="1"/>
    <x v="0"/>
    <n v="1"/>
    <x v="1"/>
    <n v="3"/>
    <n v="1"/>
    <x v="0"/>
    <n v="2218285"/>
    <n v="2"/>
    <x v="0"/>
    <n v="1"/>
    <x v="0"/>
    <n v="0"/>
    <x v="0"/>
    <n v="1340117"/>
    <n v="2"/>
    <x v="0"/>
    <n v="0"/>
    <x v="0"/>
    <n v="0.428259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01685"/>
    <n v="65"/>
    <n v="65"/>
    <x v="2"/>
    <n v="1"/>
    <x v="0"/>
    <n v="1"/>
    <x v="1"/>
    <n v="3"/>
    <n v="1"/>
    <x v="0"/>
    <n v="1418833"/>
    <n v="2"/>
    <x v="0"/>
    <n v="1"/>
    <x v="0"/>
    <n v="0"/>
    <x v="0"/>
    <n v="1"/>
    <n v="1"/>
    <x v="1"/>
    <n v="0"/>
    <x v="0"/>
    <n v="119102"/>
    <n v="2"/>
    <x v="1"/>
    <n v="1384186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0027764"/>
    <n v="54"/>
    <n v="54"/>
    <x v="2"/>
    <n v="1"/>
    <x v="0"/>
    <n v="1"/>
    <x v="1"/>
    <n v="2983042"/>
    <n v="1"/>
    <x v="0"/>
    <n v="1109956"/>
    <n v="2"/>
    <x v="0"/>
    <n v="1"/>
    <x v="0"/>
    <n v="0"/>
    <x v="0"/>
    <n v="1430444"/>
    <n v="2"/>
    <x v="0"/>
    <n v="0"/>
    <x v="0"/>
    <n v="0"/>
    <n v="0"/>
    <x v="0"/>
    <n v="1690901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8704462"/>
    <n v="78"/>
    <n v="78"/>
    <x v="3"/>
    <n v="1"/>
    <x v="0"/>
    <n v="1"/>
    <x v="1"/>
    <n v="2323351"/>
    <n v="1"/>
    <x v="0"/>
    <n v="3"/>
    <n v="2"/>
    <x v="0"/>
    <n v="1"/>
    <x v="0"/>
    <n v="0"/>
    <x v="0"/>
    <n v="2165048"/>
    <n v="2"/>
    <x v="0"/>
    <n v="0"/>
    <x v="0"/>
    <n v="0"/>
    <n v="0"/>
    <x v="0"/>
    <n v="1493716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6774115"/>
    <n v="73"/>
    <n v="73"/>
    <x v="2"/>
    <n v="1"/>
    <x v="0"/>
    <n v="1"/>
    <x v="1"/>
    <n v="1428289"/>
    <n v="1"/>
    <x v="0"/>
    <n v="3"/>
    <n v="2"/>
    <x v="0"/>
    <n v="1"/>
    <x v="0"/>
    <n v="0"/>
    <x v="0"/>
    <n v="2117733"/>
    <n v="2"/>
    <x v="0"/>
    <n v="0"/>
    <x v="0"/>
    <n v="0.48532199999999998"/>
    <n v="0"/>
    <x v="0"/>
    <n v="0.696948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539411"/>
    <n v="69"/>
    <n v="69"/>
    <x v="2"/>
    <n v="1"/>
    <x v="0"/>
    <n v="1"/>
    <x v="1"/>
    <n v="1992889"/>
    <n v="1"/>
    <x v="0"/>
    <n v="3"/>
    <n v="2"/>
    <x v="0"/>
    <n v="1"/>
    <x v="0"/>
    <n v="0"/>
    <x v="0"/>
    <n v="2141271"/>
    <n v="2"/>
    <x v="0"/>
    <n v="0"/>
    <x v="0"/>
    <n v="1121038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300208"/>
    <n v="69"/>
    <n v="69"/>
    <x v="2"/>
    <n v="1"/>
    <x v="0"/>
    <n v="1"/>
    <x v="1"/>
    <n v="1562804"/>
    <n v="1"/>
    <x v="0"/>
    <n v="3"/>
    <n v="2"/>
    <x v="0"/>
    <n v="1"/>
    <x v="0"/>
    <n v="0"/>
    <x v="0"/>
    <n v="2075493"/>
    <n v="2"/>
    <x v="0"/>
    <n v="0"/>
    <x v="0"/>
    <n v="1553734"/>
    <n v="3"/>
    <x v="3"/>
    <n v="4.3600000000000003E-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194458"/>
    <n v="85"/>
    <n v="85"/>
    <x v="3"/>
    <n v="1"/>
    <x v="0"/>
    <n v="1"/>
    <x v="1"/>
    <n v="1794825"/>
    <n v="1"/>
    <x v="0"/>
    <n v="3914454"/>
    <n v="2"/>
    <x v="0"/>
    <n v="1"/>
    <x v="0"/>
    <n v="0"/>
    <x v="0"/>
    <n v="1972016"/>
    <n v="2"/>
    <x v="0"/>
    <n v="0"/>
    <x v="0"/>
    <n v="0.66896299999999997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40794057"/>
    <n v="111"/>
    <n v="100"/>
    <x v="3"/>
    <n v="1"/>
    <x v="0"/>
    <n v="1"/>
    <x v="1"/>
    <n v="2305349"/>
    <n v="1"/>
    <x v="0"/>
    <n v="3169089"/>
    <n v="2"/>
    <x v="0"/>
    <n v="1"/>
    <x v="0"/>
    <n v="0"/>
    <x v="0"/>
    <n v="102161"/>
    <n v="2"/>
    <x v="0"/>
    <n v="0"/>
    <x v="0"/>
    <n v="0.90898100000000004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355336"/>
    <n v="9"/>
    <n v="9"/>
    <x v="0"/>
    <n v="1"/>
    <x v="0"/>
    <n v="1"/>
    <x v="1"/>
    <n v="2576449"/>
    <n v="1"/>
    <x v="0"/>
    <n v="2419656"/>
    <n v="2"/>
    <x v="0"/>
    <n v="1"/>
    <x v="0"/>
    <n v="0"/>
    <x v="0"/>
    <n v="1"/>
    <n v="1"/>
    <x v="1"/>
    <n v="0"/>
    <x v="0"/>
    <n v="1982379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304203"/>
    <n v="83"/>
    <n v="83"/>
    <x v="3"/>
    <n v="1"/>
    <x v="0"/>
    <n v="1"/>
    <x v="1"/>
    <n v="2754645"/>
    <n v="1"/>
    <x v="0"/>
    <n v="2175432"/>
    <n v="2"/>
    <x v="0"/>
    <n v="1"/>
    <x v="0"/>
    <n v="0"/>
    <x v="0"/>
    <n v="1541733"/>
    <n v="2"/>
    <x v="0"/>
    <n v="0"/>
    <x v="0"/>
    <n v="0.358709"/>
    <n v="0"/>
    <x v="0"/>
    <n v="10739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30958051"/>
    <n v="84"/>
    <n v="84"/>
    <x v="3"/>
    <n v="1"/>
    <x v="0"/>
    <n v="1"/>
    <x v="1"/>
    <n v="2633855"/>
    <n v="1"/>
    <x v="0"/>
    <n v="3"/>
    <n v="2"/>
    <x v="0"/>
    <n v="1"/>
    <x v="0"/>
    <n v="0"/>
    <x v="0"/>
    <n v="1619305"/>
    <n v="2"/>
    <x v="0"/>
    <n v="0"/>
    <x v="0"/>
    <n v="1847802"/>
    <n v="3"/>
    <x v="3"/>
    <n v="0.424611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9429687"/>
    <n v="80"/>
    <n v="80"/>
    <x v="3"/>
    <n v="1"/>
    <x v="0"/>
    <n v="1"/>
    <x v="1"/>
    <n v="2200588"/>
    <n v="1"/>
    <x v="0"/>
    <n v="3"/>
    <n v="2"/>
    <x v="0"/>
    <n v="1"/>
    <x v="0"/>
    <n v="0"/>
    <x v="0"/>
    <n v="1295697"/>
    <n v="2"/>
    <x v="0"/>
    <n v="0"/>
    <x v="0"/>
    <n v="1058378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520854"/>
    <n v="83"/>
    <n v="83"/>
    <x v="3"/>
    <n v="1"/>
    <x v="0"/>
    <n v="1"/>
    <x v="1"/>
    <n v="2499108"/>
    <n v="1"/>
    <x v="0"/>
    <n v="3"/>
    <n v="2"/>
    <x v="0"/>
    <n v="1"/>
    <x v="0"/>
    <n v="0"/>
    <x v="0"/>
    <n v="2040952"/>
    <n v="2"/>
    <x v="0"/>
    <n v="0"/>
    <x v="0"/>
    <n v="0.83873900000000001"/>
    <n v="0"/>
    <x v="0"/>
    <n v="0.489854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610436"/>
    <n v="83"/>
    <n v="83"/>
    <x v="3"/>
    <n v="1"/>
    <x v="0"/>
    <n v="1"/>
    <x v="1"/>
    <n v="205687"/>
    <n v="1"/>
    <x v="0"/>
    <n v="3"/>
    <n v="2"/>
    <x v="0"/>
    <n v="1"/>
    <x v="0"/>
    <n v="0"/>
    <x v="0"/>
    <n v="2358088"/>
    <n v="2"/>
    <x v="0"/>
    <n v="0"/>
    <x v="0"/>
    <n v="9.3418000000000001E-2"/>
    <n v="0"/>
    <x v="0"/>
    <n v="1759954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6740655"/>
    <n v="73"/>
    <n v="73"/>
    <x v="2"/>
    <n v="1"/>
    <x v="0"/>
    <n v="1"/>
    <x v="1"/>
    <n v="2247795"/>
    <n v="1"/>
    <x v="0"/>
    <n v="3"/>
    <n v="2"/>
    <x v="0"/>
    <n v="1"/>
    <x v="0"/>
    <n v="0"/>
    <x v="0"/>
    <n v="2816015"/>
    <n v="2"/>
    <x v="0"/>
    <n v="0"/>
    <x v="0"/>
    <n v="0.71272599999999997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6680376"/>
    <n v="73"/>
    <n v="73"/>
    <x v="2"/>
    <n v="1"/>
    <x v="0"/>
    <n v="1"/>
    <x v="1"/>
    <n v="2239634"/>
    <n v="1"/>
    <x v="0"/>
    <n v="3"/>
    <n v="2"/>
    <x v="0"/>
    <n v="1"/>
    <x v="0"/>
    <n v="0"/>
    <x v="0"/>
    <n v="2684264"/>
    <n v="2"/>
    <x v="0"/>
    <n v="0"/>
    <x v="0"/>
    <n v="0.97930600000000001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7056193"/>
    <n v="101"/>
    <n v="100"/>
    <x v="3"/>
    <n v="1"/>
    <x v="0"/>
    <n v="1"/>
    <x v="1"/>
    <n v="209283"/>
    <n v="1"/>
    <x v="0"/>
    <n v="3"/>
    <n v="2"/>
    <x v="0"/>
    <n v="1"/>
    <x v="0"/>
    <n v="0"/>
    <x v="0"/>
    <n v="2077704"/>
    <n v="2"/>
    <x v="0"/>
    <n v="0"/>
    <x v="0"/>
    <n v="0.59865500000000005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8825279"/>
    <n v="78"/>
    <n v="78"/>
    <x v="3"/>
    <n v="1"/>
    <x v="0"/>
    <n v="1"/>
    <x v="1"/>
    <n v="29673"/>
    <n v="1"/>
    <x v="0"/>
    <n v="3"/>
    <n v="2"/>
    <x v="0"/>
    <n v="1"/>
    <x v="0"/>
    <n v="0"/>
    <x v="0"/>
    <n v="2530035"/>
    <n v="2"/>
    <x v="0"/>
    <n v="0"/>
    <x v="0"/>
    <n v="1045107"/>
    <n v="3"/>
    <x v="3"/>
    <n v="0.94786599999999999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883749"/>
    <n v="70"/>
    <n v="70"/>
    <x v="2"/>
    <n v="1"/>
    <x v="0"/>
    <n v="1"/>
    <x v="1"/>
    <n v="2225731"/>
    <n v="1"/>
    <x v="0"/>
    <n v="3"/>
    <n v="2"/>
    <x v="0"/>
    <n v="1"/>
    <x v="0"/>
    <n v="0"/>
    <x v="0"/>
    <n v="2154326"/>
    <n v="2"/>
    <x v="0"/>
    <n v="0"/>
    <x v="0"/>
    <n v="1266866"/>
    <n v="3"/>
    <x v="3"/>
    <n v="0.390178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486521"/>
    <n v="69"/>
    <n v="69"/>
    <x v="2"/>
    <n v="1"/>
    <x v="0"/>
    <n v="1"/>
    <x v="1"/>
    <n v="2178308"/>
    <n v="1"/>
    <x v="0"/>
    <n v="3"/>
    <n v="2"/>
    <x v="0"/>
    <n v="1"/>
    <x v="0"/>
    <n v="0"/>
    <x v="0"/>
    <n v="2165804"/>
    <n v="2"/>
    <x v="0"/>
    <n v="0"/>
    <x v="0"/>
    <n v="1420675"/>
    <n v="3"/>
    <x v="3"/>
    <n v="1875683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9883021"/>
    <n v="81"/>
    <n v="81"/>
    <x v="3"/>
    <n v="1"/>
    <x v="0"/>
    <n v="1"/>
    <x v="1"/>
    <n v="2065752"/>
    <n v="1"/>
    <x v="0"/>
    <n v="3"/>
    <n v="2"/>
    <x v="0"/>
    <n v="1"/>
    <x v="0"/>
    <n v="0"/>
    <x v="0"/>
    <n v="2078297"/>
    <n v="2"/>
    <x v="0"/>
    <n v="0"/>
    <x v="0"/>
    <n v="0"/>
    <n v="0"/>
    <x v="0"/>
    <n v="0.677354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6957645"/>
    <n v="73"/>
    <n v="73"/>
    <x v="2"/>
    <n v="1"/>
    <x v="0"/>
    <n v="1"/>
    <x v="1"/>
    <n v="2263245"/>
    <n v="1"/>
    <x v="0"/>
    <n v="3"/>
    <n v="2"/>
    <x v="0"/>
    <n v="1"/>
    <x v="0"/>
    <n v="0"/>
    <x v="0"/>
    <n v="2092509"/>
    <n v="2"/>
    <x v="0"/>
    <n v="0"/>
    <x v="0"/>
    <n v="0"/>
    <n v="0"/>
    <x v="0"/>
    <n v="1836853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6490926"/>
    <n v="72"/>
    <n v="72"/>
    <x v="2"/>
    <n v="1"/>
    <x v="0"/>
    <n v="1"/>
    <x v="1"/>
    <n v="2443538"/>
    <n v="1"/>
    <x v="0"/>
    <n v="3"/>
    <n v="2"/>
    <x v="0"/>
    <n v="1"/>
    <x v="0"/>
    <n v="0"/>
    <x v="0"/>
    <n v="2939492"/>
    <n v="2"/>
    <x v="0"/>
    <n v="0"/>
    <x v="0"/>
    <n v="1208142"/>
    <n v="3"/>
    <x v="3"/>
    <n v="0.738935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7558801"/>
    <n v="75"/>
    <n v="75"/>
    <x v="2"/>
    <n v="1"/>
    <x v="0"/>
    <n v="1"/>
    <x v="1"/>
    <n v="2744994"/>
    <n v="1"/>
    <x v="0"/>
    <n v="3"/>
    <n v="2"/>
    <x v="0"/>
    <n v="1"/>
    <x v="0"/>
    <n v="0"/>
    <x v="0"/>
    <n v="2478838"/>
    <n v="2"/>
    <x v="0"/>
    <n v="0"/>
    <x v="0"/>
    <n v="0.68448699999999996"/>
    <n v="0"/>
    <x v="0"/>
    <n v="0.677908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908879"/>
    <n v="62"/>
    <n v="62"/>
    <x v="2"/>
    <n v="1"/>
    <x v="0"/>
    <n v="1"/>
    <x v="1"/>
    <n v="2630137"/>
    <n v="1"/>
    <x v="0"/>
    <n v="2806298"/>
    <n v="2"/>
    <x v="0"/>
    <n v="1"/>
    <x v="0"/>
    <n v="0"/>
    <x v="0"/>
    <n v="1970508"/>
    <n v="2"/>
    <x v="0"/>
    <n v="0"/>
    <x v="0"/>
    <n v="1304291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201622"/>
    <n v="66"/>
    <n v="66"/>
    <x v="2"/>
    <n v="1"/>
    <x v="0"/>
    <n v="1"/>
    <x v="1"/>
    <n v="2113843"/>
    <n v="1"/>
    <x v="0"/>
    <n v="3"/>
    <n v="2"/>
    <x v="0"/>
    <n v="1"/>
    <x v="0"/>
    <n v="0"/>
    <x v="0"/>
    <n v="2316069"/>
    <n v="2"/>
    <x v="0"/>
    <n v="0"/>
    <x v="0"/>
    <n v="1804157"/>
    <n v="3"/>
    <x v="3"/>
    <n v="0.357314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689773"/>
    <n v="86"/>
    <n v="86"/>
    <x v="3"/>
    <n v="1"/>
    <x v="0"/>
    <n v="1"/>
    <x v="1"/>
    <n v="2821727"/>
    <n v="1"/>
    <x v="0"/>
    <n v="3"/>
    <n v="2"/>
    <x v="0"/>
    <n v="1"/>
    <x v="0"/>
    <n v="0"/>
    <x v="0"/>
    <n v="2173279"/>
    <n v="2"/>
    <x v="0"/>
    <n v="0"/>
    <x v="0"/>
    <n v="1096556"/>
    <n v="3"/>
    <x v="3"/>
    <n v="0.232858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242597"/>
    <n v="82"/>
    <n v="82"/>
    <x v="3"/>
    <n v="1"/>
    <x v="0"/>
    <n v="1"/>
    <x v="1"/>
    <n v="2312528"/>
    <n v="1"/>
    <x v="0"/>
    <n v="3"/>
    <n v="2"/>
    <x v="0"/>
    <n v="1"/>
    <x v="0"/>
    <n v="0"/>
    <x v="0"/>
    <n v="2208068"/>
    <n v="2"/>
    <x v="0"/>
    <n v="0"/>
    <x v="0"/>
    <n v="107672"/>
    <n v="2"/>
    <x v="1"/>
    <n v="1035711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346845"/>
    <n v="85"/>
    <n v="85"/>
    <x v="3"/>
    <n v="1"/>
    <x v="0"/>
    <n v="1"/>
    <x v="1"/>
    <n v="2938801"/>
    <n v="1"/>
    <x v="0"/>
    <n v="3"/>
    <n v="2"/>
    <x v="0"/>
    <n v="1"/>
    <x v="0"/>
    <n v="1"/>
    <x v="1"/>
    <n v="1478994"/>
    <n v="2"/>
    <x v="0"/>
    <n v="0"/>
    <x v="0"/>
    <n v="0.94676300000000002"/>
    <n v="0"/>
    <x v="0"/>
    <n v="1360463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30577343"/>
    <n v="83"/>
    <n v="83"/>
    <x v="3"/>
    <n v="1"/>
    <x v="0"/>
    <n v="1"/>
    <x v="1"/>
    <n v="2050619"/>
    <n v="1"/>
    <x v="0"/>
    <n v="3"/>
    <n v="2"/>
    <x v="0"/>
    <n v="1"/>
    <x v="0"/>
    <n v="1"/>
    <x v="1"/>
    <n v="1515183"/>
    <n v="2"/>
    <x v="0"/>
    <n v="0"/>
    <x v="0"/>
    <n v="0.84981099999999998"/>
    <n v="0"/>
    <x v="0"/>
    <n v="0.261900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124595"/>
    <n v="68"/>
    <n v="68"/>
    <x v="2"/>
    <n v="1"/>
    <x v="0"/>
    <n v="1"/>
    <x v="1"/>
    <n v="1457758"/>
    <n v="1"/>
    <x v="0"/>
    <n v="3"/>
    <n v="2"/>
    <x v="0"/>
    <n v="1"/>
    <x v="0"/>
    <n v="0"/>
    <x v="0"/>
    <n v="2020249"/>
    <n v="2"/>
    <x v="0"/>
    <n v="0"/>
    <x v="0"/>
    <n v="1556709"/>
    <n v="3"/>
    <x v="3"/>
    <n v="1.33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509034"/>
    <n v="69"/>
    <n v="69"/>
    <x v="2"/>
    <n v="1"/>
    <x v="0"/>
    <n v="1"/>
    <x v="1"/>
    <n v="219331"/>
    <n v="1"/>
    <x v="0"/>
    <n v="3"/>
    <n v="2"/>
    <x v="0"/>
    <n v="1"/>
    <x v="0"/>
    <n v="0"/>
    <x v="0"/>
    <n v="2089983"/>
    <n v="2"/>
    <x v="0"/>
    <n v="0"/>
    <x v="0"/>
    <n v="1360994"/>
    <n v="3"/>
    <x v="3"/>
    <n v="0.8574380000000000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478662"/>
    <n v="69"/>
    <n v="69"/>
    <x v="2"/>
    <n v="1"/>
    <x v="0"/>
    <n v="1"/>
    <x v="1"/>
    <n v="2028571"/>
    <n v="1"/>
    <x v="0"/>
    <n v="3"/>
    <n v="2"/>
    <x v="0"/>
    <n v="1"/>
    <x v="0"/>
    <n v="0"/>
    <x v="0"/>
    <n v="2530428"/>
    <n v="2"/>
    <x v="0"/>
    <n v="0"/>
    <x v="0"/>
    <n v="131257"/>
    <n v="2"/>
    <x v="1"/>
    <n v="6.6805000000000003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100513"/>
    <n v="68"/>
    <n v="68"/>
    <x v="2"/>
    <n v="1"/>
    <x v="0"/>
    <n v="1"/>
    <x v="1"/>
    <n v="1455602"/>
    <n v="1"/>
    <x v="0"/>
    <n v="3"/>
    <n v="2"/>
    <x v="0"/>
    <n v="1"/>
    <x v="0"/>
    <n v="0"/>
    <x v="0"/>
    <n v="2363307"/>
    <n v="2"/>
    <x v="0"/>
    <n v="0"/>
    <x v="0"/>
    <n v="1144683"/>
    <n v="3"/>
    <x v="3"/>
    <n v="0.10102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8523646"/>
    <n v="105"/>
    <n v="100"/>
    <x v="3"/>
    <n v="1"/>
    <x v="0"/>
    <n v="1"/>
    <x v="1"/>
    <n v="2177896"/>
    <n v="1"/>
    <x v="0"/>
    <n v="2987652"/>
    <n v="2"/>
    <x v="0"/>
    <n v="1"/>
    <x v="0"/>
    <n v="0"/>
    <x v="0"/>
    <n v="1745095"/>
    <n v="2"/>
    <x v="0"/>
    <n v="0"/>
    <x v="0"/>
    <n v="0.65654800000000002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871216"/>
    <n v="10"/>
    <n v="10"/>
    <x v="0"/>
    <n v="1"/>
    <x v="0"/>
    <n v="1"/>
    <x v="1"/>
    <n v="2252382"/>
    <n v="1"/>
    <x v="0"/>
    <n v="2842848"/>
    <n v="2"/>
    <x v="0"/>
    <n v="1"/>
    <x v="0"/>
    <n v="0"/>
    <x v="0"/>
    <n v="1879381"/>
    <n v="2"/>
    <x v="0"/>
    <n v="0"/>
    <x v="0"/>
    <n v="0.91938799999999998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717522"/>
    <n v="70"/>
    <n v="70"/>
    <x v="2"/>
    <n v="1"/>
    <x v="0"/>
    <n v="1"/>
    <x v="1"/>
    <n v="2668949"/>
    <n v="1"/>
    <x v="0"/>
    <n v="1134321"/>
    <n v="2"/>
    <x v="0"/>
    <n v="1"/>
    <x v="0"/>
    <n v="0"/>
    <x v="0"/>
    <n v="1279443"/>
    <n v="2"/>
    <x v="0"/>
    <n v="0"/>
    <x v="0"/>
    <n v="0.11243"/>
    <n v="0"/>
    <x v="0"/>
    <n v="1135503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2259623"/>
    <n v="88"/>
    <n v="88"/>
    <x v="3"/>
    <n v="1"/>
    <x v="0"/>
    <n v="1"/>
    <x v="1"/>
    <n v="2723953"/>
    <n v="1"/>
    <x v="0"/>
    <n v="1924168"/>
    <n v="2"/>
    <x v="0"/>
    <n v="1"/>
    <x v="0"/>
    <n v="0"/>
    <x v="0"/>
    <n v="1"/>
    <n v="1"/>
    <x v="1"/>
    <n v="0"/>
    <x v="0"/>
    <n v="1622055"/>
    <n v="3"/>
    <x v="3"/>
    <n v="6.9366999999999998E-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47007"/>
    <n v="6"/>
    <n v="6"/>
    <x v="0"/>
    <n v="1"/>
    <x v="0"/>
    <n v="1"/>
    <x v="1"/>
    <n v="3"/>
    <n v="1"/>
    <x v="0"/>
    <n v="2701689"/>
    <n v="2"/>
    <x v="0"/>
    <n v="1"/>
    <x v="0"/>
    <n v="0"/>
    <x v="0"/>
    <n v="2738485"/>
    <n v="2"/>
    <x v="0"/>
    <n v="0"/>
    <x v="0"/>
    <n v="0.99225300000000005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408805"/>
    <n v="66"/>
    <n v="66"/>
    <x v="2"/>
    <n v="1"/>
    <x v="0"/>
    <n v="1"/>
    <x v="1"/>
    <n v="2736298"/>
    <n v="1"/>
    <x v="0"/>
    <n v="2992903"/>
    <n v="2"/>
    <x v="0"/>
    <n v="1"/>
    <x v="0"/>
    <n v="0"/>
    <x v="0"/>
    <n v="2045561"/>
    <n v="2"/>
    <x v="0"/>
    <n v="0"/>
    <x v="0"/>
    <n v="0.85495699999999997"/>
    <n v="0"/>
    <x v="0"/>
    <n v="0.42845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443011"/>
    <n v="66"/>
    <n v="66"/>
    <x v="2"/>
    <n v="1"/>
    <x v="0"/>
    <n v="1"/>
    <x v="1"/>
    <n v="2722161"/>
    <n v="1"/>
    <x v="0"/>
    <n v="2658837"/>
    <n v="2"/>
    <x v="0"/>
    <n v="1"/>
    <x v="0"/>
    <n v="0"/>
    <x v="0"/>
    <n v="2375707"/>
    <n v="2"/>
    <x v="0"/>
    <n v="0"/>
    <x v="0"/>
    <n v="1299469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906342"/>
    <n v="62"/>
    <n v="62"/>
    <x v="2"/>
    <n v="1"/>
    <x v="0"/>
    <n v="1"/>
    <x v="1"/>
    <n v="2971574"/>
    <n v="1"/>
    <x v="0"/>
    <n v="280742"/>
    <n v="2"/>
    <x v="0"/>
    <n v="1"/>
    <x v="0"/>
    <n v="0"/>
    <x v="0"/>
    <n v="1962646"/>
    <n v="2"/>
    <x v="0"/>
    <n v="0"/>
    <x v="0"/>
    <n v="1583832"/>
    <n v="3"/>
    <x v="3"/>
    <n v="0.504816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07488"/>
    <n v="65"/>
    <n v="65"/>
    <x v="2"/>
    <n v="1"/>
    <x v="0"/>
    <n v="1"/>
    <x v="1"/>
    <n v="2871016"/>
    <n v="1"/>
    <x v="0"/>
    <n v="1834472"/>
    <n v="2"/>
    <x v="0"/>
    <n v="1"/>
    <x v="0"/>
    <n v="0"/>
    <x v="0"/>
    <n v="1016585"/>
    <n v="2"/>
    <x v="0"/>
    <n v="0"/>
    <x v="0"/>
    <n v="0.23616799999999999"/>
    <n v="0"/>
    <x v="0"/>
    <n v="0.97493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686701"/>
    <n v="84"/>
    <n v="84"/>
    <x v="3"/>
    <n v="1"/>
    <x v="0"/>
    <n v="1"/>
    <x v="1"/>
    <n v="296405"/>
    <n v="1"/>
    <x v="0"/>
    <n v="2123138"/>
    <n v="2"/>
    <x v="0"/>
    <n v="1"/>
    <x v="0"/>
    <n v="0"/>
    <x v="0"/>
    <n v="1"/>
    <n v="1"/>
    <x v="1"/>
    <n v="0"/>
    <x v="0"/>
    <n v="1699181"/>
    <n v="3"/>
    <x v="3"/>
    <n v="0.6204650000000000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184451"/>
    <n v="55"/>
    <n v="55"/>
    <x v="2"/>
    <n v="1"/>
    <x v="0"/>
    <n v="1"/>
    <x v="1"/>
    <n v="2653721"/>
    <n v="1"/>
    <x v="0"/>
    <n v="1265463"/>
    <n v="2"/>
    <x v="0"/>
    <n v="1"/>
    <x v="0"/>
    <n v="0"/>
    <x v="0"/>
    <n v="1368457"/>
    <n v="2"/>
    <x v="0"/>
    <n v="0"/>
    <x v="0"/>
    <n v="0.21835599999999999"/>
    <n v="0"/>
    <x v="0"/>
    <n v="0.76807099999999995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5447208"/>
    <n v="69"/>
    <n v="69"/>
    <x v="2"/>
    <n v="1"/>
    <x v="0"/>
    <n v="1"/>
    <x v="1"/>
    <n v="2859097"/>
    <n v="1"/>
    <x v="0"/>
    <n v="1340361"/>
    <n v="2"/>
    <x v="0"/>
    <n v="1"/>
    <x v="0"/>
    <n v="0"/>
    <x v="0"/>
    <n v="1530508"/>
    <n v="2"/>
    <x v="0"/>
    <n v="0"/>
    <x v="0"/>
    <n v="0.17447499999999999"/>
    <n v="0"/>
    <x v="0"/>
    <n v="1261705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0002029"/>
    <n v="82"/>
    <n v="82"/>
    <x v="3"/>
    <n v="1"/>
    <x v="0"/>
    <n v="1"/>
    <x v="1"/>
    <n v="1572036"/>
    <n v="1"/>
    <x v="0"/>
    <n v="3"/>
    <n v="2"/>
    <x v="0"/>
    <n v="1"/>
    <x v="0"/>
    <n v="0"/>
    <x v="0"/>
    <n v="2003563"/>
    <n v="2"/>
    <x v="0"/>
    <n v="0"/>
    <x v="0"/>
    <n v="0"/>
    <n v="0"/>
    <x v="0"/>
    <n v="0.340196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188303"/>
    <n v="82"/>
    <n v="82"/>
    <x v="3"/>
    <n v="1"/>
    <x v="0"/>
    <n v="1"/>
    <x v="1"/>
    <n v="1387489"/>
    <n v="1"/>
    <x v="0"/>
    <n v="3"/>
    <n v="2"/>
    <x v="0"/>
    <n v="1"/>
    <x v="0"/>
    <n v="0"/>
    <x v="0"/>
    <n v="2017712"/>
    <n v="2"/>
    <x v="0"/>
    <n v="0"/>
    <x v="0"/>
    <n v="0"/>
    <n v="0"/>
    <x v="0"/>
    <n v="0.73125700000000005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4244029"/>
    <n v="66"/>
    <n v="66"/>
    <x v="2"/>
    <n v="1"/>
    <x v="0"/>
    <n v="1"/>
    <x v="1"/>
    <n v="2941929"/>
    <n v="1"/>
    <x v="0"/>
    <n v="3989492"/>
    <n v="2"/>
    <x v="0"/>
    <n v="1"/>
    <x v="0"/>
    <n v="0"/>
    <x v="0"/>
    <n v="1014135"/>
    <n v="2"/>
    <x v="0"/>
    <n v="0"/>
    <x v="0"/>
    <n v="1958694"/>
    <n v="3"/>
    <x v="3"/>
    <n v="0.687342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4521879"/>
    <n v="67"/>
    <n v="67"/>
    <x v="2"/>
    <n v="1"/>
    <x v="0"/>
    <n v="1"/>
    <x v="1"/>
    <n v="2973569"/>
    <n v="1"/>
    <x v="0"/>
    <n v="2650088"/>
    <n v="2"/>
    <x v="0"/>
    <n v="1"/>
    <x v="0"/>
    <n v="0"/>
    <x v="0"/>
    <n v="1003063"/>
    <n v="2"/>
    <x v="0"/>
    <n v="0"/>
    <x v="0"/>
    <n v="1981154"/>
    <n v="3"/>
    <x v="3"/>
    <n v="0.157007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9721964"/>
    <n v="81"/>
    <n v="81"/>
    <x v="3"/>
    <n v="1"/>
    <x v="0"/>
    <n v="1"/>
    <x v="1"/>
    <n v="2041376"/>
    <n v="1"/>
    <x v="0"/>
    <n v="3"/>
    <n v="2"/>
    <x v="0"/>
    <n v="1"/>
    <x v="0"/>
    <n v="0"/>
    <x v="0"/>
    <n v="1120213"/>
    <n v="2"/>
    <x v="0"/>
    <n v="0"/>
    <x v="0"/>
    <n v="105545"/>
    <n v="2"/>
    <x v="1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9906575"/>
    <n v="81"/>
    <n v="81"/>
    <x v="3"/>
    <n v="1"/>
    <x v="0"/>
    <n v="1"/>
    <x v="1"/>
    <n v="202472"/>
    <n v="1"/>
    <x v="0"/>
    <n v="3"/>
    <n v="2"/>
    <x v="0"/>
    <n v="1"/>
    <x v="0"/>
    <n v="0"/>
    <x v="0"/>
    <n v="1800335"/>
    <n v="2"/>
    <x v="0"/>
    <n v="0"/>
    <x v="0"/>
    <n v="1196368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7084742"/>
    <n v="101"/>
    <n v="100"/>
    <x v="3"/>
    <n v="1"/>
    <x v="0"/>
    <n v="1"/>
    <x v="1"/>
    <n v="2133964"/>
    <n v="1"/>
    <x v="0"/>
    <n v="3"/>
    <n v="2"/>
    <x v="0"/>
    <n v="1"/>
    <x v="0"/>
    <n v="0"/>
    <x v="0"/>
    <n v="2008361"/>
    <n v="2"/>
    <x v="0"/>
    <n v="0"/>
    <x v="0"/>
    <n v="0.20202899999999999"/>
    <n v="0"/>
    <x v="0"/>
    <n v="0.200516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908886"/>
    <n v="10"/>
    <n v="10"/>
    <x v="0"/>
    <n v="1"/>
    <x v="0"/>
    <n v="1"/>
    <x v="1"/>
    <n v="2702457"/>
    <n v="1"/>
    <x v="0"/>
    <n v="3"/>
    <n v="2"/>
    <x v="0"/>
    <n v="1"/>
    <x v="0"/>
    <n v="0"/>
    <x v="0"/>
    <n v="2005194"/>
    <n v="2"/>
    <x v="0"/>
    <n v="0"/>
    <x v="0"/>
    <n v="0.32531300000000002"/>
    <n v="0"/>
    <x v="0"/>
    <n v="0.4190550000000000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2658572"/>
    <n v="62"/>
    <n v="62"/>
    <x v="2"/>
    <n v="1"/>
    <x v="0"/>
    <n v="1"/>
    <x v="1"/>
    <n v="1760038"/>
    <n v="1"/>
    <x v="0"/>
    <n v="3"/>
    <n v="2"/>
    <x v="0"/>
    <n v="1"/>
    <x v="0"/>
    <n v="0"/>
    <x v="0"/>
    <n v="2003531"/>
    <n v="2"/>
    <x v="0"/>
    <n v="0"/>
    <x v="0"/>
    <n v="1089061"/>
    <n v="3"/>
    <x v="3"/>
    <n v="7.2263999999999995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889099"/>
    <n v="62"/>
    <n v="62"/>
    <x v="2"/>
    <n v="1"/>
    <x v="0"/>
    <n v="1"/>
    <x v="1"/>
    <n v="1996646"/>
    <n v="1"/>
    <x v="0"/>
    <n v="3"/>
    <n v="2"/>
    <x v="0"/>
    <n v="1"/>
    <x v="0"/>
    <n v="0"/>
    <x v="0"/>
    <n v="2"/>
    <n v="2"/>
    <x v="0"/>
    <n v="0"/>
    <x v="0"/>
    <n v="1600536"/>
    <n v="3"/>
    <x v="3"/>
    <n v="0.739684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63474"/>
    <n v="6"/>
    <n v="6"/>
    <x v="0"/>
    <n v="1"/>
    <x v="0"/>
    <n v="1"/>
    <x v="1"/>
    <n v="2644094"/>
    <n v="1"/>
    <x v="0"/>
    <n v="3"/>
    <n v="2"/>
    <x v="0"/>
    <n v="1"/>
    <x v="0"/>
    <n v="0"/>
    <x v="0"/>
    <n v="2740525"/>
    <n v="2"/>
    <x v="0"/>
    <n v="0"/>
    <x v="0"/>
    <n v="2"/>
    <n v="2"/>
    <x v="1"/>
    <n v="0.5009360000000000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920362"/>
    <n v="68"/>
    <n v="68"/>
    <x v="2"/>
    <n v="1"/>
    <x v="0"/>
    <n v="1"/>
    <x v="1"/>
    <n v="2475892"/>
    <n v="1"/>
    <x v="0"/>
    <n v="3"/>
    <n v="2"/>
    <x v="0"/>
    <n v="1"/>
    <x v="0"/>
    <n v="0"/>
    <x v="0"/>
    <n v="2949356"/>
    <n v="2"/>
    <x v="0"/>
    <n v="0"/>
    <x v="0"/>
    <n v="1866839"/>
    <n v="3"/>
    <x v="3"/>
    <n v="0.10004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783845"/>
    <n v="87"/>
    <n v="87"/>
    <x v="3"/>
    <n v="1"/>
    <x v="0"/>
    <n v="1"/>
    <x v="1"/>
    <n v="2941627"/>
    <n v="1"/>
    <x v="0"/>
    <n v="3"/>
    <n v="2"/>
    <x v="0"/>
    <n v="1"/>
    <x v="0"/>
    <n v="0"/>
    <x v="0"/>
    <n v="2318134"/>
    <n v="2"/>
    <x v="0"/>
    <n v="0"/>
    <x v="0"/>
    <n v="0.58268600000000004"/>
    <n v="0"/>
    <x v="0"/>
    <n v="1588046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627962"/>
    <n v="86"/>
    <n v="86"/>
    <x v="3"/>
    <n v="1"/>
    <x v="0"/>
    <n v="1"/>
    <x v="1"/>
    <n v="2998441"/>
    <n v="1"/>
    <x v="0"/>
    <n v="3"/>
    <n v="2"/>
    <x v="0"/>
    <n v="1"/>
    <x v="0"/>
    <n v="0"/>
    <x v="0"/>
    <n v="2462916"/>
    <n v="2"/>
    <x v="0"/>
    <n v="0"/>
    <x v="0"/>
    <n v="0.55464599999999997"/>
    <n v="0"/>
    <x v="0"/>
    <n v="199219"/>
    <n v="1"/>
    <x v="0"/>
    <n v="1"/>
    <x v="1"/>
    <n v="1"/>
    <x v="1"/>
    <n v="0"/>
    <x v="0"/>
    <n v="0"/>
    <x v="0"/>
    <n v="0"/>
    <x v="1"/>
    <n v="0"/>
    <x v="0"/>
    <n v="1"/>
    <x v="1"/>
  </r>
  <r>
    <n v="1"/>
    <s v="M"/>
    <n v="22976188"/>
    <n v="62"/>
    <n v="62"/>
    <x v="2"/>
    <n v="1"/>
    <x v="0"/>
    <n v="1"/>
    <x v="1"/>
    <n v="2397284"/>
    <n v="1"/>
    <x v="0"/>
    <n v="289292"/>
    <n v="2"/>
    <x v="0"/>
    <n v="1"/>
    <x v="0"/>
    <n v="0"/>
    <x v="0"/>
    <n v="1983973"/>
    <n v="2"/>
    <x v="0"/>
    <n v="0"/>
    <x v="0"/>
    <n v="1859667"/>
    <n v="3"/>
    <x v="3"/>
    <n v="2.5999999999999999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977357"/>
    <n v="62"/>
    <n v="62"/>
    <x v="2"/>
    <n v="1"/>
    <x v="0"/>
    <n v="1"/>
    <x v="1"/>
    <n v="2382705"/>
    <n v="1"/>
    <x v="0"/>
    <n v="2938902"/>
    <n v="2"/>
    <x v="0"/>
    <n v="1"/>
    <x v="0"/>
    <n v="0"/>
    <x v="0"/>
    <n v="1999278"/>
    <n v="2"/>
    <x v="0"/>
    <n v="0"/>
    <x v="0"/>
    <n v="1686229"/>
    <n v="3"/>
    <x v="3"/>
    <n v="0.630866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40973007"/>
    <n v="112"/>
    <n v="100"/>
    <x v="3"/>
    <n v="1"/>
    <x v="0"/>
    <n v="1"/>
    <x v="1"/>
    <n v="2176317"/>
    <n v="1"/>
    <x v="0"/>
    <n v="2986637"/>
    <n v="2"/>
    <x v="0"/>
    <n v="1"/>
    <x v="0"/>
    <n v="0"/>
    <x v="0"/>
    <n v="1015672"/>
    <n v="2"/>
    <x v="0"/>
    <n v="0"/>
    <x v="0"/>
    <n v="0.94140999999999997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41"/>
    <n v="41"/>
    <n v="41"/>
    <x v="1"/>
    <n v="1"/>
    <x v="0"/>
    <n v="1"/>
    <x v="1"/>
    <n v="2"/>
    <n v="1"/>
    <x v="0"/>
    <n v="2701521"/>
    <n v="2"/>
    <x v="0"/>
    <n v="1"/>
    <x v="0"/>
    <n v="0"/>
    <x v="0"/>
    <n v="1142644"/>
    <n v="2"/>
    <x v="0"/>
    <n v="0"/>
    <x v="0"/>
    <n v="0.51422500000000004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21721507"/>
    <n v="59"/>
    <n v="59"/>
    <x v="2"/>
    <n v="1"/>
    <x v="0"/>
    <n v="1"/>
    <x v="1"/>
    <n v="3"/>
    <n v="1"/>
    <x v="0"/>
    <n v="2014671"/>
    <n v="2"/>
    <x v="0"/>
    <n v="1"/>
    <x v="0"/>
    <n v="0"/>
    <x v="0"/>
    <n v="1292786"/>
    <n v="2"/>
    <x v="0"/>
    <n v="0"/>
    <x v="0"/>
    <n v="0.14568700000000001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1544554"/>
    <n v="59"/>
    <n v="59"/>
    <x v="2"/>
    <n v="1"/>
    <x v="0"/>
    <n v="1"/>
    <x v="1"/>
    <n v="3"/>
    <n v="1"/>
    <x v="0"/>
    <n v="1971659"/>
    <n v="2"/>
    <x v="0"/>
    <n v="1"/>
    <x v="0"/>
    <n v="0"/>
    <x v="0"/>
    <n v="1179254"/>
    <n v="2"/>
    <x v="0"/>
    <n v="0"/>
    <x v="0"/>
    <n v="0.17885599999999999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00307"/>
    <n v="65"/>
    <n v="65"/>
    <x v="2"/>
    <n v="1"/>
    <x v="0"/>
    <n v="1"/>
    <x v="1"/>
    <n v="2877743"/>
    <n v="1"/>
    <x v="0"/>
    <n v="1311797"/>
    <n v="2"/>
    <x v="0"/>
    <n v="1"/>
    <x v="0"/>
    <n v="0"/>
    <x v="0"/>
    <n v="1000463"/>
    <n v="2"/>
    <x v="0"/>
    <n v="0"/>
    <x v="0"/>
    <n v="0.18224899999999999"/>
    <n v="0"/>
    <x v="0"/>
    <n v="14312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40409"/>
    <n v="0"/>
    <n v="5"/>
    <x v="0"/>
    <n v="1"/>
    <x v="0"/>
    <n v="1"/>
    <x v="1"/>
    <n v="3"/>
    <n v="1"/>
    <x v="0"/>
    <n v="1262831"/>
    <n v="2"/>
    <x v="0"/>
    <n v="1"/>
    <x v="0"/>
    <n v="0"/>
    <x v="0"/>
    <n v="1"/>
    <n v="1"/>
    <x v="1"/>
    <n v="0"/>
    <x v="0"/>
    <n v="0.88317100000000004"/>
    <n v="0"/>
    <x v="0"/>
    <n v="1382995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9509151"/>
    <n v="80"/>
    <n v="80"/>
    <x v="3"/>
    <n v="1"/>
    <x v="0"/>
    <n v="1"/>
    <x v="1"/>
    <n v="2303041"/>
    <n v="1"/>
    <x v="0"/>
    <n v="3"/>
    <n v="2"/>
    <x v="0"/>
    <n v="1"/>
    <x v="0"/>
    <n v="0"/>
    <x v="0"/>
    <n v="2065817"/>
    <n v="2"/>
    <x v="0"/>
    <n v="0"/>
    <x v="0"/>
    <n v="0"/>
    <n v="0"/>
    <x v="0"/>
    <n v="0.72522200000000003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9246269"/>
    <n v="80"/>
    <n v="80"/>
    <x v="3"/>
    <n v="1"/>
    <x v="0"/>
    <n v="1"/>
    <x v="1"/>
    <n v="2323003"/>
    <n v="1"/>
    <x v="0"/>
    <n v="3"/>
    <n v="2"/>
    <x v="0"/>
    <n v="1"/>
    <x v="0"/>
    <n v="0"/>
    <x v="0"/>
    <n v="2155558"/>
    <n v="2"/>
    <x v="0"/>
    <n v="0"/>
    <x v="0"/>
    <n v="0"/>
    <n v="0"/>
    <x v="0"/>
    <n v="1251554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5341399"/>
    <n v="69"/>
    <n v="69"/>
    <x v="2"/>
    <n v="1"/>
    <x v="0"/>
    <n v="1"/>
    <x v="1"/>
    <n v="199953"/>
    <n v="1"/>
    <x v="0"/>
    <n v="3"/>
    <n v="2"/>
    <x v="0"/>
    <n v="1"/>
    <x v="0"/>
    <n v="0"/>
    <x v="0"/>
    <n v="2111908"/>
    <n v="2"/>
    <x v="0"/>
    <n v="0"/>
    <x v="0"/>
    <n v="1453042"/>
    <n v="3"/>
    <x v="3"/>
    <n v="0.849503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314163"/>
    <n v="69"/>
    <n v="69"/>
    <x v="2"/>
    <n v="1"/>
    <x v="0"/>
    <n v="1"/>
    <x v="1"/>
    <n v="1585183"/>
    <n v="1"/>
    <x v="0"/>
    <n v="3"/>
    <n v="2"/>
    <x v="0"/>
    <n v="1"/>
    <x v="0"/>
    <n v="0"/>
    <x v="0"/>
    <n v="2101841"/>
    <n v="2"/>
    <x v="0"/>
    <n v="0"/>
    <x v="0"/>
    <n v="1543961"/>
    <n v="3"/>
    <x v="3"/>
    <n v="7.2999999999999999E-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40366238"/>
    <n v="110"/>
    <n v="100"/>
    <x v="3"/>
    <n v="1"/>
    <x v="0"/>
    <n v="1"/>
    <x v="1"/>
    <n v="2281963"/>
    <n v="1"/>
    <x v="0"/>
    <n v="3770379"/>
    <n v="2"/>
    <x v="0"/>
    <n v="1"/>
    <x v="0"/>
    <n v="0"/>
    <x v="0"/>
    <n v="1"/>
    <n v="1"/>
    <x v="1"/>
    <n v="0"/>
    <x v="0"/>
    <n v="1330519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3749594"/>
    <n v="92"/>
    <n v="92"/>
    <x v="3"/>
    <n v="1"/>
    <x v="0"/>
    <n v="1"/>
    <x v="1"/>
    <n v="2561638"/>
    <n v="1"/>
    <x v="0"/>
    <n v="287747"/>
    <n v="2"/>
    <x v="0"/>
    <n v="1"/>
    <x v="0"/>
    <n v="0"/>
    <x v="0"/>
    <n v="1"/>
    <n v="1"/>
    <x v="1"/>
    <n v="0"/>
    <x v="0"/>
    <n v="1980401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2867331"/>
    <n v="90"/>
    <n v="90"/>
    <x v="3"/>
    <n v="1"/>
    <x v="0"/>
    <n v="1"/>
    <x v="1"/>
    <n v="2600217"/>
    <n v="1"/>
    <x v="0"/>
    <n v="2175153"/>
    <n v="2"/>
    <x v="0"/>
    <n v="1"/>
    <x v="0"/>
    <n v="0"/>
    <x v="0"/>
    <n v="1"/>
    <n v="1"/>
    <x v="1"/>
    <n v="0"/>
    <x v="0"/>
    <n v="1985536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403205"/>
    <n v="83"/>
    <n v="83"/>
    <x v="3"/>
    <n v="1"/>
    <x v="0"/>
    <n v="1"/>
    <x v="1"/>
    <n v="279166"/>
    <n v="1"/>
    <x v="0"/>
    <n v="213229"/>
    <n v="2"/>
    <x v="0"/>
    <n v="1"/>
    <x v="0"/>
    <n v="0"/>
    <x v="0"/>
    <n v="1254589"/>
    <n v="2"/>
    <x v="0"/>
    <n v="0"/>
    <x v="0"/>
    <n v="0.65273599999999998"/>
    <n v="0"/>
    <x v="0"/>
    <n v="1040713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9687488"/>
    <n v="81"/>
    <n v="81"/>
    <x v="3"/>
    <n v="1"/>
    <x v="0"/>
    <n v="1"/>
    <x v="1"/>
    <n v="208868"/>
    <n v="1"/>
    <x v="0"/>
    <n v="3"/>
    <n v="2"/>
    <x v="0"/>
    <n v="1"/>
    <x v="0"/>
    <n v="0"/>
    <x v="0"/>
    <n v="1520215"/>
    <n v="2"/>
    <x v="0"/>
    <n v="0"/>
    <x v="0"/>
    <n v="1857351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8992809"/>
    <n v="79"/>
    <n v="79"/>
    <x v="3"/>
    <n v="1"/>
    <x v="0"/>
    <n v="1"/>
    <x v="1"/>
    <n v="2206119"/>
    <n v="1"/>
    <x v="0"/>
    <n v="3"/>
    <n v="2"/>
    <x v="0"/>
    <n v="1"/>
    <x v="0"/>
    <n v="0"/>
    <x v="0"/>
    <n v="1483856"/>
    <n v="2"/>
    <x v="0"/>
    <n v="0"/>
    <x v="0"/>
    <n v="1113169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475248"/>
    <n v="83"/>
    <n v="83"/>
    <x v="3"/>
    <n v="1"/>
    <x v="0"/>
    <n v="1"/>
    <x v="1"/>
    <n v="2328469"/>
    <n v="1"/>
    <x v="0"/>
    <n v="3"/>
    <n v="2"/>
    <x v="0"/>
    <n v="1"/>
    <x v="0"/>
    <n v="0"/>
    <x v="0"/>
    <n v="2001208"/>
    <n v="2"/>
    <x v="0"/>
    <n v="0"/>
    <x v="0"/>
    <n v="0.80048699999999995"/>
    <n v="0"/>
    <x v="0"/>
    <n v="0.176678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350516"/>
    <n v="83"/>
    <n v="83"/>
    <x v="3"/>
    <n v="1"/>
    <x v="0"/>
    <n v="1"/>
    <x v="1"/>
    <n v="2002784"/>
    <n v="1"/>
    <x v="0"/>
    <n v="3"/>
    <n v="2"/>
    <x v="0"/>
    <n v="1"/>
    <x v="0"/>
    <n v="0"/>
    <x v="0"/>
    <n v="2292906"/>
    <n v="2"/>
    <x v="0"/>
    <n v="0"/>
    <x v="0"/>
    <n v="1034031"/>
    <n v="3"/>
    <x v="3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6684354"/>
    <n v="73"/>
    <n v="73"/>
    <x v="2"/>
    <n v="1"/>
    <x v="0"/>
    <n v="1"/>
    <x v="1"/>
    <n v="1975675"/>
    <n v="1"/>
    <x v="0"/>
    <n v="3"/>
    <n v="2"/>
    <x v="0"/>
    <n v="1"/>
    <x v="0"/>
    <n v="0"/>
    <x v="0"/>
    <n v="2357969"/>
    <n v="2"/>
    <x v="0"/>
    <n v="0"/>
    <x v="0"/>
    <n v="0.70423599999999997"/>
    <n v="0"/>
    <x v="0"/>
    <n v="1.0721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6607478"/>
    <n v="72"/>
    <n v="72"/>
    <x v="2"/>
    <n v="1"/>
    <x v="0"/>
    <n v="1"/>
    <x v="1"/>
    <n v="2002076"/>
    <n v="1"/>
    <x v="0"/>
    <n v="3"/>
    <n v="2"/>
    <x v="0"/>
    <n v="1"/>
    <x v="0"/>
    <n v="0"/>
    <x v="0"/>
    <n v="2338373"/>
    <n v="2"/>
    <x v="0"/>
    <n v="0"/>
    <x v="0"/>
    <n v="0.89756199999999997"/>
    <n v="0"/>
    <x v="0"/>
    <n v="8.1156000000000006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3174147"/>
    <n v="90"/>
    <n v="90"/>
    <x v="3"/>
    <n v="1"/>
    <x v="0"/>
    <n v="1"/>
    <x v="1"/>
    <n v="2218599"/>
    <n v="1"/>
    <x v="0"/>
    <n v="3"/>
    <n v="2"/>
    <x v="0"/>
    <n v="1"/>
    <x v="0"/>
    <n v="0"/>
    <x v="0"/>
    <n v="2104337"/>
    <n v="2"/>
    <x v="0"/>
    <n v="0"/>
    <x v="0"/>
    <n v="0.76600699999999999"/>
    <n v="0"/>
    <x v="0"/>
    <n v="0.2621180000000000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229016"/>
    <n v="8"/>
    <n v="8"/>
    <x v="0"/>
    <n v="1"/>
    <x v="0"/>
    <n v="1"/>
    <x v="1"/>
    <n v="29673"/>
    <n v="1"/>
    <x v="0"/>
    <n v="3"/>
    <n v="2"/>
    <x v="0"/>
    <n v="1"/>
    <x v="0"/>
    <n v="0"/>
    <x v="0"/>
    <n v="2530035"/>
    <n v="2"/>
    <x v="0"/>
    <n v="0"/>
    <x v="0"/>
    <n v="0.95531699999999997"/>
    <n v="0"/>
    <x v="0"/>
    <n v="1339232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6050109"/>
    <n v="71"/>
    <n v="71"/>
    <x v="2"/>
    <n v="1"/>
    <x v="0"/>
    <n v="1"/>
    <x v="1"/>
    <n v="2392179"/>
    <n v="1"/>
    <x v="0"/>
    <n v="3"/>
    <n v="2"/>
    <x v="0"/>
    <n v="1"/>
    <x v="0"/>
    <n v="0"/>
    <x v="0"/>
    <n v="216467"/>
    <n v="2"/>
    <x v="0"/>
    <n v="0"/>
    <x v="0"/>
    <n v="1079934"/>
    <n v="3"/>
    <x v="3"/>
    <n v="1073026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846279"/>
    <n v="70"/>
    <n v="70"/>
    <x v="2"/>
    <n v="1"/>
    <x v="0"/>
    <n v="1"/>
    <x v="1"/>
    <n v="2381164"/>
    <n v="1"/>
    <x v="0"/>
    <n v="3"/>
    <n v="2"/>
    <x v="0"/>
    <n v="1"/>
    <x v="0"/>
    <n v="0"/>
    <x v="0"/>
    <n v="2170225"/>
    <n v="2"/>
    <x v="0"/>
    <n v="0"/>
    <x v="0"/>
    <n v="1211048"/>
    <n v="3"/>
    <x v="3"/>
    <n v="189933"/>
    <n v="1"/>
    <x v="0"/>
    <n v="1"/>
    <x v="1"/>
    <n v="0"/>
    <x v="0"/>
    <n v="0"/>
    <x v="0"/>
    <n v="0"/>
    <x v="0"/>
    <n v="1"/>
    <x v="0"/>
    <n v="0"/>
    <x v="0"/>
    <n v="1"/>
    <x v="1"/>
  </r>
  <r>
    <n v="1"/>
    <s v="M"/>
    <n v="29620095"/>
    <n v="81"/>
    <n v="81"/>
    <x v="3"/>
    <n v="1"/>
    <x v="0"/>
    <n v="1"/>
    <x v="1"/>
    <n v="2008245"/>
    <n v="1"/>
    <x v="0"/>
    <n v="3"/>
    <n v="2"/>
    <x v="0"/>
    <n v="1"/>
    <x v="0"/>
    <n v="0"/>
    <x v="0"/>
    <n v="2040137"/>
    <n v="2"/>
    <x v="0"/>
    <n v="0"/>
    <x v="0"/>
    <n v="0"/>
    <n v="0"/>
    <x v="0"/>
    <n v="0.47421600000000003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7439056"/>
    <n v="75"/>
    <n v="75"/>
    <x v="2"/>
    <n v="1"/>
    <x v="0"/>
    <n v="1"/>
    <x v="1"/>
    <n v="2155182"/>
    <n v="1"/>
    <x v="0"/>
    <n v="3"/>
    <n v="2"/>
    <x v="0"/>
    <n v="1"/>
    <x v="0"/>
    <n v="0"/>
    <x v="0"/>
    <n v="2049079"/>
    <n v="2"/>
    <x v="0"/>
    <n v="0"/>
    <x v="0"/>
    <n v="0"/>
    <n v="0"/>
    <x v="0"/>
    <n v="174992"/>
    <n v="1"/>
    <x v="0"/>
    <n v="1"/>
    <x v="1"/>
    <n v="1"/>
    <x v="1"/>
    <n v="0"/>
    <x v="0"/>
    <n v="0"/>
    <x v="0"/>
    <n v="0"/>
    <x v="1"/>
    <n v="0"/>
    <x v="0"/>
    <n v="1"/>
    <x v="1"/>
  </r>
  <r>
    <n v="1"/>
    <s v="M"/>
    <n v="28493397"/>
    <n v="78"/>
    <n v="78"/>
    <x v="3"/>
    <n v="1"/>
    <x v="0"/>
    <n v="1"/>
    <x v="1"/>
    <n v="2969233"/>
    <n v="1"/>
    <x v="0"/>
    <n v="3"/>
    <n v="2"/>
    <x v="0"/>
    <n v="1"/>
    <x v="0"/>
    <n v="0"/>
    <x v="0"/>
    <n v="2807984"/>
    <n v="2"/>
    <x v="0"/>
    <n v="0"/>
    <x v="0"/>
    <n v="0.98213399999999995"/>
    <n v="0"/>
    <x v="0"/>
    <n v="1191998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7474245"/>
    <n v="75"/>
    <n v="75"/>
    <x v="2"/>
    <n v="1"/>
    <x v="0"/>
    <n v="1"/>
    <x v="1"/>
    <n v="2765063"/>
    <n v="1"/>
    <x v="0"/>
    <n v="3"/>
    <n v="2"/>
    <x v="0"/>
    <n v="1"/>
    <x v="0"/>
    <n v="0"/>
    <x v="0"/>
    <n v="2867206"/>
    <n v="2"/>
    <x v="0"/>
    <n v="0"/>
    <x v="0"/>
    <n v="0.70677699999999999"/>
    <n v="0"/>
    <x v="0"/>
    <n v="0.677908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036269"/>
    <n v="68"/>
    <n v="68"/>
    <x v="2"/>
    <n v="1"/>
    <x v="0"/>
    <n v="1"/>
    <x v="1"/>
    <n v="2630137"/>
    <n v="1"/>
    <x v="0"/>
    <n v="3"/>
    <n v="2"/>
    <x v="0"/>
    <n v="1"/>
    <x v="0"/>
    <n v="0"/>
    <x v="0"/>
    <n v="2960088"/>
    <n v="2"/>
    <x v="0"/>
    <n v="0"/>
    <x v="0"/>
    <n v="1356468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825398"/>
    <n v="68"/>
    <n v="68"/>
    <x v="2"/>
    <n v="1"/>
    <x v="0"/>
    <n v="1"/>
    <x v="1"/>
    <n v="2195964"/>
    <n v="1"/>
    <x v="0"/>
    <n v="3"/>
    <n v="2"/>
    <x v="0"/>
    <n v="1"/>
    <x v="0"/>
    <n v="0"/>
    <x v="0"/>
    <n v="2514872"/>
    <n v="2"/>
    <x v="0"/>
    <n v="0"/>
    <x v="0"/>
    <n v="1664722"/>
    <n v="3"/>
    <x v="3"/>
    <n v="0.127673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493946"/>
    <n v="83"/>
    <n v="83"/>
    <x v="3"/>
    <n v="1"/>
    <x v="0"/>
    <n v="1"/>
    <x v="1"/>
    <n v="2619987"/>
    <n v="1"/>
    <x v="0"/>
    <n v="3"/>
    <n v="2"/>
    <x v="0"/>
    <n v="1"/>
    <x v="0"/>
    <n v="0"/>
    <x v="0"/>
    <n v="2194746"/>
    <n v="2"/>
    <x v="0"/>
    <n v="0"/>
    <x v="0"/>
    <n v="1076926"/>
    <n v="3"/>
    <x v="3"/>
    <n v="1090995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0607546"/>
    <n v="83"/>
    <n v="83"/>
    <x v="3"/>
    <n v="1"/>
    <x v="0"/>
    <n v="1"/>
    <x v="1"/>
    <n v="2918113"/>
    <n v="1"/>
    <x v="0"/>
    <n v="3"/>
    <n v="2"/>
    <x v="0"/>
    <n v="1"/>
    <x v="0"/>
    <n v="0"/>
    <x v="0"/>
    <n v="2240463"/>
    <n v="2"/>
    <x v="0"/>
    <n v="0"/>
    <x v="0"/>
    <n v="1076248"/>
    <n v="3"/>
    <x v="3"/>
    <n v="1480875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194323"/>
    <n v="85"/>
    <n v="85"/>
    <x v="3"/>
    <n v="1"/>
    <x v="0"/>
    <n v="1"/>
    <x v="1"/>
    <n v="2889485"/>
    <n v="1"/>
    <x v="0"/>
    <n v="3"/>
    <n v="2"/>
    <x v="0"/>
    <n v="1"/>
    <x v="0"/>
    <n v="1"/>
    <x v="1"/>
    <n v="1279771"/>
    <n v="2"/>
    <x v="0"/>
    <n v="0"/>
    <x v="0"/>
    <n v="0.94142400000000004"/>
    <n v="0"/>
    <x v="0"/>
    <n v="8.3429999999999997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36347"/>
    <n v="8"/>
    <n v="8"/>
    <x v="0"/>
    <n v="1"/>
    <x v="0"/>
    <n v="1"/>
    <x v="1"/>
    <n v="2939727"/>
    <n v="1"/>
    <x v="0"/>
    <n v="3"/>
    <n v="2"/>
    <x v="0"/>
    <n v="1"/>
    <x v="0"/>
    <n v="1"/>
    <x v="1"/>
    <n v="1344122"/>
    <n v="2"/>
    <x v="0"/>
    <n v="0"/>
    <x v="0"/>
    <n v="0.92342800000000003"/>
    <n v="0"/>
    <x v="0"/>
    <n v="1432336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027254"/>
    <n v="68"/>
    <n v="68"/>
    <x v="2"/>
    <n v="1"/>
    <x v="0"/>
    <n v="1"/>
    <x v="1"/>
    <n v="1264234"/>
    <n v="1"/>
    <x v="0"/>
    <n v="3"/>
    <n v="2"/>
    <x v="0"/>
    <n v="1"/>
    <x v="0"/>
    <n v="0"/>
    <x v="0"/>
    <n v="2"/>
    <n v="2"/>
    <x v="0"/>
    <n v="0"/>
    <x v="0"/>
    <n v="1333435"/>
    <n v="3"/>
    <x v="3"/>
    <n v="2.1679999999999998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058566"/>
    <n v="68"/>
    <n v="68"/>
    <x v="2"/>
    <n v="1"/>
    <x v="0"/>
    <n v="1"/>
    <x v="1"/>
    <n v="1517912"/>
    <n v="1"/>
    <x v="0"/>
    <n v="3"/>
    <n v="2"/>
    <x v="0"/>
    <n v="1"/>
    <x v="0"/>
    <n v="0"/>
    <x v="0"/>
    <n v="2038958"/>
    <n v="2"/>
    <x v="0"/>
    <n v="0"/>
    <x v="0"/>
    <n v="1590255"/>
    <n v="3"/>
    <x v="3"/>
    <n v="1.64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417552"/>
    <n v="66"/>
    <n v="66"/>
    <x v="2"/>
    <n v="1"/>
    <x v="0"/>
    <n v="1"/>
    <x v="1"/>
    <n v="223372"/>
    <n v="1"/>
    <x v="0"/>
    <n v="2993634"/>
    <n v="2"/>
    <x v="0"/>
    <n v="1"/>
    <x v="0"/>
    <n v="0"/>
    <x v="0"/>
    <n v="2028368"/>
    <n v="2"/>
    <x v="0"/>
    <n v="0"/>
    <x v="0"/>
    <n v="0.86315799999999998"/>
    <n v="0"/>
    <x v="0"/>
    <n v="0.449886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5822"/>
    <n v="0"/>
    <n v="5"/>
    <x v="0"/>
    <n v="1"/>
    <x v="0"/>
    <n v="1"/>
    <x v="1"/>
    <n v="1475906"/>
    <n v="1"/>
    <x v="0"/>
    <n v="2999346"/>
    <n v="2"/>
    <x v="0"/>
    <n v="1"/>
    <x v="0"/>
    <n v="0"/>
    <x v="0"/>
    <n v="201943"/>
    <n v="2"/>
    <x v="0"/>
    <n v="0"/>
    <x v="0"/>
    <n v="1046878"/>
    <n v="3"/>
    <x v="3"/>
    <n v="0.46086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40106145"/>
    <n v="109"/>
    <n v="100"/>
    <x v="3"/>
    <n v="1"/>
    <x v="0"/>
    <n v="1"/>
    <x v="1"/>
    <n v="2032883"/>
    <n v="1"/>
    <x v="0"/>
    <n v="2976211"/>
    <n v="2"/>
    <x v="0"/>
    <n v="1"/>
    <x v="0"/>
    <n v="0"/>
    <x v="0"/>
    <n v="1726109"/>
    <n v="2"/>
    <x v="0"/>
    <n v="0"/>
    <x v="0"/>
    <n v="0.47785499999999997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40174191"/>
    <n v="110"/>
    <n v="100"/>
    <x v="3"/>
    <n v="1"/>
    <x v="0"/>
    <n v="1"/>
    <x v="1"/>
    <n v="2046651"/>
    <n v="1"/>
    <x v="0"/>
    <n v="2842035"/>
    <n v="2"/>
    <x v="0"/>
    <n v="1"/>
    <x v="0"/>
    <n v="0"/>
    <x v="0"/>
    <n v="1732072"/>
    <n v="2"/>
    <x v="0"/>
    <n v="0"/>
    <x v="0"/>
    <n v="0.58427200000000001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7186873"/>
    <n v="74"/>
    <n v="74"/>
    <x v="2"/>
    <n v="1"/>
    <x v="0"/>
    <n v="1"/>
    <x v="1"/>
    <n v="2667229"/>
    <n v="1"/>
    <x v="0"/>
    <n v="109749"/>
    <n v="2"/>
    <x v="0"/>
    <n v="1"/>
    <x v="0"/>
    <n v="0"/>
    <x v="0"/>
    <n v="1225958"/>
    <n v="2"/>
    <x v="0"/>
    <n v="0"/>
    <x v="0"/>
    <n v="0.206954"/>
    <n v="0"/>
    <x v="0"/>
    <n v="1003011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0424369"/>
    <n v="83"/>
    <n v="83"/>
    <x v="3"/>
    <n v="1"/>
    <x v="0"/>
    <n v="1"/>
    <x v="1"/>
    <n v="2819934"/>
    <n v="1"/>
    <x v="0"/>
    <n v="191863"/>
    <n v="2"/>
    <x v="0"/>
    <n v="1"/>
    <x v="0"/>
    <n v="0"/>
    <x v="0"/>
    <n v="1"/>
    <n v="1"/>
    <x v="1"/>
    <n v="0"/>
    <x v="0"/>
    <n v="139302"/>
    <n v="2"/>
    <x v="1"/>
    <n v="0.55331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141402"/>
    <n v="63"/>
    <n v="63"/>
    <x v="2"/>
    <n v="1"/>
    <x v="0"/>
    <n v="1"/>
    <x v="1"/>
    <n v="3"/>
    <n v="1"/>
    <x v="0"/>
    <n v="2510135"/>
    <n v="2"/>
    <x v="0"/>
    <n v="1"/>
    <x v="0"/>
    <n v="0"/>
    <x v="0"/>
    <n v="1693362"/>
    <n v="2"/>
    <x v="0"/>
    <n v="0"/>
    <x v="0"/>
    <n v="0.76970899999999998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178638"/>
    <n v="66"/>
    <n v="66"/>
    <x v="2"/>
    <n v="1"/>
    <x v="0"/>
    <n v="1"/>
    <x v="1"/>
    <n v="2954417"/>
    <n v="1"/>
    <x v="0"/>
    <n v="265772"/>
    <n v="2"/>
    <x v="0"/>
    <n v="1"/>
    <x v="0"/>
    <n v="0"/>
    <x v="0"/>
    <n v="2104696"/>
    <n v="2"/>
    <x v="0"/>
    <n v="0"/>
    <x v="0"/>
    <n v="0.87005600000000005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832105"/>
    <n v="62"/>
    <n v="62"/>
    <x v="2"/>
    <n v="1"/>
    <x v="0"/>
    <n v="1"/>
    <x v="1"/>
    <n v="2826251"/>
    <n v="1"/>
    <x v="0"/>
    <n v="2604998"/>
    <n v="2"/>
    <x v="0"/>
    <n v="1"/>
    <x v="0"/>
    <n v="0"/>
    <x v="0"/>
    <n v="1842173"/>
    <n v="2"/>
    <x v="0"/>
    <n v="0"/>
    <x v="0"/>
    <n v="1284798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083621"/>
    <n v="63"/>
    <n v="63"/>
    <x v="2"/>
    <n v="1"/>
    <x v="0"/>
    <n v="1"/>
    <x v="1"/>
    <n v="3"/>
    <n v="1"/>
    <x v="0"/>
    <n v="2567567"/>
    <n v="2"/>
    <x v="0"/>
    <n v="1"/>
    <x v="0"/>
    <n v="0"/>
    <x v="0"/>
    <n v="2011023"/>
    <n v="2"/>
    <x v="0"/>
    <n v="0"/>
    <x v="0"/>
    <n v="0.91647800000000001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79971"/>
    <n v="65"/>
    <n v="65"/>
    <x v="2"/>
    <n v="1"/>
    <x v="0"/>
    <n v="1"/>
    <x v="1"/>
    <n v="295841"/>
    <n v="1"/>
    <x v="0"/>
    <n v="2434347"/>
    <n v="2"/>
    <x v="0"/>
    <n v="1"/>
    <x v="0"/>
    <n v="0"/>
    <x v="0"/>
    <n v="1"/>
    <n v="1"/>
    <x v="1"/>
    <n v="0"/>
    <x v="0"/>
    <n v="1930033"/>
    <n v="3"/>
    <x v="3"/>
    <n v="0.754023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6947786"/>
    <n v="73"/>
    <n v="73"/>
    <x v="2"/>
    <n v="1"/>
    <x v="0"/>
    <n v="1"/>
    <x v="1"/>
    <n v="2935157"/>
    <n v="1"/>
    <x v="0"/>
    <n v="1845858"/>
    <n v="2"/>
    <x v="0"/>
    <n v="1"/>
    <x v="0"/>
    <n v="0"/>
    <x v="0"/>
    <n v="1"/>
    <n v="1"/>
    <x v="1"/>
    <n v="0"/>
    <x v="0"/>
    <n v="1089891"/>
    <n v="3"/>
    <x v="3"/>
    <n v="0.7159929999999999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101026"/>
    <n v="55"/>
    <n v="55"/>
    <x v="2"/>
    <n v="1"/>
    <x v="0"/>
    <n v="1"/>
    <x v="1"/>
    <n v="2870895"/>
    <n v="1"/>
    <x v="0"/>
    <n v="1627555"/>
    <n v="2"/>
    <x v="0"/>
    <n v="1"/>
    <x v="0"/>
    <n v="0"/>
    <x v="0"/>
    <n v="1375728"/>
    <n v="2"/>
    <x v="0"/>
    <n v="0"/>
    <x v="0"/>
    <n v="0.21018100000000001"/>
    <n v="0"/>
    <x v="0"/>
    <n v="116311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2789402"/>
    <n v="62"/>
    <n v="62"/>
    <x v="2"/>
    <n v="1"/>
    <x v="0"/>
    <n v="1"/>
    <x v="1"/>
    <n v="2869833"/>
    <n v="1"/>
    <x v="0"/>
    <n v="1569176"/>
    <n v="2"/>
    <x v="0"/>
    <n v="1"/>
    <x v="0"/>
    <n v="0"/>
    <x v="0"/>
    <n v="1533682"/>
    <n v="2"/>
    <x v="0"/>
    <n v="0"/>
    <x v="0"/>
    <n v="0.16794300000000001"/>
    <n v="0"/>
    <x v="0"/>
    <n v="1368262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8404332"/>
    <n v="77"/>
    <n v="77"/>
    <x v="3"/>
    <n v="1"/>
    <x v="0"/>
    <n v="1"/>
    <x v="1"/>
    <n v="1878251"/>
    <n v="1"/>
    <x v="0"/>
    <n v="3"/>
    <n v="2"/>
    <x v="0"/>
    <n v="1"/>
    <x v="0"/>
    <n v="0"/>
    <x v="0"/>
    <n v="2022933"/>
    <n v="2"/>
    <x v="0"/>
    <n v="0"/>
    <x v="0"/>
    <n v="0"/>
    <n v="0"/>
    <x v="0"/>
    <n v="0.32544499999999998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003358"/>
    <n v="82"/>
    <n v="82"/>
    <x v="3"/>
    <n v="1"/>
    <x v="0"/>
    <n v="1"/>
    <x v="1"/>
    <n v="1750809"/>
    <n v="1"/>
    <x v="0"/>
    <n v="3"/>
    <n v="2"/>
    <x v="0"/>
    <n v="1"/>
    <x v="0"/>
    <n v="0"/>
    <x v="0"/>
    <n v="2002871"/>
    <n v="2"/>
    <x v="0"/>
    <n v="0"/>
    <x v="0"/>
    <n v="0"/>
    <n v="0"/>
    <x v="0"/>
    <n v="0.114457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136116"/>
    <n v="68"/>
    <n v="68"/>
    <x v="2"/>
    <n v="1"/>
    <x v="0"/>
    <n v="1"/>
    <x v="1"/>
    <n v="1168856"/>
    <n v="1"/>
    <x v="0"/>
    <n v="3"/>
    <n v="2"/>
    <x v="0"/>
    <n v="1"/>
    <x v="0"/>
    <n v="0"/>
    <x v="0"/>
    <n v="2013205"/>
    <n v="2"/>
    <x v="0"/>
    <n v="0"/>
    <x v="0"/>
    <n v="1246223"/>
    <n v="3"/>
    <x v="3"/>
    <n v="1.5900000000000001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139466"/>
    <n v="68"/>
    <n v="68"/>
    <x v="2"/>
    <n v="1"/>
    <x v="0"/>
    <n v="1"/>
    <x v="1"/>
    <n v="1443674"/>
    <n v="1"/>
    <x v="0"/>
    <n v="3"/>
    <n v="2"/>
    <x v="0"/>
    <n v="1"/>
    <x v="0"/>
    <n v="0"/>
    <x v="0"/>
    <n v="2002194"/>
    <n v="2"/>
    <x v="0"/>
    <n v="0"/>
    <x v="0"/>
    <n v="1386151"/>
    <n v="3"/>
    <x v="3"/>
    <n v="1.3370000000000001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743821"/>
    <n v="86"/>
    <n v="86"/>
    <x v="3"/>
    <n v="1"/>
    <x v="0"/>
    <n v="1"/>
    <x v="1"/>
    <n v="2826036"/>
    <n v="1"/>
    <x v="0"/>
    <n v="2371658"/>
    <n v="2"/>
    <x v="0"/>
    <n v="1"/>
    <x v="0"/>
    <n v="0"/>
    <x v="0"/>
    <n v="1"/>
    <n v="1"/>
    <x v="1"/>
    <n v="0"/>
    <x v="0"/>
    <n v="1996487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796262"/>
    <n v="84"/>
    <n v="84"/>
    <x v="3"/>
    <n v="1"/>
    <x v="0"/>
    <n v="1"/>
    <x v="1"/>
    <n v="29553"/>
    <n v="1"/>
    <x v="0"/>
    <n v="2378211"/>
    <n v="2"/>
    <x v="0"/>
    <n v="1"/>
    <x v="0"/>
    <n v="0"/>
    <x v="0"/>
    <n v="1"/>
    <n v="1"/>
    <x v="1"/>
    <n v="0"/>
    <x v="0"/>
    <n v="1738267"/>
    <n v="3"/>
    <x v="3"/>
    <n v="0.3945330000000000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8393111"/>
    <n v="77"/>
    <n v="77"/>
    <x v="3"/>
    <n v="1"/>
    <x v="0"/>
    <n v="1"/>
    <x v="1"/>
    <n v="2774562"/>
    <n v="1"/>
    <x v="0"/>
    <n v="2301129"/>
    <n v="2"/>
    <x v="0"/>
    <n v="1"/>
    <x v="0"/>
    <n v="0"/>
    <x v="0"/>
    <n v="1"/>
    <n v="1"/>
    <x v="1"/>
    <n v="0"/>
    <x v="0"/>
    <n v="1621733"/>
    <n v="3"/>
    <x v="3"/>
    <n v="0.1383139999999999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793982"/>
    <n v="7"/>
    <n v="7"/>
    <x v="0"/>
    <n v="1"/>
    <x v="0"/>
    <n v="1"/>
    <x v="1"/>
    <n v="2772027"/>
    <n v="1"/>
    <x v="0"/>
    <n v="2454432"/>
    <n v="2"/>
    <x v="0"/>
    <n v="1"/>
    <x v="0"/>
    <n v="0"/>
    <x v="0"/>
    <n v="1"/>
    <n v="1"/>
    <x v="1"/>
    <n v="0"/>
    <x v="0"/>
    <n v="0.85855400000000004"/>
    <n v="0"/>
    <x v="0"/>
    <n v="5.1268000000000001E-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1034092"/>
    <n v="85"/>
    <n v="85"/>
    <x v="3"/>
    <n v="1"/>
    <x v="0"/>
    <n v="1"/>
    <x v="1"/>
    <n v="2499626"/>
    <n v="1"/>
    <x v="0"/>
    <n v="3"/>
    <n v="2"/>
    <x v="0"/>
    <n v="1"/>
    <x v="0"/>
    <n v="1"/>
    <x v="1"/>
    <n v="1125338"/>
    <n v="2"/>
    <x v="0"/>
    <n v="0"/>
    <x v="0"/>
    <n v="0.94521999999999995"/>
    <n v="0"/>
    <x v="0"/>
    <n v="1022505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30684347"/>
    <n v="84"/>
    <n v="84"/>
    <x v="3"/>
    <n v="1"/>
    <x v="0"/>
    <n v="1"/>
    <x v="1"/>
    <n v="2108638"/>
    <n v="1"/>
    <x v="0"/>
    <n v="3"/>
    <n v="2"/>
    <x v="0"/>
    <n v="1"/>
    <x v="0"/>
    <n v="1"/>
    <x v="1"/>
    <n v="1014876"/>
    <n v="2"/>
    <x v="0"/>
    <n v="0"/>
    <x v="0"/>
    <n v="0.98752099999999998"/>
    <n v="0"/>
    <x v="0"/>
    <n v="4.7473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108216"/>
    <n v="82"/>
    <n v="82"/>
    <x v="3"/>
    <n v="1"/>
    <x v="0"/>
    <n v="1"/>
    <x v="1"/>
    <n v="2467548"/>
    <n v="1"/>
    <x v="0"/>
    <n v="3"/>
    <n v="2"/>
    <x v="0"/>
    <n v="1"/>
    <x v="0"/>
    <n v="0"/>
    <x v="0"/>
    <n v="266029"/>
    <n v="2"/>
    <x v="0"/>
    <n v="0"/>
    <x v="0"/>
    <n v="0.99442200000000003"/>
    <n v="0"/>
    <x v="0"/>
    <n v="0.31039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347497"/>
    <n v="85"/>
    <n v="85"/>
    <x v="3"/>
    <n v="1"/>
    <x v="0"/>
    <n v="1"/>
    <x v="1"/>
    <n v="2585942"/>
    <n v="1"/>
    <x v="0"/>
    <n v="3"/>
    <n v="2"/>
    <x v="0"/>
    <n v="1"/>
    <x v="0"/>
    <n v="0"/>
    <x v="0"/>
    <n v="2302506"/>
    <n v="2"/>
    <x v="0"/>
    <n v="0"/>
    <x v="0"/>
    <n v="0.59786300000000003"/>
    <n v="0"/>
    <x v="0"/>
    <n v="0.11192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761799"/>
    <n v="87"/>
    <n v="87"/>
    <x v="3"/>
    <n v="1"/>
    <x v="0"/>
    <n v="1"/>
    <x v="1"/>
    <n v="214961"/>
    <n v="1"/>
    <x v="0"/>
    <n v="3"/>
    <n v="2"/>
    <x v="0"/>
    <n v="1"/>
    <x v="0"/>
    <n v="0"/>
    <x v="0"/>
    <n v="2133876"/>
    <n v="2"/>
    <x v="0"/>
    <n v="0"/>
    <x v="0"/>
    <n v="0.39345200000000002"/>
    <n v="0"/>
    <x v="0"/>
    <n v="0.345887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976932"/>
    <n v="84"/>
    <n v="84"/>
    <x v="3"/>
    <n v="1"/>
    <x v="0"/>
    <n v="1"/>
    <x v="1"/>
    <n v="2938616"/>
    <n v="1"/>
    <x v="0"/>
    <n v="3"/>
    <n v="2"/>
    <x v="0"/>
    <n v="1"/>
    <x v="0"/>
    <n v="0"/>
    <x v="0"/>
    <n v="206039"/>
    <n v="2"/>
    <x v="0"/>
    <n v="0"/>
    <x v="0"/>
    <n v="0.371508"/>
    <n v="0"/>
    <x v="0"/>
    <n v="1333559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7588628"/>
    <n v="102"/>
    <n v="100"/>
    <x v="3"/>
    <n v="1"/>
    <x v="0"/>
    <n v="1"/>
    <x v="1"/>
    <n v="2535154"/>
    <n v="1"/>
    <x v="0"/>
    <n v="2915921"/>
    <n v="2"/>
    <x v="0"/>
    <n v="1"/>
    <x v="0"/>
    <n v="0"/>
    <x v="0"/>
    <n v="18924"/>
    <n v="2"/>
    <x v="0"/>
    <n v="0"/>
    <x v="0"/>
    <n v="0.69373200000000002"/>
    <n v="0"/>
    <x v="0"/>
    <n v="6.7409999999999998E-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7997912"/>
    <n v="104"/>
    <n v="100"/>
    <x v="3"/>
    <n v="1"/>
    <x v="0"/>
    <n v="1"/>
    <x v="1"/>
    <n v="2611222"/>
    <n v="1"/>
    <x v="0"/>
    <n v="2992083"/>
    <n v="2"/>
    <x v="0"/>
    <n v="1"/>
    <x v="0"/>
    <n v="0"/>
    <x v="0"/>
    <n v="1796376"/>
    <n v="2"/>
    <x v="0"/>
    <n v="0"/>
    <x v="0"/>
    <n v="0.64195400000000002"/>
    <n v="0"/>
    <x v="0"/>
    <n v="0.20280999999999999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16548"/>
    <n v="0"/>
    <n v="5"/>
    <x v="0"/>
    <n v="1"/>
    <x v="0"/>
    <n v="1"/>
    <x v="1"/>
    <n v="1800122"/>
    <n v="1"/>
    <x v="0"/>
    <n v="3"/>
    <n v="2"/>
    <x v="0"/>
    <n v="1"/>
    <x v="0"/>
    <n v="0"/>
    <x v="0"/>
    <n v="2"/>
    <n v="2"/>
    <x v="0"/>
    <n v="0"/>
    <x v="0"/>
    <n v="1689525"/>
    <n v="3"/>
    <x v="3"/>
    <n v="0.764452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829753"/>
    <n v="62"/>
    <n v="62"/>
    <x v="2"/>
    <n v="1"/>
    <x v="0"/>
    <n v="1"/>
    <x v="1"/>
    <n v="1482722"/>
    <n v="1"/>
    <x v="0"/>
    <n v="3"/>
    <n v="2"/>
    <x v="0"/>
    <n v="1"/>
    <x v="0"/>
    <n v="0"/>
    <x v="0"/>
    <n v="2"/>
    <n v="2"/>
    <x v="0"/>
    <n v="0"/>
    <x v="0"/>
    <n v="1112504"/>
    <n v="3"/>
    <x v="3"/>
    <n v="0.690352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015173"/>
    <n v="68"/>
    <n v="68"/>
    <x v="2"/>
    <n v="1"/>
    <x v="0"/>
    <n v="1"/>
    <x v="1"/>
    <n v="1735664"/>
    <n v="1"/>
    <x v="0"/>
    <n v="3"/>
    <n v="2"/>
    <x v="0"/>
    <n v="1"/>
    <x v="0"/>
    <n v="0"/>
    <x v="0"/>
    <n v="2041536"/>
    <n v="2"/>
    <x v="0"/>
    <n v="0"/>
    <x v="0"/>
    <n v="1392406"/>
    <n v="3"/>
    <x v="3"/>
    <n v="0.391739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812795"/>
    <n v="65"/>
    <n v="65"/>
    <x v="2"/>
    <n v="1"/>
    <x v="0"/>
    <n v="1"/>
    <x v="1"/>
    <n v="1655684"/>
    <n v="1"/>
    <x v="0"/>
    <n v="3"/>
    <n v="2"/>
    <x v="0"/>
    <n v="1"/>
    <x v="0"/>
    <n v="0"/>
    <x v="0"/>
    <n v="2"/>
    <n v="2"/>
    <x v="0"/>
    <n v="0"/>
    <x v="0"/>
    <n v="0.97642499999999999"/>
    <n v="0"/>
    <x v="0"/>
    <n v="0.69008199999999997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975685"/>
    <n v="65"/>
    <n v="65"/>
    <x v="2"/>
    <n v="1"/>
    <x v="0"/>
    <n v="1"/>
    <x v="1"/>
    <n v="2598207"/>
    <n v="1"/>
    <x v="0"/>
    <n v="2849347"/>
    <n v="2"/>
    <x v="0"/>
    <n v="1"/>
    <x v="0"/>
    <n v="0"/>
    <x v="0"/>
    <n v="2006167"/>
    <n v="2"/>
    <x v="0"/>
    <n v="0"/>
    <x v="0"/>
    <n v="152001"/>
    <n v="2"/>
    <x v="1"/>
    <n v="0.295684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149036"/>
    <n v="66"/>
    <n v="66"/>
    <x v="2"/>
    <n v="1"/>
    <x v="0"/>
    <n v="1"/>
    <x v="1"/>
    <n v="2225149"/>
    <n v="1"/>
    <x v="0"/>
    <n v="3"/>
    <n v="2"/>
    <x v="0"/>
    <n v="1"/>
    <x v="0"/>
    <n v="0"/>
    <x v="0"/>
    <n v="2357978"/>
    <n v="2"/>
    <x v="0"/>
    <n v="0"/>
    <x v="0"/>
    <n v="1943743"/>
    <n v="3"/>
    <x v="3"/>
    <n v="0.6821279999999999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062942"/>
    <n v="68"/>
    <n v="68"/>
    <x v="2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1685369"/>
    <n v="3"/>
    <x v="3"/>
    <n v="0.264969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140074"/>
    <n v="68"/>
    <n v="68"/>
    <x v="2"/>
    <n v="1"/>
    <x v="0"/>
    <n v="1"/>
    <x v="1"/>
    <n v="3"/>
    <n v="1"/>
    <x v="0"/>
    <n v="3"/>
    <n v="2"/>
    <x v="0"/>
    <n v="1"/>
    <x v="0"/>
    <n v="0"/>
    <x v="0"/>
    <n v="3"/>
    <n v="2"/>
    <x v="0"/>
    <n v="0"/>
    <x v="0"/>
    <n v="1467863"/>
    <n v="3"/>
    <x v="3"/>
    <n v="0.343635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722801"/>
    <n v="84"/>
    <n v="84"/>
    <x v="3"/>
    <n v="1"/>
    <x v="0"/>
    <n v="1"/>
    <x v="1"/>
    <n v="2519592"/>
    <n v="1"/>
    <x v="0"/>
    <n v="3"/>
    <n v="2"/>
    <x v="0"/>
    <n v="1"/>
    <x v="0"/>
    <n v="0"/>
    <x v="0"/>
    <n v="2229145"/>
    <n v="2"/>
    <x v="0"/>
    <n v="0"/>
    <x v="0"/>
    <n v="0.350717"/>
    <n v="0"/>
    <x v="0"/>
    <n v="1140348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0916426"/>
    <n v="84"/>
    <n v="84"/>
    <x v="3"/>
    <n v="1"/>
    <x v="0"/>
    <n v="1"/>
    <x v="1"/>
    <n v="2111887"/>
    <n v="1"/>
    <x v="0"/>
    <n v="3"/>
    <n v="2"/>
    <x v="0"/>
    <n v="1"/>
    <x v="0"/>
    <n v="0"/>
    <x v="0"/>
    <n v="2357373"/>
    <n v="2"/>
    <x v="0"/>
    <n v="0"/>
    <x v="0"/>
    <n v="0.42562100000000003"/>
    <n v="0"/>
    <x v="0"/>
    <n v="1416353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010302"/>
    <n v="84"/>
    <n v="84"/>
    <x v="3"/>
    <n v="1"/>
    <x v="0"/>
    <n v="1"/>
    <x v="1"/>
    <n v="2970983"/>
    <n v="1"/>
    <x v="0"/>
    <n v="3"/>
    <n v="2"/>
    <x v="0"/>
    <n v="1"/>
    <x v="0"/>
    <n v="0"/>
    <x v="0"/>
    <n v="2828861"/>
    <n v="2"/>
    <x v="0"/>
    <n v="0"/>
    <x v="0"/>
    <n v="0.45494400000000002"/>
    <n v="0"/>
    <x v="0"/>
    <n v="1915818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0605464"/>
    <n v="83"/>
    <n v="83"/>
    <x v="3"/>
    <n v="1"/>
    <x v="0"/>
    <n v="1"/>
    <x v="1"/>
    <n v="2907542"/>
    <n v="1"/>
    <x v="0"/>
    <n v="3"/>
    <n v="2"/>
    <x v="0"/>
    <n v="1"/>
    <x v="0"/>
    <n v="0"/>
    <x v="0"/>
    <n v="2284494"/>
    <n v="2"/>
    <x v="0"/>
    <n v="0"/>
    <x v="0"/>
    <n v="0.64763199999999999"/>
    <n v="0"/>
    <x v="0"/>
    <n v="1668318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4622054"/>
    <n v="67"/>
    <n v="67"/>
    <x v="2"/>
    <n v="1"/>
    <x v="0"/>
    <n v="1"/>
    <x v="1"/>
    <n v="1451337"/>
    <n v="1"/>
    <x v="0"/>
    <n v="3"/>
    <n v="2"/>
    <x v="0"/>
    <n v="1"/>
    <x v="0"/>
    <n v="0"/>
    <x v="0"/>
    <n v="2"/>
    <n v="2"/>
    <x v="0"/>
    <n v="0"/>
    <x v="0"/>
    <n v="1384607"/>
    <n v="3"/>
    <x v="3"/>
    <n v="0.6312170000000000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745833"/>
    <n v="65"/>
    <n v="65"/>
    <x v="2"/>
    <n v="1"/>
    <x v="0"/>
    <n v="1"/>
    <x v="1"/>
    <n v="1537505"/>
    <n v="1"/>
    <x v="0"/>
    <n v="3"/>
    <n v="2"/>
    <x v="0"/>
    <n v="1"/>
    <x v="0"/>
    <n v="0"/>
    <x v="0"/>
    <n v="2"/>
    <n v="2"/>
    <x v="0"/>
    <n v="0"/>
    <x v="0"/>
    <n v="1631912"/>
    <n v="3"/>
    <x v="3"/>
    <n v="0.631422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327836"/>
    <n v="63"/>
    <n v="63"/>
    <x v="2"/>
    <n v="1"/>
    <x v="0"/>
    <n v="1"/>
    <x v="1"/>
    <n v="1893428"/>
    <n v="1"/>
    <x v="0"/>
    <n v="3"/>
    <n v="2"/>
    <x v="0"/>
    <n v="1"/>
    <x v="0"/>
    <n v="0"/>
    <x v="0"/>
    <n v="2"/>
    <n v="2"/>
    <x v="0"/>
    <n v="0"/>
    <x v="0"/>
    <n v="1917383"/>
    <n v="3"/>
    <x v="3"/>
    <n v="0.936479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411141"/>
    <n v="64"/>
    <n v="64"/>
    <x v="2"/>
    <n v="1"/>
    <x v="0"/>
    <n v="1"/>
    <x v="1"/>
    <n v="2007845"/>
    <n v="1"/>
    <x v="0"/>
    <n v="2954446"/>
    <n v="2"/>
    <x v="0"/>
    <n v="1"/>
    <x v="0"/>
    <n v="0"/>
    <x v="0"/>
    <n v="1968796"/>
    <n v="2"/>
    <x v="0"/>
    <n v="0"/>
    <x v="0"/>
    <n v="1587406"/>
    <n v="3"/>
    <x v="3"/>
    <n v="0.838947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9825592"/>
    <n v="109"/>
    <n v="100"/>
    <x v="3"/>
    <n v="1"/>
    <x v="0"/>
    <n v="1"/>
    <x v="1"/>
    <n v="2487781"/>
    <n v="1"/>
    <x v="0"/>
    <n v="3755976"/>
    <n v="2"/>
    <x v="0"/>
    <n v="1"/>
    <x v="0"/>
    <n v="0"/>
    <x v="0"/>
    <n v="1"/>
    <n v="1"/>
    <x v="1"/>
    <n v="0"/>
    <x v="0"/>
    <n v="1860765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6839761"/>
    <n v="100"/>
    <n v="100"/>
    <x v="3"/>
    <n v="1"/>
    <x v="0"/>
    <n v="1"/>
    <x v="1"/>
    <n v="2541785"/>
    <n v="1"/>
    <x v="0"/>
    <n v="2902639"/>
    <n v="2"/>
    <x v="0"/>
    <n v="1"/>
    <x v="0"/>
    <n v="0"/>
    <x v="0"/>
    <n v="1"/>
    <n v="1"/>
    <x v="1"/>
    <n v="0"/>
    <x v="0"/>
    <n v="1668961"/>
    <n v="3"/>
    <x v="3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3789301"/>
    <n v="92"/>
    <n v="92"/>
    <x v="3"/>
    <n v="1"/>
    <x v="0"/>
    <n v="1"/>
    <x v="1"/>
    <n v="2813775"/>
    <n v="1"/>
    <x v="0"/>
    <n v="2372705"/>
    <n v="2"/>
    <x v="0"/>
    <n v="1"/>
    <x v="0"/>
    <n v="0"/>
    <x v="0"/>
    <n v="1"/>
    <n v="1"/>
    <x v="1"/>
    <n v="0"/>
    <x v="0"/>
    <n v="1979355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4161998"/>
    <n v="93"/>
    <n v="93"/>
    <x v="3"/>
    <n v="1"/>
    <x v="0"/>
    <n v="1"/>
    <x v="1"/>
    <n v="2562687"/>
    <n v="1"/>
    <x v="0"/>
    <n v="2100918"/>
    <n v="2"/>
    <x v="0"/>
    <n v="1"/>
    <x v="0"/>
    <n v="0"/>
    <x v="0"/>
    <n v="1458545"/>
    <n v="2"/>
    <x v="0"/>
    <n v="0"/>
    <x v="0"/>
    <n v="1167856"/>
    <n v="3"/>
    <x v="3"/>
    <n v="0.41232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2580038"/>
    <n v="61"/>
    <n v="61"/>
    <x v="2"/>
    <n v="1"/>
    <x v="0"/>
    <n v="1"/>
    <x v="1"/>
    <n v="3"/>
    <n v="1"/>
    <x v="0"/>
    <n v="2272801"/>
    <n v="2"/>
    <x v="0"/>
    <n v="1"/>
    <x v="0"/>
    <n v="0"/>
    <x v="0"/>
    <n v="1560064"/>
    <n v="2"/>
    <x v="0"/>
    <n v="0"/>
    <x v="0"/>
    <n v="0.79676999999999998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851721"/>
    <n v="62"/>
    <n v="62"/>
    <x v="2"/>
    <n v="1"/>
    <x v="0"/>
    <n v="1"/>
    <x v="1"/>
    <n v="2922511"/>
    <n v="1"/>
    <x v="0"/>
    <n v="2692889"/>
    <n v="2"/>
    <x v="0"/>
    <n v="1"/>
    <x v="0"/>
    <n v="0"/>
    <x v="0"/>
    <n v="1809531"/>
    <n v="2"/>
    <x v="0"/>
    <n v="0"/>
    <x v="0"/>
    <n v="0.47859499999999999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254934"/>
    <n v="63"/>
    <n v="63"/>
    <x v="2"/>
    <n v="1"/>
    <x v="0"/>
    <n v="1"/>
    <x v="1"/>
    <n v="3"/>
    <n v="1"/>
    <x v="0"/>
    <n v="2280545"/>
    <n v="2"/>
    <x v="0"/>
    <n v="1"/>
    <x v="0"/>
    <n v="0"/>
    <x v="0"/>
    <n v="1591597"/>
    <n v="2"/>
    <x v="0"/>
    <n v="0"/>
    <x v="0"/>
    <n v="0.93278300000000003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343204"/>
    <n v="61"/>
    <n v="61"/>
    <x v="2"/>
    <n v="1"/>
    <x v="0"/>
    <n v="1"/>
    <x v="1"/>
    <n v="2836055"/>
    <n v="1"/>
    <x v="0"/>
    <n v="2675411"/>
    <n v="2"/>
    <x v="0"/>
    <n v="1"/>
    <x v="0"/>
    <n v="0"/>
    <x v="0"/>
    <n v="1711666"/>
    <n v="2"/>
    <x v="0"/>
    <n v="0"/>
    <x v="0"/>
    <n v="0.93732000000000004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06271"/>
    <n v="65"/>
    <n v="65"/>
    <x v="2"/>
    <n v="1"/>
    <x v="0"/>
    <n v="1"/>
    <x v="1"/>
    <n v="2880759"/>
    <n v="1"/>
    <x v="0"/>
    <n v="1487674"/>
    <n v="2"/>
    <x v="0"/>
    <n v="1"/>
    <x v="0"/>
    <n v="0"/>
    <x v="0"/>
    <n v="101378"/>
    <n v="2"/>
    <x v="0"/>
    <n v="0"/>
    <x v="0"/>
    <n v="100109"/>
    <n v="2"/>
    <x v="1"/>
    <n v="109838"/>
    <n v="1"/>
    <x v="0"/>
    <n v="0"/>
    <x v="0"/>
    <n v="0"/>
    <x v="0"/>
    <n v="0"/>
    <x v="0"/>
    <n v="0"/>
    <x v="0"/>
    <n v="1"/>
    <x v="0"/>
    <n v="0"/>
    <x v="0"/>
    <n v="1"/>
    <x v="1"/>
  </r>
  <r>
    <n v="1"/>
    <s v="M"/>
    <n v="24001196"/>
    <n v="65"/>
    <n v="65"/>
    <x v="2"/>
    <n v="1"/>
    <x v="0"/>
    <n v="1"/>
    <x v="1"/>
    <n v="3"/>
    <n v="1"/>
    <x v="0"/>
    <n v="102075"/>
    <n v="2"/>
    <x v="0"/>
    <n v="1"/>
    <x v="0"/>
    <n v="0"/>
    <x v="0"/>
    <n v="1"/>
    <n v="1"/>
    <x v="1"/>
    <n v="0"/>
    <x v="0"/>
    <n v="0.23305600000000001"/>
    <n v="0"/>
    <x v="0"/>
    <n v="1707421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0156664"/>
    <n v="55"/>
    <n v="55"/>
    <x v="2"/>
    <n v="1"/>
    <x v="0"/>
    <n v="1"/>
    <x v="1"/>
    <n v="2766441"/>
    <n v="1"/>
    <x v="0"/>
    <n v="1240424"/>
    <n v="2"/>
    <x v="0"/>
    <n v="1"/>
    <x v="0"/>
    <n v="0"/>
    <x v="0"/>
    <n v="1413218"/>
    <n v="2"/>
    <x v="0"/>
    <n v="0"/>
    <x v="0"/>
    <n v="0.165269"/>
    <n v="0"/>
    <x v="0"/>
    <n v="0.8625869999999999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360307"/>
    <n v="64"/>
    <n v="64"/>
    <x v="2"/>
    <n v="1"/>
    <x v="0"/>
    <n v="1"/>
    <x v="1"/>
    <n v="2997524"/>
    <n v="1"/>
    <x v="0"/>
    <n v="1154318"/>
    <n v="2"/>
    <x v="0"/>
    <n v="1"/>
    <x v="0"/>
    <n v="0"/>
    <x v="0"/>
    <n v="1238057"/>
    <n v="2"/>
    <x v="0"/>
    <n v="0"/>
    <x v="0"/>
    <n v="11293"/>
    <n v="2"/>
    <x v="1"/>
    <n v="1665621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8986237"/>
    <n v="79"/>
    <n v="79"/>
    <x v="3"/>
    <n v="1"/>
    <x v="0"/>
    <n v="1"/>
    <x v="1"/>
    <n v="2320201"/>
    <n v="1"/>
    <x v="0"/>
    <n v="3"/>
    <n v="2"/>
    <x v="0"/>
    <n v="1"/>
    <x v="0"/>
    <n v="0"/>
    <x v="0"/>
    <n v="2164784"/>
    <n v="2"/>
    <x v="0"/>
    <n v="0"/>
    <x v="0"/>
    <n v="0"/>
    <n v="0"/>
    <x v="0"/>
    <n v="1465479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9713169"/>
    <n v="81"/>
    <n v="81"/>
    <x v="3"/>
    <n v="1"/>
    <x v="0"/>
    <n v="1"/>
    <x v="1"/>
    <n v="2181057"/>
    <n v="1"/>
    <x v="0"/>
    <n v="3"/>
    <n v="2"/>
    <x v="0"/>
    <n v="1"/>
    <x v="0"/>
    <n v="0"/>
    <x v="0"/>
    <n v="208554"/>
    <n v="2"/>
    <x v="0"/>
    <n v="0"/>
    <x v="0"/>
    <n v="0"/>
    <n v="0"/>
    <x v="0"/>
    <n v="1439004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7394123"/>
    <n v="75"/>
    <n v="75"/>
    <x v="2"/>
    <n v="1"/>
    <x v="0"/>
    <n v="1"/>
    <x v="1"/>
    <n v="1924632"/>
    <n v="1"/>
    <x v="0"/>
    <n v="3"/>
    <n v="2"/>
    <x v="0"/>
    <n v="1"/>
    <x v="0"/>
    <n v="0"/>
    <x v="0"/>
    <n v="2006595"/>
    <n v="2"/>
    <x v="0"/>
    <n v="0"/>
    <x v="0"/>
    <n v="0.17680000000000001"/>
    <n v="0"/>
    <x v="0"/>
    <n v="0.51169399999999998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4912254"/>
    <n v="68"/>
    <n v="68"/>
    <x v="2"/>
    <n v="1"/>
    <x v="0"/>
    <n v="1"/>
    <x v="1"/>
    <n v="1397468"/>
    <n v="1"/>
    <x v="0"/>
    <n v="3"/>
    <n v="2"/>
    <x v="0"/>
    <n v="1"/>
    <x v="0"/>
    <n v="0"/>
    <x v="0"/>
    <n v="201897"/>
    <n v="2"/>
    <x v="0"/>
    <n v="0"/>
    <x v="0"/>
    <n v="0.665439"/>
    <n v="0"/>
    <x v="0"/>
    <n v="6.2167E-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526746"/>
    <n v="69"/>
    <n v="69"/>
    <x v="2"/>
    <n v="1"/>
    <x v="0"/>
    <n v="1"/>
    <x v="1"/>
    <n v="2191429"/>
    <n v="1"/>
    <x v="0"/>
    <n v="3"/>
    <n v="2"/>
    <x v="0"/>
    <n v="1"/>
    <x v="0"/>
    <n v="0"/>
    <x v="0"/>
    <n v="2102709"/>
    <n v="2"/>
    <x v="0"/>
    <n v="0"/>
    <x v="0"/>
    <n v="132534"/>
    <n v="2"/>
    <x v="1"/>
    <n v="0.380979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523127"/>
    <n v="69"/>
    <n v="69"/>
    <x v="2"/>
    <n v="1"/>
    <x v="0"/>
    <n v="1"/>
    <x v="1"/>
    <n v="2100177"/>
    <n v="1"/>
    <x v="0"/>
    <n v="3"/>
    <n v="2"/>
    <x v="0"/>
    <n v="1"/>
    <x v="0"/>
    <n v="0"/>
    <x v="0"/>
    <n v="2099687"/>
    <n v="2"/>
    <x v="0"/>
    <n v="0"/>
    <x v="0"/>
    <n v="1281165"/>
    <n v="3"/>
    <x v="3"/>
    <n v="0.24733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822348"/>
    <n v="70"/>
    <n v="70"/>
    <x v="2"/>
    <n v="1"/>
    <x v="0"/>
    <n v="1"/>
    <x v="1"/>
    <n v="2075321"/>
    <n v="1"/>
    <x v="0"/>
    <n v="3"/>
    <n v="2"/>
    <x v="0"/>
    <n v="1"/>
    <x v="0"/>
    <n v="0"/>
    <x v="0"/>
    <n v="2144838"/>
    <n v="2"/>
    <x v="0"/>
    <n v="0"/>
    <x v="0"/>
    <n v="1501754"/>
    <n v="3"/>
    <x v="3"/>
    <n v="0.276318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879411"/>
    <n v="70"/>
    <n v="70"/>
    <x v="2"/>
    <n v="1"/>
    <x v="0"/>
    <n v="1"/>
    <x v="1"/>
    <n v="1626369"/>
    <n v="1"/>
    <x v="0"/>
    <n v="3"/>
    <n v="2"/>
    <x v="0"/>
    <n v="1"/>
    <x v="0"/>
    <n v="0"/>
    <x v="0"/>
    <n v="2109697"/>
    <n v="2"/>
    <x v="0"/>
    <n v="0"/>
    <x v="0"/>
    <n v="1352973"/>
    <n v="3"/>
    <x v="3"/>
    <n v="7.6692999999999997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361365"/>
    <n v="83"/>
    <n v="83"/>
    <x v="3"/>
    <n v="1"/>
    <x v="0"/>
    <n v="1"/>
    <x v="1"/>
    <n v="1263216"/>
    <n v="1"/>
    <x v="0"/>
    <n v="3219347"/>
    <n v="2"/>
    <x v="0"/>
    <n v="1"/>
    <x v="0"/>
    <n v="0"/>
    <x v="0"/>
    <n v="1981782"/>
    <n v="2"/>
    <x v="0"/>
    <n v="0"/>
    <x v="0"/>
    <n v="0.48262500000000003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451174"/>
    <n v="83"/>
    <n v="83"/>
    <x v="3"/>
    <n v="1"/>
    <x v="0"/>
    <n v="1"/>
    <x v="1"/>
    <n v="1067909"/>
    <n v="1"/>
    <x v="0"/>
    <n v="3656401"/>
    <n v="2"/>
    <x v="0"/>
    <n v="1"/>
    <x v="0"/>
    <n v="0"/>
    <x v="0"/>
    <n v="198459"/>
    <n v="2"/>
    <x v="0"/>
    <n v="0"/>
    <x v="0"/>
    <n v="5.4238000000000001E-2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40564513"/>
    <n v="111"/>
    <n v="100"/>
    <x v="3"/>
    <n v="1"/>
    <x v="0"/>
    <n v="1"/>
    <x v="1"/>
    <n v="2310751"/>
    <n v="1"/>
    <x v="0"/>
    <n v="3220181"/>
    <n v="2"/>
    <x v="0"/>
    <n v="1"/>
    <x v="0"/>
    <n v="0"/>
    <x v="0"/>
    <n v="1006643"/>
    <n v="2"/>
    <x v="0"/>
    <n v="0"/>
    <x v="0"/>
    <n v="115804"/>
    <n v="2"/>
    <x v="1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40501722"/>
    <n v="110"/>
    <n v="100"/>
    <x v="3"/>
    <n v="1"/>
    <x v="0"/>
    <n v="1"/>
    <x v="1"/>
    <n v="2294259"/>
    <n v="1"/>
    <x v="0"/>
    <n v="2850948"/>
    <n v="2"/>
    <x v="0"/>
    <n v="1"/>
    <x v="0"/>
    <n v="0"/>
    <x v="0"/>
    <n v="187029"/>
    <n v="2"/>
    <x v="0"/>
    <n v="0"/>
    <x v="0"/>
    <n v="0.917014"/>
    <n v="0"/>
    <x v="0"/>
    <n v="0"/>
    <n v="0"/>
    <x v="1"/>
    <n v="0"/>
    <x v="0"/>
    <n v="1"/>
    <x v="1"/>
    <n v="0"/>
    <x v="0"/>
    <n v="0"/>
    <x v="0"/>
    <n v="0"/>
    <x v="1"/>
    <n v="0"/>
    <x v="0"/>
    <n v="1"/>
    <x v="1"/>
  </r>
  <r>
    <n v="1"/>
    <s v="M"/>
    <n v="30315784"/>
    <n v="83"/>
    <n v="83"/>
    <x v="3"/>
    <n v="1"/>
    <x v="0"/>
    <n v="1"/>
    <x v="1"/>
    <n v="257649"/>
    <n v="1"/>
    <x v="0"/>
    <n v="2187145"/>
    <n v="2"/>
    <x v="0"/>
    <n v="1"/>
    <x v="0"/>
    <n v="0"/>
    <x v="0"/>
    <n v="138107"/>
    <n v="2"/>
    <x v="0"/>
    <n v="0"/>
    <x v="0"/>
    <n v="1928275"/>
    <n v="3"/>
    <x v="3"/>
    <n v="0.413663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3293166"/>
    <n v="91"/>
    <n v="91"/>
    <x v="3"/>
    <n v="1"/>
    <x v="0"/>
    <n v="1"/>
    <x v="1"/>
    <n v="2679664"/>
    <n v="1"/>
    <x v="0"/>
    <n v="2415522"/>
    <n v="2"/>
    <x v="0"/>
    <n v="1"/>
    <x v="0"/>
    <n v="0"/>
    <x v="0"/>
    <n v="1"/>
    <n v="1"/>
    <x v="1"/>
    <n v="0"/>
    <x v="0"/>
    <n v="1987296"/>
    <n v="3"/>
    <x v="3"/>
    <n v="0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638944"/>
    <n v="83"/>
    <n v="83"/>
    <x v="3"/>
    <n v="1"/>
    <x v="0"/>
    <n v="1"/>
    <x v="1"/>
    <n v="2938687"/>
    <n v="1"/>
    <x v="0"/>
    <n v="2138375"/>
    <n v="2"/>
    <x v="0"/>
    <n v="1"/>
    <x v="0"/>
    <n v="0"/>
    <x v="0"/>
    <n v="1251715"/>
    <n v="2"/>
    <x v="0"/>
    <n v="0"/>
    <x v="0"/>
    <n v="1181811"/>
    <n v="3"/>
    <x v="3"/>
    <n v="0.7783750000000000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9791101"/>
    <n v="81"/>
    <n v="81"/>
    <x v="3"/>
    <n v="1"/>
    <x v="0"/>
    <n v="1"/>
    <x v="1"/>
    <n v="2654792"/>
    <n v="1"/>
    <x v="0"/>
    <n v="1077331"/>
    <n v="2"/>
    <x v="0"/>
    <n v="1"/>
    <x v="0"/>
    <n v="0"/>
    <x v="0"/>
    <n v="1345407"/>
    <n v="2"/>
    <x v="0"/>
    <n v="0"/>
    <x v="0"/>
    <n v="0.32741799999999999"/>
    <n v="0"/>
    <x v="0"/>
    <n v="0.386861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1205668"/>
    <n v="85"/>
    <n v="85"/>
    <x v="3"/>
    <n v="1"/>
    <x v="0"/>
    <n v="1"/>
    <x v="1"/>
    <n v="2731368"/>
    <n v="1"/>
    <x v="0"/>
    <n v="3"/>
    <n v="2"/>
    <x v="0"/>
    <n v="1"/>
    <x v="0"/>
    <n v="1"/>
    <x v="1"/>
    <n v="1486824"/>
    <n v="2"/>
    <x v="0"/>
    <n v="0"/>
    <x v="0"/>
    <n v="1485978"/>
    <n v="3"/>
    <x v="3"/>
    <n v="1150439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30899219"/>
    <n v="84"/>
    <n v="84"/>
    <x v="3"/>
    <n v="1"/>
    <x v="0"/>
    <n v="1"/>
    <x v="1"/>
    <n v="222259"/>
    <n v="1"/>
    <x v="0"/>
    <n v="3"/>
    <n v="2"/>
    <x v="0"/>
    <n v="1"/>
    <x v="0"/>
    <n v="1"/>
    <x v="1"/>
    <n v="1591909"/>
    <n v="2"/>
    <x v="0"/>
    <n v="0"/>
    <x v="0"/>
    <n v="1392026"/>
    <n v="3"/>
    <x v="3"/>
    <n v="0.9177269999999999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9669219"/>
    <n v="81"/>
    <n v="81"/>
    <x v="3"/>
    <n v="1"/>
    <x v="0"/>
    <n v="1"/>
    <x v="1"/>
    <n v="2432355"/>
    <n v="1"/>
    <x v="0"/>
    <n v="3"/>
    <n v="2"/>
    <x v="0"/>
    <n v="1"/>
    <x v="0"/>
    <n v="0"/>
    <x v="0"/>
    <n v="1336526"/>
    <n v="2"/>
    <x v="0"/>
    <n v="0"/>
    <x v="0"/>
    <n v="163812"/>
    <n v="2"/>
    <x v="1"/>
    <n v="9.0341000000000005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595632"/>
    <n v="83"/>
    <n v="83"/>
    <x v="3"/>
    <n v="1"/>
    <x v="0"/>
    <n v="1"/>
    <x v="1"/>
    <n v="2497548"/>
    <n v="1"/>
    <x v="0"/>
    <n v="3"/>
    <n v="2"/>
    <x v="0"/>
    <n v="1"/>
    <x v="0"/>
    <n v="0"/>
    <x v="0"/>
    <n v="1362583"/>
    <n v="2"/>
    <x v="0"/>
    <n v="0"/>
    <x v="0"/>
    <n v="1144076"/>
    <n v="3"/>
    <x v="3"/>
    <n v="0.17323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554956"/>
    <n v="83"/>
    <n v="83"/>
    <x v="3"/>
    <n v="1"/>
    <x v="0"/>
    <n v="1"/>
    <x v="1"/>
    <n v="2671238"/>
    <n v="1"/>
    <x v="0"/>
    <n v="3"/>
    <n v="2"/>
    <x v="0"/>
    <n v="1"/>
    <x v="0"/>
    <n v="0"/>
    <x v="0"/>
    <n v="2145368"/>
    <n v="2"/>
    <x v="0"/>
    <n v="0"/>
    <x v="0"/>
    <n v="0.88270899999999997"/>
    <n v="0"/>
    <x v="0"/>
    <n v="0.59391700000000003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571392"/>
    <n v="86"/>
    <n v="86"/>
    <x v="3"/>
    <n v="1"/>
    <x v="0"/>
    <n v="1"/>
    <x v="1"/>
    <n v="257691"/>
    <n v="1"/>
    <x v="0"/>
    <n v="3"/>
    <n v="2"/>
    <x v="0"/>
    <n v="1"/>
    <x v="0"/>
    <n v="0"/>
    <x v="0"/>
    <n v="2080187"/>
    <n v="2"/>
    <x v="0"/>
    <n v="0"/>
    <x v="0"/>
    <n v="104268"/>
    <n v="2"/>
    <x v="1"/>
    <n v="0.37668299999999999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577944"/>
    <n v="83"/>
    <n v="83"/>
    <x v="3"/>
    <n v="1"/>
    <x v="0"/>
    <n v="1"/>
    <x v="1"/>
    <n v="2341999"/>
    <n v="1"/>
    <x v="0"/>
    <n v="3"/>
    <n v="2"/>
    <x v="0"/>
    <n v="1"/>
    <x v="0"/>
    <n v="0"/>
    <x v="0"/>
    <n v="2299878"/>
    <n v="2"/>
    <x v="0"/>
    <n v="0"/>
    <x v="0"/>
    <n v="0.56524200000000002"/>
    <n v="0"/>
    <x v="0"/>
    <n v="0.921991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717727"/>
    <n v="84"/>
    <n v="84"/>
    <x v="3"/>
    <n v="1"/>
    <x v="0"/>
    <n v="1"/>
    <x v="1"/>
    <n v="2117121"/>
    <n v="1"/>
    <x v="0"/>
    <n v="3"/>
    <n v="2"/>
    <x v="0"/>
    <n v="1"/>
    <x v="0"/>
    <n v="0"/>
    <x v="0"/>
    <n v="2193008"/>
    <n v="2"/>
    <x v="0"/>
    <n v="0"/>
    <x v="0"/>
    <n v="0.99282899999999996"/>
    <n v="0"/>
    <x v="0"/>
    <n v="1556052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6734476"/>
    <n v="73"/>
    <n v="73"/>
    <x v="2"/>
    <n v="1"/>
    <x v="0"/>
    <n v="1"/>
    <x v="1"/>
    <n v="2247037"/>
    <n v="1"/>
    <x v="0"/>
    <n v="3"/>
    <n v="2"/>
    <x v="0"/>
    <n v="1"/>
    <x v="0"/>
    <n v="0"/>
    <x v="0"/>
    <n v="2718408"/>
    <n v="2"/>
    <x v="0"/>
    <n v="0"/>
    <x v="0"/>
    <n v="0.76359500000000002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6699317"/>
    <n v="73"/>
    <n v="73"/>
    <x v="2"/>
    <n v="1"/>
    <x v="0"/>
    <n v="1"/>
    <x v="1"/>
    <n v="2244654"/>
    <n v="1"/>
    <x v="0"/>
    <n v="3"/>
    <n v="2"/>
    <x v="0"/>
    <n v="1"/>
    <x v="0"/>
    <n v="0"/>
    <x v="0"/>
    <n v="2795752"/>
    <n v="2"/>
    <x v="0"/>
    <n v="0"/>
    <x v="0"/>
    <n v="0.83948100000000003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659092"/>
    <n v="70"/>
    <n v="70"/>
    <x v="2"/>
    <n v="1"/>
    <x v="0"/>
    <n v="1"/>
    <x v="1"/>
    <n v="2128574"/>
    <n v="1"/>
    <x v="0"/>
    <n v="3"/>
    <n v="2"/>
    <x v="0"/>
    <n v="1"/>
    <x v="0"/>
    <n v="0"/>
    <x v="0"/>
    <n v="2531984"/>
    <n v="2"/>
    <x v="0"/>
    <n v="0"/>
    <x v="0"/>
    <n v="1003294"/>
    <n v="3"/>
    <x v="3"/>
    <n v="2.6575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6348156"/>
    <n v="72"/>
    <n v="72"/>
    <x v="2"/>
    <n v="1"/>
    <x v="0"/>
    <n v="1"/>
    <x v="1"/>
    <n v="2068834"/>
    <n v="1"/>
    <x v="0"/>
    <n v="3"/>
    <n v="2"/>
    <x v="0"/>
    <n v="1"/>
    <x v="0"/>
    <n v="0"/>
    <x v="0"/>
    <n v="2543841"/>
    <n v="2"/>
    <x v="0"/>
    <n v="0"/>
    <x v="0"/>
    <n v="1217993"/>
    <n v="3"/>
    <x v="3"/>
    <n v="3.8253000000000002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7638102"/>
    <n v="103"/>
    <n v="100"/>
    <x v="3"/>
    <n v="1"/>
    <x v="0"/>
    <n v="1"/>
    <x v="1"/>
    <n v="2073224"/>
    <n v="1"/>
    <x v="0"/>
    <n v="3"/>
    <n v="2"/>
    <x v="0"/>
    <n v="1"/>
    <x v="0"/>
    <n v="0"/>
    <x v="0"/>
    <n v="2024035"/>
    <n v="2"/>
    <x v="0"/>
    <n v="0"/>
    <x v="0"/>
    <n v="0.131370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7765356"/>
    <n v="103"/>
    <n v="100"/>
    <x v="3"/>
    <n v="1"/>
    <x v="0"/>
    <n v="1"/>
    <x v="1"/>
    <n v="2145114"/>
    <n v="1"/>
    <x v="0"/>
    <n v="2888193"/>
    <n v="2"/>
    <x v="0"/>
    <n v="1"/>
    <x v="0"/>
    <n v="0"/>
    <x v="0"/>
    <n v="2038128"/>
    <n v="2"/>
    <x v="0"/>
    <n v="0"/>
    <x v="0"/>
    <n v="0.85234399999999999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8255199"/>
    <n v="77"/>
    <n v="77"/>
    <x v="3"/>
    <n v="1"/>
    <x v="0"/>
    <n v="1"/>
    <x v="1"/>
    <n v="2997951"/>
    <n v="1"/>
    <x v="0"/>
    <n v="3"/>
    <n v="2"/>
    <x v="0"/>
    <n v="1"/>
    <x v="0"/>
    <n v="0"/>
    <x v="0"/>
    <n v="2715856"/>
    <n v="2"/>
    <x v="0"/>
    <n v="0"/>
    <x v="0"/>
    <n v="0.73988100000000001"/>
    <n v="0"/>
    <x v="0"/>
    <n v="0.97205399999999997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7931432"/>
    <n v="76"/>
    <n v="76"/>
    <x v="3"/>
    <n v="1"/>
    <x v="0"/>
    <n v="1"/>
    <x v="1"/>
    <n v="2911312"/>
    <n v="1"/>
    <x v="0"/>
    <n v="3"/>
    <n v="2"/>
    <x v="0"/>
    <n v="1"/>
    <x v="0"/>
    <n v="0"/>
    <x v="0"/>
    <n v="2501808"/>
    <n v="2"/>
    <x v="0"/>
    <n v="0"/>
    <x v="0"/>
    <n v="0.94676000000000005"/>
    <n v="0"/>
    <x v="0"/>
    <n v="0.78570099999999998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5492855"/>
    <n v="69"/>
    <n v="69"/>
    <x v="2"/>
    <n v="1"/>
    <x v="0"/>
    <n v="1"/>
    <x v="1"/>
    <n v="2159033"/>
    <n v="1"/>
    <x v="0"/>
    <n v="3"/>
    <n v="2"/>
    <x v="0"/>
    <n v="1"/>
    <x v="0"/>
    <n v="0"/>
    <x v="0"/>
    <n v="2116399"/>
    <n v="2"/>
    <x v="0"/>
    <n v="0"/>
    <x v="0"/>
    <n v="1331526"/>
    <n v="3"/>
    <x v="3"/>
    <n v="5.2942000000000003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550506"/>
    <n v="70"/>
    <n v="70"/>
    <x v="2"/>
    <n v="1"/>
    <x v="0"/>
    <n v="1"/>
    <x v="1"/>
    <n v="2175276"/>
    <n v="1"/>
    <x v="0"/>
    <n v="3"/>
    <n v="2"/>
    <x v="0"/>
    <n v="1"/>
    <x v="0"/>
    <n v="0"/>
    <x v="0"/>
    <n v="2128176"/>
    <n v="2"/>
    <x v="0"/>
    <n v="0"/>
    <x v="0"/>
    <n v="1306476"/>
    <n v="3"/>
    <x v="3"/>
    <n v="7.9334000000000002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542454"/>
    <n v="69"/>
    <n v="69"/>
    <x v="2"/>
    <n v="1"/>
    <x v="0"/>
    <n v="1"/>
    <x v="1"/>
    <n v="221965"/>
    <n v="1"/>
    <x v="0"/>
    <n v="3"/>
    <n v="2"/>
    <x v="0"/>
    <n v="1"/>
    <x v="0"/>
    <n v="0"/>
    <x v="0"/>
    <n v="2165408"/>
    <n v="2"/>
    <x v="0"/>
    <n v="0"/>
    <x v="0"/>
    <n v="1315045"/>
    <n v="3"/>
    <x v="3"/>
    <n v="0.6889849999999999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758307"/>
    <n v="70"/>
    <n v="70"/>
    <x v="2"/>
    <n v="1"/>
    <x v="0"/>
    <n v="1"/>
    <x v="1"/>
    <n v="2203962"/>
    <n v="1"/>
    <x v="0"/>
    <n v="3"/>
    <n v="2"/>
    <x v="0"/>
    <n v="1"/>
    <x v="0"/>
    <n v="0"/>
    <x v="0"/>
    <n v="215687"/>
    <n v="2"/>
    <x v="0"/>
    <n v="0"/>
    <x v="0"/>
    <n v="1289421"/>
    <n v="3"/>
    <x v="3"/>
    <n v="1220767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9981494"/>
    <n v="82"/>
    <n v="82"/>
    <x v="3"/>
    <n v="1"/>
    <x v="0"/>
    <n v="1"/>
    <x v="1"/>
    <n v="1947495"/>
    <n v="1"/>
    <x v="0"/>
    <n v="3"/>
    <n v="2"/>
    <x v="0"/>
    <n v="1"/>
    <x v="0"/>
    <n v="0"/>
    <x v="0"/>
    <n v="2042073"/>
    <n v="2"/>
    <x v="0"/>
    <n v="0"/>
    <x v="0"/>
    <n v="0"/>
    <n v="0"/>
    <x v="0"/>
    <n v="0.61808700000000005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9891473"/>
    <n v="81"/>
    <n v="81"/>
    <x v="3"/>
    <n v="1"/>
    <x v="0"/>
    <n v="1"/>
    <x v="1"/>
    <n v="2262292"/>
    <n v="1"/>
    <x v="0"/>
    <n v="3"/>
    <n v="2"/>
    <x v="0"/>
    <n v="1"/>
    <x v="0"/>
    <n v="0"/>
    <x v="0"/>
    <n v="2115354"/>
    <n v="2"/>
    <x v="0"/>
    <n v="0"/>
    <x v="0"/>
    <n v="0"/>
    <n v="0"/>
    <x v="0"/>
    <n v="0.84758699999999998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6778684"/>
    <n v="73"/>
    <n v="73"/>
    <x v="2"/>
    <n v="1"/>
    <x v="0"/>
    <n v="1"/>
    <x v="1"/>
    <n v="2219186"/>
    <n v="1"/>
    <x v="0"/>
    <n v="3"/>
    <n v="2"/>
    <x v="0"/>
    <n v="1"/>
    <x v="0"/>
    <n v="0"/>
    <x v="0"/>
    <n v="2092326"/>
    <n v="2"/>
    <x v="0"/>
    <n v="0"/>
    <x v="0"/>
    <n v="0.54591900000000004"/>
    <n v="0"/>
    <x v="0"/>
    <n v="174288"/>
    <n v="1"/>
    <x v="0"/>
    <n v="1"/>
    <x v="1"/>
    <n v="1"/>
    <x v="1"/>
    <n v="0"/>
    <x v="0"/>
    <n v="0"/>
    <x v="0"/>
    <n v="0"/>
    <x v="1"/>
    <n v="0"/>
    <x v="0"/>
    <n v="1"/>
    <x v="1"/>
  </r>
  <r>
    <n v="1"/>
    <s v="M"/>
    <n v="28377958"/>
    <n v="77"/>
    <n v="77"/>
    <x v="3"/>
    <n v="1"/>
    <x v="0"/>
    <n v="1"/>
    <x v="1"/>
    <n v="2314175"/>
    <n v="1"/>
    <x v="0"/>
    <n v="3"/>
    <n v="2"/>
    <x v="0"/>
    <n v="1"/>
    <x v="0"/>
    <n v="0"/>
    <x v="0"/>
    <n v="2151809"/>
    <n v="2"/>
    <x v="0"/>
    <n v="0"/>
    <x v="0"/>
    <n v="0"/>
    <n v="0"/>
    <x v="0"/>
    <n v="1578517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26199321"/>
    <n v="71"/>
    <n v="71"/>
    <x v="2"/>
    <n v="1"/>
    <x v="0"/>
    <n v="1"/>
    <x v="1"/>
    <n v="2423291"/>
    <n v="1"/>
    <x v="0"/>
    <n v="3"/>
    <n v="2"/>
    <x v="0"/>
    <n v="1"/>
    <x v="0"/>
    <n v="0"/>
    <x v="0"/>
    <n v="2902682"/>
    <n v="2"/>
    <x v="0"/>
    <n v="0"/>
    <x v="0"/>
    <n v="1243567"/>
    <n v="3"/>
    <x v="3"/>
    <n v="0.5555909999999999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7266287"/>
    <n v="74"/>
    <n v="74"/>
    <x v="2"/>
    <n v="1"/>
    <x v="0"/>
    <n v="1"/>
    <x v="1"/>
    <n v="2637202"/>
    <n v="1"/>
    <x v="0"/>
    <n v="3"/>
    <n v="2"/>
    <x v="0"/>
    <n v="1"/>
    <x v="0"/>
    <n v="0"/>
    <x v="0"/>
    <n v="2966647"/>
    <n v="2"/>
    <x v="0"/>
    <n v="0"/>
    <x v="0"/>
    <n v="1159598"/>
    <n v="3"/>
    <x v="3"/>
    <n v="0.7588970000000000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7635029"/>
    <n v="75"/>
    <n v="75"/>
    <x v="2"/>
    <n v="1"/>
    <x v="0"/>
    <n v="1"/>
    <x v="1"/>
    <n v="2974006"/>
    <n v="1"/>
    <x v="0"/>
    <n v="3"/>
    <n v="2"/>
    <x v="0"/>
    <n v="1"/>
    <x v="0"/>
    <n v="0"/>
    <x v="0"/>
    <n v="2565828"/>
    <n v="2"/>
    <x v="0"/>
    <n v="0"/>
    <x v="0"/>
    <n v="0.69026900000000002"/>
    <n v="0"/>
    <x v="0"/>
    <n v="1339691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6899886"/>
    <n v="73"/>
    <n v="73"/>
    <x v="2"/>
    <n v="1"/>
    <x v="0"/>
    <n v="1"/>
    <x v="1"/>
    <n v="2347942"/>
    <n v="1"/>
    <x v="0"/>
    <n v="3"/>
    <n v="2"/>
    <x v="0"/>
    <n v="1"/>
    <x v="0"/>
    <n v="0"/>
    <x v="0"/>
    <n v="2730663"/>
    <n v="2"/>
    <x v="0"/>
    <n v="0"/>
    <x v="0"/>
    <n v="0.68937099999999996"/>
    <n v="0"/>
    <x v="0"/>
    <n v="0.18869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758998"/>
    <n v="62"/>
    <n v="62"/>
    <x v="2"/>
    <n v="1"/>
    <x v="0"/>
    <n v="1"/>
    <x v="1"/>
    <n v="2654076"/>
    <n v="1"/>
    <x v="0"/>
    <n v="2574108"/>
    <n v="2"/>
    <x v="0"/>
    <n v="1"/>
    <x v="0"/>
    <n v="0"/>
    <x v="0"/>
    <n v="178471"/>
    <n v="2"/>
    <x v="0"/>
    <n v="0"/>
    <x v="0"/>
    <n v="1170537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771001"/>
    <n v="62"/>
    <n v="62"/>
    <x v="2"/>
    <n v="1"/>
    <x v="0"/>
    <n v="1"/>
    <x v="1"/>
    <n v="2739"/>
    <n v="1"/>
    <x v="0"/>
    <n v="2740492"/>
    <n v="2"/>
    <x v="0"/>
    <n v="1"/>
    <x v="0"/>
    <n v="0"/>
    <x v="0"/>
    <n v="1824561"/>
    <n v="2"/>
    <x v="0"/>
    <n v="0"/>
    <x v="0"/>
    <n v="1094839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826684"/>
    <n v="65"/>
    <n v="65"/>
    <x v="2"/>
    <n v="1"/>
    <x v="0"/>
    <n v="1"/>
    <x v="1"/>
    <n v="2591292"/>
    <n v="1"/>
    <x v="0"/>
    <n v="2956422"/>
    <n v="2"/>
    <x v="0"/>
    <n v="1"/>
    <x v="0"/>
    <n v="0"/>
    <x v="0"/>
    <n v="231083"/>
    <n v="2"/>
    <x v="0"/>
    <n v="0"/>
    <x v="0"/>
    <n v="148524"/>
    <n v="2"/>
    <x v="1"/>
    <n v="0.281814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186273"/>
    <n v="66"/>
    <n v="66"/>
    <x v="2"/>
    <n v="1"/>
    <x v="0"/>
    <n v="1"/>
    <x v="1"/>
    <n v="2611847"/>
    <n v="1"/>
    <x v="0"/>
    <n v="2749334"/>
    <n v="2"/>
    <x v="0"/>
    <n v="1"/>
    <x v="0"/>
    <n v="0"/>
    <x v="0"/>
    <n v="2364849"/>
    <n v="2"/>
    <x v="0"/>
    <n v="0"/>
    <x v="0"/>
    <n v="1141708"/>
    <n v="3"/>
    <x v="3"/>
    <n v="6.3005000000000005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945369"/>
    <n v="84"/>
    <n v="84"/>
    <x v="3"/>
    <n v="1"/>
    <x v="0"/>
    <n v="1"/>
    <x v="1"/>
    <n v="2766612"/>
    <n v="1"/>
    <x v="0"/>
    <n v="3"/>
    <n v="2"/>
    <x v="0"/>
    <n v="1"/>
    <x v="0"/>
    <n v="0"/>
    <x v="0"/>
    <n v="2173417"/>
    <n v="2"/>
    <x v="0"/>
    <n v="0"/>
    <x v="0"/>
    <n v="1089344"/>
    <n v="3"/>
    <x v="3"/>
    <n v="1198439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490699"/>
    <n v="86"/>
    <n v="86"/>
    <x v="3"/>
    <n v="1"/>
    <x v="0"/>
    <n v="1"/>
    <x v="1"/>
    <n v="2777165"/>
    <n v="1"/>
    <x v="0"/>
    <n v="3"/>
    <n v="2"/>
    <x v="0"/>
    <n v="1"/>
    <x v="0"/>
    <n v="0"/>
    <x v="0"/>
    <n v="2106861"/>
    <n v="2"/>
    <x v="0"/>
    <n v="0"/>
    <x v="0"/>
    <n v="0.92594100000000001"/>
    <n v="0"/>
    <x v="0"/>
    <n v="0.29160000000000003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156724"/>
    <n v="8"/>
    <n v="8"/>
    <x v="0"/>
    <n v="1"/>
    <x v="0"/>
    <n v="1"/>
    <x v="1"/>
    <n v="2232836"/>
    <n v="1"/>
    <x v="0"/>
    <n v="3"/>
    <n v="2"/>
    <x v="0"/>
    <n v="1"/>
    <x v="0"/>
    <n v="0"/>
    <x v="0"/>
    <n v="2146398"/>
    <n v="2"/>
    <x v="0"/>
    <n v="0"/>
    <x v="0"/>
    <n v="0.88681699999999997"/>
    <n v="0"/>
    <x v="0"/>
    <n v="0.47787000000000002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0444081"/>
    <n v="83"/>
    <n v="83"/>
    <x v="3"/>
    <n v="1"/>
    <x v="0"/>
    <n v="1"/>
    <x v="1"/>
    <n v="2571274"/>
    <n v="1"/>
    <x v="0"/>
    <n v="3"/>
    <n v="2"/>
    <x v="0"/>
    <n v="1"/>
    <x v="0"/>
    <n v="0"/>
    <x v="0"/>
    <n v="2224164"/>
    <n v="2"/>
    <x v="0"/>
    <n v="0"/>
    <x v="0"/>
    <n v="1018158"/>
    <n v="3"/>
    <x v="3"/>
    <n v="1152899"/>
    <n v="2"/>
    <x v="2"/>
    <n v="1"/>
    <x v="1"/>
    <n v="1"/>
    <x v="1"/>
    <n v="0"/>
    <x v="0"/>
    <n v="0"/>
    <x v="0"/>
    <n v="0"/>
    <x v="1"/>
    <n v="0"/>
    <x v="0"/>
    <n v="1"/>
    <x v="1"/>
  </r>
  <r>
    <n v="1"/>
    <s v="M"/>
    <n v="31199261"/>
    <n v="85"/>
    <n v="85"/>
    <x v="3"/>
    <n v="1"/>
    <x v="0"/>
    <n v="1"/>
    <x v="1"/>
    <n v="249619"/>
    <n v="1"/>
    <x v="0"/>
    <n v="3"/>
    <n v="2"/>
    <x v="0"/>
    <n v="1"/>
    <x v="0"/>
    <n v="1"/>
    <x v="1"/>
    <n v="1662117"/>
    <n v="2"/>
    <x v="0"/>
    <n v="0"/>
    <x v="0"/>
    <n v="0.992371"/>
    <n v="0"/>
    <x v="0"/>
    <n v="0.217631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1190219"/>
    <n v="85"/>
    <n v="85"/>
    <x v="3"/>
    <n v="1"/>
    <x v="0"/>
    <n v="1"/>
    <x v="1"/>
    <n v="2151335"/>
    <n v="1"/>
    <x v="0"/>
    <n v="3"/>
    <n v="2"/>
    <x v="0"/>
    <n v="1"/>
    <x v="0"/>
    <n v="1"/>
    <x v="1"/>
    <n v="1491169"/>
    <n v="2"/>
    <x v="0"/>
    <n v="0"/>
    <x v="0"/>
    <n v="0.88354200000000005"/>
    <n v="0"/>
    <x v="0"/>
    <n v="0.52776599999999996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575349"/>
    <n v="83"/>
    <n v="83"/>
    <x v="3"/>
    <n v="1"/>
    <x v="0"/>
    <n v="1"/>
    <x v="1"/>
    <n v="201695"/>
    <n v="1"/>
    <x v="0"/>
    <n v="3"/>
    <n v="2"/>
    <x v="0"/>
    <n v="1"/>
    <x v="0"/>
    <n v="0"/>
    <x v="0"/>
    <n v="183412"/>
    <n v="2"/>
    <x v="0"/>
    <n v="0"/>
    <x v="0"/>
    <n v="0.79720899999999995"/>
    <n v="0"/>
    <x v="0"/>
    <n v="0.1854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0702559"/>
    <n v="84"/>
    <n v="84"/>
    <x v="3"/>
    <n v="1"/>
    <x v="0"/>
    <n v="1"/>
    <x v="1"/>
    <n v="2927187"/>
    <n v="1"/>
    <x v="0"/>
    <n v="3"/>
    <n v="2"/>
    <x v="0"/>
    <n v="1"/>
    <x v="0"/>
    <n v="0"/>
    <x v="0"/>
    <n v="1508796"/>
    <n v="2"/>
    <x v="0"/>
    <n v="0"/>
    <x v="0"/>
    <n v="0.90277600000000002"/>
    <n v="0"/>
    <x v="0"/>
    <n v="1015467"/>
    <n v="2"/>
    <x v="2"/>
    <n v="1"/>
    <x v="1"/>
    <n v="0"/>
    <x v="0"/>
    <n v="0"/>
    <x v="0"/>
    <n v="0"/>
    <x v="0"/>
    <n v="1"/>
    <x v="0"/>
    <n v="0"/>
    <x v="0"/>
    <n v="1"/>
    <x v="1"/>
  </r>
  <r>
    <n v="1"/>
    <s v="M"/>
    <n v="25057878"/>
    <n v="68"/>
    <n v="68"/>
    <x v="2"/>
    <n v="1"/>
    <x v="0"/>
    <n v="1"/>
    <x v="1"/>
    <n v="1412566"/>
    <n v="1"/>
    <x v="0"/>
    <n v="3"/>
    <n v="2"/>
    <x v="0"/>
    <n v="1"/>
    <x v="0"/>
    <n v="0"/>
    <x v="0"/>
    <n v="2002495"/>
    <n v="2"/>
    <x v="0"/>
    <n v="0"/>
    <x v="0"/>
    <n v="1592795"/>
    <n v="3"/>
    <x v="3"/>
    <n v="1.867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151286"/>
    <n v="68"/>
    <n v="68"/>
    <x v="2"/>
    <n v="1"/>
    <x v="0"/>
    <n v="1"/>
    <x v="1"/>
    <n v="1289315"/>
    <n v="1"/>
    <x v="0"/>
    <n v="3"/>
    <n v="2"/>
    <x v="0"/>
    <n v="1"/>
    <x v="0"/>
    <n v="0"/>
    <x v="0"/>
    <n v="2007348"/>
    <n v="2"/>
    <x v="0"/>
    <n v="0"/>
    <x v="0"/>
    <n v="1376217"/>
    <n v="3"/>
    <x v="3"/>
    <n v="1.518E-3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137087"/>
    <n v="68"/>
    <n v="68"/>
    <x v="2"/>
    <n v="1"/>
    <x v="0"/>
    <n v="1"/>
    <x v="1"/>
    <n v="1624366"/>
    <n v="1"/>
    <x v="0"/>
    <n v="3"/>
    <n v="2"/>
    <x v="0"/>
    <n v="1"/>
    <x v="0"/>
    <n v="0"/>
    <x v="0"/>
    <n v="2081719"/>
    <n v="2"/>
    <x v="0"/>
    <n v="0"/>
    <x v="0"/>
    <n v="1538922"/>
    <n v="3"/>
    <x v="3"/>
    <n v="0.356868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3292"/>
    <n v="0"/>
    <n v="5"/>
    <x v="0"/>
    <n v="1"/>
    <x v="0"/>
    <n v="1"/>
    <x v="1"/>
    <n v="1528331"/>
    <n v="1"/>
    <x v="0"/>
    <n v="3"/>
    <n v="2"/>
    <x v="0"/>
    <n v="1"/>
    <x v="0"/>
    <n v="0"/>
    <x v="0"/>
    <n v="2079353"/>
    <n v="2"/>
    <x v="0"/>
    <n v="0"/>
    <x v="0"/>
    <n v="1522429"/>
    <n v="3"/>
    <x v="3"/>
    <n v="0.2285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66668"/>
    <n v="7"/>
    <n v="7"/>
    <x v="0"/>
    <n v="1"/>
    <x v="0"/>
    <n v="1"/>
    <x v="1"/>
    <n v="2037042"/>
    <n v="1"/>
    <x v="0"/>
    <n v="3"/>
    <n v="2"/>
    <x v="0"/>
    <n v="1"/>
    <x v="0"/>
    <n v="0"/>
    <x v="0"/>
    <n v="243699"/>
    <n v="2"/>
    <x v="0"/>
    <n v="0"/>
    <x v="0"/>
    <n v="1016254"/>
    <n v="3"/>
    <x v="3"/>
    <n v="2.0043999999999999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01277"/>
    <n v="6"/>
    <n v="6"/>
    <x v="0"/>
    <n v="1"/>
    <x v="0"/>
    <n v="1"/>
    <x v="1"/>
    <n v="2191108"/>
    <n v="1"/>
    <x v="0"/>
    <n v="2993856"/>
    <n v="2"/>
    <x v="0"/>
    <n v="1"/>
    <x v="0"/>
    <n v="0"/>
    <x v="0"/>
    <n v="2444917"/>
    <n v="2"/>
    <x v="0"/>
    <n v="0"/>
    <x v="0"/>
    <n v="1055854"/>
    <n v="3"/>
    <x v="3"/>
    <n v="0.145284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047945"/>
    <n v="68"/>
    <n v="68"/>
    <x v="2"/>
    <n v="1"/>
    <x v="0"/>
    <n v="1"/>
    <x v="1"/>
    <n v="1431346"/>
    <n v="1"/>
    <x v="0"/>
    <n v="3"/>
    <n v="2"/>
    <x v="0"/>
    <n v="1"/>
    <x v="0"/>
    <n v="0"/>
    <x v="0"/>
    <n v="2098959"/>
    <n v="2"/>
    <x v="0"/>
    <n v="0"/>
    <x v="0"/>
    <n v="1110868"/>
    <n v="3"/>
    <x v="3"/>
    <n v="0.19695199999999999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5426457"/>
    <n v="69"/>
    <n v="69"/>
    <x v="2"/>
    <n v="1"/>
    <x v="0"/>
    <n v="1"/>
    <x v="1"/>
    <n v="184199"/>
    <n v="1"/>
    <x v="0"/>
    <n v="3"/>
    <n v="2"/>
    <x v="0"/>
    <n v="1"/>
    <x v="0"/>
    <n v="0"/>
    <x v="0"/>
    <n v="2503244"/>
    <n v="2"/>
    <x v="0"/>
    <n v="0"/>
    <x v="0"/>
    <n v="1226019"/>
    <n v="3"/>
    <x v="3"/>
    <n v="7.8206999999999999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37207082"/>
    <n v="101"/>
    <n v="100"/>
    <x v="3"/>
    <n v="1"/>
    <x v="0"/>
    <n v="1"/>
    <x v="1"/>
    <n v="213683"/>
    <n v="1"/>
    <x v="0"/>
    <n v="2993084"/>
    <n v="2"/>
    <x v="0"/>
    <n v="1"/>
    <x v="0"/>
    <n v="0"/>
    <x v="0"/>
    <n v="1885926"/>
    <n v="2"/>
    <x v="0"/>
    <n v="0"/>
    <x v="0"/>
    <n v="0.61529800000000001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810894"/>
    <n v="10"/>
    <n v="10"/>
    <x v="0"/>
    <n v="1"/>
    <x v="0"/>
    <n v="1"/>
    <x v="1"/>
    <n v="2499388"/>
    <n v="1"/>
    <x v="0"/>
    <n v="2989791"/>
    <n v="2"/>
    <x v="0"/>
    <n v="1"/>
    <x v="0"/>
    <n v="0"/>
    <x v="0"/>
    <n v="1959777"/>
    <n v="2"/>
    <x v="0"/>
    <n v="0"/>
    <x v="0"/>
    <n v="0.60809999999999997"/>
    <n v="0"/>
    <x v="0"/>
    <n v="0.64676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8644441"/>
    <n v="105"/>
    <n v="100"/>
    <x v="3"/>
    <n v="1"/>
    <x v="0"/>
    <n v="1"/>
    <x v="1"/>
    <n v="2230742"/>
    <n v="1"/>
    <x v="0"/>
    <n v="2920373"/>
    <n v="2"/>
    <x v="0"/>
    <n v="1"/>
    <x v="0"/>
    <n v="0"/>
    <x v="0"/>
    <n v="1831187"/>
    <n v="2"/>
    <x v="0"/>
    <n v="0"/>
    <x v="0"/>
    <n v="0.75627699999999998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38112989"/>
    <n v="104"/>
    <n v="100"/>
    <x v="3"/>
    <n v="1"/>
    <x v="0"/>
    <n v="1"/>
    <x v="1"/>
    <n v="2240757"/>
    <n v="1"/>
    <x v="0"/>
    <n v="2911568"/>
    <n v="2"/>
    <x v="0"/>
    <n v="1"/>
    <x v="0"/>
    <n v="0"/>
    <x v="0"/>
    <n v="1895876"/>
    <n v="2"/>
    <x v="0"/>
    <n v="0"/>
    <x v="0"/>
    <n v="0.82218599999999997"/>
    <n v="0"/>
    <x v="0"/>
    <n v="0"/>
    <n v="0"/>
    <x v="1"/>
    <n v="1"/>
    <x v="1"/>
    <n v="1"/>
    <x v="1"/>
    <n v="0"/>
    <x v="0"/>
    <n v="0"/>
    <x v="0"/>
    <n v="0"/>
    <x v="1"/>
    <n v="0"/>
    <x v="0"/>
    <n v="1"/>
    <x v="1"/>
  </r>
  <r>
    <n v="1"/>
    <s v="M"/>
    <n v="24825393"/>
    <n v="68"/>
    <n v="68"/>
    <x v="2"/>
    <n v="1"/>
    <x v="0"/>
    <n v="1"/>
    <x v="1"/>
    <n v="2996186"/>
    <n v="1"/>
    <x v="0"/>
    <n v="1134042"/>
    <n v="2"/>
    <x v="0"/>
    <n v="1"/>
    <x v="0"/>
    <n v="0"/>
    <x v="0"/>
    <n v="1270166"/>
    <n v="2"/>
    <x v="0"/>
    <n v="0"/>
    <x v="0"/>
    <n v="7.3065000000000005E-2"/>
    <n v="0"/>
    <x v="0"/>
    <n v="1551934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6624342"/>
    <n v="72"/>
    <n v="72"/>
    <x v="2"/>
    <n v="1"/>
    <x v="0"/>
    <n v="1"/>
    <x v="1"/>
    <n v="2649406"/>
    <n v="1"/>
    <x v="0"/>
    <n v="1120102"/>
    <n v="2"/>
    <x v="0"/>
    <n v="1"/>
    <x v="0"/>
    <n v="0"/>
    <x v="0"/>
    <n v="1153286"/>
    <n v="2"/>
    <x v="0"/>
    <n v="0"/>
    <x v="0"/>
    <n v="0.21690799999999999"/>
    <n v="0"/>
    <x v="0"/>
    <n v="0.61901200000000001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3722449"/>
    <n v="92"/>
    <n v="92"/>
    <x v="3"/>
    <n v="1"/>
    <x v="0"/>
    <n v="1"/>
    <x v="1"/>
    <n v="2525884"/>
    <n v="1"/>
    <x v="0"/>
    <n v="2040582"/>
    <n v="2"/>
    <x v="0"/>
    <n v="1"/>
    <x v="0"/>
    <n v="0"/>
    <x v="0"/>
    <n v="1"/>
    <n v="1"/>
    <x v="1"/>
    <n v="0"/>
    <x v="0"/>
    <n v="167036"/>
    <n v="2"/>
    <x v="1"/>
    <n v="2.3959000000000001E-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2516469"/>
    <n v="89"/>
    <n v="89"/>
    <x v="3"/>
    <n v="1"/>
    <x v="0"/>
    <n v="1"/>
    <x v="1"/>
    <n v="2736647"/>
    <n v="1"/>
    <x v="0"/>
    <n v="2015675"/>
    <n v="2"/>
    <x v="0"/>
    <n v="1"/>
    <x v="0"/>
    <n v="0"/>
    <x v="0"/>
    <n v="1"/>
    <n v="1"/>
    <x v="1"/>
    <n v="0"/>
    <x v="0"/>
    <n v="1977918"/>
    <n v="3"/>
    <x v="3"/>
    <n v="5.6350999999999998E-2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3881938"/>
    <n v="65"/>
    <n v="65"/>
    <x v="2"/>
    <n v="1"/>
    <x v="0"/>
    <n v="1"/>
    <x v="1"/>
    <n v="2684335"/>
    <n v="1"/>
    <x v="0"/>
    <n v="2711238"/>
    <n v="2"/>
    <x v="0"/>
    <n v="1"/>
    <x v="0"/>
    <n v="0"/>
    <x v="0"/>
    <n v="2732331"/>
    <n v="2"/>
    <x v="0"/>
    <n v="0"/>
    <x v="0"/>
    <n v="1156024"/>
    <n v="3"/>
    <x v="3"/>
    <n v="0.4424560000000000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319635"/>
    <n v="63"/>
    <n v="63"/>
    <x v="2"/>
    <n v="1"/>
    <x v="0"/>
    <n v="1"/>
    <x v="1"/>
    <n v="3"/>
    <n v="1"/>
    <x v="0"/>
    <n v="2695396"/>
    <n v="2"/>
    <x v="0"/>
    <n v="1"/>
    <x v="0"/>
    <n v="0"/>
    <x v="0"/>
    <n v="2628816"/>
    <n v="2"/>
    <x v="0"/>
    <n v="0"/>
    <x v="0"/>
    <n v="0.97538400000000003"/>
    <n v="0"/>
    <x v="0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912387"/>
    <n v="65"/>
    <n v="65"/>
    <x v="2"/>
    <n v="1"/>
    <x v="0"/>
    <n v="1"/>
    <x v="1"/>
    <n v="2425503"/>
    <n v="1"/>
    <x v="0"/>
    <n v="2996834"/>
    <n v="2"/>
    <x v="0"/>
    <n v="1"/>
    <x v="0"/>
    <n v="0"/>
    <x v="0"/>
    <n v="2017602"/>
    <n v="2"/>
    <x v="0"/>
    <n v="0"/>
    <x v="0"/>
    <n v="1580263"/>
    <n v="3"/>
    <x v="3"/>
    <n v="0.53176900000000005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982997"/>
    <n v="68"/>
    <n v="68"/>
    <x v="2"/>
    <n v="1"/>
    <x v="0"/>
    <n v="1"/>
    <x v="1"/>
    <n v="1469384"/>
    <n v="1"/>
    <x v="0"/>
    <n v="2996444"/>
    <n v="2"/>
    <x v="0"/>
    <n v="1"/>
    <x v="0"/>
    <n v="0"/>
    <x v="0"/>
    <n v="2067741"/>
    <n v="2"/>
    <x v="0"/>
    <n v="0"/>
    <x v="0"/>
    <n v="1082236"/>
    <n v="3"/>
    <x v="3"/>
    <n v="0.150544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511445"/>
    <n v="67"/>
    <n v="67"/>
    <x v="2"/>
    <n v="1"/>
    <x v="0"/>
    <n v="1"/>
    <x v="1"/>
    <n v="2906269"/>
    <n v="1"/>
    <x v="0"/>
    <n v="2894142"/>
    <n v="2"/>
    <x v="0"/>
    <n v="1"/>
    <x v="0"/>
    <n v="0"/>
    <x v="0"/>
    <n v="2435489"/>
    <n v="2"/>
    <x v="0"/>
    <n v="0"/>
    <x v="0"/>
    <n v="1266739"/>
    <n v="3"/>
    <x v="3"/>
    <n v="0.36215999999999998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5331"/>
    <n v="6"/>
    <n v="6"/>
    <x v="0"/>
    <n v="1"/>
    <x v="0"/>
    <n v="1"/>
    <x v="1"/>
    <n v="2808027"/>
    <n v="1"/>
    <x v="0"/>
    <n v="2683061"/>
    <n v="2"/>
    <x v="0"/>
    <n v="1"/>
    <x v="0"/>
    <n v="0"/>
    <x v="0"/>
    <n v="2640483"/>
    <n v="2"/>
    <x v="0"/>
    <n v="0"/>
    <x v="0"/>
    <n v="1280191"/>
    <n v="3"/>
    <x v="3"/>
    <n v="0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2906886"/>
    <n v="62"/>
    <n v="62"/>
    <x v="2"/>
    <n v="1"/>
    <x v="0"/>
    <n v="1"/>
    <x v="1"/>
    <n v="2636719"/>
    <n v="1"/>
    <x v="0"/>
    <n v="2806341"/>
    <n v="2"/>
    <x v="0"/>
    <n v="1"/>
    <x v="0"/>
    <n v="0"/>
    <x v="0"/>
    <n v="1967591"/>
    <n v="2"/>
    <x v="0"/>
    <n v="0"/>
    <x v="0"/>
    <n v="1525384"/>
    <n v="3"/>
    <x v="3"/>
    <n v="0.31559500000000001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3147644"/>
    <n v="63"/>
    <n v="63"/>
    <x v="2"/>
    <n v="1"/>
    <x v="0"/>
    <n v="1"/>
    <x v="1"/>
    <n v="2996717"/>
    <n v="1"/>
    <x v="0"/>
    <n v="2791366"/>
    <n v="2"/>
    <x v="0"/>
    <n v="1"/>
    <x v="0"/>
    <n v="0"/>
    <x v="0"/>
    <n v="2626309"/>
    <n v="2"/>
    <x v="0"/>
    <n v="0"/>
    <x v="0"/>
    <n v="1194898"/>
    <n v="3"/>
    <x v="3"/>
    <n v="3.4896999999999997E-2"/>
    <n v="0"/>
    <x v="1"/>
    <n v="1"/>
    <x v="1"/>
    <n v="0"/>
    <x v="0"/>
    <n v="0"/>
    <x v="0"/>
    <n v="0"/>
    <x v="0"/>
    <n v="1"/>
    <x v="0"/>
    <n v="0"/>
    <x v="0"/>
    <n v="1"/>
    <x v="1"/>
  </r>
  <r>
    <n v="1"/>
    <s v="M"/>
    <n v="24001889"/>
    <n v="65"/>
    <n v="65"/>
    <x v="2"/>
    <n v="1"/>
    <x v="0"/>
    <n v="1"/>
    <x v="1"/>
    <n v="2880483"/>
    <n v="1"/>
    <x v="0"/>
    <n v="1703299"/>
    <n v="2"/>
    <x v="0"/>
    <n v="1"/>
    <x v="0"/>
    <n v="0"/>
    <x v="0"/>
    <n v="1006378"/>
    <n v="2"/>
    <x v="0"/>
    <n v="0"/>
    <x v="0"/>
    <n v="1076729"/>
    <n v="3"/>
    <x v="3"/>
    <n v="1058007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4002404"/>
    <n v="65"/>
    <n v="65"/>
    <x v="2"/>
    <n v="1"/>
    <x v="0"/>
    <n v="1"/>
    <x v="1"/>
    <n v="2885693"/>
    <n v="1"/>
    <x v="0"/>
    <n v="1685134"/>
    <n v="2"/>
    <x v="0"/>
    <n v="1"/>
    <x v="0"/>
    <n v="0"/>
    <x v="0"/>
    <n v="1011849"/>
    <n v="2"/>
    <x v="0"/>
    <n v="0"/>
    <x v="0"/>
    <n v="0.50310500000000002"/>
    <n v="0"/>
    <x v="0"/>
    <n v="1217929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3071516"/>
    <n v="8"/>
    <n v="8"/>
    <x v="0"/>
    <n v="1"/>
    <x v="0"/>
    <n v="1"/>
    <x v="1"/>
    <n v="2913452"/>
    <n v="1"/>
    <x v="0"/>
    <n v="2269799"/>
    <n v="2"/>
    <x v="0"/>
    <n v="1"/>
    <x v="0"/>
    <n v="0"/>
    <x v="0"/>
    <n v="1"/>
    <n v="1"/>
    <x v="1"/>
    <n v="0"/>
    <x v="0"/>
    <n v="1889937"/>
    <n v="3"/>
    <x v="3"/>
    <n v="0.3788179999999999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3064243"/>
    <n v="8"/>
    <n v="8"/>
    <x v="0"/>
    <n v="1"/>
    <x v="0"/>
    <n v="1"/>
    <x v="1"/>
    <n v="2919526"/>
    <n v="1"/>
    <x v="0"/>
    <n v="2142328"/>
    <n v="2"/>
    <x v="0"/>
    <n v="1"/>
    <x v="0"/>
    <n v="0"/>
    <x v="0"/>
    <n v="1175714"/>
    <n v="2"/>
    <x v="0"/>
    <n v="0"/>
    <x v="0"/>
    <n v="0.95855500000000005"/>
    <n v="0"/>
    <x v="0"/>
    <n v="0.63628899999999999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0068432"/>
    <n v="54"/>
    <n v="54"/>
    <x v="2"/>
    <n v="1"/>
    <x v="0"/>
    <n v="1"/>
    <x v="1"/>
    <n v="2724121"/>
    <n v="1"/>
    <x v="0"/>
    <n v="1437959"/>
    <n v="2"/>
    <x v="0"/>
    <n v="1"/>
    <x v="0"/>
    <n v="0"/>
    <x v="0"/>
    <n v="1590418"/>
    <n v="2"/>
    <x v="0"/>
    <n v="0"/>
    <x v="0"/>
    <n v="2.9603000000000001E-2"/>
    <n v="0"/>
    <x v="0"/>
    <n v="1122118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0914366"/>
    <n v="57"/>
    <n v="57"/>
    <x v="2"/>
    <n v="1"/>
    <x v="0"/>
    <n v="1"/>
    <x v="1"/>
    <n v="2801992"/>
    <n v="1"/>
    <x v="0"/>
    <n v="1343117"/>
    <n v="2"/>
    <x v="0"/>
    <n v="1"/>
    <x v="0"/>
    <n v="0"/>
    <x v="0"/>
    <n v="1128942"/>
    <n v="2"/>
    <x v="0"/>
    <n v="0"/>
    <x v="0"/>
    <n v="0.233987"/>
    <n v="0"/>
    <x v="0"/>
    <n v="0.81998000000000004"/>
    <n v="0"/>
    <x v="1"/>
    <n v="0"/>
    <x v="0"/>
    <n v="0"/>
    <x v="0"/>
    <n v="0"/>
    <x v="0"/>
    <n v="0"/>
    <x v="0"/>
    <n v="1"/>
    <x v="0"/>
    <n v="0"/>
    <x v="0"/>
    <n v="1"/>
    <x v="1"/>
  </r>
  <r>
    <n v="1"/>
    <s v="M"/>
    <n v="25512048"/>
    <n v="69"/>
    <n v="69"/>
    <x v="2"/>
    <n v="1"/>
    <x v="0"/>
    <n v="1"/>
    <x v="1"/>
    <n v="2748971"/>
    <n v="1"/>
    <x v="0"/>
    <n v="1213431"/>
    <n v="2"/>
    <x v="0"/>
    <n v="1"/>
    <x v="0"/>
    <n v="0"/>
    <x v="0"/>
    <n v="1448875"/>
    <n v="2"/>
    <x v="0"/>
    <n v="0"/>
    <x v="0"/>
    <n v="0.128548"/>
    <n v="0"/>
    <x v="0"/>
    <n v="1239038"/>
    <n v="2"/>
    <x v="2"/>
    <n v="0"/>
    <x v="0"/>
    <n v="0"/>
    <x v="0"/>
    <n v="0"/>
    <x v="0"/>
    <n v="0"/>
    <x v="0"/>
    <n v="1"/>
    <x v="0"/>
    <n v="0"/>
    <x v="0"/>
    <n v="1"/>
    <x v="1"/>
  </r>
  <r>
    <n v="1"/>
    <s v="M"/>
    <n v="26844812"/>
    <n v="73"/>
    <n v="73"/>
    <x v="2"/>
    <n v="1"/>
    <x v="0"/>
    <n v="1"/>
    <x v="1"/>
    <n v="2680375"/>
    <n v="1"/>
    <x v="0"/>
    <n v="1089048"/>
    <n v="2"/>
    <x v="0"/>
    <n v="1"/>
    <x v="0"/>
    <n v="0"/>
    <x v="0"/>
    <n v="1366238"/>
    <n v="2"/>
    <x v="0"/>
    <n v="0"/>
    <x v="0"/>
    <n v="0.18132400000000001"/>
    <n v="0"/>
    <x v="0"/>
    <n v="1041677"/>
    <n v="2"/>
    <x v="2"/>
    <n v="0"/>
    <x v="0"/>
    <n v="0"/>
    <x v="0"/>
    <n v="0"/>
    <x v="0"/>
    <n v="0"/>
    <x v="0"/>
    <n v="1"/>
    <x v="0"/>
    <n v="0"/>
    <x v="0"/>
    <n v="1"/>
    <x v="1"/>
  </r>
  <r>
    <n v="0"/>
    <s v="F"/>
    <n v="25919241"/>
    <n v="71"/>
    <n v="71"/>
    <x v="2"/>
    <n v="1"/>
    <x v="0"/>
    <n v="1"/>
    <x v="1"/>
    <n v="3"/>
    <n v="1"/>
    <x v="0"/>
    <n v="3"/>
    <n v="2"/>
    <x v="0"/>
    <n v="1"/>
    <x v="0"/>
    <n v="0"/>
    <x v="0"/>
    <n v="1023328"/>
    <n v="2"/>
    <x v="0"/>
    <n v="0"/>
    <x v="0"/>
    <n v="5.0930000000000003E-2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1197667"/>
    <n v="2"/>
    <x v="0"/>
    <n v="0"/>
    <x v="0"/>
    <n v="0"/>
    <n v="0"/>
    <x v="0"/>
    <n v="0.534769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233541"/>
    <n v="49"/>
    <n v="49"/>
    <x v="1"/>
    <n v="1"/>
    <x v="0"/>
    <n v="1"/>
    <x v="1"/>
    <n v="3"/>
    <n v="1"/>
    <x v="0"/>
    <n v="3"/>
    <n v="2"/>
    <x v="0"/>
    <n v="1"/>
    <x v="0"/>
    <n v="0"/>
    <x v="0"/>
    <n v="2838893"/>
    <n v="2"/>
    <x v="0"/>
    <n v="0"/>
    <x v="0"/>
    <n v="1990317"/>
    <n v="3"/>
    <x v="3"/>
    <n v="0.73586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47705"/>
    <n v="49"/>
    <n v="49"/>
    <x v="1"/>
    <n v="1"/>
    <x v="0"/>
    <n v="1"/>
    <x v="1"/>
    <n v="3"/>
    <n v="1"/>
    <x v="0"/>
    <n v="3"/>
    <n v="2"/>
    <x v="0"/>
    <n v="1"/>
    <x v="0"/>
    <n v="0"/>
    <x v="0"/>
    <n v="2181811"/>
    <n v="2"/>
    <x v="0"/>
    <n v="0"/>
    <x v="0"/>
    <n v="1995582"/>
    <n v="3"/>
    <x v="3"/>
    <n v="0.939664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74014"/>
    <n v="2"/>
    <x v="0"/>
    <n v="0"/>
    <x v="0"/>
    <n v="0"/>
    <n v="0"/>
    <x v="0"/>
    <n v="0.138418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1031354"/>
    <n v="2"/>
    <x v="0"/>
    <n v="0"/>
    <x v="0"/>
    <n v="0"/>
    <n v="0"/>
    <x v="0"/>
    <n v="0.374649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02283"/>
    <n v="70"/>
    <n v="70"/>
    <x v="2"/>
    <n v="1"/>
    <x v="0"/>
    <n v="1"/>
    <x v="1"/>
    <n v="3"/>
    <n v="1"/>
    <x v="0"/>
    <n v="3"/>
    <n v="2"/>
    <x v="0"/>
    <n v="1"/>
    <x v="0"/>
    <n v="0"/>
    <x v="0"/>
    <n v="166616"/>
    <n v="2"/>
    <x v="0"/>
    <n v="0"/>
    <x v="0"/>
    <n v="0.21035100000000001"/>
    <n v="0"/>
    <x v="0"/>
    <n v="0.734210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540865"/>
    <n v="69"/>
    <n v="69"/>
    <x v="2"/>
    <n v="1"/>
    <x v="0"/>
    <n v="1"/>
    <x v="1"/>
    <n v="3"/>
    <n v="1"/>
    <x v="0"/>
    <n v="3"/>
    <n v="2"/>
    <x v="0"/>
    <n v="1"/>
    <x v="0"/>
    <n v="0"/>
    <x v="0"/>
    <n v="1471664"/>
    <n v="2"/>
    <x v="0"/>
    <n v="0"/>
    <x v="0"/>
    <n v="0.143955"/>
    <n v="0"/>
    <x v="0"/>
    <n v="0.444531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239251"/>
    <n v="6"/>
    <n v="6"/>
    <x v="0"/>
    <n v="1"/>
    <x v="0"/>
    <n v="1"/>
    <x v="1"/>
    <n v="3"/>
    <n v="1"/>
    <x v="0"/>
    <n v="3"/>
    <n v="2"/>
    <x v="0"/>
    <n v="1"/>
    <x v="0"/>
    <n v="0"/>
    <x v="0"/>
    <n v="1347559"/>
    <n v="2"/>
    <x v="0"/>
    <n v="0"/>
    <x v="0"/>
    <n v="0.462951"/>
    <n v="0"/>
    <x v="0"/>
    <n v="0.3179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05402"/>
    <n v="58"/>
    <n v="58"/>
    <x v="2"/>
    <n v="1"/>
    <x v="0"/>
    <n v="1"/>
    <x v="1"/>
    <n v="3"/>
    <n v="1"/>
    <x v="0"/>
    <n v="3"/>
    <n v="2"/>
    <x v="0"/>
    <n v="1"/>
    <x v="0"/>
    <n v="0"/>
    <x v="0"/>
    <n v="1338241"/>
    <n v="2"/>
    <x v="0"/>
    <n v="0"/>
    <x v="0"/>
    <n v="192628"/>
    <n v="2"/>
    <x v="1"/>
    <n v="0.88613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79137"/>
    <n v="2"/>
    <x v="0"/>
    <n v="0"/>
    <x v="0"/>
    <n v="0"/>
    <n v="0"/>
    <x v="0"/>
    <n v="0.47934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78292"/>
    <n v="2"/>
    <x v="0"/>
    <n v="0"/>
    <x v="0"/>
    <n v="0"/>
    <n v="0"/>
    <x v="0"/>
    <n v="0.49239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34585"/>
    <n v="58"/>
    <n v="58"/>
    <x v="2"/>
    <n v="1"/>
    <x v="0"/>
    <n v="1"/>
    <x v="1"/>
    <n v="3"/>
    <n v="1"/>
    <x v="0"/>
    <n v="3"/>
    <n v="2"/>
    <x v="0"/>
    <n v="1"/>
    <x v="0"/>
    <n v="0"/>
    <x v="0"/>
    <n v="1302193"/>
    <n v="2"/>
    <x v="0"/>
    <n v="0"/>
    <x v="0"/>
    <n v="1742453"/>
    <n v="3"/>
    <x v="3"/>
    <n v="0.942320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2978655"/>
    <n v="62"/>
    <n v="62"/>
    <x v="2"/>
    <n v="1"/>
    <x v="0"/>
    <n v="1"/>
    <x v="1"/>
    <n v="3"/>
    <n v="1"/>
    <x v="0"/>
    <n v="3"/>
    <n v="2"/>
    <x v="0"/>
    <n v="1"/>
    <x v="0"/>
    <n v="0"/>
    <x v="0"/>
    <n v="2408442"/>
    <n v="2"/>
    <x v="0"/>
    <n v="0"/>
    <x v="0"/>
    <n v="0.19405600000000001"/>
    <n v="0"/>
    <x v="0"/>
    <n v="0.803140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1245"/>
    <n v="5"/>
    <n v="5"/>
    <x v="0"/>
    <n v="1"/>
    <x v="0"/>
    <n v="1"/>
    <x v="1"/>
    <n v="3"/>
    <n v="1"/>
    <x v="0"/>
    <n v="3"/>
    <n v="2"/>
    <x v="0"/>
    <n v="1"/>
    <x v="0"/>
    <n v="0"/>
    <x v="0"/>
    <n v="1705218"/>
    <n v="2"/>
    <x v="0"/>
    <n v="0"/>
    <x v="0"/>
    <n v="0.39093699999999998"/>
    <n v="0"/>
    <x v="0"/>
    <n v="0.998646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56059"/>
    <n v="57"/>
    <n v="57"/>
    <x v="2"/>
    <n v="1"/>
    <x v="0"/>
    <n v="1"/>
    <x v="1"/>
    <n v="3"/>
    <n v="1"/>
    <x v="0"/>
    <n v="3"/>
    <n v="2"/>
    <x v="0"/>
    <n v="1"/>
    <x v="0"/>
    <n v="0"/>
    <x v="0"/>
    <n v="2374958"/>
    <n v="2"/>
    <x v="0"/>
    <n v="0"/>
    <x v="0"/>
    <n v="0.75011099999999997"/>
    <n v="0"/>
    <x v="0"/>
    <n v="0.67145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771001"/>
    <n v="51"/>
    <n v="51"/>
    <x v="2"/>
    <n v="1"/>
    <x v="0"/>
    <n v="1"/>
    <x v="1"/>
    <n v="3"/>
    <n v="1"/>
    <x v="0"/>
    <n v="3"/>
    <n v="2"/>
    <x v="0"/>
    <n v="1"/>
    <x v="0"/>
    <n v="0"/>
    <x v="0"/>
    <n v="2869234"/>
    <n v="2"/>
    <x v="0"/>
    <n v="0"/>
    <x v="0"/>
    <n v="1465931"/>
    <n v="3"/>
    <x v="3"/>
    <n v="0.6278860000000000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265943"/>
    <n v="66"/>
    <n v="66"/>
    <x v="2"/>
    <n v="1"/>
    <x v="0"/>
    <n v="1"/>
    <x v="1"/>
    <n v="3"/>
    <n v="1"/>
    <x v="0"/>
    <n v="3"/>
    <n v="2"/>
    <x v="0"/>
    <n v="1"/>
    <x v="0"/>
    <n v="0"/>
    <x v="0"/>
    <n v="2987406"/>
    <n v="2"/>
    <x v="0"/>
    <n v="0"/>
    <x v="0"/>
    <n v="0.38925999999999999"/>
    <n v="0"/>
    <x v="0"/>
    <n v="0.526776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37091"/>
    <n v="2"/>
    <x v="0"/>
    <n v="0"/>
    <x v="0"/>
    <n v="0"/>
    <n v="0"/>
    <x v="0"/>
    <n v="3.7078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23489"/>
    <n v="2"/>
    <x v="0"/>
    <n v="0"/>
    <x v="0"/>
    <n v="0"/>
    <n v="0"/>
    <x v="0"/>
    <n v="0.13856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6701"/>
    <n v="7"/>
    <n v="7"/>
    <x v="0"/>
    <n v="1"/>
    <x v="0"/>
    <n v="1"/>
    <x v="1"/>
    <n v="3"/>
    <n v="1"/>
    <x v="0"/>
    <n v="3"/>
    <n v="2"/>
    <x v="0"/>
    <n v="1"/>
    <x v="0"/>
    <n v="0"/>
    <x v="0"/>
    <n v="2612758"/>
    <n v="2"/>
    <x v="0"/>
    <n v="0"/>
    <x v="0"/>
    <n v="0.24629000000000001"/>
    <n v="0"/>
    <x v="0"/>
    <n v="0.802135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87378"/>
    <n v="2"/>
    <x v="0"/>
    <n v="0"/>
    <x v="0"/>
    <n v="0"/>
    <n v="0"/>
    <x v="0"/>
    <n v="0.410650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590046"/>
    <n v="56"/>
    <n v="56"/>
    <x v="2"/>
    <n v="1"/>
    <x v="0"/>
    <n v="1"/>
    <x v="1"/>
    <n v="3"/>
    <n v="1"/>
    <x v="0"/>
    <n v="3"/>
    <n v="2"/>
    <x v="0"/>
    <n v="1"/>
    <x v="0"/>
    <n v="0"/>
    <x v="0"/>
    <n v="1852692"/>
    <n v="2"/>
    <x v="0"/>
    <n v="0"/>
    <x v="0"/>
    <n v="146361"/>
    <n v="2"/>
    <x v="1"/>
    <n v="0.962335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497373"/>
    <n v="67"/>
    <n v="67"/>
    <x v="2"/>
    <n v="1"/>
    <x v="0"/>
    <n v="1"/>
    <x v="1"/>
    <n v="3"/>
    <n v="1"/>
    <x v="0"/>
    <n v="3"/>
    <n v="2"/>
    <x v="0"/>
    <n v="1"/>
    <x v="0"/>
    <n v="0"/>
    <x v="0"/>
    <n v="286559"/>
    <n v="2"/>
    <x v="0"/>
    <n v="0"/>
    <x v="0"/>
    <n v="0.97386399999999995"/>
    <n v="0"/>
    <x v="0"/>
    <n v="0.583450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1886"/>
    <n v="71"/>
    <n v="71"/>
    <x v="2"/>
    <n v="1"/>
    <x v="0"/>
    <n v="1"/>
    <x v="1"/>
    <n v="3"/>
    <n v="1"/>
    <x v="0"/>
    <n v="3"/>
    <n v="2"/>
    <x v="0"/>
    <n v="1"/>
    <x v="0"/>
    <n v="0"/>
    <x v="0"/>
    <n v="1003563"/>
    <n v="2"/>
    <x v="0"/>
    <n v="0"/>
    <x v="0"/>
    <n v="8.1270000000000005E-3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5908431"/>
    <n v="70"/>
    <n v="70"/>
    <x v="2"/>
    <n v="1"/>
    <x v="0"/>
    <n v="1"/>
    <x v="1"/>
    <n v="3"/>
    <n v="1"/>
    <x v="0"/>
    <n v="3"/>
    <n v="2"/>
    <x v="0"/>
    <n v="1"/>
    <x v="0"/>
    <n v="0"/>
    <x v="0"/>
    <n v="1077253"/>
    <n v="2"/>
    <x v="0"/>
    <n v="0"/>
    <x v="0"/>
    <n v="0.162083"/>
    <n v="0"/>
    <x v="0"/>
    <n v="0.824606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77882"/>
    <n v="49"/>
    <n v="49"/>
    <x v="1"/>
    <n v="1"/>
    <x v="0"/>
    <n v="1"/>
    <x v="1"/>
    <n v="3"/>
    <n v="1"/>
    <x v="0"/>
    <n v="3"/>
    <n v="2"/>
    <x v="0"/>
    <n v="1"/>
    <x v="0"/>
    <n v="0"/>
    <x v="0"/>
    <n v="2714949"/>
    <n v="2"/>
    <x v="0"/>
    <n v="0"/>
    <x v="0"/>
    <n v="1999773"/>
    <n v="3"/>
    <x v="3"/>
    <n v="0.813783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12503"/>
    <n v="49"/>
    <n v="49"/>
    <x v="1"/>
    <n v="1"/>
    <x v="0"/>
    <n v="1"/>
    <x v="1"/>
    <n v="3"/>
    <n v="1"/>
    <x v="0"/>
    <n v="3"/>
    <n v="2"/>
    <x v="0"/>
    <n v="1"/>
    <x v="0"/>
    <n v="0"/>
    <x v="0"/>
    <n v="2154949"/>
    <n v="2"/>
    <x v="0"/>
    <n v="0"/>
    <x v="0"/>
    <n v="1999897"/>
    <n v="3"/>
    <x v="3"/>
    <n v="0.957462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893117"/>
    <n v="2"/>
    <x v="0"/>
    <n v="0"/>
    <x v="0"/>
    <n v="0"/>
    <n v="0"/>
    <x v="0"/>
    <n v="1.9310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914"/>
    <n v="2"/>
    <x v="0"/>
    <n v="0"/>
    <x v="0"/>
    <n v="0"/>
    <n v="0"/>
    <x v="0"/>
    <n v="0.110518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02283"/>
    <n v="70"/>
    <n v="70"/>
    <x v="2"/>
    <n v="1"/>
    <x v="0"/>
    <n v="1"/>
    <x v="1"/>
    <n v="3"/>
    <n v="1"/>
    <x v="0"/>
    <n v="3"/>
    <n v="2"/>
    <x v="0"/>
    <n v="1"/>
    <x v="0"/>
    <n v="0"/>
    <x v="0"/>
    <n v="1570188"/>
    <n v="2"/>
    <x v="0"/>
    <n v="0"/>
    <x v="0"/>
    <n v="0.21035100000000001"/>
    <n v="0"/>
    <x v="0"/>
    <n v="0.88184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540865"/>
    <n v="69"/>
    <n v="69"/>
    <x v="2"/>
    <n v="1"/>
    <x v="0"/>
    <n v="1"/>
    <x v="1"/>
    <n v="3"/>
    <n v="1"/>
    <x v="0"/>
    <n v="3"/>
    <n v="2"/>
    <x v="0"/>
    <n v="1"/>
    <x v="0"/>
    <n v="0"/>
    <x v="0"/>
    <n v="1412049"/>
    <n v="2"/>
    <x v="0"/>
    <n v="0"/>
    <x v="0"/>
    <n v="0.143955"/>
    <n v="0"/>
    <x v="0"/>
    <n v="0.75307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520992"/>
    <n v="56"/>
    <n v="56"/>
    <x v="2"/>
    <n v="1"/>
    <x v="0"/>
    <n v="1"/>
    <x v="1"/>
    <n v="3"/>
    <n v="1"/>
    <x v="0"/>
    <n v="3"/>
    <n v="2"/>
    <x v="0"/>
    <n v="1"/>
    <x v="0"/>
    <n v="0"/>
    <x v="0"/>
    <n v="115635"/>
    <n v="2"/>
    <x v="0"/>
    <n v="0"/>
    <x v="0"/>
    <n v="0.78682799999999997"/>
    <n v="0"/>
    <x v="0"/>
    <n v="0.366385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871153"/>
    <n v="57"/>
    <n v="57"/>
    <x v="2"/>
    <n v="1"/>
    <x v="0"/>
    <n v="1"/>
    <x v="1"/>
    <n v="3"/>
    <n v="1"/>
    <x v="0"/>
    <n v="3"/>
    <n v="2"/>
    <x v="0"/>
    <n v="1"/>
    <x v="0"/>
    <n v="0"/>
    <x v="0"/>
    <n v="1154698"/>
    <n v="2"/>
    <x v="0"/>
    <n v="0"/>
    <x v="0"/>
    <n v="171836"/>
    <n v="2"/>
    <x v="1"/>
    <n v="0.959218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91584"/>
    <n v="2"/>
    <x v="0"/>
    <n v="0"/>
    <x v="0"/>
    <n v="0"/>
    <n v="0"/>
    <x v="0"/>
    <n v="0.42547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9654"/>
    <n v="2"/>
    <x v="0"/>
    <n v="0"/>
    <x v="0"/>
    <n v="0"/>
    <n v="0"/>
    <x v="0"/>
    <n v="0.251149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768834"/>
    <n v="59"/>
    <n v="59"/>
    <x v="2"/>
    <n v="1"/>
    <x v="0"/>
    <n v="1"/>
    <x v="1"/>
    <n v="3"/>
    <n v="1"/>
    <x v="0"/>
    <n v="3"/>
    <n v="2"/>
    <x v="0"/>
    <n v="1"/>
    <x v="0"/>
    <n v="0"/>
    <x v="0"/>
    <n v="1485736"/>
    <n v="2"/>
    <x v="0"/>
    <n v="0"/>
    <x v="0"/>
    <n v="1950374"/>
    <n v="3"/>
    <x v="3"/>
    <n v="0.869237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891491"/>
    <n v="57"/>
    <n v="57"/>
    <x v="2"/>
    <n v="1"/>
    <x v="0"/>
    <n v="1"/>
    <x v="1"/>
    <n v="3"/>
    <n v="1"/>
    <x v="0"/>
    <n v="3"/>
    <n v="2"/>
    <x v="0"/>
    <n v="1"/>
    <x v="0"/>
    <n v="0"/>
    <x v="0"/>
    <n v="2874336"/>
    <n v="2"/>
    <x v="0"/>
    <n v="0"/>
    <x v="0"/>
    <n v="1624981"/>
    <n v="3"/>
    <x v="3"/>
    <n v="0.825609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41943"/>
    <n v="57"/>
    <n v="57"/>
    <x v="2"/>
    <n v="1"/>
    <x v="0"/>
    <n v="1"/>
    <x v="1"/>
    <n v="3"/>
    <n v="1"/>
    <x v="0"/>
    <n v="3"/>
    <n v="2"/>
    <x v="0"/>
    <n v="1"/>
    <x v="0"/>
    <n v="0"/>
    <x v="0"/>
    <n v="2641489"/>
    <n v="2"/>
    <x v="0"/>
    <n v="0"/>
    <x v="0"/>
    <n v="0.48155500000000001"/>
    <n v="0"/>
    <x v="0"/>
    <n v="0.735200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89016"/>
    <n v="57"/>
    <n v="57"/>
    <x v="2"/>
    <n v="1"/>
    <x v="0"/>
    <n v="1"/>
    <x v="1"/>
    <n v="3"/>
    <n v="1"/>
    <x v="0"/>
    <n v="3"/>
    <n v="2"/>
    <x v="0"/>
    <n v="1"/>
    <x v="0"/>
    <n v="0"/>
    <x v="0"/>
    <n v="2417122"/>
    <n v="2"/>
    <x v="0"/>
    <n v="0"/>
    <x v="0"/>
    <n v="0.95272500000000004"/>
    <n v="0"/>
    <x v="0"/>
    <n v="0.57395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367481"/>
    <n v="50"/>
    <n v="50"/>
    <x v="1"/>
    <n v="1"/>
    <x v="0"/>
    <n v="1"/>
    <x v="1"/>
    <n v="3"/>
    <n v="1"/>
    <x v="0"/>
    <n v="3"/>
    <n v="2"/>
    <x v="0"/>
    <n v="1"/>
    <x v="0"/>
    <n v="0"/>
    <x v="0"/>
    <n v="2900857"/>
    <n v="2"/>
    <x v="0"/>
    <n v="0"/>
    <x v="0"/>
    <n v="1508897"/>
    <n v="3"/>
    <x v="3"/>
    <n v="0.625371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51107"/>
    <n v="57"/>
    <n v="57"/>
    <x v="2"/>
    <n v="1"/>
    <x v="0"/>
    <n v="1"/>
    <x v="1"/>
    <n v="3"/>
    <n v="1"/>
    <x v="0"/>
    <n v="3"/>
    <n v="2"/>
    <x v="0"/>
    <n v="1"/>
    <x v="0"/>
    <n v="0"/>
    <x v="0"/>
    <n v="295311"/>
    <n v="2"/>
    <x v="0"/>
    <n v="0"/>
    <x v="0"/>
    <n v="1445148"/>
    <n v="3"/>
    <x v="3"/>
    <n v="0.673209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17988"/>
    <n v="2"/>
    <x v="0"/>
    <n v="0"/>
    <x v="0"/>
    <n v="0"/>
    <n v="0"/>
    <x v="0"/>
    <n v="0.156186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057"/>
    <n v="2"/>
    <x v="0"/>
    <n v="0"/>
    <x v="0"/>
    <n v="0"/>
    <n v="0"/>
    <x v="0"/>
    <n v="0.2048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8646"/>
    <n v="71"/>
    <n v="71"/>
    <x v="2"/>
    <n v="1"/>
    <x v="0"/>
    <n v="1"/>
    <x v="1"/>
    <n v="3"/>
    <n v="1"/>
    <x v="0"/>
    <n v="3"/>
    <n v="2"/>
    <x v="0"/>
    <n v="1"/>
    <x v="0"/>
    <n v="0"/>
    <x v="0"/>
    <n v="2653531"/>
    <n v="2"/>
    <x v="0"/>
    <n v="0"/>
    <x v="0"/>
    <n v="0.19006100000000001"/>
    <n v="0"/>
    <x v="0"/>
    <n v="0.692343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1698767"/>
    <n v="2"/>
    <x v="0"/>
    <n v="0"/>
    <x v="0"/>
    <n v="0"/>
    <n v="0"/>
    <x v="0"/>
    <n v="0.543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2846357"/>
    <n v="62"/>
    <n v="62"/>
    <x v="2"/>
    <n v="1"/>
    <x v="0"/>
    <n v="1"/>
    <x v="1"/>
    <n v="3"/>
    <n v="1"/>
    <x v="0"/>
    <n v="3"/>
    <n v="2"/>
    <x v="0"/>
    <n v="1"/>
    <x v="0"/>
    <n v="0"/>
    <x v="0"/>
    <n v="284837"/>
    <n v="2"/>
    <x v="0"/>
    <n v="0"/>
    <x v="0"/>
    <n v="1206059"/>
    <n v="3"/>
    <x v="3"/>
    <n v="0.766668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885655"/>
    <n v="54"/>
    <n v="54"/>
    <x v="2"/>
    <n v="1"/>
    <x v="0"/>
    <n v="1"/>
    <x v="1"/>
    <n v="3"/>
    <n v="1"/>
    <x v="0"/>
    <n v="3"/>
    <n v="2"/>
    <x v="0"/>
    <n v="1"/>
    <x v="0"/>
    <n v="0"/>
    <x v="0"/>
    <n v="2835622"/>
    <n v="2"/>
    <x v="0"/>
    <n v="0"/>
    <x v="0"/>
    <n v="1419473"/>
    <n v="3"/>
    <x v="3"/>
    <n v="0.816985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30376"/>
    <n v="71"/>
    <n v="71"/>
    <x v="2"/>
    <n v="1"/>
    <x v="0"/>
    <n v="1"/>
    <x v="1"/>
    <n v="3"/>
    <n v="1"/>
    <x v="0"/>
    <n v="3"/>
    <n v="2"/>
    <x v="0"/>
    <n v="1"/>
    <x v="0"/>
    <n v="0"/>
    <x v="0"/>
    <n v="1050564"/>
    <n v="2"/>
    <x v="0"/>
    <n v="0"/>
    <x v="0"/>
    <n v="2.6033000000000001E-2"/>
    <n v="0"/>
    <x v="0"/>
    <n v="0.539074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897815"/>
    <n v="70"/>
    <n v="70"/>
    <x v="2"/>
    <n v="1"/>
    <x v="0"/>
    <n v="1"/>
    <x v="1"/>
    <n v="3"/>
    <n v="1"/>
    <x v="0"/>
    <n v="3"/>
    <n v="2"/>
    <x v="0"/>
    <n v="1"/>
    <x v="0"/>
    <n v="0"/>
    <x v="0"/>
    <n v="1068493"/>
    <n v="2"/>
    <x v="0"/>
    <n v="0"/>
    <x v="0"/>
    <n v="0.112122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13928"/>
    <n v="2"/>
    <x v="0"/>
    <n v="0"/>
    <x v="0"/>
    <n v="0"/>
    <n v="0"/>
    <x v="0"/>
    <n v="0.553092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68792"/>
    <n v="71"/>
    <n v="71"/>
    <x v="2"/>
    <n v="1"/>
    <x v="0"/>
    <n v="1"/>
    <x v="1"/>
    <n v="3"/>
    <n v="1"/>
    <x v="0"/>
    <n v="3"/>
    <n v="2"/>
    <x v="0"/>
    <n v="1"/>
    <x v="0"/>
    <n v="0"/>
    <x v="0"/>
    <n v="1239833"/>
    <n v="2"/>
    <x v="0"/>
    <n v="0"/>
    <x v="0"/>
    <n v="0.16227900000000001"/>
    <n v="0"/>
    <x v="0"/>
    <n v="0.619234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335019"/>
    <n v="50"/>
    <n v="50"/>
    <x v="1"/>
    <n v="1"/>
    <x v="0"/>
    <n v="1"/>
    <x v="1"/>
    <n v="3"/>
    <n v="1"/>
    <x v="0"/>
    <n v="3"/>
    <n v="2"/>
    <x v="0"/>
    <n v="1"/>
    <x v="0"/>
    <n v="0"/>
    <x v="0"/>
    <n v="2861533"/>
    <n v="2"/>
    <x v="0"/>
    <n v="0"/>
    <x v="0"/>
    <n v="170464"/>
    <n v="2"/>
    <x v="1"/>
    <n v="0.655571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700748"/>
    <n v="59"/>
    <n v="59"/>
    <x v="2"/>
    <n v="1"/>
    <x v="0"/>
    <n v="1"/>
    <x v="1"/>
    <n v="3"/>
    <n v="1"/>
    <x v="0"/>
    <n v="3"/>
    <n v="2"/>
    <x v="0"/>
    <n v="1"/>
    <x v="0"/>
    <n v="0"/>
    <x v="0"/>
    <n v="2832659"/>
    <n v="2"/>
    <x v="0"/>
    <n v="0"/>
    <x v="0"/>
    <n v="1505775"/>
    <n v="3"/>
    <x v="3"/>
    <n v="0.923004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222536"/>
    <n v="49"/>
    <n v="49"/>
    <x v="1"/>
    <n v="1"/>
    <x v="0"/>
    <n v="1"/>
    <x v="1"/>
    <n v="3"/>
    <n v="1"/>
    <x v="0"/>
    <n v="3"/>
    <n v="2"/>
    <x v="0"/>
    <n v="1"/>
    <x v="0"/>
    <n v="0"/>
    <x v="0"/>
    <n v="2418488"/>
    <n v="2"/>
    <x v="0"/>
    <n v="0"/>
    <x v="0"/>
    <n v="199507"/>
    <n v="2"/>
    <x v="1"/>
    <n v="0.893514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3756"/>
    <n v="0"/>
    <n v="5"/>
    <x v="0"/>
    <n v="1"/>
    <x v="0"/>
    <n v="1"/>
    <x v="1"/>
    <n v="3"/>
    <n v="1"/>
    <x v="0"/>
    <n v="3"/>
    <n v="2"/>
    <x v="0"/>
    <n v="1"/>
    <x v="0"/>
    <n v="0"/>
    <x v="0"/>
    <n v="2304716"/>
    <n v="2"/>
    <x v="0"/>
    <n v="0"/>
    <x v="0"/>
    <n v="0.82665999999999995"/>
    <n v="0"/>
    <x v="0"/>
    <n v="0.914491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63005"/>
    <n v="2"/>
    <x v="0"/>
    <n v="0"/>
    <x v="0"/>
    <n v="0"/>
    <n v="0"/>
    <x v="0"/>
    <n v="0.10186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52616"/>
    <n v="2"/>
    <x v="0"/>
    <n v="0"/>
    <x v="0"/>
    <n v="0"/>
    <n v="0"/>
    <x v="0"/>
    <n v="0.2505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3198"/>
    <n v="2"/>
    <x v="0"/>
    <n v="0"/>
    <x v="0"/>
    <n v="0"/>
    <n v="0"/>
    <x v="0"/>
    <n v="0.393838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180566"/>
    <n v="2"/>
    <x v="0"/>
    <n v="0"/>
    <x v="0"/>
    <n v="0"/>
    <n v="0"/>
    <x v="0"/>
    <n v="0.519904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43827"/>
    <n v="71"/>
    <n v="71"/>
    <x v="2"/>
    <n v="1"/>
    <x v="0"/>
    <n v="1"/>
    <x v="1"/>
    <n v="3"/>
    <n v="1"/>
    <x v="0"/>
    <n v="3"/>
    <n v="2"/>
    <x v="0"/>
    <n v="1"/>
    <x v="0"/>
    <n v="0"/>
    <x v="0"/>
    <n v="220979"/>
    <n v="2"/>
    <x v="0"/>
    <n v="0"/>
    <x v="0"/>
    <n v="0.11469799999999999"/>
    <n v="0"/>
    <x v="0"/>
    <n v="0.604422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291974"/>
    <n v="69"/>
    <n v="69"/>
    <x v="2"/>
    <n v="1"/>
    <x v="0"/>
    <n v="1"/>
    <x v="1"/>
    <n v="3"/>
    <n v="1"/>
    <x v="0"/>
    <n v="3"/>
    <n v="2"/>
    <x v="0"/>
    <n v="1"/>
    <x v="0"/>
    <n v="0"/>
    <x v="0"/>
    <n v="1444379"/>
    <n v="2"/>
    <x v="0"/>
    <n v="0"/>
    <x v="0"/>
    <n v="0.22448199999999999"/>
    <n v="0"/>
    <x v="0"/>
    <n v="0.912186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653233"/>
    <n v="70"/>
    <n v="70"/>
    <x v="2"/>
    <n v="1"/>
    <x v="0"/>
    <n v="1"/>
    <x v="1"/>
    <n v="3"/>
    <n v="1"/>
    <x v="0"/>
    <n v="3"/>
    <n v="2"/>
    <x v="0"/>
    <n v="1"/>
    <x v="0"/>
    <n v="0"/>
    <x v="0"/>
    <n v="1604075"/>
    <n v="2"/>
    <x v="0"/>
    <n v="0"/>
    <x v="0"/>
    <n v="2.9728000000000001E-2"/>
    <n v="0"/>
    <x v="0"/>
    <n v="0.20012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83865"/>
    <n v="70"/>
    <n v="70"/>
    <x v="2"/>
    <n v="1"/>
    <x v="0"/>
    <n v="1"/>
    <x v="1"/>
    <n v="3"/>
    <n v="1"/>
    <x v="0"/>
    <n v="3"/>
    <n v="2"/>
    <x v="0"/>
    <n v="1"/>
    <x v="0"/>
    <n v="0"/>
    <x v="0"/>
    <n v="1528258"/>
    <n v="2"/>
    <x v="0"/>
    <n v="0"/>
    <x v="0"/>
    <n v="1.5859999999999999E-2"/>
    <n v="0"/>
    <x v="0"/>
    <n v="0.436068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17614"/>
    <n v="5"/>
    <n v="5"/>
    <x v="0"/>
    <n v="1"/>
    <x v="0"/>
    <n v="1"/>
    <x v="1"/>
    <n v="3"/>
    <n v="1"/>
    <x v="0"/>
    <n v="3"/>
    <n v="2"/>
    <x v="0"/>
    <n v="1"/>
    <x v="0"/>
    <n v="0"/>
    <x v="0"/>
    <n v="1228838"/>
    <n v="2"/>
    <x v="0"/>
    <n v="0"/>
    <x v="0"/>
    <n v="0.79255299999999995"/>
    <n v="0"/>
    <x v="0"/>
    <n v="0.639561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07423"/>
    <n v="58"/>
    <n v="58"/>
    <x v="2"/>
    <n v="1"/>
    <x v="0"/>
    <n v="1"/>
    <x v="1"/>
    <n v="3"/>
    <n v="1"/>
    <x v="0"/>
    <n v="3"/>
    <n v="2"/>
    <x v="0"/>
    <n v="1"/>
    <x v="0"/>
    <n v="0"/>
    <x v="0"/>
    <n v="1615548"/>
    <n v="2"/>
    <x v="0"/>
    <n v="0"/>
    <x v="0"/>
    <n v="1376534"/>
    <n v="3"/>
    <x v="3"/>
    <n v="0.92605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33056"/>
    <n v="59"/>
    <n v="59"/>
    <x v="2"/>
    <n v="1"/>
    <x v="0"/>
    <n v="1"/>
    <x v="1"/>
    <n v="3"/>
    <n v="1"/>
    <x v="0"/>
    <n v="3"/>
    <n v="2"/>
    <x v="0"/>
    <n v="1"/>
    <x v="0"/>
    <n v="0"/>
    <x v="0"/>
    <n v="194595"/>
    <n v="2"/>
    <x v="0"/>
    <n v="0"/>
    <x v="0"/>
    <n v="1493018"/>
    <n v="3"/>
    <x v="3"/>
    <n v="0.9066109999999999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09596"/>
    <n v="57"/>
    <n v="57"/>
    <x v="2"/>
    <n v="1"/>
    <x v="0"/>
    <n v="1"/>
    <x v="1"/>
    <n v="3"/>
    <n v="1"/>
    <x v="0"/>
    <n v="3"/>
    <n v="2"/>
    <x v="0"/>
    <n v="1"/>
    <x v="0"/>
    <n v="0"/>
    <x v="0"/>
    <n v="1709556"/>
    <n v="2"/>
    <x v="0"/>
    <n v="0"/>
    <x v="0"/>
    <n v="1592494"/>
    <n v="3"/>
    <x v="3"/>
    <n v="0.925842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07461"/>
    <n v="2"/>
    <x v="0"/>
    <n v="0"/>
    <x v="0"/>
    <n v="0"/>
    <n v="0"/>
    <x v="0"/>
    <n v="0.368472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44135"/>
    <n v="2"/>
    <x v="0"/>
    <n v="0"/>
    <x v="0"/>
    <n v="0"/>
    <n v="0"/>
    <x v="0"/>
    <n v="0.357580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05685"/>
    <n v="2"/>
    <x v="0"/>
    <n v="0"/>
    <x v="0"/>
    <n v="0"/>
    <n v="0"/>
    <x v="0"/>
    <n v="0.199226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4511"/>
    <n v="71"/>
    <n v="71"/>
    <x v="2"/>
    <n v="1"/>
    <x v="0"/>
    <n v="1"/>
    <x v="1"/>
    <n v="3"/>
    <n v="1"/>
    <x v="0"/>
    <n v="3"/>
    <n v="2"/>
    <x v="0"/>
    <n v="1"/>
    <x v="0"/>
    <n v="0"/>
    <x v="0"/>
    <n v="2217348"/>
    <n v="2"/>
    <x v="0"/>
    <n v="0"/>
    <x v="0"/>
    <n v="1.0150000000000001E-3"/>
    <n v="0"/>
    <x v="0"/>
    <n v="0.481030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01969"/>
    <n v="57"/>
    <n v="57"/>
    <x v="2"/>
    <n v="1"/>
    <x v="0"/>
    <n v="1"/>
    <x v="1"/>
    <n v="3"/>
    <n v="1"/>
    <x v="0"/>
    <n v="3"/>
    <n v="2"/>
    <x v="0"/>
    <n v="1"/>
    <x v="0"/>
    <n v="0"/>
    <x v="0"/>
    <n v="1657541"/>
    <n v="2"/>
    <x v="0"/>
    <n v="0"/>
    <x v="0"/>
    <n v="1672639"/>
    <n v="3"/>
    <x v="3"/>
    <n v="0.629284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772251"/>
    <n v="59"/>
    <n v="59"/>
    <x v="2"/>
    <n v="1"/>
    <x v="0"/>
    <n v="1"/>
    <x v="1"/>
    <n v="3"/>
    <n v="1"/>
    <x v="0"/>
    <n v="3"/>
    <n v="2"/>
    <x v="0"/>
    <n v="1"/>
    <x v="0"/>
    <n v="0"/>
    <x v="0"/>
    <n v="1817899"/>
    <n v="2"/>
    <x v="0"/>
    <n v="0"/>
    <x v="0"/>
    <n v="1577824"/>
    <n v="3"/>
    <x v="3"/>
    <n v="0.93083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76197"/>
    <n v="6"/>
    <n v="6"/>
    <x v="0"/>
    <n v="1"/>
    <x v="0"/>
    <n v="1"/>
    <x v="1"/>
    <n v="3"/>
    <n v="1"/>
    <x v="0"/>
    <n v="3"/>
    <n v="2"/>
    <x v="0"/>
    <n v="1"/>
    <x v="0"/>
    <n v="0"/>
    <x v="0"/>
    <n v="2509535"/>
    <n v="2"/>
    <x v="0"/>
    <n v="0"/>
    <x v="0"/>
    <n v="0.33426400000000001"/>
    <n v="0"/>
    <x v="0"/>
    <n v="0.66817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449655"/>
    <n v="66"/>
    <n v="66"/>
    <x v="2"/>
    <n v="1"/>
    <x v="0"/>
    <n v="1"/>
    <x v="1"/>
    <n v="3"/>
    <n v="1"/>
    <x v="0"/>
    <n v="3"/>
    <n v="2"/>
    <x v="0"/>
    <n v="1"/>
    <x v="0"/>
    <n v="0"/>
    <x v="0"/>
    <n v="2578038"/>
    <n v="2"/>
    <x v="0"/>
    <n v="0"/>
    <x v="0"/>
    <n v="0.16542200000000001"/>
    <n v="0"/>
    <x v="0"/>
    <n v="0.4631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378203"/>
    <n v="50"/>
    <n v="50"/>
    <x v="1"/>
    <n v="1"/>
    <x v="0"/>
    <n v="1"/>
    <x v="1"/>
    <n v="3"/>
    <n v="1"/>
    <x v="0"/>
    <n v="3"/>
    <n v="2"/>
    <x v="0"/>
    <n v="1"/>
    <x v="0"/>
    <n v="0"/>
    <x v="0"/>
    <n v="2501638"/>
    <n v="2"/>
    <x v="0"/>
    <n v="0"/>
    <x v="0"/>
    <n v="1546179"/>
    <n v="3"/>
    <x v="3"/>
    <n v="0.664880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725718"/>
    <n v="54"/>
    <n v="54"/>
    <x v="2"/>
    <n v="1"/>
    <x v="0"/>
    <n v="1"/>
    <x v="1"/>
    <n v="3"/>
    <n v="1"/>
    <x v="0"/>
    <n v="3"/>
    <n v="2"/>
    <x v="0"/>
    <n v="1"/>
    <x v="0"/>
    <n v="0"/>
    <x v="0"/>
    <n v="2250711"/>
    <n v="2"/>
    <x v="0"/>
    <n v="0"/>
    <x v="0"/>
    <n v="0.64234999999999998"/>
    <n v="0"/>
    <x v="0"/>
    <n v="0.685128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44018"/>
    <n v="58"/>
    <n v="58"/>
    <x v="2"/>
    <n v="1"/>
    <x v="0"/>
    <n v="1"/>
    <x v="1"/>
    <n v="3"/>
    <n v="1"/>
    <x v="0"/>
    <n v="3"/>
    <n v="2"/>
    <x v="0"/>
    <n v="1"/>
    <x v="0"/>
    <n v="0"/>
    <x v="0"/>
    <n v="236651"/>
    <n v="2"/>
    <x v="0"/>
    <n v="0"/>
    <x v="0"/>
    <n v="1247505"/>
    <n v="3"/>
    <x v="3"/>
    <n v="0.723365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22097"/>
    <n v="58"/>
    <n v="58"/>
    <x v="2"/>
    <n v="1"/>
    <x v="0"/>
    <n v="1"/>
    <x v="1"/>
    <n v="3"/>
    <n v="1"/>
    <x v="0"/>
    <n v="3"/>
    <n v="2"/>
    <x v="0"/>
    <n v="1"/>
    <x v="0"/>
    <n v="0"/>
    <x v="0"/>
    <n v="2309409"/>
    <n v="2"/>
    <x v="0"/>
    <n v="0"/>
    <x v="0"/>
    <n v="168291"/>
    <n v="2"/>
    <x v="1"/>
    <n v="0.705579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262934"/>
    <n v="52"/>
    <n v="52"/>
    <x v="2"/>
    <n v="1"/>
    <x v="0"/>
    <n v="1"/>
    <x v="1"/>
    <n v="3"/>
    <n v="1"/>
    <x v="0"/>
    <n v="3"/>
    <n v="2"/>
    <x v="0"/>
    <n v="1"/>
    <x v="0"/>
    <n v="0"/>
    <x v="0"/>
    <n v="2436261"/>
    <n v="2"/>
    <x v="0"/>
    <n v="0"/>
    <x v="0"/>
    <n v="1464674"/>
    <n v="3"/>
    <x v="3"/>
    <n v="0.870920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566815"/>
    <n v="59"/>
    <n v="59"/>
    <x v="2"/>
    <n v="1"/>
    <x v="0"/>
    <n v="1"/>
    <x v="1"/>
    <n v="3"/>
    <n v="1"/>
    <x v="0"/>
    <n v="3"/>
    <n v="2"/>
    <x v="0"/>
    <n v="1"/>
    <x v="0"/>
    <n v="0"/>
    <x v="0"/>
    <n v="2833566"/>
    <n v="2"/>
    <x v="0"/>
    <n v="0"/>
    <x v="0"/>
    <n v="1413239"/>
    <n v="3"/>
    <x v="3"/>
    <n v="0.862724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475242"/>
    <n v="67"/>
    <n v="67"/>
    <x v="2"/>
    <n v="1"/>
    <x v="0"/>
    <n v="1"/>
    <x v="1"/>
    <n v="3"/>
    <n v="1"/>
    <x v="0"/>
    <n v="3"/>
    <n v="2"/>
    <x v="0"/>
    <n v="1"/>
    <x v="0"/>
    <n v="0"/>
    <x v="0"/>
    <n v="2724099"/>
    <n v="2"/>
    <x v="0"/>
    <n v="0"/>
    <x v="0"/>
    <n v="0.33679500000000001"/>
    <n v="0"/>
    <x v="0"/>
    <n v="0.15346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612462"/>
    <n v="70"/>
    <n v="70"/>
    <x v="2"/>
    <n v="1"/>
    <x v="0"/>
    <n v="1"/>
    <x v="1"/>
    <n v="3"/>
    <n v="1"/>
    <x v="0"/>
    <n v="3"/>
    <n v="2"/>
    <x v="0"/>
    <n v="1"/>
    <x v="0"/>
    <n v="0"/>
    <x v="0"/>
    <n v="2989389"/>
    <n v="2"/>
    <x v="0"/>
    <n v="0"/>
    <x v="0"/>
    <n v="0.36009000000000002"/>
    <n v="0"/>
    <x v="0"/>
    <n v="0.16901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975"/>
    <n v="2"/>
    <x v="0"/>
    <n v="0"/>
    <x v="0"/>
    <n v="0"/>
    <n v="0"/>
    <x v="0"/>
    <n v="0.237306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35454"/>
    <n v="2"/>
    <x v="0"/>
    <n v="0"/>
    <x v="0"/>
    <n v="0"/>
    <n v="0"/>
    <x v="0"/>
    <n v="8.8308999999999999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25537"/>
    <n v="2"/>
    <x v="0"/>
    <n v="0"/>
    <x v="0"/>
    <n v="0"/>
    <n v="0"/>
    <x v="0"/>
    <n v="0.16249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884077"/>
    <n v="2"/>
    <x v="0"/>
    <n v="0"/>
    <x v="0"/>
    <n v="0"/>
    <n v="0"/>
    <x v="0"/>
    <n v="9.6575999999999995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6773"/>
    <n v="7"/>
    <n v="7"/>
    <x v="0"/>
    <n v="1"/>
    <x v="0"/>
    <n v="1"/>
    <x v="1"/>
    <n v="3"/>
    <n v="1"/>
    <x v="0"/>
    <n v="3"/>
    <n v="2"/>
    <x v="0"/>
    <n v="1"/>
    <x v="0"/>
    <n v="0"/>
    <x v="0"/>
    <n v="1919473"/>
    <n v="2"/>
    <x v="0"/>
    <n v="0"/>
    <x v="0"/>
    <n v="2.7101E-2"/>
    <n v="0"/>
    <x v="0"/>
    <n v="0.546136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89938"/>
    <n v="71"/>
    <n v="71"/>
    <x v="2"/>
    <n v="1"/>
    <x v="0"/>
    <n v="1"/>
    <x v="1"/>
    <n v="3"/>
    <n v="1"/>
    <x v="0"/>
    <n v="3"/>
    <n v="2"/>
    <x v="0"/>
    <n v="1"/>
    <x v="0"/>
    <n v="0"/>
    <x v="0"/>
    <n v="2310076"/>
    <n v="2"/>
    <x v="0"/>
    <n v="0"/>
    <x v="0"/>
    <n v="7.1150000000000005E-2"/>
    <n v="0"/>
    <x v="0"/>
    <n v="0.733084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86824"/>
    <n v="2"/>
    <x v="0"/>
    <n v="0"/>
    <x v="0"/>
    <n v="0"/>
    <n v="0"/>
    <x v="0"/>
    <n v="0.540811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617227"/>
    <n v="70"/>
    <n v="70"/>
    <x v="2"/>
    <n v="1"/>
    <x v="0"/>
    <n v="1"/>
    <x v="1"/>
    <n v="3"/>
    <n v="1"/>
    <x v="0"/>
    <n v="3"/>
    <n v="2"/>
    <x v="0"/>
    <n v="1"/>
    <x v="0"/>
    <n v="0"/>
    <x v="0"/>
    <n v="16213"/>
    <n v="2"/>
    <x v="0"/>
    <n v="0"/>
    <x v="0"/>
    <n v="9.0916999999999998E-2"/>
    <n v="0"/>
    <x v="0"/>
    <n v="0.438215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30909"/>
    <n v="57"/>
    <n v="57"/>
    <x v="2"/>
    <n v="1"/>
    <x v="0"/>
    <n v="1"/>
    <x v="1"/>
    <n v="3"/>
    <n v="1"/>
    <x v="0"/>
    <n v="3"/>
    <n v="2"/>
    <x v="0"/>
    <n v="1"/>
    <x v="0"/>
    <n v="0"/>
    <x v="0"/>
    <n v="1517215"/>
    <n v="2"/>
    <x v="0"/>
    <n v="0"/>
    <x v="0"/>
    <n v="1486289"/>
    <n v="3"/>
    <x v="3"/>
    <n v="0.93749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51084"/>
    <n v="57"/>
    <n v="57"/>
    <x v="2"/>
    <n v="1"/>
    <x v="0"/>
    <n v="1"/>
    <x v="1"/>
    <n v="3"/>
    <n v="1"/>
    <x v="0"/>
    <n v="3"/>
    <n v="2"/>
    <x v="0"/>
    <n v="1"/>
    <x v="0"/>
    <n v="0"/>
    <x v="0"/>
    <n v="1796956"/>
    <n v="2"/>
    <x v="0"/>
    <n v="0"/>
    <x v="0"/>
    <n v="1684582"/>
    <n v="3"/>
    <x v="3"/>
    <n v="0.887387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2980221"/>
    <n v="62"/>
    <n v="62"/>
    <x v="2"/>
    <n v="1"/>
    <x v="0"/>
    <n v="1"/>
    <x v="1"/>
    <n v="3"/>
    <n v="1"/>
    <x v="0"/>
    <n v="3"/>
    <n v="2"/>
    <x v="0"/>
    <n v="1"/>
    <x v="0"/>
    <n v="0"/>
    <x v="0"/>
    <n v="2085553"/>
    <n v="2"/>
    <x v="0"/>
    <n v="0"/>
    <x v="0"/>
    <n v="1271651"/>
    <n v="3"/>
    <x v="3"/>
    <n v="0.587932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426036"/>
    <n v="64"/>
    <n v="64"/>
    <x v="2"/>
    <n v="1"/>
    <x v="0"/>
    <n v="1"/>
    <x v="1"/>
    <n v="3"/>
    <n v="1"/>
    <x v="0"/>
    <n v="3"/>
    <n v="2"/>
    <x v="0"/>
    <n v="1"/>
    <x v="0"/>
    <n v="0"/>
    <x v="0"/>
    <n v="2837797"/>
    <n v="2"/>
    <x v="0"/>
    <n v="0"/>
    <x v="0"/>
    <n v="1343875"/>
    <n v="3"/>
    <x v="3"/>
    <n v="0.803155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9185"/>
    <n v="71"/>
    <n v="71"/>
    <x v="2"/>
    <n v="1"/>
    <x v="0"/>
    <n v="1"/>
    <x v="1"/>
    <n v="3"/>
    <n v="1"/>
    <x v="0"/>
    <n v="3"/>
    <n v="2"/>
    <x v="0"/>
    <n v="1"/>
    <x v="0"/>
    <n v="0"/>
    <x v="0"/>
    <n v="1000544"/>
    <n v="2"/>
    <x v="0"/>
    <n v="0"/>
    <x v="0"/>
    <n v="1.297E-3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5934757"/>
    <n v="71"/>
    <n v="71"/>
    <x v="2"/>
    <n v="1"/>
    <x v="0"/>
    <n v="1"/>
    <x v="1"/>
    <n v="3"/>
    <n v="1"/>
    <x v="0"/>
    <n v="3"/>
    <n v="2"/>
    <x v="0"/>
    <n v="1"/>
    <x v="0"/>
    <n v="0"/>
    <x v="0"/>
    <n v="1005864"/>
    <n v="2"/>
    <x v="0"/>
    <n v="0"/>
    <x v="0"/>
    <n v="2.0060000000000001E-2"/>
    <n v="0"/>
    <x v="0"/>
    <n v="0.695837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327723"/>
    <n v="55"/>
    <n v="55"/>
    <x v="2"/>
    <n v="1"/>
    <x v="0"/>
    <n v="1"/>
    <x v="1"/>
    <n v="3"/>
    <n v="1"/>
    <x v="0"/>
    <n v="3"/>
    <n v="2"/>
    <x v="0"/>
    <n v="1"/>
    <x v="0"/>
    <n v="0"/>
    <x v="0"/>
    <n v="2319559"/>
    <n v="2"/>
    <x v="0"/>
    <n v="0"/>
    <x v="0"/>
    <n v="197073"/>
    <n v="2"/>
    <x v="1"/>
    <n v="0.768375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47219"/>
    <n v="5"/>
    <n v="5"/>
    <x v="0"/>
    <n v="1"/>
    <x v="0"/>
    <n v="1"/>
    <x v="1"/>
    <n v="3"/>
    <n v="1"/>
    <x v="0"/>
    <n v="3"/>
    <n v="2"/>
    <x v="0"/>
    <n v="1"/>
    <x v="0"/>
    <n v="0"/>
    <x v="0"/>
    <n v="2069257"/>
    <n v="2"/>
    <x v="0"/>
    <n v="0"/>
    <x v="0"/>
    <n v="1986646"/>
    <n v="3"/>
    <x v="3"/>
    <n v="0.947091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956548"/>
    <n v="2"/>
    <x v="0"/>
    <n v="0"/>
    <x v="0"/>
    <n v="0"/>
    <n v="0"/>
    <x v="0"/>
    <n v="1.0056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77557"/>
    <n v="2"/>
    <x v="0"/>
    <n v="0"/>
    <x v="0"/>
    <n v="0"/>
    <n v="0"/>
    <x v="0"/>
    <n v="5.1858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816445"/>
    <n v="70"/>
    <n v="70"/>
    <x v="2"/>
    <n v="1"/>
    <x v="0"/>
    <n v="1"/>
    <x v="1"/>
    <n v="3"/>
    <n v="1"/>
    <x v="0"/>
    <n v="3"/>
    <n v="2"/>
    <x v="0"/>
    <n v="1"/>
    <x v="0"/>
    <n v="0"/>
    <x v="0"/>
    <n v="1295436"/>
    <n v="2"/>
    <x v="0"/>
    <n v="0"/>
    <x v="0"/>
    <n v="0.28206300000000001"/>
    <n v="0"/>
    <x v="0"/>
    <n v="0.929355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498965"/>
    <n v="69"/>
    <n v="69"/>
    <x v="2"/>
    <n v="1"/>
    <x v="0"/>
    <n v="1"/>
    <x v="1"/>
    <n v="3"/>
    <n v="1"/>
    <x v="0"/>
    <n v="3"/>
    <n v="2"/>
    <x v="0"/>
    <n v="1"/>
    <x v="0"/>
    <n v="0"/>
    <x v="0"/>
    <n v="1241378"/>
    <n v="2"/>
    <x v="0"/>
    <n v="0"/>
    <x v="0"/>
    <n v="0.25942700000000002"/>
    <n v="0"/>
    <x v="0"/>
    <n v="0.852361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137495"/>
    <n v="52"/>
    <n v="52"/>
    <x v="2"/>
    <n v="1"/>
    <x v="0"/>
    <n v="1"/>
    <x v="1"/>
    <n v="3"/>
    <n v="1"/>
    <x v="0"/>
    <n v="3"/>
    <n v="2"/>
    <x v="0"/>
    <n v="1"/>
    <x v="0"/>
    <n v="0"/>
    <x v="0"/>
    <n v="1313834"/>
    <n v="2"/>
    <x v="0"/>
    <n v="0"/>
    <x v="0"/>
    <n v="0.91233399999999998"/>
    <n v="0"/>
    <x v="0"/>
    <n v="0.707493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190733"/>
    <n v="55"/>
    <n v="55"/>
    <x v="2"/>
    <n v="1"/>
    <x v="0"/>
    <n v="1"/>
    <x v="1"/>
    <n v="3"/>
    <n v="1"/>
    <x v="0"/>
    <n v="3"/>
    <n v="2"/>
    <x v="0"/>
    <n v="1"/>
    <x v="0"/>
    <n v="0"/>
    <x v="0"/>
    <n v="1124366"/>
    <n v="2"/>
    <x v="0"/>
    <n v="0"/>
    <x v="0"/>
    <n v="0.87706700000000004"/>
    <n v="0"/>
    <x v="0"/>
    <n v="0.55200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73754"/>
    <n v="2"/>
    <x v="0"/>
    <n v="0"/>
    <x v="0"/>
    <n v="0"/>
    <n v="0"/>
    <x v="0"/>
    <n v="0.339289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485"/>
    <n v="2"/>
    <x v="0"/>
    <n v="0"/>
    <x v="0"/>
    <n v="0"/>
    <n v="0"/>
    <x v="0"/>
    <n v="0.24333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840654"/>
    <n v="59"/>
    <n v="59"/>
    <x v="2"/>
    <n v="1"/>
    <x v="0"/>
    <n v="1"/>
    <x v="1"/>
    <n v="3"/>
    <n v="1"/>
    <x v="0"/>
    <n v="3"/>
    <n v="2"/>
    <x v="0"/>
    <n v="1"/>
    <x v="0"/>
    <n v="0"/>
    <x v="0"/>
    <n v="1607531"/>
    <n v="2"/>
    <x v="0"/>
    <n v="0"/>
    <x v="0"/>
    <n v="1963379"/>
    <n v="3"/>
    <x v="3"/>
    <n v="0.858392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871667"/>
    <n v="57"/>
    <n v="57"/>
    <x v="2"/>
    <n v="1"/>
    <x v="0"/>
    <n v="1"/>
    <x v="1"/>
    <n v="3"/>
    <n v="1"/>
    <x v="0"/>
    <n v="3"/>
    <n v="2"/>
    <x v="0"/>
    <n v="1"/>
    <x v="0"/>
    <n v="0"/>
    <x v="0"/>
    <n v="2748909"/>
    <n v="2"/>
    <x v="0"/>
    <n v="0"/>
    <x v="0"/>
    <n v="1989171"/>
    <n v="3"/>
    <x v="3"/>
    <n v="0.83251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501721"/>
    <n v="58"/>
    <n v="58"/>
    <x v="2"/>
    <n v="1"/>
    <x v="0"/>
    <n v="1"/>
    <x v="1"/>
    <n v="3"/>
    <n v="1"/>
    <x v="0"/>
    <n v="3"/>
    <n v="2"/>
    <x v="0"/>
    <n v="1"/>
    <x v="0"/>
    <n v="0"/>
    <x v="0"/>
    <n v="2351207"/>
    <n v="2"/>
    <x v="0"/>
    <n v="0"/>
    <x v="0"/>
    <n v="0.24683099999999999"/>
    <n v="0"/>
    <x v="0"/>
    <n v="0.913359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521294"/>
    <n v="58"/>
    <n v="58"/>
    <x v="2"/>
    <n v="1"/>
    <x v="0"/>
    <n v="1"/>
    <x v="1"/>
    <n v="3"/>
    <n v="1"/>
    <x v="0"/>
    <n v="3"/>
    <n v="2"/>
    <x v="0"/>
    <n v="1"/>
    <x v="0"/>
    <n v="0"/>
    <x v="0"/>
    <n v="2404049"/>
    <n v="2"/>
    <x v="0"/>
    <n v="0"/>
    <x v="0"/>
    <n v="0.42790499999999998"/>
    <n v="0"/>
    <x v="0"/>
    <n v="0.639893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314593"/>
    <n v="50"/>
    <n v="50"/>
    <x v="1"/>
    <n v="1"/>
    <x v="0"/>
    <n v="1"/>
    <x v="1"/>
    <n v="3"/>
    <n v="1"/>
    <x v="0"/>
    <n v="3"/>
    <n v="2"/>
    <x v="0"/>
    <n v="1"/>
    <x v="0"/>
    <n v="0"/>
    <x v="0"/>
    <n v="2923792"/>
    <n v="2"/>
    <x v="0"/>
    <n v="0"/>
    <x v="0"/>
    <n v="1536555"/>
    <n v="3"/>
    <x v="3"/>
    <n v="0.625349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529746"/>
    <n v="53"/>
    <n v="53"/>
    <x v="2"/>
    <n v="1"/>
    <x v="0"/>
    <n v="1"/>
    <x v="1"/>
    <n v="3"/>
    <n v="1"/>
    <x v="0"/>
    <n v="3"/>
    <n v="2"/>
    <x v="0"/>
    <n v="1"/>
    <x v="0"/>
    <n v="0"/>
    <x v="0"/>
    <n v="2955075"/>
    <n v="2"/>
    <x v="0"/>
    <n v="0"/>
    <x v="0"/>
    <n v="146046"/>
    <n v="2"/>
    <x v="1"/>
    <n v="0.65555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4007"/>
    <n v="2"/>
    <x v="0"/>
    <n v="0"/>
    <x v="0"/>
    <n v="0"/>
    <n v="0"/>
    <x v="0"/>
    <n v="0.25263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11399"/>
    <n v="2"/>
    <x v="0"/>
    <n v="0"/>
    <x v="0"/>
    <n v="0"/>
    <n v="0"/>
    <x v="0"/>
    <n v="0.258471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53563"/>
    <n v="2"/>
    <x v="0"/>
    <n v="0"/>
    <x v="0"/>
    <n v="0"/>
    <n v="0"/>
    <x v="0"/>
    <n v="0.554150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88107"/>
    <n v="2"/>
    <x v="0"/>
    <n v="0"/>
    <x v="0"/>
    <n v="0"/>
    <n v="0"/>
    <x v="0"/>
    <n v="0.465606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768153"/>
    <n v="59"/>
    <n v="59"/>
    <x v="2"/>
    <n v="1"/>
    <x v="0"/>
    <n v="1"/>
    <x v="1"/>
    <n v="3"/>
    <n v="1"/>
    <x v="0"/>
    <n v="3"/>
    <n v="2"/>
    <x v="0"/>
    <n v="1"/>
    <x v="0"/>
    <n v="0"/>
    <x v="0"/>
    <n v="232502"/>
    <n v="2"/>
    <x v="0"/>
    <n v="0"/>
    <x v="0"/>
    <n v="1441791"/>
    <n v="3"/>
    <x v="3"/>
    <n v="0.918467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38416"/>
    <n v="58"/>
    <n v="58"/>
    <x v="2"/>
    <n v="1"/>
    <x v="0"/>
    <n v="1"/>
    <x v="1"/>
    <n v="3"/>
    <n v="1"/>
    <x v="0"/>
    <n v="3"/>
    <n v="2"/>
    <x v="0"/>
    <n v="1"/>
    <x v="0"/>
    <n v="0"/>
    <x v="0"/>
    <n v="2836791"/>
    <n v="2"/>
    <x v="0"/>
    <n v="0"/>
    <x v="0"/>
    <n v="146782"/>
    <n v="2"/>
    <x v="1"/>
    <n v="0.890526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30376"/>
    <n v="71"/>
    <n v="71"/>
    <x v="2"/>
    <n v="1"/>
    <x v="0"/>
    <n v="1"/>
    <x v="1"/>
    <n v="3"/>
    <n v="1"/>
    <x v="0"/>
    <n v="3"/>
    <n v="2"/>
    <x v="0"/>
    <n v="1"/>
    <x v="0"/>
    <n v="0"/>
    <x v="0"/>
    <n v="1019684"/>
    <n v="2"/>
    <x v="0"/>
    <n v="0"/>
    <x v="0"/>
    <n v="2.6033000000000001E-2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5919571"/>
    <n v="71"/>
    <n v="71"/>
    <x v="2"/>
    <n v="1"/>
    <x v="0"/>
    <n v="1"/>
    <x v="1"/>
    <n v="3"/>
    <n v="1"/>
    <x v="0"/>
    <n v="3"/>
    <n v="2"/>
    <x v="0"/>
    <n v="1"/>
    <x v="0"/>
    <n v="0"/>
    <x v="0"/>
    <n v="1032834"/>
    <n v="2"/>
    <x v="0"/>
    <n v="0"/>
    <x v="0"/>
    <n v="4.5249999999999999E-2"/>
    <n v="0"/>
    <x v="0"/>
    <n v="0.922749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18524"/>
    <n v="71"/>
    <n v="71"/>
    <x v="2"/>
    <n v="1"/>
    <x v="0"/>
    <n v="1"/>
    <x v="1"/>
    <n v="3"/>
    <n v="1"/>
    <x v="0"/>
    <n v="3"/>
    <n v="2"/>
    <x v="0"/>
    <n v="1"/>
    <x v="0"/>
    <n v="0"/>
    <x v="0"/>
    <n v="1653049"/>
    <n v="2"/>
    <x v="0"/>
    <n v="0"/>
    <x v="0"/>
    <n v="0.139159"/>
    <n v="0"/>
    <x v="0"/>
    <n v="0.711331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565662"/>
    <n v="70"/>
    <n v="70"/>
    <x v="2"/>
    <n v="1"/>
    <x v="0"/>
    <n v="1"/>
    <x v="1"/>
    <n v="3"/>
    <n v="1"/>
    <x v="0"/>
    <n v="3"/>
    <n v="2"/>
    <x v="0"/>
    <n v="1"/>
    <x v="0"/>
    <n v="0"/>
    <x v="0"/>
    <n v="1204055"/>
    <n v="2"/>
    <x v="0"/>
    <n v="0"/>
    <x v="0"/>
    <n v="9.4851000000000005E-2"/>
    <n v="0"/>
    <x v="0"/>
    <n v="0.603736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744914"/>
    <n v="51"/>
    <n v="51"/>
    <x v="2"/>
    <n v="1"/>
    <x v="0"/>
    <n v="1"/>
    <x v="1"/>
    <n v="3"/>
    <n v="1"/>
    <x v="0"/>
    <n v="3"/>
    <n v="2"/>
    <x v="0"/>
    <n v="1"/>
    <x v="0"/>
    <n v="0"/>
    <x v="0"/>
    <n v="2691591"/>
    <n v="2"/>
    <x v="0"/>
    <n v="0"/>
    <x v="0"/>
    <n v="1168368"/>
    <n v="3"/>
    <x v="3"/>
    <n v="0.735372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704699"/>
    <n v="59"/>
    <n v="59"/>
    <x v="2"/>
    <n v="1"/>
    <x v="0"/>
    <n v="1"/>
    <x v="1"/>
    <n v="3"/>
    <n v="1"/>
    <x v="0"/>
    <n v="3"/>
    <n v="2"/>
    <x v="0"/>
    <n v="1"/>
    <x v="0"/>
    <n v="0"/>
    <x v="0"/>
    <n v="2531456"/>
    <n v="2"/>
    <x v="0"/>
    <n v="0"/>
    <x v="0"/>
    <n v="1980738"/>
    <n v="3"/>
    <x v="3"/>
    <n v="0.835771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089969"/>
    <n v="55"/>
    <n v="55"/>
    <x v="2"/>
    <n v="1"/>
    <x v="0"/>
    <n v="1"/>
    <x v="1"/>
    <n v="3"/>
    <n v="1"/>
    <x v="0"/>
    <n v="3"/>
    <n v="2"/>
    <x v="0"/>
    <n v="1"/>
    <x v="0"/>
    <n v="0"/>
    <x v="0"/>
    <n v="2226081"/>
    <n v="2"/>
    <x v="0"/>
    <n v="0"/>
    <x v="0"/>
    <n v="1881761"/>
    <n v="3"/>
    <x v="3"/>
    <n v="0.933964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20739"/>
    <n v="49"/>
    <n v="49"/>
    <x v="1"/>
    <n v="1"/>
    <x v="0"/>
    <n v="1"/>
    <x v="1"/>
    <n v="3"/>
    <n v="1"/>
    <x v="0"/>
    <n v="3"/>
    <n v="2"/>
    <x v="0"/>
    <n v="1"/>
    <x v="0"/>
    <n v="0"/>
    <x v="0"/>
    <n v="2164718"/>
    <n v="2"/>
    <x v="0"/>
    <n v="0"/>
    <x v="0"/>
    <n v="1999631"/>
    <n v="3"/>
    <x v="3"/>
    <n v="0.941335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70732"/>
    <n v="2"/>
    <x v="0"/>
    <n v="0"/>
    <x v="0"/>
    <n v="0"/>
    <n v="0"/>
    <x v="0"/>
    <n v="0.12523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814517"/>
    <n v="2"/>
    <x v="0"/>
    <n v="0"/>
    <x v="0"/>
    <n v="0"/>
    <n v="0"/>
    <x v="0"/>
    <n v="0.101597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86185"/>
    <n v="71"/>
    <n v="71"/>
    <x v="2"/>
    <n v="1"/>
    <x v="0"/>
    <n v="1"/>
    <x v="1"/>
    <n v="3"/>
    <n v="1"/>
    <x v="0"/>
    <n v="3"/>
    <n v="2"/>
    <x v="0"/>
    <n v="1"/>
    <x v="0"/>
    <n v="0"/>
    <x v="0"/>
    <n v="1626467"/>
    <n v="2"/>
    <x v="0"/>
    <n v="0"/>
    <x v="0"/>
    <n v="1.0182999999999999E-2"/>
    <n v="0"/>
    <x v="0"/>
    <n v="0.412806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82113"/>
    <n v="71"/>
    <n v="71"/>
    <x v="2"/>
    <n v="1"/>
    <x v="0"/>
    <n v="1"/>
    <x v="1"/>
    <n v="3"/>
    <n v="1"/>
    <x v="0"/>
    <n v="3"/>
    <n v="2"/>
    <x v="0"/>
    <n v="1"/>
    <x v="0"/>
    <n v="0"/>
    <x v="0"/>
    <n v="148075"/>
    <n v="2"/>
    <x v="0"/>
    <n v="0"/>
    <x v="0"/>
    <n v="9.8043000000000005E-2"/>
    <n v="0"/>
    <x v="0"/>
    <n v="0.663491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48627"/>
    <n v="70"/>
    <n v="70"/>
    <x v="2"/>
    <n v="1"/>
    <x v="0"/>
    <n v="1"/>
    <x v="1"/>
    <n v="3"/>
    <n v="1"/>
    <x v="0"/>
    <n v="3"/>
    <n v="2"/>
    <x v="0"/>
    <n v="1"/>
    <x v="0"/>
    <n v="0"/>
    <x v="0"/>
    <n v="1526416"/>
    <n v="2"/>
    <x v="0"/>
    <n v="0"/>
    <x v="0"/>
    <n v="0.18015800000000001"/>
    <n v="0"/>
    <x v="0"/>
    <n v="0.747909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9772"/>
    <n v="71"/>
    <n v="71"/>
    <x v="2"/>
    <n v="1"/>
    <x v="0"/>
    <n v="1"/>
    <x v="1"/>
    <n v="3"/>
    <n v="1"/>
    <x v="0"/>
    <n v="3"/>
    <n v="2"/>
    <x v="0"/>
    <n v="1"/>
    <x v="0"/>
    <n v="0"/>
    <x v="0"/>
    <n v="1482002"/>
    <n v="2"/>
    <x v="0"/>
    <n v="0"/>
    <x v="0"/>
    <n v="0.20410800000000001"/>
    <n v="0"/>
    <x v="0"/>
    <n v="0.6572210000000000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653233"/>
    <n v="70"/>
    <n v="70"/>
    <x v="2"/>
    <n v="1"/>
    <x v="0"/>
    <n v="1"/>
    <x v="1"/>
    <n v="3"/>
    <n v="1"/>
    <x v="0"/>
    <n v="3"/>
    <n v="2"/>
    <x v="0"/>
    <n v="1"/>
    <x v="0"/>
    <n v="0"/>
    <x v="0"/>
    <n v="1610472"/>
    <n v="2"/>
    <x v="0"/>
    <n v="0"/>
    <x v="0"/>
    <n v="2.9728000000000001E-2"/>
    <n v="0"/>
    <x v="0"/>
    <n v="0.472343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83865"/>
    <n v="70"/>
    <n v="70"/>
    <x v="2"/>
    <n v="1"/>
    <x v="0"/>
    <n v="1"/>
    <x v="1"/>
    <n v="3"/>
    <n v="1"/>
    <x v="0"/>
    <n v="3"/>
    <n v="2"/>
    <x v="0"/>
    <n v="1"/>
    <x v="0"/>
    <n v="0"/>
    <x v="0"/>
    <n v="1530992"/>
    <n v="2"/>
    <x v="0"/>
    <n v="0"/>
    <x v="0"/>
    <n v="1.5859999999999999E-2"/>
    <n v="0"/>
    <x v="0"/>
    <n v="0.445494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412434"/>
    <n v="58"/>
    <n v="58"/>
    <x v="2"/>
    <n v="1"/>
    <x v="0"/>
    <n v="1"/>
    <x v="1"/>
    <n v="3"/>
    <n v="1"/>
    <x v="0"/>
    <n v="3"/>
    <n v="2"/>
    <x v="0"/>
    <n v="1"/>
    <x v="0"/>
    <n v="0"/>
    <x v="0"/>
    <n v="1484938"/>
    <n v="2"/>
    <x v="0"/>
    <n v="0"/>
    <x v="0"/>
    <n v="0.74224999999999997"/>
    <n v="0"/>
    <x v="0"/>
    <n v="0.604692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277789"/>
    <n v="6"/>
    <n v="6"/>
    <x v="0"/>
    <n v="1"/>
    <x v="0"/>
    <n v="1"/>
    <x v="1"/>
    <n v="3"/>
    <n v="1"/>
    <x v="0"/>
    <n v="3"/>
    <n v="2"/>
    <x v="0"/>
    <n v="1"/>
    <x v="0"/>
    <n v="0"/>
    <x v="0"/>
    <n v="191039"/>
    <n v="2"/>
    <x v="0"/>
    <n v="0"/>
    <x v="0"/>
    <n v="0.21745500000000001"/>
    <n v="0"/>
    <x v="0"/>
    <n v="0.775819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140165"/>
    <n v="57"/>
    <n v="57"/>
    <x v="2"/>
    <n v="1"/>
    <x v="0"/>
    <n v="1"/>
    <x v="1"/>
    <n v="3"/>
    <n v="1"/>
    <x v="0"/>
    <n v="3"/>
    <n v="2"/>
    <x v="0"/>
    <n v="1"/>
    <x v="0"/>
    <n v="0"/>
    <x v="0"/>
    <n v="1411365"/>
    <n v="2"/>
    <x v="0"/>
    <n v="0"/>
    <x v="0"/>
    <n v="1564618"/>
    <n v="3"/>
    <x v="3"/>
    <n v="0.910683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413498"/>
    <n v="58"/>
    <n v="58"/>
    <x v="2"/>
    <n v="1"/>
    <x v="0"/>
    <n v="1"/>
    <x v="1"/>
    <n v="3"/>
    <n v="1"/>
    <x v="0"/>
    <n v="3"/>
    <n v="2"/>
    <x v="0"/>
    <n v="1"/>
    <x v="0"/>
    <n v="0"/>
    <x v="0"/>
    <n v="241752"/>
    <n v="2"/>
    <x v="0"/>
    <n v="0"/>
    <x v="0"/>
    <n v="1556155"/>
    <n v="3"/>
    <x v="3"/>
    <n v="0.873936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88229"/>
    <n v="2"/>
    <x v="0"/>
    <n v="0"/>
    <x v="0"/>
    <n v="0"/>
    <n v="0"/>
    <x v="0"/>
    <n v="0.451376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95094"/>
    <n v="2"/>
    <x v="0"/>
    <n v="0"/>
    <x v="0"/>
    <n v="0"/>
    <n v="0"/>
    <x v="0"/>
    <n v="0.413474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18198"/>
    <n v="2"/>
    <x v="0"/>
    <n v="0"/>
    <x v="0"/>
    <n v="0"/>
    <n v="0"/>
    <x v="0"/>
    <n v="0.38069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5189"/>
    <n v="2"/>
    <x v="0"/>
    <n v="0"/>
    <x v="0"/>
    <n v="0"/>
    <n v="0"/>
    <x v="0"/>
    <n v="0.462973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91371"/>
    <n v="58"/>
    <n v="58"/>
    <x v="2"/>
    <n v="1"/>
    <x v="0"/>
    <n v="1"/>
    <x v="1"/>
    <n v="3"/>
    <n v="1"/>
    <x v="0"/>
    <n v="3"/>
    <n v="2"/>
    <x v="0"/>
    <n v="1"/>
    <x v="0"/>
    <n v="0"/>
    <x v="0"/>
    <n v="1419136"/>
    <n v="2"/>
    <x v="0"/>
    <n v="0"/>
    <x v="0"/>
    <n v="1700889"/>
    <n v="3"/>
    <x v="3"/>
    <n v="0.930888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51982"/>
    <n v="57"/>
    <n v="57"/>
    <x v="2"/>
    <n v="1"/>
    <x v="0"/>
    <n v="1"/>
    <x v="1"/>
    <n v="3"/>
    <n v="1"/>
    <x v="0"/>
    <n v="3"/>
    <n v="2"/>
    <x v="0"/>
    <n v="1"/>
    <x v="0"/>
    <n v="0"/>
    <x v="0"/>
    <n v="1422483"/>
    <n v="2"/>
    <x v="0"/>
    <n v="0"/>
    <x v="0"/>
    <n v="1708971"/>
    <n v="3"/>
    <x v="3"/>
    <n v="0.673008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455303"/>
    <n v="64"/>
    <n v="64"/>
    <x v="2"/>
    <n v="1"/>
    <x v="0"/>
    <n v="1"/>
    <x v="1"/>
    <n v="3"/>
    <n v="1"/>
    <x v="0"/>
    <n v="3"/>
    <n v="2"/>
    <x v="0"/>
    <n v="1"/>
    <x v="0"/>
    <n v="0"/>
    <x v="0"/>
    <n v="2426094"/>
    <n v="2"/>
    <x v="0"/>
    <n v="0"/>
    <x v="0"/>
    <n v="0.294763"/>
    <n v="0"/>
    <x v="0"/>
    <n v="0.737226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69484"/>
    <n v="6"/>
    <n v="6"/>
    <x v="0"/>
    <n v="1"/>
    <x v="0"/>
    <n v="1"/>
    <x v="1"/>
    <n v="3"/>
    <n v="1"/>
    <x v="0"/>
    <n v="3"/>
    <n v="2"/>
    <x v="0"/>
    <n v="1"/>
    <x v="0"/>
    <n v="0"/>
    <x v="0"/>
    <n v="2495961"/>
    <n v="2"/>
    <x v="0"/>
    <n v="0"/>
    <x v="0"/>
    <n v="0.189831"/>
    <n v="0"/>
    <x v="0"/>
    <n v="0.652289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601222"/>
    <n v="56"/>
    <n v="56"/>
    <x v="2"/>
    <n v="1"/>
    <x v="0"/>
    <n v="1"/>
    <x v="1"/>
    <n v="3"/>
    <n v="1"/>
    <x v="0"/>
    <n v="3"/>
    <n v="2"/>
    <x v="0"/>
    <n v="1"/>
    <x v="0"/>
    <n v="0"/>
    <x v="0"/>
    <n v="1797041"/>
    <n v="2"/>
    <x v="0"/>
    <n v="0"/>
    <x v="0"/>
    <n v="1427413"/>
    <n v="3"/>
    <x v="3"/>
    <n v="0.96618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81158"/>
    <n v="5"/>
    <n v="5"/>
    <x v="0"/>
    <n v="1"/>
    <x v="0"/>
    <n v="1"/>
    <x v="1"/>
    <n v="3"/>
    <n v="1"/>
    <x v="0"/>
    <n v="3"/>
    <n v="2"/>
    <x v="0"/>
    <n v="1"/>
    <x v="0"/>
    <n v="0"/>
    <x v="0"/>
    <n v="1768111"/>
    <n v="2"/>
    <x v="0"/>
    <n v="0"/>
    <x v="0"/>
    <n v="0.61650300000000002"/>
    <n v="0"/>
    <x v="0"/>
    <n v="0.968150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993565"/>
    <n v="54"/>
    <n v="54"/>
    <x v="2"/>
    <n v="1"/>
    <x v="0"/>
    <n v="1"/>
    <x v="1"/>
    <n v="3"/>
    <n v="1"/>
    <x v="0"/>
    <n v="3"/>
    <n v="2"/>
    <x v="0"/>
    <n v="1"/>
    <x v="0"/>
    <n v="0"/>
    <x v="0"/>
    <n v="2365188"/>
    <n v="2"/>
    <x v="0"/>
    <n v="0"/>
    <x v="0"/>
    <n v="1256115"/>
    <n v="3"/>
    <x v="3"/>
    <n v="0.76009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074449"/>
    <n v="54"/>
    <n v="54"/>
    <x v="2"/>
    <n v="1"/>
    <x v="0"/>
    <n v="1"/>
    <x v="1"/>
    <n v="3"/>
    <n v="1"/>
    <x v="0"/>
    <n v="3"/>
    <n v="2"/>
    <x v="0"/>
    <n v="1"/>
    <x v="0"/>
    <n v="0"/>
    <x v="0"/>
    <n v="2299156"/>
    <n v="2"/>
    <x v="0"/>
    <n v="0"/>
    <x v="0"/>
    <n v="1699056"/>
    <n v="3"/>
    <x v="3"/>
    <n v="0.729721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904037"/>
    <n v="51"/>
    <n v="51"/>
    <x v="2"/>
    <n v="1"/>
    <x v="0"/>
    <n v="1"/>
    <x v="1"/>
    <n v="3"/>
    <n v="1"/>
    <x v="0"/>
    <n v="3"/>
    <n v="2"/>
    <x v="0"/>
    <n v="1"/>
    <x v="0"/>
    <n v="0"/>
    <x v="0"/>
    <n v="2684819"/>
    <n v="2"/>
    <x v="0"/>
    <n v="0"/>
    <x v="0"/>
    <n v="146525"/>
    <n v="2"/>
    <x v="1"/>
    <n v="0.80449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783234"/>
    <n v="54"/>
    <n v="54"/>
    <x v="2"/>
    <n v="1"/>
    <x v="0"/>
    <n v="1"/>
    <x v="1"/>
    <n v="3"/>
    <n v="1"/>
    <x v="0"/>
    <n v="3"/>
    <n v="2"/>
    <x v="0"/>
    <n v="1"/>
    <x v="0"/>
    <n v="0"/>
    <x v="0"/>
    <n v="284174"/>
    <n v="2"/>
    <x v="0"/>
    <n v="0"/>
    <x v="0"/>
    <n v="1429256"/>
    <n v="3"/>
    <x v="3"/>
    <n v="0.775378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291205"/>
    <n v="66"/>
    <n v="66"/>
    <x v="2"/>
    <n v="1"/>
    <x v="0"/>
    <n v="1"/>
    <x v="1"/>
    <n v="3"/>
    <n v="1"/>
    <x v="0"/>
    <n v="3"/>
    <n v="2"/>
    <x v="0"/>
    <n v="1"/>
    <x v="0"/>
    <n v="0"/>
    <x v="0"/>
    <n v="2796894"/>
    <n v="2"/>
    <x v="0"/>
    <n v="0"/>
    <x v="0"/>
    <n v="0.382189"/>
    <n v="0"/>
    <x v="0"/>
    <n v="0.167789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311534"/>
    <n v="69"/>
    <n v="69"/>
    <x v="2"/>
    <n v="1"/>
    <x v="0"/>
    <n v="1"/>
    <x v="1"/>
    <n v="3"/>
    <n v="1"/>
    <x v="0"/>
    <n v="3"/>
    <n v="2"/>
    <x v="0"/>
    <n v="1"/>
    <x v="0"/>
    <n v="0"/>
    <x v="0"/>
    <n v="2987718"/>
    <n v="2"/>
    <x v="0"/>
    <n v="0"/>
    <x v="0"/>
    <n v="0.38707399999999997"/>
    <n v="0"/>
    <x v="0"/>
    <n v="0.2838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75567"/>
    <n v="2"/>
    <x v="0"/>
    <n v="0"/>
    <x v="0"/>
    <n v="0"/>
    <n v="0"/>
    <x v="0"/>
    <n v="8.1929000000000002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70125"/>
    <n v="2"/>
    <x v="0"/>
    <n v="0"/>
    <x v="0"/>
    <n v="0"/>
    <n v="0"/>
    <x v="0"/>
    <n v="8.8235999999999995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21877"/>
    <n v="2"/>
    <x v="0"/>
    <n v="0"/>
    <x v="0"/>
    <n v="0"/>
    <n v="0"/>
    <x v="0"/>
    <n v="0.15366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2005"/>
    <n v="2"/>
    <x v="0"/>
    <n v="0"/>
    <x v="0"/>
    <n v="0"/>
    <n v="0"/>
    <x v="0"/>
    <n v="0.12744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66504"/>
    <n v="71"/>
    <n v="71"/>
    <x v="2"/>
    <n v="1"/>
    <x v="0"/>
    <n v="1"/>
    <x v="1"/>
    <n v="3"/>
    <n v="1"/>
    <x v="0"/>
    <n v="3"/>
    <n v="2"/>
    <x v="0"/>
    <n v="1"/>
    <x v="0"/>
    <n v="0"/>
    <x v="0"/>
    <n v="2436097"/>
    <n v="2"/>
    <x v="0"/>
    <n v="0"/>
    <x v="0"/>
    <n v="0.12917799999999999"/>
    <n v="0"/>
    <x v="0"/>
    <n v="0.683736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0898"/>
    <n v="71"/>
    <n v="71"/>
    <x v="2"/>
    <n v="1"/>
    <x v="0"/>
    <n v="1"/>
    <x v="1"/>
    <n v="3"/>
    <n v="1"/>
    <x v="0"/>
    <n v="3"/>
    <n v="2"/>
    <x v="0"/>
    <n v="1"/>
    <x v="0"/>
    <n v="0"/>
    <x v="0"/>
    <n v="2535629"/>
    <n v="2"/>
    <x v="0"/>
    <n v="0"/>
    <x v="0"/>
    <n v="0.15271299999999999"/>
    <n v="0"/>
    <x v="0"/>
    <n v="0.77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78779"/>
    <n v="2"/>
    <x v="0"/>
    <n v="0"/>
    <x v="0"/>
    <n v="0"/>
    <n v="0"/>
    <x v="0"/>
    <n v="0.50884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69713"/>
    <n v="2"/>
    <x v="0"/>
    <n v="0"/>
    <x v="0"/>
    <n v="0"/>
    <n v="0"/>
    <x v="0"/>
    <n v="0.39697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848608"/>
    <n v="57"/>
    <n v="57"/>
    <x v="2"/>
    <n v="1"/>
    <x v="0"/>
    <n v="1"/>
    <x v="1"/>
    <n v="3"/>
    <n v="1"/>
    <x v="0"/>
    <n v="3"/>
    <n v="2"/>
    <x v="0"/>
    <n v="1"/>
    <x v="0"/>
    <n v="0"/>
    <x v="0"/>
    <n v="1759352"/>
    <n v="2"/>
    <x v="0"/>
    <n v="0"/>
    <x v="0"/>
    <n v="1469928"/>
    <n v="3"/>
    <x v="3"/>
    <n v="0.950438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801791"/>
    <n v="56"/>
    <n v="56"/>
    <x v="2"/>
    <n v="1"/>
    <x v="0"/>
    <n v="1"/>
    <x v="1"/>
    <n v="3"/>
    <n v="1"/>
    <x v="0"/>
    <n v="3"/>
    <n v="2"/>
    <x v="0"/>
    <n v="1"/>
    <x v="0"/>
    <n v="0"/>
    <x v="0"/>
    <n v="1837184"/>
    <n v="2"/>
    <x v="0"/>
    <n v="0"/>
    <x v="0"/>
    <n v="1525165"/>
    <n v="3"/>
    <x v="3"/>
    <n v="0.926443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712641"/>
    <n v="64"/>
    <n v="64"/>
    <x v="2"/>
    <n v="1"/>
    <x v="0"/>
    <n v="1"/>
    <x v="1"/>
    <n v="3"/>
    <n v="1"/>
    <x v="0"/>
    <n v="3"/>
    <n v="2"/>
    <x v="0"/>
    <n v="1"/>
    <x v="0"/>
    <n v="0"/>
    <x v="0"/>
    <n v="2856795"/>
    <n v="2"/>
    <x v="0"/>
    <n v="0"/>
    <x v="0"/>
    <n v="1046463"/>
    <n v="3"/>
    <x v="3"/>
    <n v="0.58616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063874"/>
    <n v="65"/>
    <n v="65"/>
    <x v="2"/>
    <n v="1"/>
    <x v="0"/>
    <n v="1"/>
    <x v="1"/>
    <n v="3"/>
    <n v="1"/>
    <x v="0"/>
    <n v="3"/>
    <n v="2"/>
    <x v="0"/>
    <n v="1"/>
    <x v="0"/>
    <n v="0"/>
    <x v="0"/>
    <n v="2846259"/>
    <n v="2"/>
    <x v="0"/>
    <n v="0"/>
    <x v="0"/>
    <n v="1295759"/>
    <n v="3"/>
    <x v="3"/>
    <n v="0.723153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774"/>
    <n v="7"/>
    <n v="7"/>
    <x v="0"/>
    <n v="1"/>
    <x v="0"/>
    <n v="1"/>
    <x v="1"/>
    <n v="3"/>
    <n v="1"/>
    <x v="0"/>
    <n v="3"/>
    <n v="2"/>
    <x v="0"/>
    <n v="1"/>
    <x v="0"/>
    <n v="0"/>
    <x v="0"/>
    <n v="1067716"/>
    <n v="2"/>
    <x v="0"/>
    <n v="0"/>
    <x v="0"/>
    <n v="3.0540999999999999E-2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5909353"/>
    <n v="70"/>
    <n v="70"/>
    <x v="2"/>
    <n v="1"/>
    <x v="0"/>
    <n v="1"/>
    <x v="1"/>
    <n v="3"/>
    <n v="1"/>
    <x v="0"/>
    <n v="3"/>
    <n v="2"/>
    <x v="0"/>
    <n v="1"/>
    <x v="0"/>
    <n v="0"/>
    <x v="0"/>
    <n v="1029241"/>
    <n v="2"/>
    <x v="0"/>
    <n v="0"/>
    <x v="0"/>
    <n v="7.5775999999999996E-2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5954995"/>
    <n v="71"/>
    <n v="71"/>
    <x v="2"/>
    <n v="1"/>
    <x v="0"/>
    <n v="1"/>
    <x v="1"/>
    <n v="3"/>
    <n v="1"/>
    <x v="0"/>
    <n v="3"/>
    <n v="2"/>
    <x v="0"/>
    <n v="1"/>
    <x v="0"/>
    <n v="0"/>
    <x v="0"/>
    <n v="1074412"/>
    <n v="2"/>
    <x v="0"/>
    <n v="0"/>
    <x v="0"/>
    <n v="6.2649999999999997E-3"/>
    <n v="0"/>
    <x v="0"/>
    <n v="0.845632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08829"/>
    <n v="70"/>
    <n v="70"/>
    <x v="2"/>
    <n v="1"/>
    <x v="0"/>
    <n v="1"/>
    <x v="1"/>
    <n v="3"/>
    <n v="1"/>
    <x v="0"/>
    <n v="3"/>
    <n v="2"/>
    <x v="0"/>
    <n v="1"/>
    <x v="0"/>
    <n v="0"/>
    <x v="0"/>
    <n v="1030501"/>
    <n v="2"/>
    <x v="0"/>
    <n v="0"/>
    <x v="0"/>
    <n v="6.5820000000000004E-2"/>
    <n v="0"/>
    <x v="0"/>
    <n v="0.991473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297004"/>
    <n v="52"/>
    <n v="52"/>
    <x v="2"/>
    <n v="1"/>
    <x v="0"/>
    <n v="1"/>
    <x v="1"/>
    <n v="3"/>
    <n v="1"/>
    <x v="0"/>
    <n v="3"/>
    <n v="2"/>
    <x v="0"/>
    <n v="1"/>
    <x v="0"/>
    <n v="0"/>
    <x v="0"/>
    <n v="2699675"/>
    <n v="2"/>
    <x v="0"/>
    <n v="0"/>
    <x v="0"/>
    <n v="1520818"/>
    <n v="3"/>
    <x v="3"/>
    <n v="0.763989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301773"/>
    <n v="50"/>
    <n v="50"/>
    <x v="1"/>
    <n v="1"/>
    <x v="0"/>
    <n v="1"/>
    <x v="1"/>
    <n v="3"/>
    <n v="1"/>
    <x v="0"/>
    <n v="3"/>
    <n v="2"/>
    <x v="0"/>
    <n v="1"/>
    <x v="0"/>
    <n v="0"/>
    <x v="0"/>
    <n v="2830247"/>
    <n v="2"/>
    <x v="0"/>
    <n v="0"/>
    <x v="0"/>
    <n v="1783138"/>
    <n v="3"/>
    <x v="3"/>
    <n v="0.789063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872667"/>
    <n v="54"/>
    <n v="54"/>
    <x v="2"/>
    <n v="1"/>
    <x v="0"/>
    <n v="1"/>
    <x v="1"/>
    <n v="3"/>
    <n v="1"/>
    <x v="0"/>
    <n v="3"/>
    <n v="2"/>
    <x v="0"/>
    <n v="1"/>
    <x v="0"/>
    <n v="0"/>
    <x v="0"/>
    <n v="2305521"/>
    <n v="2"/>
    <x v="0"/>
    <n v="0"/>
    <x v="0"/>
    <n v="1956278"/>
    <n v="3"/>
    <x v="3"/>
    <n v="0.923760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13782"/>
    <n v="4"/>
    <n v="4"/>
    <x v="0"/>
    <n v="1"/>
    <x v="0"/>
    <n v="1"/>
    <x v="1"/>
    <n v="3"/>
    <n v="1"/>
    <x v="0"/>
    <n v="3"/>
    <n v="2"/>
    <x v="0"/>
    <n v="1"/>
    <x v="0"/>
    <n v="0"/>
    <x v="0"/>
    <n v="2155926"/>
    <n v="2"/>
    <x v="0"/>
    <n v="0"/>
    <x v="0"/>
    <n v="1999836"/>
    <n v="3"/>
    <x v="3"/>
    <n v="0.946030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84303"/>
    <n v="2"/>
    <x v="0"/>
    <n v="0"/>
    <x v="0"/>
    <n v="0"/>
    <n v="0"/>
    <x v="0"/>
    <n v="0.12777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86417"/>
    <n v="2"/>
    <x v="0"/>
    <n v="0"/>
    <x v="0"/>
    <n v="0"/>
    <n v="0"/>
    <x v="0"/>
    <n v="7.9672999999999994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7201"/>
    <n v="2"/>
    <x v="0"/>
    <n v="0"/>
    <x v="0"/>
    <n v="0"/>
    <n v="0"/>
    <x v="0"/>
    <n v="0.16727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9428"/>
    <n v="2"/>
    <x v="0"/>
    <n v="0"/>
    <x v="0"/>
    <n v="0"/>
    <n v="0"/>
    <x v="0"/>
    <n v="0.228485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42724"/>
    <n v="6"/>
    <n v="6"/>
    <x v="0"/>
    <n v="1"/>
    <x v="0"/>
    <n v="1"/>
    <x v="1"/>
    <n v="3"/>
    <n v="1"/>
    <x v="0"/>
    <n v="3"/>
    <n v="2"/>
    <x v="0"/>
    <n v="1"/>
    <x v="0"/>
    <n v="0"/>
    <x v="0"/>
    <n v="1525127"/>
    <n v="2"/>
    <x v="0"/>
    <n v="0"/>
    <x v="0"/>
    <n v="0.22082499999999999"/>
    <n v="0"/>
    <x v="0"/>
    <n v="0.896105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95187"/>
    <n v="70"/>
    <n v="70"/>
    <x v="2"/>
    <n v="1"/>
    <x v="0"/>
    <n v="1"/>
    <x v="1"/>
    <n v="3"/>
    <n v="1"/>
    <x v="0"/>
    <n v="3"/>
    <n v="2"/>
    <x v="0"/>
    <n v="1"/>
    <x v="0"/>
    <n v="0"/>
    <x v="0"/>
    <n v="1554925"/>
    <n v="2"/>
    <x v="0"/>
    <n v="0"/>
    <x v="0"/>
    <n v="0.20958599999999999"/>
    <n v="0"/>
    <x v="0"/>
    <n v="0.823069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493586"/>
    <n v="69"/>
    <n v="69"/>
    <x v="2"/>
    <n v="1"/>
    <x v="0"/>
    <n v="1"/>
    <x v="1"/>
    <n v="3"/>
    <n v="1"/>
    <x v="0"/>
    <n v="3"/>
    <n v="2"/>
    <x v="0"/>
    <n v="1"/>
    <x v="0"/>
    <n v="0"/>
    <x v="0"/>
    <n v="1170515"/>
    <n v="2"/>
    <x v="0"/>
    <n v="0"/>
    <x v="0"/>
    <n v="0.26483099999999998"/>
    <n v="0"/>
    <x v="0"/>
    <n v="0.896842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524336"/>
    <n v="69"/>
    <n v="69"/>
    <x v="2"/>
    <n v="1"/>
    <x v="0"/>
    <n v="1"/>
    <x v="1"/>
    <n v="3"/>
    <n v="1"/>
    <x v="0"/>
    <n v="3"/>
    <n v="2"/>
    <x v="0"/>
    <n v="1"/>
    <x v="0"/>
    <n v="0"/>
    <x v="0"/>
    <n v="1436616"/>
    <n v="2"/>
    <x v="0"/>
    <n v="0"/>
    <x v="0"/>
    <n v="0.16708600000000001"/>
    <n v="0"/>
    <x v="0"/>
    <n v="0.764716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08785"/>
    <n v="57"/>
    <n v="57"/>
    <x v="2"/>
    <n v="1"/>
    <x v="0"/>
    <n v="1"/>
    <x v="1"/>
    <n v="3"/>
    <n v="1"/>
    <x v="0"/>
    <n v="3"/>
    <n v="2"/>
    <x v="0"/>
    <n v="1"/>
    <x v="0"/>
    <n v="0"/>
    <x v="0"/>
    <n v="1242832"/>
    <n v="2"/>
    <x v="0"/>
    <n v="0"/>
    <x v="0"/>
    <n v="0.53092499999999998"/>
    <n v="0"/>
    <x v="0"/>
    <n v="0.575968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781751"/>
    <n v="56"/>
    <n v="56"/>
    <x v="2"/>
    <n v="1"/>
    <x v="0"/>
    <n v="1"/>
    <x v="1"/>
    <n v="3"/>
    <n v="1"/>
    <x v="0"/>
    <n v="3"/>
    <n v="2"/>
    <x v="0"/>
    <n v="1"/>
    <x v="0"/>
    <n v="0"/>
    <x v="0"/>
    <n v="154249"/>
    <n v="2"/>
    <x v="0"/>
    <n v="0"/>
    <x v="0"/>
    <n v="0.62770000000000004"/>
    <n v="0"/>
    <x v="0"/>
    <n v="0.450479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89104"/>
    <n v="58"/>
    <n v="58"/>
    <x v="2"/>
    <n v="1"/>
    <x v="0"/>
    <n v="1"/>
    <x v="1"/>
    <n v="3"/>
    <n v="1"/>
    <x v="0"/>
    <n v="3"/>
    <n v="2"/>
    <x v="0"/>
    <n v="1"/>
    <x v="0"/>
    <n v="0"/>
    <x v="0"/>
    <n v="1205548"/>
    <n v="2"/>
    <x v="0"/>
    <n v="0"/>
    <x v="0"/>
    <n v="1723934"/>
    <n v="3"/>
    <x v="3"/>
    <n v="0.952351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10732"/>
    <n v="58"/>
    <n v="58"/>
    <x v="2"/>
    <n v="1"/>
    <x v="0"/>
    <n v="1"/>
    <x v="1"/>
    <n v="3"/>
    <n v="1"/>
    <x v="0"/>
    <n v="3"/>
    <n v="2"/>
    <x v="0"/>
    <n v="1"/>
    <x v="0"/>
    <n v="0"/>
    <x v="0"/>
    <n v="1301657"/>
    <n v="2"/>
    <x v="0"/>
    <n v="0"/>
    <x v="0"/>
    <n v="1718543"/>
    <n v="3"/>
    <x v="3"/>
    <n v="0.947883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4315"/>
    <n v="2"/>
    <x v="0"/>
    <n v="0"/>
    <x v="0"/>
    <n v="0"/>
    <n v="0"/>
    <x v="0"/>
    <n v="0.322666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39816"/>
    <n v="2"/>
    <x v="0"/>
    <n v="0"/>
    <x v="0"/>
    <n v="0"/>
    <n v="0"/>
    <x v="0"/>
    <n v="0.452236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8927"/>
    <n v="2"/>
    <x v="0"/>
    <n v="0"/>
    <x v="0"/>
    <n v="0"/>
    <n v="0"/>
    <x v="0"/>
    <n v="0.27896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04827"/>
    <n v="2"/>
    <x v="0"/>
    <n v="0"/>
    <x v="0"/>
    <n v="0"/>
    <n v="0"/>
    <x v="0"/>
    <n v="0.269577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56907"/>
    <n v="59"/>
    <n v="59"/>
    <x v="2"/>
    <n v="1"/>
    <x v="0"/>
    <n v="1"/>
    <x v="1"/>
    <n v="3"/>
    <n v="1"/>
    <x v="0"/>
    <n v="3"/>
    <n v="2"/>
    <x v="0"/>
    <n v="1"/>
    <x v="0"/>
    <n v="0"/>
    <x v="0"/>
    <n v="13954"/>
    <n v="2"/>
    <x v="0"/>
    <n v="0"/>
    <x v="0"/>
    <n v="1931173"/>
    <n v="3"/>
    <x v="3"/>
    <n v="0.878257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760734"/>
    <n v="59"/>
    <n v="59"/>
    <x v="2"/>
    <n v="1"/>
    <x v="0"/>
    <n v="1"/>
    <x v="1"/>
    <n v="3"/>
    <n v="1"/>
    <x v="0"/>
    <n v="3"/>
    <n v="2"/>
    <x v="0"/>
    <n v="1"/>
    <x v="0"/>
    <n v="0"/>
    <x v="0"/>
    <n v="2611654"/>
    <n v="2"/>
    <x v="0"/>
    <n v="0"/>
    <x v="0"/>
    <n v="1618512"/>
    <n v="3"/>
    <x v="3"/>
    <n v="0.86878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28989"/>
    <n v="57"/>
    <n v="57"/>
    <x v="2"/>
    <n v="1"/>
    <x v="0"/>
    <n v="1"/>
    <x v="1"/>
    <n v="3"/>
    <n v="1"/>
    <x v="0"/>
    <n v="3"/>
    <n v="2"/>
    <x v="0"/>
    <n v="1"/>
    <x v="0"/>
    <n v="0"/>
    <x v="0"/>
    <n v="2868167"/>
    <n v="2"/>
    <x v="0"/>
    <n v="0"/>
    <x v="0"/>
    <n v="148372"/>
    <n v="2"/>
    <x v="1"/>
    <n v="0.8350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82238"/>
    <n v="58"/>
    <n v="58"/>
    <x v="2"/>
    <n v="1"/>
    <x v="0"/>
    <n v="1"/>
    <x v="1"/>
    <n v="3"/>
    <n v="1"/>
    <x v="0"/>
    <n v="3"/>
    <n v="2"/>
    <x v="0"/>
    <n v="1"/>
    <x v="0"/>
    <n v="0"/>
    <x v="0"/>
    <n v="2247979"/>
    <n v="2"/>
    <x v="0"/>
    <n v="0"/>
    <x v="0"/>
    <n v="1609938"/>
    <n v="3"/>
    <x v="3"/>
    <n v="0.849235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388049"/>
    <n v="55"/>
    <n v="55"/>
    <x v="2"/>
    <n v="1"/>
    <x v="0"/>
    <n v="1"/>
    <x v="1"/>
    <n v="3"/>
    <n v="1"/>
    <x v="0"/>
    <n v="3"/>
    <n v="2"/>
    <x v="0"/>
    <n v="1"/>
    <x v="0"/>
    <n v="0"/>
    <x v="0"/>
    <n v="2702789"/>
    <n v="2"/>
    <x v="0"/>
    <n v="0"/>
    <x v="0"/>
    <n v="1606109"/>
    <n v="3"/>
    <x v="3"/>
    <n v="0.73121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22206"/>
    <n v="57"/>
    <n v="57"/>
    <x v="2"/>
    <n v="1"/>
    <x v="0"/>
    <n v="1"/>
    <x v="1"/>
    <n v="3"/>
    <n v="1"/>
    <x v="0"/>
    <n v="3"/>
    <n v="2"/>
    <x v="0"/>
    <n v="1"/>
    <x v="0"/>
    <n v="0"/>
    <x v="0"/>
    <n v="1663213"/>
    <n v="2"/>
    <x v="0"/>
    <n v="0"/>
    <x v="0"/>
    <n v="1094035"/>
    <n v="3"/>
    <x v="3"/>
    <n v="0.786664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102241"/>
    <n v="55"/>
    <n v="55"/>
    <x v="2"/>
    <n v="1"/>
    <x v="0"/>
    <n v="1"/>
    <x v="1"/>
    <n v="3"/>
    <n v="1"/>
    <x v="0"/>
    <n v="3"/>
    <n v="2"/>
    <x v="0"/>
    <n v="1"/>
    <x v="0"/>
    <n v="0"/>
    <x v="0"/>
    <n v="2414739"/>
    <n v="2"/>
    <x v="0"/>
    <n v="0"/>
    <x v="0"/>
    <n v="1917014"/>
    <n v="3"/>
    <x v="3"/>
    <n v="0.927981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91969"/>
    <n v="58"/>
    <n v="58"/>
    <x v="2"/>
    <n v="1"/>
    <x v="0"/>
    <n v="1"/>
    <x v="1"/>
    <n v="3"/>
    <n v="1"/>
    <x v="0"/>
    <n v="3"/>
    <n v="2"/>
    <x v="0"/>
    <n v="1"/>
    <x v="0"/>
    <n v="0"/>
    <x v="0"/>
    <n v="2351193"/>
    <n v="2"/>
    <x v="0"/>
    <n v="0"/>
    <x v="0"/>
    <n v="1051889"/>
    <n v="3"/>
    <x v="3"/>
    <n v="0.68649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530998"/>
    <n v="56"/>
    <n v="56"/>
    <x v="2"/>
    <n v="1"/>
    <x v="0"/>
    <n v="1"/>
    <x v="1"/>
    <n v="3"/>
    <n v="1"/>
    <x v="0"/>
    <n v="3"/>
    <n v="2"/>
    <x v="0"/>
    <n v="1"/>
    <x v="0"/>
    <n v="0"/>
    <x v="0"/>
    <n v="2896088"/>
    <n v="2"/>
    <x v="0"/>
    <n v="0"/>
    <x v="0"/>
    <n v="1612741"/>
    <n v="3"/>
    <x v="3"/>
    <n v="0.773190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976968"/>
    <n v="51"/>
    <n v="51"/>
    <x v="2"/>
    <n v="1"/>
    <x v="0"/>
    <n v="1"/>
    <x v="1"/>
    <n v="3"/>
    <n v="1"/>
    <x v="0"/>
    <n v="3"/>
    <n v="2"/>
    <x v="0"/>
    <n v="1"/>
    <x v="0"/>
    <n v="0"/>
    <x v="0"/>
    <n v="2862408"/>
    <n v="2"/>
    <x v="0"/>
    <n v="0"/>
    <x v="0"/>
    <n v="1456933"/>
    <n v="3"/>
    <x v="3"/>
    <n v="0.7424230000000000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24956"/>
    <n v="57"/>
    <n v="57"/>
    <x v="2"/>
    <n v="1"/>
    <x v="0"/>
    <n v="1"/>
    <x v="1"/>
    <n v="3"/>
    <n v="1"/>
    <x v="0"/>
    <n v="3"/>
    <n v="2"/>
    <x v="0"/>
    <n v="1"/>
    <x v="0"/>
    <n v="0"/>
    <x v="0"/>
    <n v="2887659"/>
    <n v="2"/>
    <x v="0"/>
    <n v="0"/>
    <x v="0"/>
    <n v="1480919"/>
    <n v="3"/>
    <x v="3"/>
    <n v="0.779641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8253"/>
    <n v="5"/>
    <n v="5"/>
    <x v="0"/>
    <n v="1"/>
    <x v="0"/>
    <n v="1"/>
    <x v="1"/>
    <n v="3"/>
    <n v="1"/>
    <x v="0"/>
    <n v="3"/>
    <n v="2"/>
    <x v="0"/>
    <n v="1"/>
    <x v="0"/>
    <n v="0"/>
    <x v="0"/>
    <n v="2893062"/>
    <n v="2"/>
    <x v="0"/>
    <n v="0"/>
    <x v="0"/>
    <n v="1408177"/>
    <n v="3"/>
    <x v="3"/>
    <n v="0.807456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19517"/>
    <n v="2"/>
    <x v="0"/>
    <n v="0"/>
    <x v="0"/>
    <n v="0"/>
    <n v="0"/>
    <x v="0"/>
    <n v="0.140367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82804"/>
    <n v="2"/>
    <x v="0"/>
    <n v="0"/>
    <x v="0"/>
    <n v="0"/>
    <n v="0"/>
    <x v="0"/>
    <n v="0.151710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2388"/>
    <n v="2"/>
    <x v="0"/>
    <n v="0"/>
    <x v="0"/>
    <n v="0"/>
    <n v="0"/>
    <x v="0"/>
    <n v="0.196287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17401"/>
    <n v="2"/>
    <x v="0"/>
    <n v="0"/>
    <x v="0"/>
    <n v="0"/>
    <n v="0"/>
    <x v="0"/>
    <n v="0.20037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9174"/>
    <n v="71"/>
    <n v="71"/>
    <x v="2"/>
    <n v="1"/>
    <x v="0"/>
    <n v="1"/>
    <x v="1"/>
    <n v="3"/>
    <n v="1"/>
    <x v="0"/>
    <n v="3"/>
    <n v="2"/>
    <x v="0"/>
    <n v="1"/>
    <x v="0"/>
    <n v="0"/>
    <x v="0"/>
    <n v="2654636"/>
    <n v="2"/>
    <x v="0"/>
    <n v="0"/>
    <x v="0"/>
    <n v="6.9237999999999994E-2"/>
    <n v="0"/>
    <x v="0"/>
    <n v="0.62957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9942"/>
    <n v="71"/>
    <n v="71"/>
    <x v="2"/>
    <n v="1"/>
    <x v="0"/>
    <n v="1"/>
    <x v="1"/>
    <n v="3"/>
    <n v="1"/>
    <x v="0"/>
    <n v="3"/>
    <n v="2"/>
    <x v="0"/>
    <n v="1"/>
    <x v="0"/>
    <n v="0"/>
    <x v="0"/>
    <n v="2569364"/>
    <n v="2"/>
    <x v="0"/>
    <n v="0"/>
    <x v="0"/>
    <n v="0.15925500000000001"/>
    <n v="0"/>
    <x v="0"/>
    <n v="0.419445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1322004"/>
    <n v="2"/>
    <x v="0"/>
    <n v="0"/>
    <x v="0"/>
    <n v="0"/>
    <n v="0"/>
    <x v="0"/>
    <n v="0.539876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1292479"/>
    <n v="2"/>
    <x v="0"/>
    <n v="0"/>
    <x v="0"/>
    <n v="0"/>
    <n v="0"/>
    <x v="0"/>
    <n v="0.541309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365041"/>
    <n v="64"/>
    <n v="64"/>
    <x v="2"/>
    <n v="1"/>
    <x v="0"/>
    <n v="1"/>
    <x v="1"/>
    <n v="3"/>
    <n v="1"/>
    <x v="0"/>
    <n v="3"/>
    <n v="2"/>
    <x v="0"/>
    <n v="1"/>
    <x v="0"/>
    <n v="0"/>
    <x v="0"/>
    <n v="2839069"/>
    <n v="2"/>
    <x v="0"/>
    <n v="0"/>
    <x v="0"/>
    <n v="1231031"/>
    <n v="3"/>
    <x v="3"/>
    <n v="0.792495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421726"/>
    <n v="64"/>
    <n v="64"/>
    <x v="2"/>
    <n v="1"/>
    <x v="0"/>
    <n v="1"/>
    <x v="1"/>
    <n v="3"/>
    <n v="1"/>
    <x v="0"/>
    <n v="3"/>
    <n v="2"/>
    <x v="0"/>
    <n v="1"/>
    <x v="0"/>
    <n v="0"/>
    <x v="0"/>
    <n v="2843782"/>
    <n v="2"/>
    <x v="0"/>
    <n v="0"/>
    <x v="0"/>
    <n v="1302507"/>
    <n v="3"/>
    <x v="3"/>
    <n v="0.773807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826782"/>
    <n v="51"/>
    <n v="51"/>
    <x v="2"/>
    <n v="1"/>
    <x v="0"/>
    <n v="1"/>
    <x v="1"/>
    <n v="3"/>
    <n v="1"/>
    <x v="0"/>
    <n v="3"/>
    <n v="2"/>
    <x v="0"/>
    <n v="1"/>
    <x v="0"/>
    <n v="0"/>
    <x v="0"/>
    <n v="2858389"/>
    <n v="2"/>
    <x v="0"/>
    <n v="0"/>
    <x v="0"/>
    <n v="1444382"/>
    <n v="3"/>
    <x v="3"/>
    <n v="0.71382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94093"/>
    <n v="5"/>
    <n v="5"/>
    <x v="0"/>
    <n v="1"/>
    <x v="0"/>
    <n v="1"/>
    <x v="1"/>
    <n v="3"/>
    <n v="1"/>
    <x v="0"/>
    <n v="3"/>
    <n v="2"/>
    <x v="0"/>
    <n v="1"/>
    <x v="0"/>
    <n v="0"/>
    <x v="0"/>
    <n v="2864933"/>
    <n v="2"/>
    <x v="0"/>
    <n v="0"/>
    <x v="0"/>
    <n v="1501647"/>
    <n v="3"/>
    <x v="3"/>
    <n v="0.786846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21678"/>
    <n v="71"/>
    <n v="71"/>
    <x v="2"/>
    <n v="1"/>
    <x v="0"/>
    <n v="1"/>
    <x v="1"/>
    <n v="3"/>
    <n v="1"/>
    <x v="0"/>
    <n v="3"/>
    <n v="2"/>
    <x v="0"/>
    <n v="1"/>
    <x v="0"/>
    <n v="0"/>
    <x v="0"/>
    <n v="1031701"/>
    <n v="2"/>
    <x v="0"/>
    <n v="0"/>
    <x v="0"/>
    <n v="3.465E-2"/>
    <n v="0"/>
    <x v="0"/>
    <n v="0.912344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40153"/>
    <n v="71"/>
    <n v="71"/>
    <x v="2"/>
    <n v="1"/>
    <x v="0"/>
    <n v="1"/>
    <x v="1"/>
    <n v="3"/>
    <n v="1"/>
    <x v="0"/>
    <n v="3"/>
    <n v="2"/>
    <x v="0"/>
    <n v="1"/>
    <x v="0"/>
    <n v="0"/>
    <x v="0"/>
    <n v="1000536"/>
    <n v="2"/>
    <x v="0"/>
    <n v="0"/>
    <x v="0"/>
    <n v="5.9389999999999998E-3"/>
    <n v="0"/>
    <x v="0"/>
    <n v="0.56635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9636"/>
    <n v="71"/>
    <n v="71"/>
    <x v="2"/>
    <n v="1"/>
    <x v="0"/>
    <n v="1"/>
    <x v="1"/>
    <n v="3"/>
    <n v="1"/>
    <x v="0"/>
    <n v="3"/>
    <n v="2"/>
    <x v="0"/>
    <n v="1"/>
    <x v="0"/>
    <n v="0"/>
    <x v="0"/>
    <n v="1020313"/>
    <n v="2"/>
    <x v="0"/>
    <n v="0"/>
    <x v="0"/>
    <n v="0.108386"/>
    <n v="0"/>
    <x v="0"/>
    <n v="1"/>
    <n v="1"/>
    <x v="0"/>
    <n v="1"/>
    <x v="1"/>
    <n v="0"/>
    <x v="0"/>
    <n v="0"/>
    <x v="0"/>
    <n v="0"/>
    <x v="0"/>
    <n v="1"/>
    <x v="0"/>
    <n v="0"/>
    <x v="0"/>
    <n v="1"/>
    <x v="1"/>
  </r>
  <r>
    <n v="0"/>
    <s v="F"/>
    <n v="25907833"/>
    <n v="70"/>
    <n v="70"/>
    <x v="2"/>
    <n v="1"/>
    <x v="0"/>
    <n v="1"/>
    <x v="1"/>
    <n v="3"/>
    <n v="1"/>
    <x v="0"/>
    <n v="3"/>
    <n v="2"/>
    <x v="0"/>
    <n v="1"/>
    <x v="0"/>
    <n v="0"/>
    <x v="0"/>
    <n v="1063422"/>
    <n v="2"/>
    <x v="0"/>
    <n v="0"/>
    <x v="0"/>
    <n v="5.1096999999999997E-2"/>
    <n v="0"/>
    <x v="0"/>
    <n v="0.543117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1194"/>
    <n v="71"/>
    <n v="71"/>
    <x v="2"/>
    <n v="1"/>
    <x v="0"/>
    <n v="1"/>
    <x v="1"/>
    <n v="3"/>
    <n v="1"/>
    <x v="0"/>
    <n v="3"/>
    <n v="2"/>
    <x v="0"/>
    <n v="1"/>
    <x v="0"/>
    <n v="0"/>
    <x v="0"/>
    <n v="245126"/>
    <n v="2"/>
    <x v="0"/>
    <n v="0"/>
    <x v="0"/>
    <n v="4.3688999999999999E-2"/>
    <n v="0"/>
    <x v="0"/>
    <n v="0.670402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3154"/>
    <n v="71"/>
    <n v="71"/>
    <x v="2"/>
    <n v="1"/>
    <x v="0"/>
    <n v="1"/>
    <x v="1"/>
    <n v="3"/>
    <n v="1"/>
    <x v="0"/>
    <n v="3"/>
    <n v="2"/>
    <x v="0"/>
    <n v="1"/>
    <x v="0"/>
    <n v="0"/>
    <x v="0"/>
    <n v="2613504"/>
    <n v="2"/>
    <x v="0"/>
    <n v="0"/>
    <x v="0"/>
    <n v="6.7985000000000004E-2"/>
    <n v="0"/>
    <x v="0"/>
    <n v="0.778631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88668"/>
    <n v="71"/>
    <n v="71"/>
    <x v="2"/>
    <n v="1"/>
    <x v="0"/>
    <n v="1"/>
    <x v="1"/>
    <n v="3"/>
    <n v="1"/>
    <x v="0"/>
    <n v="3"/>
    <n v="2"/>
    <x v="0"/>
    <n v="1"/>
    <x v="0"/>
    <n v="0"/>
    <x v="0"/>
    <n v="1042989"/>
    <n v="2"/>
    <x v="0"/>
    <n v="0"/>
    <x v="0"/>
    <n v="9.7114000000000006E-2"/>
    <n v="0"/>
    <x v="0"/>
    <n v="0.429539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76209"/>
    <n v="71"/>
    <n v="71"/>
    <x v="2"/>
    <n v="1"/>
    <x v="0"/>
    <n v="1"/>
    <x v="1"/>
    <n v="3"/>
    <n v="1"/>
    <x v="0"/>
    <n v="3"/>
    <n v="2"/>
    <x v="0"/>
    <n v="1"/>
    <x v="0"/>
    <n v="0"/>
    <x v="0"/>
    <n v="1237557"/>
    <n v="2"/>
    <x v="0"/>
    <n v="0"/>
    <x v="0"/>
    <n v="8.3674999999999999E-2"/>
    <n v="0"/>
    <x v="0"/>
    <n v="0.543761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743587"/>
    <n v="51"/>
    <n v="51"/>
    <x v="2"/>
    <n v="1"/>
    <x v="0"/>
    <n v="1"/>
    <x v="1"/>
    <n v="3"/>
    <n v="1"/>
    <x v="0"/>
    <n v="3"/>
    <n v="2"/>
    <x v="0"/>
    <n v="1"/>
    <x v="0"/>
    <n v="0"/>
    <x v="0"/>
    <n v="283377"/>
    <n v="2"/>
    <x v="0"/>
    <n v="0"/>
    <x v="0"/>
    <n v="0.80642199999999997"/>
    <n v="0"/>
    <x v="0"/>
    <n v="0.672513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323767"/>
    <n v="55"/>
    <n v="55"/>
    <x v="2"/>
    <n v="1"/>
    <x v="0"/>
    <n v="1"/>
    <x v="1"/>
    <n v="3"/>
    <n v="1"/>
    <x v="0"/>
    <n v="3"/>
    <n v="2"/>
    <x v="0"/>
    <n v="1"/>
    <x v="0"/>
    <n v="0"/>
    <x v="0"/>
    <n v="2816052"/>
    <n v="2"/>
    <x v="0"/>
    <n v="0"/>
    <x v="0"/>
    <n v="1571865"/>
    <n v="3"/>
    <x v="3"/>
    <n v="0.688057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94047"/>
    <n v="58"/>
    <n v="58"/>
    <x v="2"/>
    <n v="1"/>
    <x v="0"/>
    <n v="1"/>
    <x v="1"/>
    <n v="3"/>
    <n v="1"/>
    <x v="0"/>
    <n v="3"/>
    <n v="2"/>
    <x v="0"/>
    <n v="1"/>
    <x v="0"/>
    <n v="0"/>
    <x v="0"/>
    <n v="2682909"/>
    <n v="2"/>
    <x v="0"/>
    <n v="0"/>
    <x v="0"/>
    <n v="1318743"/>
    <n v="3"/>
    <x v="3"/>
    <n v="0.900496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838323"/>
    <n v="59"/>
    <n v="59"/>
    <x v="2"/>
    <n v="1"/>
    <x v="0"/>
    <n v="1"/>
    <x v="1"/>
    <n v="3"/>
    <n v="1"/>
    <x v="0"/>
    <n v="3"/>
    <n v="2"/>
    <x v="0"/>
    <n v="1"/>
    <x v="0"/>
    <n v="0"/>
    <x v="0"/>
    <n v="2640539"/>
    <n v="2"/>
    <x v="0"/>
    <n v="0"/>
    <x v="0"/>
    <n v="1879818"/>
    <n v="3"/>
    <x v="3"/>
    <n v="0.885993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20634"/>
    <n v="4"/>
    <n v="4"/>
    <x v="0"/>
    <n v="1"/>
    <x v="0"/>
    <n v="1"/>
    <x v="1"/>
    <n v="3"/>
    <n v="1"/>
    <x v="0"/>
    <n v="3"/>
    <n v="2"/>
    <x v="0"/>
    <n v="1"/>
    <x v="0"/>
    <n v="0"/>
    <x v="0"/>
    <n v="2472903"/>
    <n v="2"/>
    <x v="0"/>
    <n v="0"/>
    <x v="0"/>
    <n v="1998047"/>
    <n v="3"/>
    <x v="3"/>
    <n v="0.84091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532826"/>
    <n v="50"/>
    <n v="50"/>
    <x v="1"/>
    <n v="1"/>
    <x v="0"/>
    <n v="1"/>
    <x v="1"/>
    <n v="3"/>
    <n v="1"/>
    <x v="0"/>
    <n v="3"/>
    <n v="2"/>
    <x v="0"/>
    <n v="1"/>
    <x v="0"/>
    <n v="0"/>
    <x v="0"/>
    <n v="2372058"/>
    <n v="2"/>
    <x v="0"/>
    <n v="0"/>
    <x v="0"/>
    <n v="1324805"/>
    <n v="3"/>
    <x v="3"/>
    <n v="0.870794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438478"/>
    <n v="55"/>
    <n v="55"/>
    <x v="2"/>
    <n v="1"/>
    <x v="0"/>
    <n v="1"/>
    <x v="1"/>
    <n v="3"/>
    <n v="1"/>
    <x v="0"/>
    <n v="3"/>
    <n v="2"/>
    <x v="0"/>
    <n v="1"/>
    <x v="0"/>
    <n v="0"/>
    <x v="0"/>
    <n v="2387991"/>
    <n v="2"/>
    <x v="0"/>
    <n v="0"/>
    <x v="0"/>
    <n v="0.850715"/>
    <n v="0"/>
    <x v="0"/>
    <n v="0.6564910000000000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796266"/>
    <n v="56"/>
    <n v="56"/>
    <x v="2"/>
    <n v="1"/>
    <x v="0"/>
    <n v="1"/>
    <x v="1"/>
    <n v="3"/>
    <n v="1"/>
    <x v="0"/>
    <n v="3"/>
    <n v="2"/>
    <x v="0"/>
    <n v="1"/>
    <x v="0"/>
    <n v="0"/>
    <x v="0"/>
    <n v="2322003"/>
    <n v="2"/>
    <x v="0"/>
    <n v="0"/>
    <x v="0"/>
    <n v="0.886602"/>
    <n v="0"/>
    <x v="0"/>
    <n v="0.84328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37353"/>
    <n v="2"/>
    <x v="0"/>
    <n v="0"/>
    <x v="0"/>
    <n v="0"/>
    <n v="0"/>
    <x v="0"/>
    <n v="7.6093999999999995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39351"/>
    <n v="2"/>
    <x v="0"/>
    <n v="0"/>
    <x v="0"/>
    <n v="0"/>
    <n v="0"/>
    <x v="0"/>
    <n v="6.4768999999999993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32498"/>
    <n v="2"/>
    <x v="0"/>
    <n v="0"/>
    <x v="0"/>
    <n v="0"/>
    <n v="0"/>
    <x v="0"/>
    <n v="0.14079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32253"/>
    <n v="2"/>
    <x v="0"/>
    <n v="0"/>
    <x v="0"/>
    <n v="0"/>
    <n v="0"/>
    <x v="0"/>
    <n v="0.24420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7721"/>
    <n v="2"/>
    <x v="0"/>
    <n v="0"/>
    <x v="0"/>
    <n v="0"/>
    <n v="0"/>
    <x v="0"/>
    <n v="0.402075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2898"/>
    <n v="71"/>
    <n v="71"/>
    <x v="2"/>
    <n v="1"/>
    <x v="0"/>
    <n v="1"/>
    <x v="1"/>
    <n v="3"/>
    <n v="1"/>
    <x v="0"/>
    <n v="3"/>
    <n v="2"/>
    <x v="0"/>
    <n v="1"/>
    <x v="0"/>
    <n v="0"/>
    <x v="0"/>
    <n v="2419153"/>
    <n v="2"/>
    <x v="0"/>
    <n v="0"/>
    <x v="0"/>
    <n v="1.9404000000000001E-2"/>
    <n v="0"/>
    <x v="0"/>
    <n v="0.597625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09052"/>
    <n v="2"/>
    <x v="0"/>
    <n v="0"/>
    <x v="0"/>
    <n v="0"/>
    <n v="0"/>
    <x v="0"/>
    <n v="0.548590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476002"/>
    <n v="2"/>
    <x v="0"/>
    <n v="0"/>
    <x v="0"/>
    <n v="0"/>
    <n v="0"/>
    <x v="0"/>
    <n v="0.546344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1737"/>
    <n v="71"/>
    <n v="71"/>
    <x v="2"/>
    <n v="1"/>
    <x v="0"/>
    <n v="1"/>
    <x v="1"/>
    <n v="3"/>
    <n v="1"/>
    <x v="0"/>
    <n v="3"/>
    <n v="2"/>
    <x v="0"/>
    <n v="1"/>
    <x v="0"/>
    <n v="0"/>
    <x v="0"/>
    <n v="2225139"/>
    <n v="2"/>
    <x v="0"/>
    <n v="0"/>
    <x v="0"/>
    <n v="3.5928000000000002E-2"/>
    <n v="0"/>
    <x v="0"/>
    <n v="0.56531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82261"/>
    <n v="71"/>
    <n v="71"/>
    <x v="2"/>
    <n v="1"/>
    <x v="0"/>
    <n v="1"/>
    <x v="1"/>
    <n v="3"/>
    <n v="1"/>
    <x v="0"/>
    <n v="3"/>
    <n v="2"/>
    <x v="0"/>
    <n v="1"/>
    <x v="0"/>
    <n v="0"/>
    <x v="0"/>
    <n v="2556068"/>
    <n v="2"/>
    <x v="0"/>
    <n v="0"/>
    <x v="0"/>
    <n v="1.6820000000000002E-2"/>
    <n v="0"/>
    <x v="0"/>
    <n v="0.582840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470652"/>
    <n v="69"/>
    <n v="69"/>
    <x v="2"/>
    <n v="1"/>
    <x v="0"/>
    <n v="1"/>
    <x v="1"/>
    <n v="3"/>
    <n v="1"/>
    <x v="0"/>
    <n v="3"/>
    <n v="2"/>
    <x v="0"/>
    <n v="1"/>
    <x v="0"/>
    <n v="0"/>
    <x v="0"/>
    <n v="1423073"/>
    <n v="2"/>
    <x v="0"/>
    <n v="0"/>
    <x v="0"/>
    <n v="0.197993"/>
    <n v="0"/>
    <x v="0"/>
    <n v="0.763359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289428"/>
    <n v="69"/>
    <n v="69"/>
    <x v="2"/>
    <n v="1"/>
    <x v="0"/>
    <n v="1"/>
    <x v="1"/>
    <n v="3"/>
    <n v="1"/>
    <x v="0"/>
    <n v="3"/>
    <n v="2"/>
    <x v="0"/>
    <n v="1"/>
    <x v="0"/>
    <n v="0"/>
    <x v="0"/>
    <n v="1299194"/>
    <n v="2"/>
    <x v="0"/>
    <n v="0"/>
    <x v="0"/>
    <n v="0.23430300000000001"/>
    <n v="0"/>
    <x v="0"/>
    <n v="0.946887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696073"/>
    <n v="70"/>
    <n v="70"/>
    <x v="2"/>
    <n v="1"/>
    <x v="0"/>
    <n v="1"/>
    <x v="1"/>
    <n v="3"/>
    <n v="1"/>
    <x v="0"/>
    <n v="3"/>
    <n v="2"/>
    <x v="0"/>
    <n v="1"/>
    <x v="0"/>
    <n v="0"/>
    <x v="0"/>
    <n v="1679489"/>
    <n v="2"/>
    <x v="0"/>
    <n v="0"/>
    <x v="0"/>
    <n v="1.7804E-2"/>
    <n v="0"/>
    <x v="0"/>
    <n v="0.2152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561868"/>
    <n v="70"/>
    <n v="70"/>
    <x v="2"/>
    <n v="1"/>
    <x v="0"/>
    <n v="1"/>
    <x v="1"/>
    <n v="3"/>
    <n v="1"/>
    <x v="0"/>
    <n v="3"/>
    <n v="2"/>
    <x v="0"/>
    <n v="1"/>
    <x v="0"/>
    <n v="0"/>
    <x v="0"/>
    <n v="149583"/>
    <n v="2"/>
    <x v="0"/>
    <n v="0"/>
    <x v="0"/>
    <n v="0.10932699999999999"/>
    <n v="0"/>
    <x v="0"/>
    <n v="0.38412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834018"/>
    <n v="70"/>
    <n v="70"/>
    <x v="2"/>
    <n v="1"/>
    <x v="0"/>
    <n v="1"/>
    <x v="1"/>
    <n v="3"/>
    <n v="1"/>
    <x v="0"/>
    <n v="3"/>
    <n v="2"/>
    <x v="0"/>
    <n v="1"/>
    <x v="0"/>
    <n v="0"/>
    <x v="0"/>
    <n v="181786"/>
    <n v="2"/>
    <x v="0"/>
    <n v="0"/>
    <x v="0"/>
    <n v="1.1161000000000001E-2"/>
    <n v="0"/>
    <x v="0"/>
    <n v="0.447224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895546"/>
    <n v="70"/>
    <n v="70"/>
    <x v="2"/>
    <n v="1"/>
    <x v="0"/>
    <n v="1"/>
    <x v="1"/>
    <n v="3"/>
    <n v="1"/>
    <x v="0"/>
    <n v="3"/>
    <n v="2"/>
    <x v="0"/>
    <n v="1"/>
    <x v="0"/>
    <n v="0"/>
    <x v="0"/>
    <n v="1967707"/>
    <n v="2"/>
    <x v="0"/>
    <n v="0"/>
    <x v="0"/>
    <n v="1.4370000000000001E-2"/>
    <n v="0"/>
    <x v="0"/>
    <n v="0.43407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035557"/>
    <n v="52"/>
    <n v="52"/>
    <x v="2"/>
    <n v="1"/>
    <x v="0"/>
    <n v="1"/>
    <x v="1"/>
    <n v="3"/>
    <n v="1"/>
    <x v="0"/>
    <n v="3"/>
    <n v="2"/>
    <x v="0"/>
    <n v="1"/>
    <x v="0"/>
    <n v="0"/>
    <x v="0"/>
    <n v="1441289"/>
    <n v="2"/>
    <x v="0"/>
    <n v="0"/>
    <x v="0"/>
    <n v="1425712"/>
    <n v="3"/>
    <x v="3"/>
    <n v="0.66227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634286"/>
    <n v="51"/>
    <n v="51"/>
    <x v="2"/>
    <n v="1"/>
    <x v="0"/>
    <n v="1"/>
    <x v="1"/>
    <n v="3"/>
    <n v="1"/>
    <x v="0"/>
    <n v="3"/>
    <n v="2"/>
    <x v="0"/>
    <n v="1"/>
    <x v="0"/>
    <n v="0"/>
    <x v="0"/>
    <n v="1144539"/>
    <n v="2"/>
    <x v="0"/>
    <n v="0"/>
    <x v="0"/>
    <n v="0.922014"/>
    <n v="0"/>
    <x v="0"/>
    <n v="0.8996729999999999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700876"/>
    <n v="56"/>
    <n v="56"/>
    <x v="2"/>
    <n v="1"/>
    <x v="0"/>
    <n v="1"/>
    <x v="1"/>
    <n v="3"/>
    <n v="1"/>
    <x v="0"/>
    <n v="3"/>
    <n v="2"/>
    <x v="0"/>
    <n v="1"/>
    <x v="0"/>
    <n v="0"/>
    <x v="0"/>
    <n v="1353167"/>
    <n v="2"/>
    <x v="0"/>
    <n v="0"/>
    <x v="0"/>
    <n v="1093679"/>
    <n v="3"/>
    <x v="3"/>
    <n v="0.5345529999999999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741442"/>
    <n v="56"/>
    <n v="56"/>
    <x v="2"/>
    <n v="1"/>
    <x v="0"/>
    <n v="1"/>
    <x v="1"/>
    <n v="3"/>
    <n v="1"/>
    <x v="0"/>
    <n v="3"/>
    <n v="2"/>
    <x v="0"/>
    <n v="1"/>
    <x v="0"/>
    <n v="0"/>
    <x v="0"/>
    <n v="1409444"/>
    <n v="2"/>
    <x v="0"/>
    <n v="0"/>
    <x v="0"/>
    <n v="0.93359499999999995"/>
    <n v="0"/>
    <x v="0"/>
    <n v="0.840392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95892"/>
    <n v="59"/>
    <n v="59"/>
    <x v="2"/>
    <n v="1"/>
    <x v="0"/>
    <n v="1"/>
    <x v="1"/>
    <n v="3"/>
    <n v="1"/>
    <x v="0"/>
    <n v="3"/>
    <n v="2"/>
    <x v="0"/>
    <n v="1"/>
    <x v="0"/>
    <n v="0"/>
    <x v="0"/>
    <n v="1959287"/>
    <n v="2"/>
    <x v="0"/>
    <n v="0"/>
    <x v="0"/>
    <n v="1433151"/>
    <n v="3"/>
    <x v="3"/>
    <n v="0.91133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35977"/>
    <n v="59"/>
    <n v="59"/>
    <x v="2"/>
    <n v="1"/>
    <x v="0"/>
    <n v="1"/>
    <x v="1"/>
    <n v="3"/>
    <n v="1"/>
    <x v="0"/>
    <n v="3"/>
    <n v="2"/>
    <x v="0"/>
    <n v="1"/>
    <x v="0"/>
    <n v="0"/>
    <x v="0"/>
    <n v="1931163"/>
    <n v="2"/>
    <x v="0"/>
    <n v="0"/>
    <x v="0"/>
    <n v="1562213"/>
    <n v="3"/>
    <x v="3"/>
    <n v="0.926564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32659"/>
    <n v="58"/>
    <n v="58"/>
    <x v="2"/>
    <n v="1"/>
    <x v="0"/>
    <n v="1"/>
    <x v="1"/>
    <n v="3"/>
    <n v="1"/>
    <x v="0"/>
    <n v="3"/>
    <n v="2"/>
    <x v="0"/>
    <n v="1"/>
    <x v="0"/>
    <n v="0"/>
    <x v="0"/>
    <n v="1651462"/>
    <n v="2"/>
    <x v="0"/>
    <n v="0"/>
    <x v="0"/>
    <n v="1655993"/>
    <n v="3"/>
    <x v="3"/>
    <n v="0.939981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08297"/>
    <n v="57"/>
    <n v="57"/>
    <x v="2"/>
    <n v="1"/>
    <x v="0"/>
    <n v="1"/>
    <x v="1"/>
    <n v="3"/>
    <n v="1"/>
    <x v="0"/>
    <n v="3"/>
    <n v="2"/>
    <x v="0"/>
    <n v="1"/>
    <x v="0"/>
    <n v="0"/>
    <x v="0"/>
    <n v="1683448"/>
    <n v="2"/>
    <x v="0"/>
    <n v="0"/>
    <x v="0"/>
    <n v="1645532"/>
    <n v="3"/>
    <x v="3"/>
    <n v="0.858059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62949"/>
    <n v="71"/>
    <n v="71"/>
    <x v="2"/>
    <n v="1"/>
    <x v="0"/>
    <n v="1"/>
    <x v="1"/>
    <n v="3"/>
    <n v="1"/>
    <x v="0"/>
    <n v="3"/>
    <n v="2"/>
    <x v="0"/>
    <n v="1"/>
    <x v="0"/>
    <n v="0"/>
    <x v="0"/>
    <n v="2395387"/>
    <n v="2"/>
    <x v="0"/>
    <n v="0"/>
    <x v="0"/>
    <n v="2.72E-4"/>
    <n v="0"/>
    <x v="0"/>
    <n v="0.46153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23793"/>
    <n v="2"/>
    <x v="0"/>
    <n v="0"/>
    <x v="0"/>
    <n v="0"/>
    <n v="0"/>
    <x v="0"/>
    <n v="0.38395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38896"/>
    <n v="2"/>
    <x v="0"/>
    <n v="0"/>
    <x v="0"/>
    <n v="0"/>
    <n v="0"/>
    <x v="0"/>
    <n v="0.224559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66178"/>
    <n v="2"/>
    <x v="0"/>
    <n v="0"/>
    <x v="0"/>
    <n v="0"/>
    <n v="0"/>
    <x v="0"/>
    <n v="0.276907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495851"/>
    <n v="2"/>
    <x v="0"/>
    <n v="0"/>
    <x v="0"/>
    <n v="0"/>
    <n v="0"/>
    <x v="0"/>
    <n v="0.21864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09188"/>
    <n v="2"/>
    <x v="0"/>
    <n v="0"/>
    <x v="0"/>
    <n v="0"/>
    <n v="0"/>
    <x v="0"/>
    <n v="0.174029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64788"/>
    <n v="71"/>
    <n v="71"/>
    <x v="2"/>
    <n v="1"/>
    <x v="0"/>
    <n v="1"/>
    <x v="1"/>
    <n v="3"/>
    <n v="1"/>
    <x v="0"/>
    <n v="3"/>
    <n v="2"/>
    <x v="0"/>
    <n v="1"/>
    <x v="0"/>
    <n v="0"/>
    <x v="0"/>
    <n v="2471721"/>
    <n v="2"/>
    <x v="0"/>
    <n v="0"/>
    <x v="0"/>
    <n v="9.6000000000000002E-5"/>
    <n v="0"/>
    <x v="0"/>
    <n v="0.433462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4949"/>
    <n v="71"/>
    <n v="71"/>
    <x v="2"/>
    <n v="1"/>
    <x v="0"/>
    <n v="1"/>
    <x v="1"/>
    <n v="3"/>
    <n v="1"/>
    <x v="0"/>
    <n v="3"/>
    <n v="2"/>
    <x v="0"/>
    <n v="1"/>
    <x v="0"/>
    <n v="0"/>
    <x v="0"/>
    <n v="2447306"/>
    <n v="2"/>
    <x v="0"/>
    <n v="0"/>
    <x v="0"/>
    <n v="4.5399999999999998E-4"/>
    <n v="0"/>
    <x v="0"/>
    <n v="0.486557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52737"/>
    <n v="57"/>
    <n v="57"/>
    <x v="2"/>
    <n v="1"/>
    <x v="0"/>
    <n v="1"/>
    <x v="1"/>
    <n v="3"/>
    <n v="1"/>
    <x v="0"/>
    <n v="3"/>
    <n v="2"/>
    <x v="0"/>
    <n v="1"/>
    <x v="0"/>
    <n v="0"/>
    <x v="0"/>
    <n v="1674061"/>
    <n v="2"/>
    <x v="0"/>
    <n v="0"/>
    <x v="0"/>
    <n v="1683497"/>
    <n v="3"/>
    <x v="3"/>
    <n v="0.780198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78166"/>
    <n v="57"/>
    <n v="57"/>
    <x v="2"/>
    <n v="1"/>
    <x v="0"/>
    <n v="1"/>
    <x v="1"/>
    <n v="3"/>
    <n v="1"/>
    <x v="0"/>
    <n v="3"/>
    <n v="2"/>
    <x v="0"/>
    <n v="1"/>
    <x v="0"/>
    <n v="0"/>
    <x v="0"/>
    <n v="1678791"/>
    <n v="2"/>
    <x v="0"/>
    <n v="0"/>
    <x v="0"/>
    <n v="168249"/>
    <n v="2"/>
    <x v="1"/>
    <n v="0.818871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7447"/>
    <n v="5"/>
    <n v="5"/>
    <x v="0"/>
    <n v="1"/>
    <x v="0"/>
    <n v="1"/>
    <x v="1"/>
    <n v="3"/>
    <n v="1"/>
    <x v="0"/>
    <n v="3"/>
    <n v="2"/>
    <x v="0"/>
    <n v="1"/>
    <x v="0"/>
    <n v="0"/>
    <x v="0"/>
    <n v="1777805"/>
    <n v="2"/>
    <x v="0"/>
    <n v="0"/>
    <x v="0"/>
    <n v="1584716"/>
    <n v="3"/>
    <x v="3"/>
    <n v="0.927340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568951"/>
    <n v="59"/>
    <n v="59"/>
    <x v="2"/>
    <n v="1"/>
    <x v="0"/>
    <n v="1"/>
    <x v="1"/>
    <n v="3"/>
    <n v="1"/>
    <x v="0"/>
    <n v="3"/>
    <n v="2"/>
    <x v="0"/>
    <n v="1"/>
    <x v="0"/>
    <n v="0"/>
    <x v="0"/>
    <n v="1733306"/>
    <n v="2"/>
    <x v="0"/>
    <n v="0"/>
    <x v="0"/>
    <n v="1773304"/>
    <n v="3"/>
    <x v="3"/>
    <n v="0.921135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647935"/>
    <n v="64"/>
    <n v="64"/>
    <x v="2"/>
    <n v="1"/>
    <x v="0"/>
    <n v="1"/>
    <x v="1"/>
    <n v="3"/>
    <n v="1"/>
    <x v="0"/>
    <n v="3"/>
    <n v="2"/>
    <x v="0"/>
    <n v="1"/>
    <x v="0"/>
    <n v="0"/>
    <x v="0"/>
    <n v="2435978"/>
    <n v="2"/>
    <x v="0"/>
    <n v="0"/>
    <x v="0"/>
    <n v="0.232742"/>
    <n v="0"/>
    <x v="0"/>
    <n v="0.69260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196367"/>
    <n v="66"/>
    <n v="66"/>
    <x v="2"/>
    <n v="1"/>
    <x v="0"/>
    <n v="1"/>
    <x v="1"/>
    <n v="3"/>
    <n v="1"/>
    <x v="0"/>
    <n v="3"/>
    <n v="2"/>
    <x v="0"/>
    <n v="1"/>
    <x v="0"/>
    <n v="0"/>
    <x v="0"/>
    <n v="2909675"/>
    <n v="2"/>
    <x v="0"/>
    <n v="0"/>
    <x v="0"/>
    <n v="0.36090800000000001"/>
    <n v="0"/>
    <x v="0"/>
    <n v="0.573887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284833"/>
    <n v="66"/>
    <n v="66"/>
    <x v="2"/>
    <n v="1"/>
    <x v="0"/>
    <n v="1"/>
    <x v="1"/>
    <n v="3"/>
    <n v="1"/>
    <x v="0"/>
    <n v="3"/>
    <n v="2"/>
    <x v="0"/>
    <n v="1"/>
    <x v="0"/>
    <n v="0"/>
    <x v="0"/>
    <n v="275137"/>
    <n v="2"/>
    <x v="0"/>
    <n v="0"/>
    <x v="0"/>
    <n v="0.32491300000000001"/>
    <n v="0"/>
    <x v="0"/>
    <n v="0.51676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693108"/>
    <n v="67"/>
    <n v="67"/>
    <x v="2"/>
    <n v="1"/>
    <x v="0"/>
    <n v="1"/>
    <x v="1"/>
    <n v="3"/>
    <n v="1"/>
    <x v="0"/>
    <n v="3"/>
    <n v="2"/>
    <x v="0"/>
    <n v="1"/>
    <x v="0"/>
    <n v="0"/>
    <x v="0"/>
    <n v="2887909"/>
    <n v="2"/>
    <x v="0"/>
    <n v="0"/>
    <x v="0"/>
    <n v="0.31292300000000001"/>
    <n v="0"/>
    <x v="0"/>
    <n v="0.210996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862264"/>
    <n v="51"/>
    <n v="51"/>
    <x v="2"/>
    <n v="1"/>
    <x v="0"/>
    <n v="1"/>
    <x v="1"/>
    <n v="3"/>
    <n v="1"/>
    <x v="0"/>
    <n v="3"/>
    <n v="2"/>
    <x v="0"/>
    <n v="1"/>
    <x v="0"/>
    <n v="0"/>
    <x v="0"/>
    <n v="2411582"/>
    <n v="2"/>
    <x v="0"/>
    <n v="0"/>
    <x v="0"/>
    <n v="0.98528700000000002"/>
    <n v="0"/>
    <x v="0"/>
    <n v="0.675076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423482"/>
    <n v="50"/>
    <n v="50"/>
    <x v="1"/>
    <n v="1"/>
    <x v="0"/>
    <n v="1"/>
    <x v="1"/>
    <n v="3"/>
    <n v="1"/>
    <x v="0"/>
    <n v="3"/>
    <n v="2"/>
    <x v="0"/>
    <n v="1"/>
    <x v="0"/>
    <n v="0"/>
    <x v="0"/>
    <n v="238639"/>
    <n v="2"/>
    <x v="0"/>
    <n v="0"/>
    <x v="0"/>
    <n v="1544632"/>
    <n v="3"/>
    <x v="3"/>
    <n v="0.900066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394082"/>
    <n v="55"/>
    <n v="55"/>
    <x v="2"/>
    <n v="1"/>
    <x v="0"/>
    <n v="1"/>
    <x v="1"/>
    <n v="3"/>
    <n v="1"/>
    <x v="0"/>
    <n v="3"/>
    <n v="2"/>
    <x v="0"/>
    <n v="1"/>
    <x v="0"/>
    <n v="0"/>
    <x v="0"/>
    <n v="2232601"/>
    <n v="2"/>
    <x v="0"/>
    <n v="0"/>
    <x v="0"/>
    <n v="0.55432300000000001"/>
    <n v="0"/>
    <x v="0"/>
    <n v="0.836150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217015"/>
    <n v="55"/>
    <n v="55"/>
    <x v="2"/>
    <n v="1"/>
    <x v="0"/>
    <n v="1"/>
    <x v="1"/>
    <n v="3"/>
    <n v="1"/>
    <x v="0"/>
    <n v="3"/>
    <n v="2"/>
    <x v="0"/>
    <n v="1"/>
    <x v="0"/>
    <n v="0"/>
    <x v="0"/>
    <n v="1755907"/>
    <n v="2"/>
    <x v="0"/>
    <n v="0"/>
    <x v="0"/>
    <n v="148809"/>
    <n v="2"/>
    <x v="1"/>
    <n v="0.857717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330178"/>
    <n v="58"/>
    <n v="58"/>
    <x v="2"/>
    <n v="1"/>
    <x v="0"/>
    <n v="1"/>
    <x v="1"/>
    <n v="3"/>
    <n v="1"/>
    <x v="0"/>
    <n v="3"/>
    <n v="2"/>
    <x v="0"/>
    <n v="1"/>
    <x v="0"/>
    <n v="0"/>
    <x v="0"/>
    <n v="2336349"/>
    <n v="2"/>
    <x v="0"/>
    <n v="0"/>
    <x v="0"/>
    <n v="14164"/>
    <n v="2"/>
    <x v="1"/>
    <n v="0.711724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528936"/>
    <n v="53"/>
    <n v="53"/>
    <x v="2"/>
    <n v="1"/>
    <x v="0"/>
    <n v="1"/>
    <x v="1"/>
    <n v="3"/>
    <n v="1"/>
    <x v="0"/>
    <n v="3"/>
    <n v="2"/>
    <x v="0"/>
    <n v="1"/>
    <x v="0"/>
    <n v="0"/>
    <x v="0"/>
    <n v="2562002"/>
    <n v="2"/>
    <x v="0"/>
    <n v="0"/>
    <x v="0"/>
    <n v="1976427"/>
    <n v="3"/>
    <x v="3"/>
    <n v="0.74033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364339"/>
    <n v="53"/>
    <n v="53"/>
    <x v="2"/>
    <n v="1"/>
    <x v="0"/>
    <n v="1"/>
    <x v="1"/>
    <n v="3"/>
    <n v="1"/>
    <x v="0"/>
    <n v="3"/>
    <n v="2"/>
    <x v="0"/>
    <n v="1"/>
    <x v="0"/>
    <n v="0"/>
    <x v="0"/>
    <n v="2305574"/>
    <n v="2"/>
    <x v="0"/>
    <n v="0"/>
    <x v="0"/>
    <n v="1734424"/>
    <n v="3"/>
    <x v="3"/>
    <n v="0.86304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131526"/>
    <n v="57"/>
    <n v="57"/>
    <x v="2"/>
    <n v="1"/>
    <x v="0"/>
    <n v="1"/>
    <x v="1"/>
    <n v="3"/>
    <n v="1"/>
    <x v="0"/>
    <n v="3"/>
    <n v="2"/>
    <x v="0"/>
    <n v="1"/>
    <x v="0"/>
    <n v="0"/>
    <x v="0"/>
    <n v="2319912"/>
    <n v="2"/>
    <x v="0"/>
    <n v="0"/>
    <x v="0"/>
    <n v="1582675"/>
    <n v="3"/>
    <x v="3"/>
    <n v="0.680745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9012872"/>
    <n v="52"/>
    <n v="52"/>
    <x v="2"/>
    <n v="1"/>
    <x v="0"/>
    <n v="1"/>
    <x v="1"/>
    <n v="3"/>
    <n v="1"/>
    <x v="0"/>
    <n v="3"/>
    <n v="2"/>
    <x v="0"/>
    <n v="1"/>
    <x v="0"/>
    <n v="0"/>
    <x v="0"/>
    <n v="270196"/>
    <n v="2"/>
    <x v="0"/>
    <n v="0"/>
    <x v="0"/>
    <n v="1465909"/>
    <n v="3"/>
    <x v="3"/>
    <n v="0.81323500000000004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18469086"/>
    <n v="50"/>
    <n v="50"/>
    <x v="1"/>
    <n v="1"/>
    <x v="0"/>
    <n v="1"/>
    <x v="1"/>
    <n v="3"/>
    <n v="1"/>
    <x v="0"/>
    <n v="3"/>
    <n v="2"/>
    <x v="0"/>
    <n v="1"/>
    <x v="0"/>
    <n v="0"/>
    <x v="0"/>
    <n v="2474518"/>
    <n v="2"/>
    <x v="0"/>
    <n v="0"/>
    <x v="0"/>
    <n v="1560261"/>
    <n v="3"/>
    <x v="3"/>
    <n v="0.662488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572114"/>
    <n v="59"/>
    <n v="59"/>
    <x v="2"/>
    <n v="1"/>
    <x v="0"/>
    <n v="1"/>
    <x v="1"/>
    <n v="3"/>
    <n v="1"/>
    <x v="0"/>
    <n v="3"/>
    <n v="2"/>
    <x v="0"/>
    <n v="1"/>
    <x v="0"/>
    <n v="0"/>
    <x v="0"/>
    <n v="2748569"/>
    <n v="2"/>
    <x v="0"/>
    <n v="0"/>
    <x v="0"/>
    <n v="1427037"/>
    <n v="3"/>
    <x v="3"/>
    <n v="0.902824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80123"/>
    <n v="59"/>
    <n v="59"/>
    <x v="2"/>
    <n v="1"/>
    <x v="0"/>
    <n v="1"/>
    <x v="1"/>
    <n v="3"/>
    <n v="1"/>
    <x v="0"/>
    <n v="3"/>
    <n v="2"/>
    <x v="0"/>
    <n v="1"/>
    <x v="0"/>
    <n v="0"/>
    <x v="0"/>
    <n v="2827773"/>
    <n v="2"/>
    <x v="0"/>
    <n v="0"/>
    <x v="0"/>
    <n v="1412357"/>
    <n v="3"/>
    <x v="3"/>
    <n v="0.901070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469756"/>
    <n v="67"/>
    <n v="67"/>
    <x v="2"/>
    <n v="1"/>
    <x v="0"/>
    <n v="1"/>
    <x v="1"/>
    <n v="3"/>
    <n v="1"/>
    <x v="0"/>
    <n v="3"/>
    <n v="2"/>
    <x v="0"/>
    <n v="1"/>
    <x v="0"/>
    <n v="0"/>
    <x v="0"/>
    <n v="2632224"/>
    <n v="2"/>
    <x v="0"/>
    <n v="0"/>
    <x v="0"/>
    <n v="0.30096400000000001"/>
    <n v="0"/>
    <x v="0"/>
    <n v="0.269560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12791"/>
    <n v="6"/>
    <n v="6"/>
    <x v="0"/>
    <n v="1"/>
    <x v="0"/>
    <n v="1"/>
    <x v="1"/>
    <n v="3"/>
    <n v="1"/>
    <x v="0"/>
    <n v="3"/>
    <n v="2"/>
    <x v="0"/>
    <n v="1"/>
    <x v="0"/>
    <n v="0"/>
    <x v="0"/>
    <n v="2868679"/>
    <n v="2"/>
    <x v="0"/>
    <n v="0"/>
    <x v="0"/>
    <n v="0.115369"/>
    <n v="0"/>
    <x v="0"/>
    <n v="2.8583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86368"/>
    <n v="71"/>
    <n v="71"/>
    <x v="2"/>
    <n v="1"/>
    <x v="0"/>
    <n v="1"/>
    <x v="1"/>
    <n v="3"/>
    <n v="1"/>
    <x v="0"/>
    <n v="3"/>
    <n v="2"/>
    <x v="0"/>
    <n v="1"/>
    <x v="0"/>
    <n v="0"/>
    <x v="0"/>
    <n v="2930137"/>
    <n v="2"/>
    <x v="0"/>
    <n v="0"/>
    <x v="0"/>
    <n v="4.3101E-2"/>
    <n v="0"/>
    <x v="0"/>
    <n v="0.13862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1979"/>
    <n v="71"/>
    <n v="71"/>
    <x v="2"/>
    <n v="1"/>
    <x v="0"/>
    <n v="1"/>
    <x v="1"/>
    <n v="3"/>
    <n v="1"/>
    <x v="0"/>
    <n v="3"/>
    <n v="2"/>
    <x v="0"/>
    <n v="1"/>
    <x v="0"/>
    <n v="0"/>
    <x v="0"/>
    <n v="2961899"/>
    <n v="2"/>
    <x v="0"/>
    <n v="0"/>
    <x v="0"/>
    <n v="0.25942399999999999"/>
    <n v="0"/>
    <x v="0"/>
    <n v="8.0128000000000005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50672"/>
    <n v="2"/>
    <x v="0"/>
    <n v="0"/>
    <x v="0"/>
    <n v="0"/>
    <n v="0"/>
    <x v="0"/>
    <n v="0.224654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584305"/>
    <n v="2"/>
    <x v="0"/>
    <n v="0"/>
    <x v="0"/>
    <n v="0"/>
    <n v="0"/>
    <x v="0"/>
    <n v="0.232108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21976"/>
    <n v="2"/>
    <x v="0"/>
    <n v="0"/>
    <x v="0"/>
    <n v="0"/>
    <n v="0"/>
    <x v="0"/>
    <n v="0.12386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22276"/>
    <n v="2"/>
    <x v="0"/>
    <n v="0"/>
    <x v="0"/>
    <n v="0"/>
    <n v="0"/>
    <x v="0"/>
    <n v="9.1711000000000001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34342"/>
    <n v="2"/>
    <x v="0"/>
    <n v="0"/>
    <x v="0"/>
    <n v="0"/>
    <n v="0"/>
    <x v="0"/>
    <n v="0.178300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61939"/>
    <n v="2"/>
    <x v="0"/>
    <n v="0"/>
    <x v="0"/>
    <n v="0"/>
    <n v="0"/>
    <x v="0"/>
    <n v="0.17103399999999999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8678"/>
    <n v="2"/>
    <x v="0"/>
    <n v="0"/>
    <x v="0"/>
    <n v="0"/>
    <n v="0"/>
    <x v="0"/>
    <n v="9.776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6"/>
    <n v="26"/>
    <n v="26"/>
    <x v="1"/>
    <n v="1"/>
    <x v="0"/>
    <n v="1"/>
    <x v="1"/>
    <n v="3"/>
    <n v="1"/>
    <x v="0"/>
    <n v="3"/>
    <n v="2"/>
    <x v="0"/>
    <n v="1"/>
    <x v="0"/>
    <n v="0"/>
    <x v="0"/>
    <n v="2768141"/>
    <n v="2"/>
    <x v="0"/>
    <n v="0"/>
    <x v="0"/>
    <n v="0"/>
    <n v="0"/>
    <x v="0"/>
    <n v="9.4213000000000005E-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7731"/>
    <n v="7"/>
    <n v="7"/>
    <x v="0"/>
    <n v="1"/>
    <x v="0"/>
    <n v="1"/>
    <x v="1"/>
    <n v="3"/>
    <n v="1"/>
    <x v="0"/>
    <n v="3"/>
    <n v="2"/>
    <x v="0"/>
    <n v="1"/>
    <x v="0"/>
    <n v="0"/>
    <x v="0"/>
    <n v="171659"/>
    <n v="2"/>
    <x v="0"/>
    <n v="0"/>
    <x v="0"/>
    <n v="1.2719999999999999E-3"/>
    <n v="0"/>
    <x v="0"/>
    <n v="0.54599299999999995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55014"/>
    <n v="71"/>
    <n v="71"/>
    <x v="2"/>
    <n v="1"/>
    <x v="0"/>
    <n v="1"/>
    <x v="1"/>
    <n v="3"/>
    <n v="1"/>
    <x v="0"/>
    <n v="3"/>
    <n v="2"/>
    <x v="0"/>
    <n v="1"/>
    <x v="0"/>
    <n v="0"/>
    <x v="0"/>
    <n v="2094901"/>
    <n v="2"/>
    <x v="0"/>
    <n v="0"/>
    <x v="0"/>
    <n v="7.0889999999999995E-2"/>
    <n v="0"/>
    <x v="0"/>
    <n v="0.59944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6716"/>
    <n v="71"/>
    <n v="71"/>
    <x v="2"/>
    <n v="1"/>
    <x v="0"/>
    <n v="1"/>
    <x v="1"/>
    <n v="3"/>
    <n v="1"/>
    <x v="0"/>
    <n v="3"/>
    <n v="2"/>
    <x v="0"/>
    <n v="1"/>
    <x v="0"/>
    <n v="0"/>
    <x v="0"/>
    <n v="2347322"/>
    <n v="2"/>
    <x v="0"/>
    <n v="0"/>
    <x v="0"/>
    <n v="8.0129999999999993E-3"/>
    <n v="0"/>
    <x v="0"/>
    <n v="0.503896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92348"/>
    <n v="71"/>
    <n v="71"/>
    <x v="2"/>
    <n v="1"/>
    <x v="0"/>
    <n v="1"/>
    <x v="1"/>
    <n v="3"/>
    <n v="1"/>
    <x v="0"/>
    <n v="3"/>
    <n v="2"/>
    <x v="0"/>
    <n v="1"/>
    <x v="0"/>
    <n v="0"/>
    <x v="0"/>
    <n v="2331123"/>
    <n v="2"/>
    <x v="0"/>
    <n v="0"/>
    <x v="0"/>
    <n v="6.3382999999999995E-2"/>
    <n v="0"/>
    <x v="0"/>
    <n v="0.561660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974446"/>
    <n v="71"/>
    <n v="71"/>
    <x v="2"/>
    <n v="1"/>
    <x v="0"/>
    <n v="1"/>
    <x v="1"/>
    <n v="3"/>
    <n v="1"/>
    <x v="0"/>
    <n v="3"/>
    <n v="2"/>
    <x v="0"/>
    <n v="1"/>
    <x v="0"/>
    <n v="0"/>
    <x v="0"/>
    <n v="1757105"/>
    <n v="2"/>
    <x v="0"/>
    <n v="0"/>
    <x v="0"/>
    <n v="8.5119E-2"/>
    <n v="0"/>
    <x v="0"/>
    <n v="0.465444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77565"/>
    <n v="70"/>
    <n v="70"/>
    <x v="2"/>
    <n v="1"/>
    <x v="0"/>
    <n v="1"/>
    <x v="1"/>
    <n v="3"/>
    <n v="1"/>
    <x v="0"/>
    <n v="3"/>
    <n v="2"/>
    <x v="0"/>
    <n v="1"/>
    <x v="0"/>
    <n v="0"/>
    <x v="0"/>
    <n v="2506631"/>
    <n v="2"/>
    <x v="0"/>
    <n v="0"/>
    <x v="0"/>
    <n v="2.5787000000000001E-2"/>
    <n v="0"/>
    <x v="0"/>
    <n v="0.48416500000000001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22004"/>
    <n v="70"/>
    <n v="70"/>
    <x v="2"/>
    <n v="1"/>
    <x v="0"/>
    <n v="1"/>
    <x v="1"/>
    <n v="3"/>
    <n v="1"/>
    <x v="0"/>
    <n v="3"/>
    <n v="2"/>
    <x v="0"/>
    <n v="1"/>
    <x v="0"/>
    <n v="0"/>
    <x v="0"/>
    <n v="248707"/>
    <n v="2"/>
    <x v="0"/>
    <n v="0"/>
    <x v="0"/>
    <n v="6.7329E-2"/>
    <n v="0"/>
    <x v="0"/>
    <n v="0.45582299999999998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5765628"/>
    <n v="70"/>
    <n v="70"/>
    <x v="2"/>
    <n v="1"/>
    <x v="0"/>
    <n v="1"/>
    <x v="1"/>
    <n v="3"/>
    <n v="1"/>
    <x v="0"/>
    <n v="3"/>
    <n v="2"/>
    <x v="0"/>
    <n v="1"/>
    <x v="0"/>
    <n v="0"/>
    <x v="0"/>
    <n v="2320068"/>
    <n v="2"/>
    <x v="0"/>
    <n v="0"/>
    <x v="0"/>
    <n v="4.5246000000000001E-2"/>
    <n v="0"/>
    <x v="0"/>
    <n v="0.413105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016849"/>
    <n v="57"/>
    <n v="57"/>
    <x v="2"/>
    <n v="1"/>
    <x v="0"/>
    <n v="1"/>
    <x v="1"/>
    <n v="3"/>
    <n v="1"/>
    <x v="0"/>
    <n v="3"/>
    <n v="2"/>
    <x v="0"/>
    <n v="1"/>
    <x v="0"/>
    <n v="0"/>
    <x v="0"/>
    <n v="1650612"/>
    <n v="2"/>
    <x v="0"/>
    <n v="0"/>
    <x v="0"/>
    <n v="1537639"/>
    <n v="3"/>
    <x v="3"/>
    <n v="0.9124569999999999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682367"/>
    <n v="59"/>
    <n v="59"/>
    <x v="2"/>
    <n v="1"/>
    <x v="0"/>
    <n v="1"/>
    <x v="1"/>
    <n v="3"/>
    <n v="1"/>
    <x v="0"/>
    <n v="3"/>
    <n v="2"/>
    <x v="0"/>
    <n v="1"/>
    <x v="0"/>
    <n v="0"/>
    <x v="0"/>
    <n v="1610768"/>
    <n v="2"/>
    <x v="0"/>
    <n v="0"/>
    <x v="0"/>
    <n v="1510398"/>
    <n v="3"/>
    <x v="3"/>
    <n v="0.93145500000000003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285965"/>
    <n v="58"/>
    <n v="58"/>
    <x v="2"/>
    <n v="1"/>
    <x v="0"/>
    <n v="1"/>
    <x v="1"/>
    <n v="3"/>
    <n v="1"/>
    <x v="0"/>
    <n v="3"/>
    <n v="2"/>
    <x v="0"/>
    <n v="1"/>
    <x v="0"/>
    <n v="0"/>
    <x v="0"/>
    <n v="1796267"/>
    <n v="2"/>
    <x v="0"/>
    <n v="0"/>
    <x v="0"/>
    <n v="1728332"/>
    <n v="3"/>
    <x v="3"/>
    <n v="0.89792400000000006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0976842"/>
    <n v="57"/>
    <n v="57"/>
    <x v="2"/>
    <n v="1"/>
    <x v="0"/>
    <n v="1"/>
    <x v="1"/>
    <n v="3"/>
    <n v="1"/>
    <x v="0"/>
    <n v="3"/>
    <n v="2"/>
    <x v="0"/>
    <n v="1"/>
    <x v="0"/>
    <n v="0"/>
    <x v="0"/>
    <n v="1728139"/>
    <n v="2"/>
    <x v="0"/>
    <n v="0"/>
    <x v="0"/>
    <n v="1676269"/>
    <n v="3"/>
    <x v="3"/>
    <n v="0.90624700000000002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1982942"/>
    <n v="60"/>
    <n v="60"/>
    <x v="2"/>
    <n v="1"/>
    <x v="0"/>
    <n v="1"/>
    <x v="1"/>
    <n v="3"/>
    <n v="1"/>
    <x v="0"/>
    <n v="3"/>
    <n v="2"/>
    <x v="0"/>
    <n v="1"/>
    <x v="0"/>
    <n v="0"/>
    <x v="0"/>
    <n v="200513"/>
    <n v="2"/>
    <x v="0"/>
    <n v="0"/>
    <x v="0"/>
    <n v="134139"/>
    <n v="2"/>
    <x v="1"/>
    <n v="0.599269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2524036"/>
    <n v="61"/>
    <n v="61"/>
    <x v="2"/>
    <n v="1"/>
    <x v="0"/>
    <n v="1"/>
    <x v="1"/>
    <n v="3"/>
    <n v="1"/>
    <x v="0"/>
    <n v="3"/>
    <n v="2"/>
    <x v="0"/>
    <n v="1"/>
    <x v="0"/>
    <n v="0"/>
    <x v="0"/>
    <n v="2054193"/>
    <n v="2"/>
    <x v="0"/>
    <n v="0"/>
    <x v="0"/>
    <n v="1414209"/>
    <n v="3"/>
    <x v="3"/>
    <n v="0.646287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4361936"/>
    <n v="66"/>
    <n v="66"/>
    <x v="2"/>
    <n v="1"/>
    <x v="0"/>
    <n v="1"/>
    <x v="1"/>
    <n v="3"/>
    <n v="1"/>
    <x v="0"/>
    <n v="3"/>
    <n v="2"/>
    <x v="0"/>
    <n v="1"/>
    <x v="0"/>
    <n v="0"/>
    <x v="0"/>
    <n v="2852339"/>
    <n v="2"/>
    <x v="0"/>
    <n v="0"/>
    <x v="0"/>
    <n v="1139107"/>
    <n v="3"/>
    <x v="3"/>
    <n v="0.58603499999999997"/>
    <n v="0"/>
    <x v="1"/>
    <n v="1"/>
    <x v="1"/>
    <n v="0"/>
    <x v="0"/>
    <n v="0"/>
    <x v="0"/>
    <n v="0"/>
    <x v="0"/>
    <n v="1"/>
    <x v="0"/>
    <n v="0"/>
    <x v="0"/>
    <n v="1"/>
    <x v="1"/>
  </r>
  <r>
    <n v="0"/>
    <s v="F"/>
    <n v="23664709"/>
    <n v="64"/>
    <n v="64"/>
    <x v="2"/>
    <n v="1"/>
    <x v="0"/>
    <n v="1"/>
    <x v="1"/>
    <n v="3"/>
    <n v="1"/>
    <x v="0"/>
    <n v="3"/>
    <n v="2"/>
    <x v="0"/>
    <n v="1"/>
    <x v="0"/>
    <n v="0"/>
    <x v="0"/>
    <n v="2863513"/>
    <n v="2"/>
    <x v="0"/>
    <n v="0"/>
    <x v="0"/>
    <n v="1026452"/>
    <n v="3"/>
    <x v="3"/>
    <n v="0.71413700000000002"/>
    <n v="0"/>
    <x v="1"/>
    <n v="1"/>
    <x v="1"/>
    <n v="0"/>
    <x v="0"/>
    <n v="0"/>
    <x v="0"/>
    <n v="0"/>
    <x v="0"/>
    <n v="1"/>
    <x v="0"/>
    <n v="0"/>
    <x v="0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24:H27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Cuenta de Automovil" fld="3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2:H35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0"/>
  </rowFields>
  <rowItems count="3">
    <i>
      <x/>
    </i>
    <i>
      <x v="1"/>
    </i>
    <i t="grand">
      <x/>
    </i>
  </rowItems>
  <colItems count="1">
    <i/>
  </colItems>
  <dataFields count="1">
    <dataField name="Cuenta de Transporte Publico" fld="4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9:H12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uenta de Fumar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24:B29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Alcohol" fld="32" subtotal="count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9:B12" firstHeaderRow="1" firstDataRow="1" firstDataCol="1"/>
  <pivotFields count="45"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uenta de Comidas" fld="15" subtotal="count" baseField="0" baseItem="0"/>
  </dataField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2:B35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6"/>
  </rowFields>
  <rowItems count="3">
    <i>
      <x/>
    </i>
    <i>
      <x v="1"/>
    </i>
    <i t="grand">
      <x/>
    </i>
  </rowItems>
  <colItems count="1">
    <i/>
  </colItems>
  <dataFields count="1">
    <dataField name="Cuenta de Bicicleta" fld="3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7:E20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uenta de Calorias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1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32:E35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8"/>
  </rowFields>
  <rowItems count="3">
    <i>
      <x/>
    </i>
    <i>
      <x v="1"/>
    </i>
    <i t="grand">
      <x/>
    </i>
  </rowItems>
  <colItems count="1">
    <i/>
  </colItems>
  <dataFields count="1">
    <dataField name="Cuenta de Moto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1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D24:E29" firstHeaderRow="1" firstDataRow="1" firstDataCol="1"/>
  <pivotFields count="45"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Deporte" fld="27" subtotal="count" baseField="0" baseItem="0"/>
  </dataFields>
  <chartFormats count="6"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D3:E6" firstHeaderRow="1" firstDataRow="1" firstDataCol="1"/>
  <pivotFields count="45"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uenta de Alimentos" fld="9" subtotal="count" baseField="0" baseItem="0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Diná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7:B20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uenta de Agua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3:B6" firstHeaderRow="1" firstDataRow="1" firstDataCol="1"/>
  <pivotFields count="45"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Herencia" fld="7" subtotal="count" baseField="0" baseItem="0"/>
  </dataFields>
  <chartFormats count="1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aDinámica2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8:B41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42"/>
  </rowFields>
  <rowItems count="3">
    <i>
      <x/>
    </i>
    <i>
      <x v="1"/>
    </i>
    <i t="grand">
      <x/>
    </i>
  </rowItems>
  <colItems count="1">
    <i/>
  </colItems>
  <dataFields count="1">
    <dataField name="Cuenta de Caminar" fld="4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laDinámica10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7:H21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Dispositivos" fld="3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D9:E14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olaciones" fld="17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H5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2">
    <i>
      <x/>
    </i>
    <i t="grand">
      <x/>
    </i>
  </rowItems>
  <colItems count="1">
    <i/>
  </colItems>
  <dataFields count="1">
    <dataField name="Cuenta de Verdura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laDinámica2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38:E41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</pivotFields>
  <rowFields count="1">
    <field x="44"/>
  </rowFields>
  <rowItems count="3">
    <i>
      <x/>
    </i>
    <i>
      <x v="1"/>
    </i>
    <i t="grand">
      <x/>
    </i>
  </rowItems>
  <colItems count="1">
    <i/>
  </colItems>
  <dataFields count="1">
    <dataField name="Cuenta de Obesidad" fld="4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obesity" connectionId="1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dad" sourceName="Edad">
  <pivotTables>
    <pivotTable tabId="2" name="TablaDinámica1"/>
    <pivotTable tabId="2" name="TablaDinámica2"/>
    <pivotTable tabId="2" name="TablaDinámica4"/>
    <pivotTable tabId="2" name="TablaDinámica13"/>
  </pivotTables>
  <data>
    <tabular pivotCacheId="1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dad" cache="SegmentaciónDeDatos_Edad" caption="Edad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15"/>
  <sheetViews>
    <sheetView workbookViewId="0">
      <selection activeCell="C2" sqref="C2"/>
    </sheetView>
  </sheetViews>
  <sheetFormatPr baseColWidth="10" defaultRowHeight="15" x14ac:dyDescent="0.25"/>
  <cols>
    <col min="1" max="1" width="7.5703125" bestFit="1" customWidth="1"/>
    <col min="2" max="2" width="7.5703125" customWidth="1"/>
    <col min="3" max="3" width="10.140625" bestFit="1" customWidth="1"/>
    <col min="4" max="5" width="10.140625" customWidth="1"/>
    <col min="6" max="6" width="7.28515625" customWidth="1"/>
    <col min="7" max="7" width="30.28515625" bestFit="1" customWidth="1"/>
    <col min="8" max="8" width="17.42578125" customWidth="1"/>
    <col min="9" max="9" width="5.7109375" bestFit="1" customWidth="1"/>
    <col min="10" max="10" width="13.42578125" customWidth="1"/>
    <col min="11" max="11" width="9.140625" bestFit="1" customWidth="1"/>
    <col min="12" max="12" width="11" customWidth="1"/>
    <col min="13" max="13" width="13.140625" customWidth="1"/>
    <col min="14" max="14" width="9.140625" bestFit="1" customWidth="1"/>
    <col min="15" max="16" width="9.7109375" customWidth="1"/>
    <col min="17" max="17" width="5.5703125" bestFit="1" customWidth="1"/>
    <col min="18" max="18" width="12.140625" customWidth="1"/>
    <col min="19" max="19" width="7.28515625" bestFit="1" customWidth="1"/>
    <col min="20" max="20" width="9.140625" customWidth="1"/>
    <col min="21" max="21" width="9.140625" bestFit="1" customWidth="1"/>
    <col min="22" max="23" width="11.5703125" customWidth="1"/>
    <col min="24" max="24" width="4.28515625" bestFit="1" customWidth="1"/>
    <col min="25" max="25" width="11.7109375" customWidth="1"/>
    <col min="26" max="26" width="9.140625" bestFit="1" customWidth="1"/>
    <col min="27" max="27" width="9.140625" customWidth="1"/>
    <col min="28" max="28" width="11.5703125" customWidth="1"/>
    <col min="29" max="29" width="9.140625" bestFit="1" customWidth="1"/>
    <col min="30" max="30" width="9.140625" customWidth="1"/>
    <col min="31" max="31" width="12.140625" customWidth="1"/>
    <col min="32" max="32" width="5.42578125" bestFit="1" customWidth="1"/>
    <col min="33" max="33" width="11.7109375" customWidth="1"/>
    <col min="34" max="34" width="11.5703125" bestFit="1" customWidth="1"/>
    <col min="35" max="35" width="11.5703125" customWidth="1"/>
    <col min="36" max="37" width="8.85546875" customWidth="1"/>
    <col min="38" max="38" width="10.28515625" bestFit="1" customWidth="1"/>
    <col min="39" max="39" width="10.28515625" customWidth="1"/>
    <col min="40" max="40" width="20.5703125" bestFit="1" customWidth="1"/>
    <col min="41" max="41" width="20.5703125" customWidth="1"/>
    <col min="42" max="42" width="8.140625" bestFit="1" customWidth="1"/>
    <col min="43" max="43" width="11.140625" customWidth="1"/>
    <col min="44" max="44" width="12.42578125" bestFit="1" customWidth="1"/>
    <col min="45" max="45" width="12" customWidth="1"/>
  </cols>
  <sheetData>
    <row r="1" spans="1:45" x14ac:dyDescent="0.25">
      <c r="A1" t="s">
        <v>0</v>
      </c>
      <c r="B1" t="s">
        <v>16</v>
      </c>
      <c r="C1" t="s">
        <v>24</v>
      </c>
      <c r="D1" t="s">
        <v>17</v>
      </c>
      <c r="E1" t="s">
        <v>44</v>
      </c>
      <c r="F1" t="s">
        <v>13</v>
      </c>
      <c r="G1" t="s">
        <v>1</v>
      </c>
      <c r="H1" t="s">
        <v>25</v>
      </c>
      <c r="I1" t="s">
        <v>2</v>
      </c>
      <c r="J1" t="s">
        <v>26</v>
      </c>
      <c r="K1" t="s">
        <v>27</v>
      </c>
      <c r="L1" t="s">
        <v>28</v>
      </c>
      <c r="M1" t="s">
        <v>29</v>
      </c>
      <c r="N1" t="s">
        <v>20</v>
      </c>
      <c r="O1" t="s">
        <v>22</v>
      </c>
      <c r="P1" t="s">
        <v>30</v>
      </c>
      <c r="Q1" t="s">
        <v>3</v>
      </c>
      <c r="R1" t="s">
        <v>31</v>
      </c>
      <c r="S1" t="s">
        <v>4</v>
      </c>
      <c r="T1" t="s">
        <v>32</v>
      </c>
      <c r="U1" t="s">
        <v>21</v>
      </c>
      <c r="V1" t="s">
        <v>23</v>
      </c>
      <c r="W1" t="s">
        <v>33</v>
      </c>
      <c r="X1" t="s">
        <v>5</v>
      </c>
      <c r="Y1" t="s">
        <v>34</v>
      </c>
      <c r="Z1" t="s">
        <v>18</v>
      </c>
      <c r="AA1" t="s">
        <v>15</v>
      </c>
      <c r="AB1" t="s">
        <v>35</v>
      </c>
      <c r="AC1" t="s">
        <v>19</v>
      </c>
      <c r="AD1" t="s">
        <v>14</v>
      </c>
      <c r="AE1" t="s">
        <v>36</v>
      </c>
      <c r="AF1" t="s">
        <v>6</v>
      </c>
      <c r="AG1" t="s">
        <v>37</v>
      </c>
      <c r="AH1" t="s">
        <v>7</v>
      </c>
      <c r="AI1" t="s">
        <v>38</v>
      </c>
      <c r="AJ1" t="s">
        <v>8</v>
      </c>
      <c r="AK1" t="s">
        <v>39</v>
      </c>
      <c r="AL1" t="s">
        <v>9</v>
      </c>
      <c r="AM1" t="s">
        <v>40</v>
      </c>
      <c r="AN1" t="s">
        <v>10</v>
      </c>
      <c r="AO1" t="s">
        <v>41</v>
      </c>
      <c r="AP1" t="s">
        <v>11</v>
      </c>
      <c r="AQ1" t="s">
        <v>42</v>
      </c>
      <c r="AR1" t="s">
        <v>12</v>
      </c>
      <c r="AS1" t="s">
        <v>43</v>
      </c>
    </row>
    <row r="2" spans="1:45" x14ac:dyDescent="0.25">
      <c r="A2">
        <v>0</v>
      </c>
      <c r="B2" t="str">
        <f>IF(A2=1,"M","F")</f>
        <v>F</v>
      </c>
      <c r="C2">
        <v>21</v>
      </c>
      <c r="D2">
        <f>IF(C2&lt;100,C2,ROUNDDOWN((C2/1000)/365,0))</f>
        <v>21</v>
      </c>
      <c r="E2">
        <f>IF(AND(D2&gt;1,D2&lt;=100),D2,IF(D2&gt;100,100,5))</f>
        <v>21</v>
      </c>
      <c r="F2" t="str">
        <f>IF(AND(E2&gt;=1,E2&lt;=25),"1-25",IF(AND(E2&gt;25,E2&lt;=50),"25-50",IF(AND(E2&gt;50,E2&lt;=75),"50-75","75-100")))</f>
        <v>1-25</v>
      </c>
      <c r="G2">
        <v>1</v>
      </c>
      <c r="H2" t="str">
        <f>IF(G2=1,"Pariente gordo","Pariente normal")</f>
        <v>Pariente gordo</v>
      </c>
      <c r="I2">
        <v>0</v>
      </c>
      <c r="J2" t="str">
        <f>IF(I2=1,"Hipercaloricos","Saludables")</f>
        <v>Saludables</v>
      </c>
      <c r="K2">
        <v>2</v>
      </c>
      <c r="L2">
        <f>IF(AND(K2&gt;=1,K2&lt;=3),1,IF(AND(K2&gt;3,K2&lt;3000000),1))</f>
        <v>1</v>
      </c>
      <c r="M2" t="str">
        <f>IF(L2=1,"Suele comer","No come")</f>
        <v>Suele comer</v>
      </c>
      <c r="N2">
        <v>3</v>
      </c>
      <c r="O2">
        <f>IF(N2=1,N2,IF(AND(N2&gt;=2,N2&lt;4000000),2))</f>
        <v>2</v>
      </c>
      <c r="P2" t="str">
        <f>IF(O2=0,"1-2",IF(O2=1,3,"Mas de 3"))</f>
        <v>Mas de 3</v>
      </c>
      <c r="Q2">
        <v>1</v>
      </c>
      <c r="R2" t="str">
        <f>IF(Q2=0,"Nunca",IF(Q2=1,"A veces",IF(Q2=2,"Usualmente","Siempre")))</f>
        <v>A veces</v>
      </c>
      <c r="S2">
        <v>0</v>
      </c>
      <c r="T2" t="str">
        <f>IF(S2=1,"Fuma","No fuma")</f>
        <v>No fuma</v>
      </c>
      <c r="U2">
        <v>2</v>
      </c>
      <c r="V2">
        <f>IF(U2=1,U2,IF(U2=2,U2,IF(AND(U2&gt;=3,U2&lt;3000000),2)))</f>
        <v>2</v>
      </c>
      <c r="W2" t="str">
        <f>IF(V2=0,"Nunca",IF(V2=1,"Usualmente","Siempre"))</f>
        <v>Siempre</v>
      </c>
      <c r="X2">
        <v>0</v>
      </c>
      <c r="Y2" t="str">
        <f>IF(X2=1,"Controla","No controla")</f>
        <v>No controla</v>
      </c>
      <c r="Z2">
        <v>0</v>
      </c>
      <c r="AA2">
        <f>IF(Z2=0,Z2,IF(Z2=1,Z2,IF(Z2=2,Z2,IF(Z2=3,Z2,IF(AND(Z2&gt;3,Z2&lt;300000),2,IF(AND(Z2&gt;300000,Z2&lt;3000000),3,IF(AND(Z2&gt;0,Z2&lt;1),0)))))))</f>
        <v>0</v>
      </c>
      <c r="AB2" t="str">
        <f>IF(AA2=0,"Nunca",IF(AA2=1,"A veces",IF(AA2=2,"Usualmente","Siempre")))</f>
        <v>Nunca</v>
      </c>
      <c r="AC2">
        <v>1</v>
      </c>
      <c r="AD2">
        <f>IF(AC2= 0,AC2,IF(AC2=1,AC2,IF(AC2=2,AC2,IF(AND(AC2&gt;2,AC2&lt;200000),1,IF(AND(AC2&gt;200000,AC2&lt;2000000),2,IF(AND(AC2&gt;0,AC2&lt;1),0))))))</f>
        <v>1</v>
      </c>
      <c r="AE2" t="str">
        <f>IF(AD2=0,"Nunca",IF(AD2=1,"Usualmente","Siempre"))</f>
        <v>Usualmente</v>
      </c>
      <c r="AF2">
        <v>0</v>
      </c>
      <c r="AG2" t="str">
        <f>IF(AF2=0,"Nunca",IF(AF2=1,"A veces",IF(AF2=2,"Usualmente","Siempre")))</f>
        <v>Nunca</v>
      </c>
      <c r="AH2">
        <v>0</v>
      </c>
      <c r="AI2" t="str">
        <f>IF(AH2=1,"Usa auto","No usa")</f>
        <v>No usa</v>
      </c>
      <c r="AJ2">
        <v>0</v>
      </c>
      <c r="AK2" t="str">
        <f>IF(AJ2=1,"Usa Bici","No usa")</f>
        <v>No usa</v>
      </c>
      <c r="AL2">
        <v>0</v>
      </c>
      <c r="AM2" t="str">
        <f>IF(AL2=1,"Usa Moto","No usa")</f>
        <v>No usa</v>
      </c>
      <c r="AN2">
        <v>1</v>
      </c>
      <c r="AO2" t="str">
        <f>IF(AN2=1,"Usa Transporte","No usa")</f>
        <v>Usa Transporte</v>
      </c>
      <c r="AP2">
        <v>0</v>
      </c>
      <c r="AQ2" t="str">
        <f>IF(AP2=1,"Camina","No camina")</f>
        <v>No camina</v>
      </c>
      <c r="AR2">
        <v>0</v>
      </c>
      <c r="AS2" t="str">
        <f>IF(AR2=1,"Es Obeso","No es obeso")</f>
        <v>No es obeso</v>
      </c>
    </row>
    <row r="3" spans="1:45" x14ac:dyDescent="0.25">
      <c r="A3">
        <v>0</v>
      </c>
      <c r="B3" t="str">
        <f t="shared" ref="B3:B66" si="0">IF(A3=1,"M","F")</f>
        <v>F</v>
      </c>
      <c r="C3">
        <v>21</v>
      </c>
      <c r="D3">
        <f t="shared" ref="D3:D66" si="1">IF(C3&lt;100,C3,ROUNDDOWN((C3/1000)/365,0))</f>
        <v>21</v>
      </c>
      <c r="E3">
        <f t="shared" ref="E3:E66" si="2">IF(AND(D3&gt;1,D3&lt;=100),D3,IF(D3&gt;100,100,5))</f>
        <v>21</v>
      </c>
      <c r="F3" t="str">
        <f t="shared" ref="F3:F66" si="3">IF(AND(E3&gt;=1,E3&lt;=25),"1-25",IF(AND(E3&gt;25,E3&lt;=50),"25-50",IF(AND(E3&gt;50,E3&lt;=75),"50-75","75-100")))</f>
        <v>1-25</v>
      </c>
      <c r="G3">
        <v>1</v>
      </c>
      <c r="H3" t="str">
        <f t="shared" ref="H3:H66" si="4">IF(G3=1,"Pariente gordo","Pariente normal")</f>
        <v>Pariente gordo</v>
      </c>
      <c r="I3">
        <v>0</v>
      </c>
      <c r="J3" t="str">
        <f t="shared" ref="J3:J66" si="5">IF(I3=1,"Hipercaloricos","Saludables")</f>
        <v>Saludables</v>
      </c>
      <c r="K3">
        <v>3</v>
      </c>
      <c r="L3">
        <f t="shared" ref="L3:L66" si="6">IF(AND(K3&gt;=1,K3&lt;=3),1,IF(AND(K3&gt;3,K3&lt;3000000),1))</f>
        <v>1</v>
      </c>
      <c r="M3" t="str">
        <f t="shared" ref="M3:M66" si="7">IF(L3=1,"Suele comer","No come")</f>
        <v>Suele comer</v>
      </c>
      <c r="N3">
        <v>3</v>
      </c>
      <c r="O3">
        <f t="shared" ref="O3:O66" si="8">IF(N3=1,N3,IF(AND(N3&gt;=2,N3&lt;4000000),2))</f>
        <v>2</v>
      </c>
      <c r="P3" t="str">
        <f t="shared" ref="P3:P66" si="9">IF(O3=0,"1-2",IF(O3=1,3,"Mas de 3"))</f>
        <v>Mas de 3</v>
      </c>
      <c r="Q3">
        <v>1</v>
      </c>
      <c r="R3" t="str">
        <f t="shared" ref="R3:R66" si="10">IF(Q3=0,"Nunca",IF(Q3=1,"A veces",IF(Q3=2,"Usualmente","Siempre")))</f>
        <v>A veces</v>
      </c>
      <c r="S3">
        <v>1</v>
      </c>
      <c r="T3" t="str">
        <f t="shared" ref="T3:T66" si="11">IF(S3=1,"Fuma","No fuma")</f>
        <v>Fuma</v>
      </c>
      <c r="U3">
        <v>3</v>
      </c>
      <c r="V3">
        <f t="shared" ref="V3:V66" si="12">IF(U3=1,U3,IF(U3=2,U3,IF(AND(U3&gt;=3,U3&lt;3000000),2)))</f>
        <v>2</v>
      </c>
      <c r="W3" t="str">
        <f t="shared" ref="W3:W66" si="13">IF(V3=0,"Nunca",IF(V3=1,"Usualmente","Siempre"))</f>
        <v>Siempre</v>
      </c>
      <c r="X3">
        <v>1</v>
      </c>
      <c r="Y3" t="str">
        <f t="shared" ref="Y3:Y66" si="14">IF(X3=1,"Controla","No controla")</f>
        <v>Controla</v>
      </c>
      <c r="Z3">
        <v>0</v>
      </c>
      <c r="AA3">
        <f t="shared" ref="AA3:AA66" si="15">IF(Z3=0,Z3,IF(Z3=1,Z3,IF(Z3=2,Z3,IF(Z3=3,Z3,IF(AND(Z3&gt;3,Z3&lt;300000),2,IF(AND(Z3&gt;300000,Z3&lt;3000000),3,IF(AND(Z3&gt;0,Z3&lt;1),0)))))))</f>
        <v>0</v>
      </c>
      <c r="AB3" t="str">
        <f t="shared" ref="AB3:AB66" si="16">IF(AA3=0,"Nunca",IF(AA3=1,"A veces",IF(AA3=2,"Usualmente","Siempre")))</f>
        <v>Nunca</v>
      </c>
      <c r="AC3">
        <v>0</v>
      </c>
      <c r="AD3">
        <f t="shared" ref="AD3:AD66" si="17">IF(AC3= 0,AC3,IF(AC3=1,AC3,IF(AC3=2,AC3,IF(AND(AC3&gt;2,AC3&lt;200000),1,IF(AND(AC3&gt;200000,AC3&lt;2000000),2,IF(AND(AC3&gt;0,AC3&lt;1),0))))))</f>
        <v>0</v>
      </c>
      <c r="AE3" t="str">
        <f t="shared" ref="AE3:AE66" si="18">IF(AD3=0,"Nunca",IF(AD3=1,"Usualmente","Siempre"))</f>
        <v>Nunca</v>
      </c>
      <c r="AF3">
        <v>1</v>
      </c>
      <c r="AG3" t="str">
        <f t="shared" ref="AG3:AG66" si="19">IF(AF3=0,"Nunca",IF(AF3=1,"A veces",IF(AF3=2,"Usualmente","Siempre")))</f>
        <v>A veces</v>
      </c>
      <c r="AH3">
        <v>0</v>
      </c>
      <c r="AI3" t="str">
        <f t="shared" ref="AI3:AI66" si="20">IF(AH3=1,"Usa auto","No usa")</f>
        <v>No usa</v>
      </c>
      <c r="AJ3">
        <v>0</v>
      </c>
      <c r="AK3" t="str">
        <f t="shared" ref="AK3:AK66" si="21">IF(AJ3=1,"Usa Bici","No usa")</f>
        <v>No usa</v>
      </c>
      <c r="AL3">
        <v>0</v>
      </c>
      <c r="AM3" t="str">
        <f t="shared" ref="AM3:AM66" si="22">IF(AL3=1,"Usa Moto","No usa")</f>
        <v>No usa</v>
      </c>
      <c r="AN3">
        <v>1</v>
      </c>
      <c r="AO3" t="str">
        <f t="shared" ref="AO3:AO66" si="23">IF(AN3=1,"Usa Transporte","No usa")</f>
        <v>Usa Transporte</v>
      </c>
      <c r="AP3">
        <v>0</v>
      </c>
      <c r="AQ3" t="str">
        <f t="shared" ref="AQ3:AQ66" si="24">IF(AP3=1,"Camina","No camina")</f>
        <v>No camina</v>
      </c>
      <c r="AR3">
        <v>0</v>
      </c>
      <c r="AS3" t="str">
        <f t="shared" ref="AS3:AS66" si="25">IF(AR3=1,"Es Obeso","No es obeso")</f>
        <v>No es obeso</v>
      </c>
    </row>
    <row r="4" spans="1:45" x14ac:dyDescent="0.25">
      <c r="A4">
        <v>1</v>
      </c>
      <c r="B4" t="str">
        <f t="shared" si="0"/>
        <v>M</v>
      </c>
      <c r="C4">
        <v>23</v>
      </c>
      <c r="D4">
        <f t="shared" si="1"/>
        <v>23</v>
      </c>
      <c r="E4">
        <f t="shared" si="2"/>
        <v>23</v>
      </c>
      <c r="F4" t="str">
        <f t="shared" si="3"/>
        <v>1-25</v>
      </c>
      <c r="G4">
        <v>1</v>
      </c>
      <c r="H4" t="str">
        <f t="shared" si="4"/>
        <v>Pariente gordo</v>
      </c>
      <c r="I4">
        <v>0</v>
      </c>
      <c r="J4" t="str">
        <f t="shared" si="5"/>
        <v>Saludables</v>
      </c>
      <c r="K4">
        <v>2</v>
      </c>
      <c r="L4">
        <f t="shared" si="6"/>
        <v>1</v>
      </c>
      <c r="M4" t="str">
        <f t="shared" si="7"/>
        <v>Suele comer</v>
      </c>
      <c r="N4">
        <v>3</v>
      </c>
      <c r="O4">
        <f t="shared" si="8"/>
        <v>2</v>
      </c>
      <c r="P4" t="str">
        <f t="shared" si="9"/>
        <v>Mas de 3</v>
      </c>
      <c r="Q4">
        <v>1</v>
      </c>
      <c r="R4" t="str">
        <f t="shared" si="10"/>
        <v>A veces</v>
      </c>
      <c r="S4">
        <v>0</v>
      </c>
      <c r="T4" t="str">
        <f t="shared" si="11"/>
        <v>No fuma</v>
      </c>
      <c r="U4">
        <v>2</v>
      </c>
      <c r="V4">
        <f t="shared" si="12"/>
        <v>2</v>
      </c>
      <c r="W4" t="str">
        <f t="shared" si="13"/>
        <v>Siempre</v>
      </c>
      <c r="X4">
        <v>0</v>
      </c>
      <c r="Y4" t="str">
        <f t="shared" si="14"/>
        <v>No controla</v>
      </c>
      <c r="Z4">
        <v>0</v>
      </c>
      <c r="AA4">
        <f t="shared" si="15"/>
        <v>0</v>
      </c>
      <c r="AB4" t="str">
        <f t="shared" si="16"/>
        <v>Nunca</v>
      </c>
      <c r="AC4">
        <v>1</v>
      </c>
      <c r="AD4">
        <f t="shared" si="17"/>
        <v>1</v>
      </c>
      <c r="AE4" t="str">
        <f t="shared" si="18"/>
        <v>Usualmente</v>
      </c>
      <c r="AF4">
        <v>2</v>
      </c>
      <c r="AG4" t="str">
        <f t="shared" si="19"/>
        <v>Usualmente</v>
      </c>
      <c r="AH4">
        <v>0</v>
      </c>
      <c r="AI4" t="str">
        <f t="shared" si="20"/>
        <v>No usa</v>
      </c>
      <c r="AJ4">
        <v>0</v>
      </c>
      <c r="AK4" t="str">
        <f t="shared" si="21"/>
        <v>No usa</v>
      </c>
      <c r="AL4">
        <v>0</v>
      </c>
      <c r="AM4" t="str">
        <f t="shared" si="22"/>
        <v>No usa</v>
      </c>
      <c r="AN4">
        <v>1</v>
      </c>
      <c r="AO4" t="str">
        <f t="shared" si="23"/>
        <v>Usa Transporte</v>
      </c>
      <c r="AP4">
        <v>0</v>
      </c>
      <c r="AQ4" t="str">
        <f t="shared" si="24"/>
        <v>No camina</v>
      </c>
      <c r="AR4">
        <v>0</v>
      </c>
      <c r="AS4" t="str">
        <f t="shared" si="25"/>
        <v>No es obeso</v>
      </c>
    </row>
    <row r="5" spans="1:45" x14ac:dyDescent="0.25">
      <c r="A5">
        <v>1</v>
      </c>
      <c r="B5" t="str">
        <f t="shared" si="0"/>
        <v>M</v>
      </c>
      <c r="C5">
        <v>27</v>
      </c>
      <c r="D5">
        <f t="shared" si="1"/>
        <v>27</v>
      </c>
      <c r="E5">
        <f t="shared" si="2"/>
        <v>27</v>
      </c>
      <c r="F5" t="str">
        <f t="shared" si="3"/>
        <v>25-50</v>
      </c>
      <c r="G5">
        <v>0</v>
      </c>
      <c r="H5" t="str">
        <f t="shared" si="4"/>
        <v>Pariente normal</v>
      </c>
      <c r="I5">
        <v>0</v>
      </c>
      <c r="J5" t="str">
        <f t="shared" si="5"/>
        <v>Saludables</v>
      </c>
      <c r="K5">
        <v>3</v>
      </c>
      <c r="L5">
        <f t="shared" si="6"/>
        <v>1</v>
      </c>
      <c r="M5" t="str">
        <f t="shared" si="7"/>
        <v>Suele comer</v>
      </c>
      <c r="N5">
        <v>3</v>
      </c>
      <c r="O5">
        <f t="shared" si="8"/>
        <v>2</v>
      </c>
      <c r="P5" t="str">
        <f t="shared" si="9"/>
        <v>Mas de 3</v>
      </c>
      <c r="Q5">
        <v>1</v>
      </c>
      <c r="R5" t="str">
        <f t="shared" si="10"/>
        <v>A veces</v>
      </c>
      <c r="S5">
        <v>0</v>
      </c>
      <c r="T5" t="str">
        <f t="shared" si="11"/>
        <v>No fuma</v>
      </c>
      <c r="U5">
        <v>2</v>
      </c>
      <c r="V5">
        <f t="shared" si="12"/>
        <v>2</v>
      </c>
      <c r="W5" t="str">
        <f t="shared" si="13"/>
        <v>Siempre</v>
      </c>
      <c r="X5">
        <v>0</v>
      </c>
      <c r="Y5" t="str">
        <f t="shared" si="14"/>
        <v>No controla</v>
      </c>
      <c r="Z5">
        <v>0</v>
      </c>
      <c r="AA5">
        <f t="shared" si="15"/>
        <v>0</v>
      </c>
      <c r="AB5" t="str">
        <f t="shared" si="16"/>
        <v>Nunca</v>
      </c>
      <c r="AC5">
        <v>0</v>
      </c>
      <c r="AD5">
        <f t="shared" si="17"/>
        <v>0</v>
      </c>
      <c r="AE5" t="str">
        <f t="shared" si="18"/>
        <v>Nunca</v>
      </c>
      <c r="AF5">
        <v>2</v>
      </c>
      <c r="AG5" t="str">
        <f t="shared" si="19"/>
        <v>Usualmente</v>
      </c>
      <c r="AH5">
        <v>0</v>
      </c>
      <c r="AI5" t="str">
        <f t="shared" si="20"/>
        <v>No usa</v>
      </c>
      <c r="AJ5">
        <v>0</v>
      </c>
      <c r="AK5" t="str">
        <f t="shared" si="21"/>
        <v>No usa</v>
      </c>
      <c r="AL5">
        <v>0</v>
      </c>
      <c r="AM5" t="str">
        <f t="shared" si="22"/>
        <v>No usa</v>
      </c>
      <c r="AN5">
        <v>0</v>
      </c>
      <c r="AO5" t="str">
        <f t="shared" si="23"/>
        <v>No usa</v>
      </c>
      <c r="AP5">
        <v>1</v>
      </c>
      <c r="AQ5" t="str">
        <f t="shared" si="24"/>
        <v>Camina</v>
      </c>
      <c r="AR5">
        <v>0</v>
      </c>
      <c r="AS5" t="str">
        <f t="shared" si="25"/>
        <v>No es obeso</v>
      </c>
    </row>
    <row r="6" spans="1:45" x14ac:dyDescent="0.25">
      <c r="A6">
        <v>1</v>
      </c>
      <c r="B6" t="str">
        <f t="shared" si="0"/>
        <v>M</v>
      </c>
      <c r="C6">
        <v>22</v>
      </c>
      <c r="D6">
        <f t="shared" si="1"/>
        <v>22</v>
      </c>
      <c r="E6">
        <f t="shared" si="2"/>
        <v>22</v>
      </c>
      <c r="F6" t="str">
        <f t="shared" si="3"/>
        <v>1-25</v>
      </c>
      <c r="G6">
        <v>0</v>
      </c>
      <c r="H6" t="str">
        <f t="shared" si="4"/>
        <v>Pariente normal</v>
      </c>
      <c r="I6">
        <v>0</v>
      </c>
      <c r="J6" t="str">
        <f t="shared" si="5"/>
        <v>Saludables</v>
      </c>
      <c r="K6">
        <v>2</v>
      </c>
      <c r="L6">
        <f t="shared" si="6"/>
        <v>1</v>
      </c>
      <c r="M6" t="str">
        <f t="shared" si="7"/>
        <v>Suele comer</v>
      </c>
      <c r="N6">
        <v>1</v>
      </c>
      <c r="O6">
        <f t="shared" si="8"/>
        <v>1</v>
      </c>
      <c r="P6">
        <f t="shared" si="9"/>
        <v>3</v>
      </c>
      <c r="Q6">
        <v>1</v>
      </c>
      <c r="R6" t="str">
        <f t="shared" si="10"/>
        <v>A veces</v>
      </c>
      <c r="S6">
        <v>0</v>
      </c>
      <c r="T6" t="str">
        <f t="shared" si="11"/>
        <v>No fuma</v>
      </c>
      <c r="U6">
        <v>2</v>
      </c>
      <c r="V6">
        <f t="shared" si="12"/>
        <v>2</v>
      </c>
      <c r="W6" t="str">
        <f t="shared" si="13"/>
        <v>Siempre</v>
      </c>
      <c r="X6">
        <v>0</v>
      </c>
      <c r="Y6" t="str">
        <f t="shared" si="14"/>
        <v>No controla</v>
      </c>
      <c r="Z6">
        <v>0</v>
      </c>
      <c r="AA6">
        <f t="shared" si="15"/>
        <v>0</v>
      </c>
      <c r="AB6" t="str">
        <f t="shared" si="16"/>
        <v>Nunca</v>
      </c>
      <c r="AC6">
        <v>0</v>
      </c>
      <c r="AD6">
        <f t="shared" si="17"/>
        <v>0</v>
      </c>
      <c r="AE6" t="str">
        <f t="shared" si="18"/>
        <v>Nunca</v>
      </c>
      <c r="AF6">
        <v>1</v>
      </c>
      <c r="AG6" t="str">
        <f t="shared" si="19"/>
        <v>A veces</v>
      </c>
      <c r="AH6">
        <v>0</v>
      </c>
      <c r="AI6" t="str">
        <f t="shared" si="20"/>
        <v>No usa</v>
      </c>
      <c r="AJ6">
        <v>0</v>
      </c>
      <c r="AK6" t="str">
        <f t="shared" si="21"/>
        <v>No usa</v>
      </c>
      <c r="AL6">
        <v>0</v>
      </c>
      <c r="AM6" t="str">
        <f t="shared" si="22"/>
        <v>No usa</v>
      </c>
      <c r="AN6">
        <v>1</v>
      </c>
      <c r="AO6" t="str">
        <f t="shared" si="23"/>
        <v>Usa Transporte</v>
      </c>
      <c r="AP6">
        <v>0</v>
      </c>
      <c r="AQ6" t="str">
        <f t="shared" si="24"/>
        <v>No camina</v>
      </c>
      <c r="AR6">
        <v>0</v>
      </c>
      <c r="AS6" t="str">
        <f t="shared" si="25"/>
        <v>No es obeso</v>
      </c>
    </row>
    <row r="7" spans="1:45" x14ac:dyDescent="0.25">
      <c r="A7">
        <v>1</v>
      </c>
      <c r="B7" t="str">
        <f t="shared" si="0"/>
        <v>M</v>
      </c>
      <c r="C7">
        <v>29</v>
      </c>
      <c r="D7">
        <f t="shared" si="1"/>
        <v>29</v>
      </c>
      <c r="E7">
        <f t="shared" si="2"/>
        <v>29</v>
      </c>
      <c r="F7" t="str">
        <f t="shared" si="3"/>
        <v>25-50</v>
      </c>
      <c r="G7">
        <v>0</v>
      </c>
      <c r="H7" t="str">
        <f t="shared" si="4"/>
        <v>Pariente normal</v>
      </c>
      <c r="I7">
        <v>1</v>
      </c>
      <c r="J7" t="str">
        <f t="shared" si="5"/>
        <v>Hipercaloricos</v>
      </c>
      <c r="K7">
        <v>2</v>
      </c>
      <c r="L7">
        <f t="shared" si="6"/>
        <v>1</v>
      </c>
      <c r="M7" t="str">
        <f t="shared" si="7"/>
        <v>Suele comer</v>
      </c>
      <c r="N7">
        <v>3</v>
      </c>
      <c r="O7">
        <f t="shared" si="8"/>
        <v>2</v>
      </c>
      <c r="P7" t="str">
        <f t="shared" si="9"/>
        <v>Mas de 3</v>
      </c>
      <c r="Q7">
        <v>1</v>
      </c>
      <c r="R7" t="str">
        <f t="shared" si="10"/>
        <v>A veces</v>
      </c>
      <c r="S7">
        <v>0</v>
      </c>
      <c r="T7" t="str">
        <f t="shared" si="11"/>
        <v>No fuma</v>
      </c>
      <c r="U7">
        <v>2</v>
      </c>
      <c r="V7">
        <f t="shared" si="12"/>
        <v>2</v>
      </c>
      <c r="W7" t="str">
        <f t="shared" si="13"/>
        <v>Siempre</v>
      </c>
      <c r="X7">
        <v>0</v>
      </c>
      <c r="Y7" t="str">
        <f t="shared" si="14"/>
        <v>No controla</v>
      </c>
      <c r="Z7">
        <v>0</v>
      </c>
      <c r="AA7">
        <f t="shared" si="15"/>
        <v>0</v>
      </c>
      <c r="AB7" t="str">
        <f t="shared" si="16"/>
        <v>Nunca</v>
      </c>
      <c r="AC7">
        <v>0</v>
      </c>
      <c r="AD7">
        <f t="shared" si="17"/>
        <v>0</v>
      </c>
      <c r="AE7" t="str">
        <f t="shared" si="18"/>
        <v>Nunca</v>
      </c>
      <c r="AF7">
        <v>1</v>
      </c>
      <c r="AG7" t="str">
        <f t="shared" si="19"/>
        <v>A veces</v>
      </c>
      <c r="AH7">
        <v>1</v>
      </c>
      <c r="AI7" t="str">
        <f t="shared" si="20"/>
        <v>Usa auto</v>
      </c>
      <c r="AJ7">
        <v>0</v>
      </c>
      <c r="AK7" t="str">
        <f t="shared" si="21"/>
        <v>No usa</v>
      </c>
      <c r="AL7">
        <v>0</v>
      </c>
      <c r="AM7" t="str">
        <f t="shared" si="22"/>
        <v>No usa</v>
      </c>
      <c r="AN7">
        <v>0</v>
      </c>
      <c r="AO7" t="str">
        <f t="shared" si="23"/>
        <v>No usa</v>
      </c>
      <c r="AP7">
        <v>0</v>
      </c>
      <c r="AQ7" t="str">
        <f t="shared" si="24"/>
        <v>No camina</v>
      </c>
      <c r="AR7">
        <v>0</v>
      </c>
      <c r="AS7" t="str">
        <f t="shared" si="25"/>
        <v>No es obeso</v>
      </c>
    </row>
    <row r="8" spans="1:45" x14ac:dyDescent="0.25">
      <c r="A8">
        <v>0</v>
      </c>
      <c r="B8" t="str">
        <f t="shared" si="0"/>
        <v>F</v>
      </c>
      <c r="C8">
        <v>23</v>
      </c>
      <c r="D8">
        <f t="shared" si="1"/>
        <v>23</v>
      </c>
      <c r="E8">
        <f t="shared" si="2"/>
        <v>23</v>
      </c>
      <c r="F8" t="str">
        <f t="shared" si="3"/>
        <v>1-25</v>
      </c>
      <c r="G8">
        <v>1</v>
      </c>
      <c r="H8" t="str">
        <f t="shared" si="4"/>
        <v>Pariente gordo</v>
      </c>
      <c r="I8">
        <v>1</v>
      </c>
      <c r="J8" t="str">
        <f t="shared" si="5"/>
        <v>Hipercaloricos</v>
      </c>
      <c r="K8">
        <v>3</v>
      </c>
      <c r="L8">
        <f t="shared" si="6"/>
        <v>1</v>
      </c>
      <c r="M8" t="str">
        <f t="shared" si="7"/>
        <v>Suele comer</v>
      </c>
      <c r="N8">
        <v>3</v>
      </c>
      <c r="O8">
        <f t="shared" si="8"/>
        <v>2</v>
      </c>
      <c r="P8" t="str">
        <f t="shared" si="9"/>
        <v>Mas de 3</v>
      </c>
      <c r="Q8">
        <v>1</v>
      </c>
      <c r="R8" t="str">
        <f t="shared" si="10"/>
        <v>A veces</v>
      </c>
      <c r="S8">
        <v>0</v>
      </c>
      <c r="T8" t="str">
        <f t="shared" si="11"/>
        <v>No fuma</v>
      </c>
      <c r="U8">
        <v>2</v>
      </c>
      <c r="V8">
        <f t="shared" si="12"/>
        <v>2</v>
      </c>
      <c r="W8" t="str">
        <f t="shared" si="13"/>
        <v>Siempre</v>
      </c>
      <c r="X8">
        <v>0</v>
      </c>
      <c r="Y8" t="str">
        <f t="shared" si="14"/>
        <v>No controla</v>
      </c>
      <c r="Z8">
        <v>0</v>
      </c>
      <c r="AA8">
        <f t="shared" si="15"/>
        <v>0</v>
      </c>
      <c r="AB8" t="str">
        <f t="shared" si="16"/>
        <v>Nunca</v>
      </c>
      <c r="AC8">
        <v>0</v>
      </c>
      <c r="AD8">
        <f t="shared" si="17"/>
        <v>0</v>
      </c>
      <c r="AE8" t="str">
        <f t="shared" si="18"/>
        <v>Nunca</v>
      </c>
      <c r="AF8">
        <v>1</v>
      </c>
      <c r="AG8" t="str">
        <f t="shared" si="19"/>
        <v>A veces</v>
      </c>
      <c r="AH8">
        <v>0</v>
      </c>
      <c r="AI8" t="str">
        <f t="shared" si="20"/>
        <v>No usa</v>
      </c>
      <c r="AJ8">
        <v>0</v>
      </c>
      <c r="AK8" t="str">
        <f t="shared" si="21"/>
        <v>No usa</v>
      </c>
      <c r="AL8">
        <v>1</v>
      </c>
      <c r="AM8" t="str">
        <f t="shared" si="22"/>
        <v>Usa Moto</v>
      </c>
      <c r="AN8">
        <v>0</v>
      </c>
      <c r="AO8" t="str">
        <f t="shared" si="23"/>
        <v>No usa</v>
      </c>
      <c r="AP8">
        <v>0</v>
      </c>
      <c r="AQ8" t="str">
        <f t="shared" si="24"/>
        <v>No camina</v>
      </c>
      <c r="AR8">
        <v>0</v>
      </c>
      <c r="AS8" t="str">
        <f t="shared" si="25"/>
        <v>No es obeso</v>
      </c>
    </row>
    <row r="9" spans="1:45" x14ac:dyDescent="0.25">
      <c r="A9">
        <v>1</v>
      </c>
      <c r="B9" t="str">
        <f t="shared" si="0"/>
        <v>M</v>
      </c>
      <c r="C9">
        <v>22</v>
      </c>
      <c r="D9">
        <f t="shared" si="1"/>
        <v>22</v>
      </c>
      <c r="E9">
        <f t="shared" si="2"/>
        <v>22</v>
      </c>
      <c r="F9" t="str">
        <f t="shared" si="3"/>
        <v>1-25</v>
      </c>
      <c r="G9">
        <v>0</v>
      </c>
      <c r="H9" t="str">
        <f t="shared" si="4"/>
        <v>Pariente normal</v>
      </c>
      <c r="I9">
        <v>0</v>
      </c>
      <c r="J9" t="str">
        <f t="shared" si="5"/>
        <v>Saludables</v>
      </c>
      <c r="K9">
        <v>2</v>
      </c>
      <c r="L9">
        <f t="shared" si="6"/>
        <v>1</v>
      </c>
      <c r="M9" t="str">
        <f t="shared" si="7"/>
        <v>Suele comer</v>
      </c>
      <c r="N9">
        <v>3</v>
      </c>
      <c r="O9">
        <f t="shared" si="8"/>
        <v>2</v>
      </c>
      <c r="P9" t="str">
        <f t="shared" si="9"/>
        <v>Mas de 3</v>
      </c>
      <c r="Q9">
        <v>1</v>
      </c>
      <c r="R9" t="str">
        <f t="shared" si="10"/>
        <v>A veces</v>
      </c>
      <c r="S9">
        <v>0</v>
      </c>
      <c r="T9" t="str">
        <f t="shared" si="11"/>
        <v>No fuma</v>
      </c>
      <c r="U9">
        <v>2</v>
      </c>
      <c r="V9">
        <f t="shared" si="12"/>
        <v>2</v>
      </c>
      <c r="W9" t="str">
        <f t="shared" si="13"/>
        <v>Siempre</v>
      </c>
      <c r="X9">
        <v>0</v>
      </c>
      <c r="Y9" t="str">
        <f t="shared" si="14"/>
        <v>No controla</v>
      </c>
      <c r="Z9">
        <v>0</v>
      </c>
      <c r="AA9">
        <f t="shared" si="15"/>
        <v>0</v>
      </c>
      <c r="AB9" t="str">
        <f t="shared" si="16"/>
        <v>Nunca</v>
      </c>
      <c r="AC9">
        <v>0</v>
      </c>
      <c r="AD9">
        <f t="shared" si="17"/>
        <v>0</v>
      </c>
      <c r="AE9" t="str">
        <f t="shared" si="18"/>
        <v>Nunca</v>
      </c>
      <c r="AF9">
        <v>1</v>
      </c>
      <c r="AG9" t="str">
        <f t="shared" si="19"/>
        <v>A veces</v>
      </c>
      <c r="AH9">
        <v>0</v>
      </c>
      <c r="AI9" t="str">
        <f t="shared" si="20"/>
        <v>No usa</v>
      </c>
      <c r="AJ9">
        <v>0</v>
      </c>
      <c r="AK9" t="str">
        <f t="shared" si="21"/>
        <v>No usa</v>
      </c>
      <c r="AL9">
        <v>0</v>
      </c>
      <c r="AM9" t="str">
        <f t="shared" si="22"/>
        <v>No usa</v>
      </c>
      <c r="AN9">
        <v>1</v>
      </c>
      <c r="AO9" t="str">
        <f t="shared" si="23"/>
        <v>Usa Transporte</v>
      </c>
      <c r="AP9">
        <v>0</v>
      </c>
      <c r="AQ9" t="str">
        <f t="shared" si="24"/>
        <v>No camina</v>
      </c>
      <c r="AR9">
        <v>0</v>
      </c>
      <c r="AS9" t="str">
        <f t="shared" si="25"/>
        <v>No es obeso</v>
      </c>
    </row>
    <row r="10" spans="1:45" x14ac:dyDescent="0.25">
      <c r="A10">
        <v>1</v>
      </c>
      <c r="B10" t="str">
        <f t="shared" si="0"/>
        <v>M</v>
      </c>
      <c r="C10">
        <v>24</v>
      </c>
      <c r="D10">
        <f t="shared" si="1"/>
        <v>24</v>
      </c>
      <c r="E10">
        <f t="shared" si="2"/>
        <v>24</v>
      </c>
      <c r="F10" t="str">
        <f t="shared" si="3"/>
        <v>1-25</v>
      </c>
      <c r="G10">
        <v>1</v>
      </c>
      <c r="H10" t="str">
        <f t="shared" si="4"/>
        <v>Pariente gordo</v>
      </c>
      <c r="I10">
        <v>1</v>
      </c>
      <c r="J10" t="str">
        <f t="shared" si="5"/>
        <v>Hipercaloricos</v>
      </c>
      <c r="K10">
        <v>3</v>
      </c>
      <c r="L10">
        <f t="shared" si="6"/>
        <v>1</v>
      </c>
      <c r="M10" t="str">
        <f t="shared" si="7"/>
        <v>Suele comer</v>
      </c>
      <c r="N10">
        <v>3</v>
      </c>
      <c r="O10">
        <f t="shared" si="8"/>
        <v>2</v>
      </c>
      <c r="P10" t="str">
        <f t="shared" si="9"/>
        <v>Mas de 3</v>
      </c>
      <c r="Q10">
        <v>1</v>
      </c>
      <c r="R10" t="str">
        <f t="shared" si="10"/>
        <v>A veces</v>
      </c>
      <c r="S10">
        <v>0</v>
      </c>
      <c r="T10" t="str">
        <f t="shared" si="11"/>
        <v>No fuma</v>
      </c>
      <c r="U10">
        <v>2</v>
      </c>
      <c r="V10">
        <f t="shared" si="12"/>
        <v>2</v>
      </c>
      <c r="W10" t="str">
        <f t="shared" si="13"/>
        <v>Siempre</v>
      </c>
      <c r="X10">
        <v>0</v>
      </c>
      <c r="Y10" t="str">
        <f t="shared" si="14"/>
        <v>No controla</v>
      </c>
      <c r="Z10">
        <v>0</v>
      </c>
      <c r="AA10">
        <f t="shared" si="15"/>
        <v>0</v>
      </c>
      <c r="AB10" t="str">
        <f t="shared" si="16"/>
        <v>Nunca</v>
      </c>
      <c r="AC10">
        <v>1</v>
      </c>
      <c r="AD10">
        <f t="shared" si="17"/>
        <v>1</v>
      </c>
      <c r="AE10" t="str">
        <f t="shared" si="18"/>
        <v>Usualmente</v>
      </c>
      <c r="AF10">
        <v>2</v>
      </c>
      <c r="AG10" t="str">
        <f t="shared" si="19"/>
        <v>Usualmente</v>
      </c>
      <c r="AH10">
        <v>0</v>
      </c>
      <c r="AI10" t="str">
        <f t="shared" si="20"/>
        <v>No usa</v>
      </c>
      <c r="AJ10">
        <v>0</v>
      </c>
      <c r="AK10" t="str">
        <f t="shared" si="21"/>
        <v>No usa</v>
      </c>
      <c r="AL10">
        <v>0</v>
      </c>
      <c r="AM10" t="str">
        <f t="shared" si="22"/>
        <v>No usa</v>
      </c>
      <c r="AN10">
        <v>1</v>
      </c>
      <c r="AO10" t="str">
        <f t="shared" si="23"/>
        <v>Usa Transporte</v>
      </c>
      <c r="AP10">
        <v>0</v>
      </c>
      <c r="AQ10" t="str">
        <f t="shared" si="24"/>
        <v>No camina</v>
      </c>
      <c r="AR10">
        <v>0</v>
      </c>
      <c r="AS10" t="str">
        <f t="shared" si="25"/>
        <v>No es obeso</v>
      </c>
    </row>
    <row r="11" spans="1:45" x14ac:dyDescent="0.25">
      <c r="A11">
        <v>1</v>
      </c>
      <c r="B11" t="str">
        <f t="shared" si="0"/>
        <v>M</v>
      </c>
      <c r="C11">
        <v>22</v>
      </c>
      <c r="D11">
        <f t="shared" si="1"/>
        <v>22</v>
      </c>
      <c r="E11">
        <f t="shared" si="2"/>
        <v>22</v>
      </c>
      <c r="F11" t="str">
        <f t="shared" si="3"/>
        <v>1-25</v>
      </c>
      <c r="G11">
        <v>1</v>
      </c>
      <c r="H11" t="str">
        <f t="shared" si="4"/>
        <v>Pariente gordo</v>
      </c>
      <c r="I11">
        <v>1</v>
      </c>
      <c r="J11" t="str">
        <f t="shared" si="5"/>
        <v>Hipercaloricos</v>
      </c>
      <c r="K11">
        <v>2</v>
      </c>
      <c r="L11">
        <f t="shared" si="6"/>
        <v>1</v>
      </c>
      <c r="M11" t="str">
        <f t="shared" si="7"/>
        <v>Suele comer</v>
      </c>
      <c r="N11">
        <v>3</v>
      </c>
      <c r="O11">
        <f t="shared" si="8"/>
        <v>2</v>
      </c>
      <c r="P11" t="str">
        <f t="shared" si="9"/>
        <v>Mas de 3</v>
      </c>
      <c r="Q11">
        <v>1</v>
      </c>
      <c r="R11" t="str">
        <f t="shared" si="10"/>
        <v>A veces</v>
      </c>
      <c r="S11">
        <v>0</v>
      </c>
      <c r="T11" t="str">
        <f t="shared" si="11"/>
        <v>No fuma</v>
      </c>
      <c r="U11">
        <v>2</v>
      </c>
      <c r="V11">
        <f t="shared" si="12"/>
        <v>2</v>
      </c>
      <c r="W11" t="str">
        <f t="shared" si="13"/>
        <v>Siempre</v>
      </c>
      <c r="X11">
        <v>0</v>
      </c>
      <c r="Y11" t="str">
        <f t="shared" si="14"/>
        <v>No controla</v>
      </c>
      <c r="Z11">
        <v>0</v>
      </c>
      <c r="AA11">
        <f t="shared" si="15"/>
        <v>0</v>
      </c>
      <c r="AB11" t="str">
        <f t="shared" si="16"/>
        <v>Nunca</v>
      </c>
      <c r="AC11">
        <v>1</v>
      </c>
      <c r="AD11">
        <f t="shared" si="17"/>
        <v>1</v>
      </c>
      <c r="AE11" t="str">
        <f t="shared" si="18"/>
        <v>Usualmente</v>
      </c>
      <c r="AF11">
        <v>0</v>
      </c>
      <c r="AG11" t="str">
        <f t="shared" si="19"/>
        <v>Nunca</v>
      </c>
      <c r="AH11">
        <v>0</v>
      </c>
      <c r="AI11" t="str">
        <f t="shared" si="20"/>
        <v>No usa</v>
      </c>
      <c r="AJ11">
        <v>0</v>
      </c>
      <c r="AK11" t="str">
        <f t="shared" si="21"/>
        <v>No usa</v>
      </c>
      <c r="AL11">
        <v>0</v>
      </c>
      <c r="AM11" t="str">
        <f t="shared" si="22"/>
        <v>No usa</v>
      </c>
      <c r="AN11">
        <v>1</v>
      </c>
      <c r="AO11" t="str">
        <f t="shared" si="23"/>
        <v>Usa Transporte</v>
      </c>
      <c r="AP11">
        <v>0</v>
      </c>
      <c r="AQ11" t="str">
        <f t="shared" si="24"/>
        <v>No camina</v>
      </c>
      <c r="AR11">
        <v>0</v>
      </c>
      <c r="AS11" t="str">
        <f t="shared" si="25"/>
        <v>No es obeso</v>
      </c>
    </row>
    <row r="12" spans="1:45" x14ac:dyDescent="0.25">
      <c r="A12">
        <v>1</v>
      </c>
      <c r="B12" t="str">
        <f t="shared" si="0"/>
        <v>M</v>
      </c>
      <c r="C12">
        <v>26</v>
      </c>
      <c r="D12">
        <f t="shared" si="1"/>
        <v>26</v>
      </c>
      <c r="E12">
        <f t="shared" si="2"/>
        <v>26</v>
      </c>
      <c r="F12" t="str">
        <f t="shared" si="3"/>
        <v>25-50</v>
      </c>
      <c r="G12">
        <v>1</v>
      </c>
      <c r="H12" t="str">
        <f t="shared" si="4"/>
        <v>Pariente gordo</v>
      </c>
      <c r="I12">
        <v>1</v>
      </c>
      <c r="J12" t="str">
        <f t="shared" si="5"/>
        <v>Hipercaloricos</v>
      </c>
      <c r="K12">
        <v>3</v>
      </c>
      <c r="L12">
        <f t="shared" si="6"/>
        <v>1</v>
      </c>
      <c r="M12" t="str">
        <f t="shared" si="7"/>
        <v>Suele comer</v>
      </c>
      <c r="N12">
        <v>3</v>
      </c>
      <c r="O12">
        <f t="shared" si="8"/>
        <v>2</v>
      </c>
      <c r="P12" t="str">
        <f t="shared" si="9"/>
        <v>Mas de 3</v>
      </c>
      <c r="Q12">
        <v>2</v>
      </c>
      <c r="R12" t="str">
        <f t="shared" si="10"/>
        <v>Usualmente</v>
      </c>
      <c r="S12">
        <v>0</v>
      </c>
      <c r="T12" t="str">
        <f t="shared" si="11"/>
        <v>No fuma</v>
      </c>
      <c r="U12">
        <v>3</v>
      </c>
      <c r="V12">
        <f t="shared" si="12"/>
        <v>2</v>
      </c>
      <c r="W12" t="str">
        <f t="shared" si="13"/>
        <v>Siempre</v>
      </c>
      <c r="X12">
        <v>0</v>
      </c>
      <c r="Y12" t="str">
        <f t="shared" si="14"/>
        <v>No controla</v>
      </c>
      <c r="Z12">
        <v>0</v>
      </c>
      <c r="AA12">
        <f t="shared" si="15"/>
        <v>0</v>
      </c>
      <c r="AB12" t="str">
        <f t="shared" si="16"/>
        <v>Nunca</v>
      </c>
      <c r="AC12">
        <v>2</v>
      </c>
      <c r="AD12">
        <f t="shared" si="17"/>
        <v>2</v>
      </c>
      <c r="AE12" t="str">
        <f t="shared" si="18"/>
        <v>Siempre</v>
      </c>
      <c r="AF12">
        <v>1</v>
      </c>
      <c r="AG12" t="str">
        <f t="shared" si="19"/>
        <v>A veces</v>
      </c>
      <c r="AH12">
        <v>0</v>
      </c>
      <c r="AI12" t="str">
        <f t="shared" si="20"/>
        <v>No usa</v>
      </c>
      <c r="AJ12">
        <v>0</v>
      </c>
      <c r="AK12" t="str">
        <f t="shared" si="21"/>
        <v>No usa</v>
      </c>
      <c r="AL12">
        <v>0</v>
      </c>
      <c r="AM12" t="str">
        <f t="shared" si="22"/>
        <v>No usa</v>
      </c>
      <c r="AN12">
        <v>1</v>
      </c>
      <c r="AO12" t="str">
        <f t="shared" si="23"/>
        <v>Usa Transporte</v>
      </c>
      <c r="AP12">
        <v>0</v>
      </c>
      <c r="AQ12" t="str">
        <f t="shared" si="24"/>
        <v>No camina</v>
      </c>
      <c r="AR12">
        <v>1</v>
      </c>
      <c r="AS12" t="str">
        <f t="shared" si="25"/>
        <v>Es Obeso</v>
      </c>
    </row>
    <row r="13" spans="1:45" x14ac:dyDescent="0.25">
      <c r="A13">
        <v>0</v>
      </c>
      <c r="B13" t="str">
        <f t="shared" si="0"/>
        <v>F</v>
      </c>
      <c r="C13">
        <v>21</v>
      </c>
      <c r="D13">
        <f t="shared" si="1"/>
        <v>21</v>
      </c>
      <c r="E13">
        <f t="shared" si="2"/>
        <v>21</v>
      </c>
      <c r="F13" t="str">
        <f t="shared" si="3"/>
        <v>1-25</v>
      </c>
      <c r="G13">
        <v>1</v>
      </c>
      <c r="H13" t="str">
        <f t="shared" si="4"/>
        <v>Pariente gordo</v>
      </c>
      <c r="I13">
        <v>1</v>
      </c>
      <c r="J13" t="str">
        <f t="shared" si="5"/>
        <v>Hipercaloricos</v>
      </c>
      <c r="K13">
        <v>2</v>
      </c>
      <c r="L13">
        <f t="shared" si="6"/>
        <v>1</v>
      </c>
      <c r="M13" t="str">
        <f t="shared" si="7"/>
        <v>Suele comer</v>
      </c>
      <c r="N13">
        <v>3</v>
      </c>
      <c r="O13">
        <f t="shared" si="8"/>
        <v>2</v>
      </c>
      <c r="P13" t="str">
        <f t="shared" si="9"/>
        <v>Mas de 3</v>
      </c>
      <c r="Q13">
        <v>2</v>
      </c>
      <c r="R13" t="str">
        <f t="shared" si="10"/>
        <v>Usualmente</v>
      </c>
      <c r="S13">
        <v>0</v>
      </c>
      <c r="T13" t="str">
        <f t="shared" si="11"/>
        <v>No fuma</v>
      </c>
      <c r="U13">
        <v>2</v>
      </c>
      <c r="V13">
        <f t="shared" si="12"/>
        <v>2</v>
      </c>
      <c r="W13" t="str">
        <f t="shared" si="13"/>
        <v>Siempre</v>
      </c>
      <c r="X13">
        <v>1</v>
      </c>
      <c r="Y13" t="str">
        <f t="shared" si="14"/>
        <v>Controla</v>
      </c>
      <c r="Z13">
        <v>0</v>
      </c>
      <c r="AA13">
        <f t="shared" si="15"/>
        <v>0</v>
      </c>
      <c r="AB13" t="str">
        <f t="shared" si="16"/>
        <v>Nunca</v>
      </c>
      <c r="AC13">
        <v>1</v>
      </c>
      <c r="AD13">
        <f t="shared" si="17"/>
        <v>1</v>
      </c>
      <c r="AE13" t="str">
        <f t="shared" si="18"/>
        <v>Usualmente</v>
      </c>
      <c r="AF13">
        <v>1</v>
      </c>
      <c r="AG13" t="str">
        <f t="shared" si="19"/>
        <v>A veces</v>
      </c>
      <c r="AH13">
        <v>0</v>
      </c>
      <c r="AI13" t="str">
        <f t="shared" si="20"/>
        <v>No usa</v>
      </c>
      <c r="AJ13">
        <v>0</v>
      </c>
      <c r="AK13" t="str">
        <f t="shared" si="21"/>
        <v>No usa</v>
      </c>
      <c r="AL13">
        <v>0</v>
      </c>
      <c r="AM13" t="str">
        <f t="shared" si="22"/>
        <v>No usa</v>
      </c>
      <c r="AN13">
        <v>1</v>
      </c>
      <c r="AO13" t="str">
        <f t="shared" si="23"/>
        <v>Usa Transporte</v>
      </c>
      <c r="AP13">
        <v>0</v>
      </c>
      <c r="AQ13" t="str">
        <f t="shared" si="24"/>
        <v>No camina</v>
      </c>
      <c r="AR13">
        <v>0</v>
      </c>
      <c r="AS13" t="str">
        <f t="shared" si="25"/>
        <v>No es obeso</v>
      </c>
    </row>
    <row r="14" spans="1:45" x14ac:dyDescent="0.25">
      <c r="A14">
        <v>1</v>
      </c>
      <c r="B14" t="str">
        <f t="shared" si="0"/>
        <v>M</v>
      </c>
      <c r="C14">
        <v>22</v>
      </c>
      <c r="D14">
        <f t="shared" si="1"/>
        <v>22</v>
      </c>
      <c r="E14">
        <f t="shared" si="2"/>
        <v>22</v>
      </c>
      <c r="F14" t="str">
        <f t="shared" si="3"/>
        <v>1-25</v>
      </c>
      <c r="G14">
        <v>0</v>
      </c>
      <c r="H14" t="str">
        <f t="shared" si="4"/>
        <v>Pariente normal</v>
      </c>
      <c r="I14">
        <v>0</v>
      </c>
      <c r="J14" t="str">
        <f t="shared" si="5"/>
        <v>Saludables</v>
      </c>
      <c r="K14">
        <v>3</v>
      </c>
      <c r="L14">
        <f t="shared" si="6"/>
        <v>1</v>
      </c>
      <c r="M14" t="str">
        <f t="shared" si="7"/>
        <v>Suele comer</v>
      </c>
      <c r="N14">
        <v>3</v>
      </c>
      <c r="O14">
        <f t="shared" si="8"/>
        <v>2</v>
      </c>
      <c r="P14" t="str">
        <f t="shared" si="9"/>
        <v>Mas de 3</v>
      </c>
      <c r="Q14">
        <v>1</v>
      </c>
      <c r="R14" t="str">
        <f t="shared" si="10"/>
        <v>A veces</v>
      </c>
      <c r="S14">
        <v>0</v>
      </c>
      <c r="T14" t="str">
        <f t="shared" si="11"/>
        <v>No fuma</v>
      </c>
      <c r="U14">
        <v>3</v>
      </c>
      <c r="V14">
        <f t="shared" si="12"/>
        <v>2</v>
      </c>
      <c r="W14" t="str">
        <f t="shared" si="13"/>
        <v>Siempre</v>
      </c>
      <c r="X14">
        <v>0</v>
      </c>
      <c r="Y14" t="str">
        <f t="shared" si="14"/>
        <v>No controla</v>
      </c>
      <c r="Z14">
        <v>2</v>
      </c>
      <c r="AA14">
        <f t="shared" si="15"/>
        <v>2</v>
      </c>
      <c r="AB14" t="str">
        <f t="shared" si="16"/>
        <v>Usualmente</v>
      </c>
      <c r="AC14">
        <v>0</v>
      </c>
      <c r="AD14">
        <f t="shared" si="17"/>
        <v>0</v>
      </c>
      <c r="AE14" t="str">
        <f t="shared" si="18"/>
        <v>Nunca</v>
      </c>
      <c r="AF14">
        <v>1</v>
      </c>
      <c r="AG14" t="str">
        <f t="shared" si="19"/>
        <v>A veces</v>
      </c>
      <c r="AH14">
        <v>0</v>
      </c>
      <c r="AI14" t="str">
        <f t="shared" si="20"/>
        <v>No usa</v>
      </c>
      <c r="AJ14">
        <v>0</v>
      </c>
      <c r="AK14" t="str">
        <f t="shared" si="21"/>
        <v>No usa</v>
      </c>
      <c r="AL14">
        <v>0</v>
      </c>
      <c r="AM14" t="str">
        <f t="shared" si="22"/>
        <v>No usa</v>
      </c>
      <c r="AN14">
        <v>1</v>
      </c>
      <c r="AO14" t="str">
        <f t="shared" si="23"/>
        <v>Usa Transporte</v>
      </c>
      <c r="AP14">
        <v>0</v>
      </c>
      <c r="AQ14" t="str">
        <f t="shared" si="24"/>
        <v>No camina</v>
      </c>
      <c r="AR14">
        <v>0</v>
      </c>
      <c r="AS14" t="str">
        <f t="shared" si="25"/>
        <v>No es obeso</v>
      </c>
    </row>
    <row r="15" spans="1:45" x14ac:dyDescent="0.25">
      <c r="A15">
        <v>1</v>
      </c>
      <c r="B15" t="str">
        <f t="shared" si="0"/>
        <v>M</v>
      </c>
      <c r="C15">
        <v>41</v>
      </c>
      <c r="D15">
        <f t="shared" si="1"/>
        <v>41</v>
      </c>
      <c r="E15">
        <f t="shared" si="2"/>
        <v>41</v>
      </c>
      <c r="F15" t="str">
        <f t="shared" si="3"/>
        <v>25-50</v>
      </c>
      <c r="G15">
        <v>0</v>
      </c>
      <c r="H15" t="str">
        <f t="shared" si="4"/>
        <v>Pariente normal</v>
      </c>
      <c r="I15">
        <v>1</v>
      </c>
      <c r="J15" t="str">
        <f t="shared" si="5"/>
        <v>Hipercaloricos</v>
      </c>
      <c r="K15">
        <v>2</v>
      </c>
      <c r="L15">
        <f t="shared" si="6"/>
        <v>1</v>
      </c>
      <c r="M15" t="str">
        <f t="shared" si="7"/>
        <v>Suele comer</v>
      </c>
      <c r="N15">
        <v>3</v>
      </c>
      <c r="O15">
        <f t="shared" si="8"/>
        <v>2</v>
      </c>
      <c r="P15" t="str">
        <f t="shared" si="9"/>
        <v>Mas de 3</v>
      </c>
      <c r="Q15">
        <v>1</v>
      </c>
      <c r="R15" t="str">
        <f t="shared" si="10"/>
        <v>A veces</v>
      </c>
      <c r="S15">
        <v>0</v>
      </c>
      <c r="T15" t="str">
        <f t="shared" si="11"/>
        <v>No fuma</v>
      </c>
      <c r="U15">
        <v>2</v>
      </c>
      <c r="V15">
        <f t="shared" si="12"/>
        <v>2</v>
      </c>
      <c r="W15" t="str">
        <f t="shared" si="13"/>
        <v>Siempre</v>
      </c>
      <c r="X15">
        <v>0</v>
      </c>
      <c r="Y15" t="str">
        <f t="shared" si="14"/>
        <v>No controla</v>
      </c>
      <c r="Z15">
        <v>2</v>
      </c>
      <c r="AA15">
        <f t="shared" si="15"/>
        <v>2</v>
      </c>
      <c r="AB15" t="str">
        <f t="shared" si="16"/>
        <v>Usualmente</v>
      </c>
      <c r="AC15">
        <v>1</v>
      </c>
      <c r="AD15">
        <f t="shared" si="17"/>
        <v>1</v>
      </c>
      <c r="AE15" t="str">
        <f t="shared" si="18"/>
        <v>Usualmente</v>
      </c>
      <c r="AF15">
        <v>2</v>
      </c>
      <c r="AG15" t="str">
        <f t="shared" si="19"/>
        <v>Usualmente</v>
      </c>
      <c r="AH15">
        <v>1</v>
      </c>
      <c r="AI15" t="str">
        <f t="shared" si="20"/>
        <v>Usa auto</v>
      </c>
      <c r="AJ15">
        <v>0</v>
      </c>
      <c r="AK15" t="str">
        <f t="shared" si="21"/>
        <v>No usa</v>
      </c>
      <c r="AL15">
        <v>0</v>
      </c>
      <c r="AM15" t="str">
        <f t="shared" si="22"/>
        <v>No usa</v>
      </c>
      <c r="AN15">
        <v>0</v>
      </c>
      <c r="AO15" t="str">
        <f t="shared" si="23"/>
        <v>No usa</v>
      </c>
      <c r="AP15">
        <v>0</v>
      </c>
      <c r="AQ15" t="str">
        <f t="shared" si="24"/>
        <v>No camina</v>
      </c>
      <c r="AR15">
        <v>1</v>
      </c>
      <c r="AS15" t="str">
        <f t="shared" si="25"/>
        <v>Es Obeso</v>
      </c>
    </row>
    <row r="16" spans="1:45" x14ac:dyDescent="0.25">
      <c r="A16">
        <v>1</v>
      </c>
      <c r="B16" t="str">
        <f t="shared" si="0"/>
        <v>M</v>
      </c>
      <c r="C16">
        <v>23</v>
      </c>
      <c r="D16">
        <f t="shared" si="1"/>
        <v>23</v>
      </c>
      <c r="E16">
        <f t="shared" si="2"/>
        <v>23</v>
      </c>
      <c r="F16" t="str">
        <f t="shared" si="3"/>
        <v>1-25</v>
      </c>
      <c r="G16">
        <v>1</v>
      </c>
      <c r="H16" t="str">
        <f t="shared" si="4"/>
        <v>Pariente gordo</v>
      </c>
      <c r="I16">
        <v>1</v>
      </c>
      <c r="J16" t="str">
        <f t="shared" si="5"/>
        <v>Hipercaloricos</v>
      </c>
      <c r="K16">
        <v>3</v>
      </c>
      <c r="L16">
        <f t="shared" si="6"/>
        <v>1</v>
      </c>
      <c r="M16" t="str">
        <f t="shared" si="7"/>
        <v>Suele comer</v>
      </c>
      <c r="N16">
        <v>1</v>
      </c>
      <c r="O16">
        <f t="shared" si="8"/>
        <v>1</v>
      </c>
      <c r="P16">
        <f t="shared" si="9"/>
        <v>3</v>
      </c>
      <c r="Q16">
        <v>1</v>
      </c>
      <c r="R16" t="str">
        <f t="shared" si="10"/>
        <v>A veces</v>
      </c>
      <c r="S16">
        <v>0</v>
      </c>
      <c r="T16" t="str">
        <f t="shared" si="11"/>
        <v>No fuma</v>
      </c>
      <c r="U16">
        <v>1</v>
      </c>
      <c r="V16">
        <f t="shared" si="12"/>
        <v>1</v>
      </c>
      <c r="W16" t="str">
        <f t="shared" si="13"/>
        <v>Usualmente</v>
      </c>
      <c r="X16">
        <v>0</v>
      </c>
      <c r="Y16" t="str">
        <f t="shared" si="14"/>
        <v>No controla</v>
      </c>
      <c r="Z16">
        <v>1</v>
      </c>
      <c r="AA16">
        <f t="shared" si="15"/>
        <v>1</v>
      </c>
      <c r="AB16" t="str">
        <f t="shared" si="16"/>
        <v>A veces</v>
      </c>
      <c r="AC16">
        <v>1</v>
      </c>
      <c r="AD16">
        <f t="shared" si="17"/>
        <v>1</v>
      </c>
      <c r="AE16" t="str">
        <f t="shared" si="18"/>
        <v>Usualmente</v>
      </c>
      <c r="AF16">
        <v>1</v>
      </c>
      <c r="AG16" t="str">
        <f t="shared" si="19"/>
        <v>A veces</v>
      </c>
      <c r="AH16">
        <v>0</v>
      </c>
      <c r="AI16" t="str">
        <f t="shared" si="20"/>
        <v>No usa</v>
      </c>
      <c r="AJ16">
        <v>0</v>
      </c>
      <c r="AK16" t="str">
        <f t="shared" si="21"/>
        <v>No usa</v>
      </c>
      <c r="AL16">
        <v>0</v>
      </c>
      <c r="AM16" t="str">
        <f t="shared" si="22"/>
        <v>No usa</v>
      </c>
      <c r="AN16">
        <v>1</v>
      </c>
      <c r="AO16" t="str">
        <f t="shared" si="23"/>
        <v>Usa Transporte</v>
      </c>
      <c r="AP16">
        <v>0</v>
      </c>
      <c r="AQ16" t="str">
        <f t="shared" si="24"/>
        <v>No camina</v>
      </c>
      <c r="AR16">
        <v>0</v>
      </c>
      <c r="AS16" t="str">
        <f t="shared" si="25"/>
        <v>No es obeso</v>
      </c>
    </row>
    <row r="17" spans="1:45" x14ac:dyDescent="0.25">
      <c r="A17">
        <v>0</v>
      </c>
      <c r="B17" t="str">
        <f t="shared" si="0"/>
        <v>F</v>
      </c>
      <c r="C17">
        <v>22</v>
      </c>
      <c r="D17">
        <f t="shared" si="1"/>
        <v>22</v>
      </c>
      <c r="E17">
        <f t="shared" si="2"/>
        <v>22</v>
      </c>
      <c r="F17" t="str">
        <f t="shared" si="3"/>
        <v>1-25</v>
      </c>
      <c r="G17">
        <v>1</v>
      </c>
      <c r="H17" t="str">
        <f t="shared" si="4"/>
        <v>Pariente gordo</v>
      </c>
      <c r="I17">
        <v>0</v>
      </c>
      <c r="J17" t="str">
        <f t="shared" si="5"/>
        <v>Saludables</v>
      </c>
      <c r="K17">
        <v>3</v>
      </c>
      <c r="L17">
        <f t="shared" si="6"/>
        <v>1</v>
      </c>
      <c r="M17" t="str">
        <f t="shared" si="7"/>
        <v>Suele comer</v>
      </c>
      <c r="N17">
        <v>3</v>
      </c>
      <c r="O17">
        <f t="shared" si="8"/>
        <v>2</v>
      </c>
      <c r="P17" t="str">
        <f t="shared" si="9"/>
        <v>Mas de 3</v>
      </c>
      <c r="Q17">
        <v>3</v>
      </c>
      <c r="R17" t="str">
        <f t="shared" si="10"/>
        <v>Siempre</v>
      </c>
      <c r="S17">
        <v>0</v>
      </c>
      <c r="T17" t="str">
        <f t="shared" si="11"/>
        <v>No fuma</v>
      </c>
      <c r="U17">
        <v>2</v>
      </c>
      <c r="V17">
        <f t="shared" si="12"/>
        <v>2</v>
      </c>
      <c r="W17" t="str">
        <f t="shared" si="13"/>
        <v>Siempre</v>
      </c>
      <c r="X17">
        <v>1</v>
      </c>
      <c r="Y17" t="str">
        <f t="shared" si="14"/>
        <v>Controla</v>
      </c>
      <c r="Z17">
        <v>2</v>
      </c>
      <c r="AA17">
        <f t="shared" si="15"/>
        <v>2</v>
      </c>
      <c r="AB17" t="str">
        <f t="shared" si="16"/>
        <v>Usualmente</v>
      </c>
      <c r="AC17">
        <v>1</v>
      </c>
      <c r="AD17">
        <f t="shared" si="17"/>
        <v>1</v>
      </c>
      <c r="AE17" t="str">
        <f t="shared" si="18"/>
        <v>Usualmente</v>
      </c>
      <c r="AF17">
        <v>1</v>
      </c>
      <c r="AG17" t="str">
        <f t="shared" si="19"/>
        <v>A veces</v>
      </c>
      <c r="AH17">
        <v>0</v>
      </c>
      <c r="AI17" t="str">
        <f t="shared" si="20"/>
        <v>No usa</v>
      </c>
      <c r="AJ17">
        <v>0</v>
      </c>
      <c r="AK17" t="str">
        <f t="shared" si="21"/>
        <v>No usa</v>
      </c>
      <c r="AL17">
        <v>0</v>
      </c>
      <c r="AM17" t="str">
        <f t="shared" si="22"/>
        <v>No usa</v>
      </c>
      <c r="AN17">
        <v>1</v>
      </c>
      <c r="AO17" t="str">
        <f t="shared" si="23"/>
        <v>Usa Transporte</v>
      </c>
      <c r="AP17">
        <v>0</v>
      </c>
      <c r="AQ17" t="str">
        <f t="shared" si="24"/>
        <v>No camina</v>
      </c>
      <c r="AR17">
        <v>0</v>
      </c>
      <c r="AS17" t="str">
        <f t="shared" si="25"/>
        <v>No es obeso</v>
      </c>
    </row>
    <row r="18" spans="1:45" x14ac:dyDescent="0.25">
      <c r="A18">
        <v>1</v>
      </c>
      <c r="B18" t="str">
        <f t="shared" si="0"/>
        <v>M</v>
      </c>
      <c r="C18">
        <v>27</v>
      </c>
      <c r="D18">
        <f t="shared" si="1"/>
        <v>27</v>
      </c>
      <c r="E18">
        <f t="shared" si="2"/>
        <v>27</v>
      </c>
      <c r="F18" t="str">
        <f t="shared" si="3"/>
        <v>25-50</v>
      </c>
      <c r="G18">
        <v>1</v>
      </c>
      <c r="H18" t="str">
        <f t="shared" si="4"/>
        <v>Pariente gordo</v>
      </c>
      <c r="I18">
        <v>1</v>
      </c>
      <c r="J18" t="str">
        <f t="shared" si="5"/>
        <v>Hipercaloricos</v>
      </c>
      <c r="K18">
        <v>2</v>
      </c>
      <c r="L18">
        <f t="shared" si="6"/>
        <v>1</v>
      </c>
      <c r="M18" t="str">
        <f t="shared" si="7"/>
        <v>Suele comer</v>
      </c>
      <c r="N18">
        <v>1</v>
      </c>
      <c r="O18">
        <f t="shared" si="8"/>
        <v>1</v>
      </c>
      <c r="P18">
        <f t="shared" si="9"/>
        <v>3</v>
      </c>
      <c r="Q18">
        <v>1</v>
      </c>
      <c r="R18" t="str">
        <f t="shared" si="10"/>
        <v>A veces</v>
      </c>
      <c r="S18">
        <v>0</v>
      </c>
      <c r="T18" t="str">
        <f t="shared" si="11"/>
        <v>No fuma</v>
      </c>
      <c r="U18">
        <v>1</v>
      </c>
      <c r="V18">
        <f t="shared" si="12"/>
        <v>1</v>
      </c>
      <c r="W18" t="str">
        <f t="shared" si="13"/>
        <v>Usualmente</v>
      </c>
      <c r="X18">
        <v>0</v>
      </c>
      <c r="Y18" t="str">
        <f t="shared" si="14"/>
        <v>No controla</v>
      </c>
      <c r="Z18">
        <v>1</v>
      </c>
      <c r="AA18">
        <f t="shared" si="15"/>
        <v>1</v>
      </c>
      <c r="AB18" t="str">
        <f t="shared" si="16"/>
        <v>A veces</v>
      </c>
      <c r="AC18">
        <v>0</v>
      </c>
      <c r="AD18">
        <f t="shared" si="17"/>
        <v>0</v>
      </c>
      <c r="AE18" t="str">
        <f t="shared" si="18"/>
        <v>Nunca</v>
      </c>
      <c r="AF18">
        <v>1</v>
      </c>
      <c r="AG18" t="str">
        <f t="shared" si="19"/>
        <v>A veces</v>
      </c>
      <c r="AH18">
        <v>0</v>
      </c>
      <c r="AI18" t="str">
        <f t="shared" si="20"/>
        <v>No usa</v>
      </c>
      <c r="AJ18">
        <v>0</v>
      </c>
      <c r="AK18" t="str">
        <f t="shared" si="21"/>
        <v>No usa</v>
      </c>
      <c r="AL18">
        <v>0</v>
      </c>
      <c r="AM18" t="str">
        <f t="shared" si="22"/>
        <v>No usa</v>
      </c>
      <c r="AN18">
        <v>1</v>
      </c>
      <c r="AO18" t="str">
        <f t="shared" si="23"/>
        <v>Usa Transporte</v>
      </c>
      <c r="AP18">
        <v>0</v>
      </c>
      <c r="AQ18" t="str">
        <f t="shared" si="24"/>
        <v>No camina</v>
      </c>
      <c r="AR18">
        <v>0</v>
      </c>
      <c r="AS18" t="str">
        <f t="shared" si="25"/>
        <v>No es obeso</v>
      </c>
    </row>
    <row r="19" spans="1:45" x14ac:dyDescent="0.25">
      <c r="A19">
        <v>0</v>
      </c>
      <c r="B19" t="str">
        <f t="shared" si="0"/>
        <v>F</v>
      </c>
      <c r="C19">
        <v>29</v>
      </c>
      <c r="D19">
        <f t="shared" si="1"/>
        <v>29</v>
      </c>
      <c r="E19">
        <f t="shared" si="2"/>
        <v>29</v>
      </c>
      <c r="F19" t="str">
        <f t="shared" si="3"/>
        <v>25-50</v>
      </c>
      <c r="G19">
        <v>0</v>
      </c>
      <c r="H19" t="str">
        <f t="shared" si="4"/>
        <v>Pariente normal</v>
      </c>
      <c r="I19">
        <v>1</v>
      </c>
      <c r="J19" t="str">
        <f t="shared" si="5"/>
        <v>Hipercaloricos</v>
      </c>
      <c r="K19">
        <v>2</v>
      </c>
      <c r="L19">
        <f t="shared" si="6"/>
        <v>1</v>
      </c>
      <c r="M19" t="str">
        <f t="shared" si="7"/>
        <v>Suele comer</v>
      </c>
      <c r="N19">
        <v>1</v>
      </c>
      <c r="O19">
        <f t="shared" si="8"/>
        <v>1</v>
      </c>
      <c r="P19">
        <f t="shared" si="9"/>
        <v>3</v>
      </c>
      <c r="Q19">
        <v>1</v>
      </c>
      <c r="R19" t="str">
        <f t="shared" si="10"/>
        <v>A veces</v>
      </c>
      <c r="S19">
        <v>0</v>
      </c>
      <c r="T19" t="str">
        <f t="shared" si="11"/>
        <v>No fuma</v>
      </c>
      <c r="U19">
        <v>2</v>
      </c>
      <c r="V19">
        <f t="shared" si="12"/>
        <v>2</v>
      </c>
      <c r="W19" t="str">
        <f t="shared" si="13"/>
        <v>Siempre</v>
      </c>
      <c r="X19">
        <v>0</v>
      </c>
      <c r="Y19" t="str">
        <f t="shared" si="14"/>
        <v>No controla</v>
      </c>
      <c r="Z19">
        <v>0</v>
      </c>
      <c r="AA19">
        <f t="shared" si="15"/>
        <v>0</v>
      </c>
      <c r="AB19" t="str">
        <f t="shared" si="16"/>
        <v>Nunca</v>
      </c>
      <c r="AC19">
        <v>0</v>
      </c>
      <c r="AD19">
        <f t="shared" si="17"/>
        <v>0</v>
      </c>
      <c r="AE19" t="str">
        <f t="shared" si="18"/>
        <v>Nunca</v>
      </c>
      <c r="AF19">
        <v>0</v>
      </c>
      <c r="AG19" t="str">
        <f t="shared" si="19"/>
        <v>Nunca</v>
      </c>
      <c r="AH19">
        <v>1</v>
      </c>
      <c r="AI19" t="str">
        <f t="shared" si="20"/>
        <v>Usa auto</v>
      </c>
      <c r="AJ19">
        <v>0</v>
      </c>
      <c r="AK19" t="str">
        <f t="shared" si="21"/>
        <v>No usa</v>
      </c>
      <c r="AL19">
        <v>0</v>
      </c>
      <c r="AM19" t="str">
        <f t="shared" si="22"/>
        <v>No usa</v>
      </c>
      <c r="AN19">
        <v>0</v>
      </c>
      <c r="AO19" t="str">
        <f t="shared" si="23"/>
        <v>No usa</v>
      </c>
      <c r="AP19">
        <v>0</v>
      </c>
      <c r="AQ19" t="str">
        <f t="shared" si="24"/>
        <v>No camina</v>
      </c>
      <c r="AR19">
        <v>1</v>
      </c>
      <c r="AS19" t="str">
        <f t="shared" si="25"/>
        <v>Es Obeso</v>
      </c>
    </row>
    <row r="20" spans="1:45" x14ac:dyDescent="0.25">
      <c r="A20">
        <v>0</v>
      </c>
      <c r="B20" t="str">
        <f t="shared" si="0"/>
        <v>F</v>
      </c>
      <c r="C20">
        <v>30</v>
      </c>
      <c r="D20">
        <f t="shared" si="1"/>
        <v>30</v>
      </c>
      <c r="E20">
        <f t="shared" si="2"/>
        <v>30</v>
      </c>
      <c r="F20" t="str">
        <f t="shared" si="3"/>
        <v>25-50</v>
      </c>
      <c r="G20">
        <v>1</v>
      </c>
      <c r="H20" t="str">
        <f t="shared" si="4"/>
        <v>Pariente gordo</v>
      </c>
      <c r="I20">
        <v>1</v>
      </c>
      <c r="J20" t="str">
        <f t="shared" si="5"/>
        <v>Hipercaloricos</v>
      </c>
      <c r="K20">
        <v>3</v>
      </c>
      <c r="L20">
        <f t="shared" si="6"/>
        <v>1</v>
      </c>
      <c r="M20" t="str">
        <f t="shared" si="7"/>
        <v>Suele comer</v>
      </c>
      <c r="N20">
        <v>4</v>
      </c>
      <c r="O20">
        <f t="shared" si="8"/>
        <v>2</v>
      </c>
      <c r="P20" t="str">
        <f t="shared" si="9"/>
        <v>Mas de 3</v>
      </c>
      <c r="Q20">
        <v>2</v>
      </c>
      <c r="R20" t="str">
        <f t="shared" si="10"/>
        <v>Usualmente</v>
      </c>
      <c r="S20">
        <v>1</v>
      </c>
      <c r="T20" t="str">
        <f t="shared" si="11"/>
        <v>Fuma</v>
      </c>
      <c r="U20">
        <v>1</v>
      </c>
      <c r="V20">
        <f t="shared" si="12"/>
        <v>1</v>
      </c>
      <c r="W20" t="str">
        <f t="shared" si="13"/>
        <v>Usualmente</v>
      </c>
      <c r="X20">
        <v>0</v>
      </c>
      <c r="Y20" t="str">
        <f t="shared" si="14"/>
        <v>No controla</v>
      </c>
      <c r="Z20">
        <v>0</v>
      </c>
      <c r="AA20">
        <f t="shared" si="15"/>
        <v>0</v>
      </c>
      <c r="AB20" t="str">
        <f t="shared" si="16"/>
        <v>Nunca</v>
      </c>
      <c r="AC20">
        <v>0</v>
      </c>
      <c r="AD20">
        <f t="shared" si="17"/>
        <v>0</v>
      </c>
      <c r="AE20" t="str">
        <f t="shared" si="18"/>
        <v>Nunca</v>
      </c>
      <c r="AF20">
        <v>0</v>
      </c>
      <c r="AG20" t="str">
        <f t="shared" si="19"/>
        <v>Nunca</v>
      </c>
      <c r="AH20">
        <v>1</v>
      </c>
      <c r="AI20" t="str">
        <f t="shared" si="20"/>
        <v>Usa auto</v>
      </c>
      <c r="AJ20">
        <v>0</v>
      </c>
      <c r="AK20" t="str">
        <f t="shared" si="21"/>
        <v>No usa</v>
      </c>
      <c r="AL20">
        <v>0</v>
      </c>
      <c r="AM20" t="str">
        <f t="shared" si="22"/>
        <v>No usa</v>
      </c>
      <c r="AN20">
        <v>0</v>
      </c>
      <c r="AO20" t="str">
        <f t="shared" si="23"/>
        <v>No usa</v>
      </c>
      <c r="AP20">
        <v>0</v>
      </c>
      <c r="AQ20" t="str">
        <f t="shared" si="24"/>
        <v>No camina</v>
      </c>
      <c r="AR20">
        <v>0</v>
      </c>
      <c r="AS20" t="str">
        <f t="shared" si="25"/>
        <v>No es obeso</v>
      </c>
    </row>
    <row r="21" spans="1:45" x14ac:dyDescent="0.25">
      <c r="A21">
        <v>0</v>
      </c>
      <c r="B21" t="str">
        <f t="shared" si="0"/>
        <v>F</v>
      </c>
      <c r="C21">
        <v>23</v>
      </c>
      <c r="D21">
        <f t="shared" si="1"/>
        <v>23</v>
      </c>
      <c r="E21">
        <f t="shared" si="2"/>
        <v>23</v>
      </c>
      <c r="F21" t="str">
        <f t="shared" si="3"/>
        <v>1-25</v>
      </c>
      <c r="G21">
        <v>1</v>
      </c>
      <c r="H21" t="str">
        <f t="shared" si="4"/>
        <v>Pariente gordo</v>
      </c>
      <c r="I21">
        <v>0</v>
      </c>
      <c r="J21" t="str">
        <f t="shared" si="5"/>
        <v>Saludables</v>
      </c>
      <c r="K21">
        <v>2</v>
      </c>
      <c r="L21">
        <f t="shared" si="6"/>
        <v>1</v>
      </c>
      <c r="M21" t="str">
        <f t="shared" si="7"/>
        <v>Suele comer</v>
      </c>
      <c r="N21">
        <v>1</v>
      </c>
      <c r="O21">
        <f t="shared" si="8"/>
        <v>1</v>
      </c>
      <c r="P21">
        <f t="shared" si="9"/>
        <v>3</v>
      </c>
      <c r="Q21">
        <v>1</v>
      </c>
      <c r="R21" t="str">
        <f t="shared" si="10"/>
        <v>A veces</v>
      </c>
      <c r="S21">
        <v>0</v>
      </c>
      <c r="T21" t="str">
        <f t="shared" si="11"/>
        <v>No fuma</v>
      </c>
      <c r="U21">
        <v>2</v>
      </c>
      <c r="V21">
        <f t="shared" si="12"/>
        <v>2</v>
      </c>
      <c r="W21" t="str">
        <f t="shared" si="13"/>
        <v>Siempre</v>
      </c>
      <c r="X21">
        <v>0</v>
      </c>
      <c r="Y21" t="str">
        <f t="shared" si="14"/>
        <v>No controla</v>
      </c>
      <c r="Z21">
        <v>0</v>
      </c>
      <c r="AA21">
        <f t="shared" si="15"/>
        <v>0</v>
      </c>
      <c r="AB21" t="str">
        <f t="shared" si="16"/>
        <v>Nunca</v>
      </c>
      <c r="AC21">
        <v>0</v>
      </c>
      <c r="AD21">
        <f t="shared" si="17"/>
        <v>0</v>
      </c>
      <c r="AE21" t="str">
        <f t="shared" si="18"/>
        <v>Nunca</v>
      </c>
      <c r="AF21">
        <v>1</v>
      </c>
      <c r="AG21" t="str">
        <f t="shared" si="19"/>
        <v>A veces</v>
      </c>
      <c r="AH21">
        <v>0</v>
      </c>
      <c r="AI21" t="str">
        <f t="shared" si="20"/>
        <v>No usa</v>
      </c>
      <c r="AJ21">
        <v>0</v>
      </c>
      <c r="AK21" t="str">
        <f t="shared" si="21"/>
        <v>No usa</v>
      </c>
      <c r="AL21">
        <v>0</v>
      </c>
      <c r="AM21" t="str">
        <f t="shared" si="22"/>
        <v>No usa</v>
      </c>
      <c r="AN21">
        <v>1</v>
      </c>
      <c r="AO21" t="str">
        <f t="shared" si="23"/>
        <v>Usa Transporte</v>
      </c>
      <c r="AP21">
        <v>0</v>
      </c>
      <c r="AQ21" t="str">
        <f t="shared" si="24"/>
        <v>No camina</v>
      </c>
      <c r="AR21">
        <v>0</v>
      </c>
      <c r="AS21" t="str">
        <f t="shared" si="25"/>
        <v>No es obeso</v>
      </c>
    </row>
    <row r="22" spans="1:45" x14ac:dyDescent="0.25">
      <c r="A22">
        <v>1</v>
      </c>
      <c r="B22" t="str">
        <f t="shared" si="0"/>
        <v>M</v>
      </c>
      <c r="C22">
        <v>22</v>
      </c>
      <c r="D22">
        <f t="shared" si="1"/>
        <v>22</v>
      </c>
      <c r="E22">
        <f t="shared" si="2"/>
        <v>22</v>
      </c>
      <c r="F22" t="str">
        <f t="shared" si="3"/>
        <v>1-25</v>
      </c>
      <c r="G22">
        <v>1</v>
      </c>
      <c r="H22" t="str">
        <f t="shared" si="4"/>
        <v>Pariente gordo</v>
      </c>
      <c r="I22">
        <v>0</v>
      </c>
      <c r="J22" t="str">
        <f t="shared" si="5"/>
        <v>Saludables</v>
      </c>
      <c r="K22">
        <v>2</v>
      </c>
      <c r="L22">
        <f t="shared" si="6"/>
        <v>1</v>
      </c>
      <c r="M22" t="str">
        <f t="shared" si="7"/>
        <v>Suele comer</v>
      </c>
      <c r="N22">
        <v>3</v>
      </c>
      <c r="O22">
        <f t="shared" si="8"/>
        <v>2</v>
      </c>
      <c r="P22" t="str">
        <f t="shared" si="9"/>
        <v>Mas de 3</v>
      </c>
      <c r="Q22">
        <v>1</v>
      </c>
      <c r="R22" t="str">
        <f t="shared" si="10"/>
        <v>A veces</v>
      </c>
      <c r="S22">
        <v>0</v>
      </c>
      <c r="T22" t="str">
        <f t="shared" si="11"/>
        <v>No fuma</v>
      </c>
      <c r="U22">
        <v>2</v>
      </c>
      <c r="V22">
        <f t="shared" si="12"/>
        <v>2</v>
      </c>
      <c r="W22" t="str">
        <f t="shared" si="13"/>
        <v>Siempre</v>
      </c>
      <c r="X22">
        <v>0</v>
      </c>
      <c r="Y22" t="str">
        <f t="shared" si="14"/>
        <v>No controla</v>
      </c>
      <c r="Z22">
        <v>3</v>
      </c>
      <c r="AA22">
        <f t="shared" si="15"/>
        <v>3</v>
      </c>
      <c r="AB22" t="str">
        <f t="shared" si="16"/>
        <v>Siempre</v>
      </c>
      <c r="AC22">
        <v>2</v>
      </c>
      <c r="AD22">
        <f t="shared" si="17"/>
        <v>2</v>
      </c>
      <c r="AE22" t="str">
        <f t="shared" si="18"/>
        <v>Siempre</v>
      </c>
      <c r="AF22">
        <v>0</v>
      </c>
      <c r="AG22" t="str">
        <f t="shared" si="19"/>
        <v>Nunca</v>
      </c>
      <c r="AH22">
        <v>0</v>
      </c>
      <c r="AI22" t="str">
        <f t="shared" si="20"/>
        <v>No usa</v>
      </c>
      <c r="AJ22">
        <v>0</v>
      </c>
      <c r="AK22" t="str">
        <f t="shared" si="21"/>
        <v>No usa</v>
      </c>
      <c r="AL22">
        <v>0</v>
      </c>
      <c r="AM22" t="str">
        <f t="shared" si="22"/>
        <v>No usa</v>
      </c>
      <c r="AN22">
        <v>0</v>
      </c>
      <c r="AO22" t="str">
        <f t="shared" si="23"/>
        <v>No usa</v>
      </c>
      <c r="AP22">
        <v>1</v>
      </c>
      <c r="AQ22" t="str">
        <f t="shared" si="24"/>
        <v>Camina</v>
      </c>
      <c r="AR22">
        <v>0</v>
      </c>
      <c r="AS22" t="str">
        <f t="shared" si="25"/>
        <v>No es obeso</v>
      </c>
    </row>
    <row r="23" spans="1:45" x14ac:dyDescent="0.25">
      <c r="A23">
        <v>0</v>
      </c>
      <c r="B23" t="str">
        <f t="shared" si="0"/>
        <v>F</v>
      </c>
      <c r="C23">
        <v>52</v>
      </c>
      <c r="D23">
        <f t="shared" si="1"/>
        <v>52</v>
      </c>
      <c r="E23">
        <f t="shared" si="2"/>
        <v>52</v>
      </c>
      <c r="F23" t="str">
        <f t="shared" si="3"/>
        <v>50-75</v>
      </c>
      <c r="G23">
        <v>1</v>
      </c>
      <c r="H23" t="str">
        <f t="shared" si="4"/>
        <v>Pariente gordo</v>
      </c>
      <c r="I23">
        <v>1</v>
      </c>
      <c r="J23" t="str">
        <f t="shared" si="5"/>
        <v>Hipercaloricos</v>
      </c>
      <c r="K23">
        <v>3</v>
      </c>
      <c r="L23">
        <f t="shared" si="6"/>
        <v>1</v>
      </c>
      <c r="M23" t="str">
        <f t="shared" si="7"/>
        <v>Suele comer</v>
      </c>
      <c r="N23">
        <v>1</v>
      </c>
      <c r="O23">
        <f t="shared" si="8"/>
        <v>1</v>
      </c>
      <c r="P23">
        <f t="shared" si="9"/>
        <v>3</v>
      </c>
      <c r="Q23">
        <v>1</v>
      </c>
      <c r="R23" t="str">
        <f t="shared" si="10"/>
        <v>A veces</v>
      </c>
      <c r="S23">
        <v>1</v>
      </c>
      <c r="T23" t="str">
        <f t="shared" si="11"/>
        <v>Fuma</v>
      </c>
      <c r="U23">
        <v>2</v>
      </c>
      <c r="V23">
        <f t="shared" si="12"/>
        <v>2</v>
      </c>
      <c r="W23" t="str">
        <f t="shared" si="13"/>
        <v>Siempre</v>
      </c>
      <c r="X23">
        <v>0</v>
      </c>
      <c r="Y23" t="str">
        <f t="shared" si="14"/>
        <v>No controla</v>
      </c>
      <c r="Z23">
        <v>0</v>
      </c>
      <c r="AA23">
        <f t="shared" si="15"/>
        <v>0</v>
      </c>
      <c r="AB23" t="str">
        <f t="shared" si="16"/>
        <v>Nunca</v>
      </c>
      <c r="AC23">
        <v>0</v>
      </c>
      <c r="AD23">
        <f t="shared" si="17"/>
        <v>0</v>
      </c>
      <c r="AE23" t="str">
        <f t="shared" si="18"/>
        <v>Nunca</v>
      </c>
      <c r="AF23">
        <v>0</v>
      </c>
      <c r="AG23" t="str">
        <f t="shared" si="19"/>
        <v>Nunca</v>
      </c>
      <c r="AH23">
        <v>1</v>
      </c>
      <c r="AI23" t="str">
        <f t="shared" si="20"/>
        <v>Usa auto</v>
      </c>
      <c r="AJ23">
        <v>0</v>
      </c>
      <c r="AK23" t="str">
        <f t="shared" si="21"/>
        <v>No usa</v>
      </c>
      <c r="AL23">
        <v>0</v>
      </c>
      <c r="AM23" t="str">
        <f t="shared" si="22"/>
        <v>No usa</v>
      </c>
      <c r="AN23">
        <v>0</v>
      </c>
      <c r="AO23" t="str">
        <f t="shared" si="23"/>
        <v>No usa</v>
      </c>
      <c r="AP23">
        <v>0</v>
      </c>
      <c r="AQ23" t="str">
        <f t="shared" si="24"/>
        <v>No camina</v>
      </c>
      <c r="AR23">
        <v>1</v>
      </c>
      <c r="AS23" t="str">
        <f t="shared" si="25"/>
        <v>Es Obeso</v>
      </c>
    </row>
    <row r="24" spans="1:45" x14ac:dyDescent="0.25">
      <c r="A24">
        <v>0</v>
      </c>
      <c r="B24" t="str">
        <f t="shared" si="0"/>
        <v>F</v>
      </c>
      <c r="C24">
        <v>22</v>
      </c>
      <c r="D24">
        <f t="shared" si="1"/>
        <v>22</v>
      </c>
      <c r="E24">
        <f t="shared" si="2"/>
        <v>22</v>
      </c>
      <c r="F24" t="str">
        <f t="shared" si="3"/>
        <v>1-25</v>
      </c>
      <c r="G24">
        <v>1</v>
      </c>
      <c r="H24" t="str">
        <f t="shared" si="4"/>
        <v>Pariente gordo</v>
      </c>
      <c r="I24">
        <v>1</v>
      </c>
      <c r="J24" t="str">
        <f t="shared" si="5"/>
        <v>Hipercaloricos</v>
      </c>
      <c r="K24">
        <v>3</v>
      </c>
      <c r="L24">
        <f t="shared" si="6"/>
        <v>1</v>
      </c>
      <c r="M24" t="str">
        <f t="shared" si="7"/>
        <v>Suele comer</v>
      </c>
      <c r="N24">
        <v>3</v>
      </c>
      <c r="O24">
        <f t="shared" si="8"/>
        <v>2</v>
      </c>
      <c r="P24" t="str">
        <f t="shared" si="9"/>
        <v>Mas de 3</v>
      </c>
      <c r="Q24">
        <v>1</v>
      </c>
      <c r="R24" t="str">
        <f t="shared" si="10"/>
        <v>A veces</v>
      </c>
      <c r="S24">
        <v>0</v>
      </c>
      <c r="T24" t="str">
        <f t="shared" si="11"/>
        <v>No fuma</v>
      </c>
      <c r="U24">
        <v>2</v>
      </c>
      <c r="V24">
        <f t="shared" si="12"/>
        <v>2</v>
      </c>
      <c r="W24" t="str">
        <f t="shared" si="13"/>
        <v>Siempre</v>
      </c>
      <c r="X24">
        <v>0</v>
      </c>
      <c r="Y24" t="str">
        <f t="shared" si="14"/>
        <v>No controla</v>
      </c>
      <c r="Z24">
        <v>1</v>
      </c>
      <c r="AA24">
        <f t="shared" si="15"/>
        <v>1</v>
      </c>
      <c r="AB24" t="str">
        <f t="shared" si="16"/>
        <v>A veces</v>
      </c>
      <c r="AC24">
        <v>0</v>
      </c>
      <c r="AD24">
        <f t="shared" si="17"/>
        <v>0</v>
      </c>
      <c r="AE24" t="str">
        <f t="shared" si="18"/>
        <v>Nunca</v>
      </c>
      <c r="AF24">
        <v>1</v>
      </c>
      <c r="AG24" t="str">
        <f t="shared" si="19"/>
        <v>A veces</v>
      </c>
      <c r="AH24">
        <v>1</v>
      </c>
      <c r="AI24" t="str">
        <f t="shared" si="20"/>
        <v>Usa auto</v>
      </c>
      <c r="AJ24">
        <v>0</v>
      </c>
      <c r="AK24" t="str">
        <f t="shared" si="21"/>
        <v>No usa</v>
      </c>
      <c r="AL24">
        <v>0</v>
      </c>
      <c r="AM24" t="str">
        <f t="shared" si="22"/>
        <v>No usa</v>
      </c>
      <c r="AN24">
        <v>0</v>
      </c>
      <c r="AO24" t="str">
        <f t="shared" si="23"/>
        <v>No usa</v>
      </c>
      <c r="AP24">
        <v>0</v>
      </c>
      <c r="AQ24" t="str">
        <f t="shared" si="24"/>
        <v>No camina</v>
      </c>
      <c r="AR24">
        <v>0</v>
      </c>
      <c r="AS24" t="str">
        <f t="shared" si="25"/>
        <v>No es obeso</v>
      </c>
    </row>
    <row r="25" spans="1:45" x14ac:dyDescent="0.25">
      <c r="A25">
        <v>0</v>
      </c>
      <c r="B25" t="str">
        <f t="shared" si="0"/>
        <v>F</v>
      </c>
      <c r="C25">
        <v>22</v>
      </c>
      <c r="D25">
        <f t="shared" si="1"/>
        <v>22</v>
      </c>
      <c r="E25">
        <f t="shared" si="2"/>
        <v>22</v>
      </c>
      <c r="F25" t="str">
        <f t="shared" si="3"/>
        <v>1-25</v>
      </c>
      <c r="G25">
        <v>1</v>
      </c>
      <c r="H25" t="str">
        <f t="shared" si="4"/>
        <v>Pariente gordo</v>
      </c>
      <c r="I25">
        <v>1</v>
      </c>
      <c r="J25" t="str">
        <f t="shared" si="5"/>
        <v>Hipercaloricos</v>
      </c>
      <c r="K25">
        <v>1</v>
      </c>
      <c r="L25">
        <f t="shared" si="6"/>
        <v>1</v>
      </c>
      <c r="M25" t="str">
        <f t="shared" si="7"/>
        <v>Suele comer</v>
      </c>
      <c r="N25">
        <v>1</v>
      </c>
      <c r="O25">
        <f t="shared" si="8"/>
        <v>1</v>
      </c>
      <c r="P25">
        <f t="shared" si="9"/>
        <v>3</v>
      </c>
      <c r="Q25">
        <v>1</v>
      </c>
      <c r="R25" t="str">
        <f t="shared" si="10"/>
        <v>A veces</v>
      </c>
      <c r="S25">
        <v>0</v>
      </c>
      <c r="T25" t="str">
        <f t="shared" si="11"/>
        <v>No fuma</v>
      </c>
      <c r="U25">
        <v>2</v>
      </c>
      <c r="V25">
        <f t="shared" si="12"/>
        <v>2</v>
      </c>
      <c r="W25" t="str">
        <f t="shared" si="13"/>
        <v>Siempre</v>
      </c>
      <c r="X25">
        <v>0</v>
      </c>
      <c r="Y25" t="str">
        <f t="shared" si="14"/>
        <v>No controla</v>
      </c>
      <c r="Z25">
        <v>0</v>
      </c>
      <c r="AA25">
        <f t="shared" si="15"/>
        <v>0</v>
      </c>
      <c r="AB25" t="str">
        <f t="shared" si="16"/>
        <v>Nunca</v>
      </c>
      <c r="AC25">
        <v>2</v>
      </c>
      <c r="AD25">
        <f t="shared" si="17"/>
        <v>2</v>
      </c>
      <c r="AE25" t="str">
        <f t="shared" si="18"/>
        <v>Siempre</v>
      </c>
      <c r="AF25">
        <v>1</v>
      </c>
      <c r="AG25" t="str">
        <f t="shared" si="19"/>
        <v>A veces</v>
      </c>
      <c r="AH25">
        <v>0</v>
      </c>
      <c r="AI25" t="str">
        <f t="shared" si="20"/>
        <v>No usa</v>
      </c>
      <c r="AJ25">
        <v>0</v>
      </c>
      <c r="AK25" t="str">
        <f t="shared" si="21"/>
        <v>No usa</v>
      </c>
      <c r="AL25">
        <v>0</v>
      </c>
      <c r="AM25" t="str">
        <f t="shared" si="22"/>
        <v>No usa</v>
      </c>
      <c r="AN25">
        <v>1</v>
      </c>
      <c r="AO25" t="str">
        <f t="shared" si="23"/>
        <v>Usa Transporte</v>
      </c>
      <c r="AP25">
        <v>0</v>
      </c>
      <c r="AQ25" t="str">
        <f t="shared" si="24"/>
        <v>No camina</v>
      </c>
      <c r="AR25">
        <v>1</v>
      </c>
      <c r="AS25" t="str">
        <f t="shared" si="25"/>
        <v>Es Obeso</v>
      </c>
    </row>
    <row r="26" spans="1:45" x14ac:dyDescent="0.25">
      <c r="A26">
        <v>1</v>
      </c>
      <c r="B26" t="str">
        <f t="shared" si="0"/>
        <v>M</v>
      </c>
      <c r="C26">
        <v>21</v>
      </c>
      <c r="D26">
        <f t="shared" si="1"/>
        <v>21</v>
      </c>
      <c r="E26">
        <f t="shared" si="2"/>
        <v>21</v>
      </c>
      <c r="F26" t="str">
        <f t="shared" si="3"/>
        <v>1-25</v>
      </c>
      <c r="G26">
        <v>1</v>
      </c>
      <c r="H26" t="str">
        <f t="shared" si="4"/>
        <v>Pariente gordo</v>
      </c>
      <c r="I26">
        <v>1</v>
      </c>
      <c r="J26" t="str">
        <f t="shared" si="5"/>
        <v>Hipercaloricos</v>
      </c>
      <c r="K26">
        <v>2</v>
      </c>
      <c r="L26">
        <f t="shared" si="6"/>
        <v>1</v>
      </c>
      <c r="M26" t="str">
        <f t="shared" si="7"/>
        <v>Suele comer</v>
      </c>
      <c r="N26">
        <v>3</v>
      </c>
      <c r="O26">
        <f t="shared" si="8"/>
        <v>2</v>
      </c>
      <c r="P26" t="str">
        <f t="shared" si="9"/>
        <v>Mas de 3</v>
      </c>
      <c r="Q26">
        <v>1</v>
      </c>
      <c r="R26" t="str">
        <f t="shared" si="10"/>
        <v>A veces</v>
      </c>
      <c r="S26">
        <v>0</v>
      </c>
      <c r="T26" t="str">
        <f t="shared" si="11"/>
        <v>No fuma</v>
      </c>
      <c r="U26">
        <v>2</v>
      </c>
      <c r="V26">
        <f t="shared" si="12"/>
        <v>2</v>
      </c>
      <c r="W26" t="str">
        <f t="shared" si="13"/>
        <v>Siempre</v>
      </c>
      <c r="X26">
        <v>0</v>
      </c>
      <c r="Y26" t="str">
        <f t="shared" si="14"/>
        <v>No controla</v>
      </c>
      <c r="Z26">
        <v>0</v>
      </c>
      <c r="AA26">
        <f t="shared" si="15"/>
        <v>0</v>
      </c>
      <c r="AB26" t="str">
        <f t="shared" si="16"/>
        <v>Nunca</v>
      </c>
      <c r="AC26">
        <v>1</v>
      </c>
      <c r="AD26">
        <f t="shared" si="17"/>
        <v>1</v>
      </c>
      <c r="AE26" t="str">
        <f t="shared" si="18"/>
        <v>Usualmente</v>
      </c>
      <c r="AF26">
        <v>1</v>
      </c>
      <c r="AG26" t="str">
        <f t="shared" si="19"/>
        <v>A veces</v>
      </c>
      <c r="AH26">
        <v>0</v>
      </c>
      <c r="AI26" t="str">
        <f t="shared" si="20"/>
        <v>No usa</v>
      </c>
      <c r="AJ26">
        <v>0</v>
      </c>
      <c r="AK26" t="str">
        <f t="shared" si="21"/>
        <v>No usa</v>
      </c>
      <c r="AL26">
        <v>0</v>
      </c>
      <c r="AM26" t="str">
        <f t="shared" si="22"/>
        <v>No usa</v>
      </c>
      <c r="AN26">
        <v>1</v>
      </c>
      <c r="AO26" t="str">
        <f t="shared" si="23"/>
        <v>Usa Transporte</v>
      </c>
      <c r="AP26">
        <v>0</v>
      </c>
      <c r="AQ26" t="str">
        <f t="shared" si="24"/>
        <v>No camina</v>
      </c>
      <c r="AR26">
        <v>0</v>
      </c>
      <c r="AS26" t="str">
        <f t="shared" si="25"/>
        <v>No es obeso</v>
      </c>
    </row>
    <row r="27" spans="1:45" x14ac:dyDescent="0.25">
      <c r="A27">
        <v>1</v>
      </c>
      <c r="B27" t="str">
        <f t="shared" si="0"/>
        <v>M</v>
      </c>
      <c r="C27">
        <v>20</v>
      </c>
      <c r="D27">
        <f t="shared" si="1"/>
        <v>20</v>
      </c>
      <c r="E27">
        <f t="shared" si="2"/>
        <v>20</v>
      </c>
      <c r="F27" t="str">
        <f t="shared" si="3"/>
        <v>1-25</v>
      </c>
      <c r="G27">
        <v>1</v>
      </c>
      <c r="H27" t="str">
        <f t="shared" si="4"/>
        <v>Pariente gordo</v>
      </c>
      <c r="I27">
        <v>0</v>
      </c>
      <c r="J27" t="str">
        <f t="shared" si="5"/>
        <v>Saludables</v>
      </c>
      <c r="K27">
        <v>2</v>
      </c>
      <c r="L27">
        <f t="shared" si="6"/>
        <v>1</v>
      </c>
      <c r="M27" t="str">
        <f t="shared" si="7"/>
        <v>Suele comer</v>
      </c>
      <c r="N27">
        <v>4</v>
      </c>
      <c r="O27">
        <f t="shared" si="8"/>
        <v>2</v>
      </c>
      <c r="P27" t="str">
        <f t="shared" si="9"/>
        <v>Mas de 3</v>
      </c>
      <c r="Q27">
        <v>2</v>
      </c>
      <c r="R27" t="str">
        <f t="shared" si="10"/>
        <v>Usualmente</v>
      </c>
      <c r="S27">
        <v>1</v>
      </c>
      <c r="T27" t="str">
        <f t="shared" si="11"/>
        <v>Fuma</v>
      </c>
      <c r="U27">
        <v>2</v>
      </c>
      <c r="V27">
        <f t="shared" si="12"/>
        <v>2</v>
      </c>
      <c r="W27" t="str">
        <f t="shared" si="13"/>
        <v>Siempre</v>
      </c>
      <c r="X27">
        <v>0</v>
      </c>
      <c r="Y27" t="str">
        <f t="shared" si="14"/>
        <v>No controla</v>
      </c>
      <c r="Z27">
        <v>3</v>
      </c>
      <c r="AA27">
        <f t="shared" si="15"/>
        <v>3</v>
      </c>
      <c r="AB27" t="str">
        <f t="shared" si="16"/>
        <v>Siempre</v>
      </c>
      <c r="AC27">
        <v>2</v>
      </c>
      <c r="AD27">
        <f t="shared" si="17"/>
        <v>2</v>
      </c>
      <c r="AE27" t="str">
        <f t="shared" si="18"/>
        <v>Siempre</v>
      </c>
      <c r="AF27">
        <v>0</v>
      </c>
      <c r="AG27" t="str">
        <f t="shared" si="19"/>
        <v>Nunca</v>
      </c>
      <c r="AH27">
        <v>0</v>
      </c>
      <c r="AI27" t="str">
        <f t="shared" si="20"/>
        <v>No usa</v>
      </c>
      <c r="AJ27">
        <v>0</v>
      </c>
      <c r="AK27" t="str">
        <f t="shared" si="21"/>
        <v>No usa</v>
      </c>
      <c r="AL27">
        <v>0</v>
      </c>
      <c r="AM27" t="str">
        <f t="shared" si="22"/>
        <v>No usa</v>
      </c>
      <c r="AN27">
        <v>1</v>
      </c>
      <c r="AO27" t="str">
        <f t="shared" si="23"/>
        <v>Usa Transporte</v>
      </c>
      <c r="AP27">
        <v>0</v>
      </c>
      <c r="AQ27" t="str">
        <f t="shared" si="24"/>
        <v>No camina</v>
      </c>
      <c r="AR27">
        <v>0</v>
      </c>
      <c r="AS27" t="str">
        <f t="shared" si="25"/>
        <v>No es obeso</v>
      </c>
    </row>
    <row r="28" spans="1:45" x14ac:dyDescent="0.25">
      <c r="A28">
        <v>1</v>
      </c>
      <c r="B28" t="str">
        <f t="shared" si="0"/>
        <v>M</v>
      </c>
      <c r="C28">
        <v>21</v>
      </c>
      <c r="D28">
        <f t="shared" si="1"/>
        <v>21</v>
      </c>
      <c r="E28">
        <f t="shared" si="2"/>
        <v>21</v>
      </c>
      <c r="F28" t="str">
        <f t="shared" si="3"/>
        <v>1-25</v>
      </c>
      <c r="G28">
        <v>1</v>
      </c>
      <c r="H28" t="str">
        <f t="shared" si="4"/>
        <v>Pariente gordo</v>
      </c>
      <c r="I28">
        <v>1</v>
      </c>
      <c r="J28" t="str">
        <f t="shared" si="5"/>
        <v>Hipercaloricos</v>
      </c>
      <c r="K28">
        <v>2</v>
      </c>
      <c r="L28">
        <f t="shared" si="6"/>
        <v>1</v>
      </c>
      <c r="M28" t="str">
        <f t="shared" si="7"/>
        <v>Suele comer</v>
      </c>
      <c r="N28">
        <v>1</v>
      </c>
      <c r="O28">
        <f t="shared" si="8"/>
        <v>1</v>
      </c>
      <c r="P28">
        <f t="shared" si="9"/>
        <v>3</v>
      </c>
      <c r="Q28">
        <v>2</v>
      </c>
      <c r="R28" t="str">
        <f t="shared" si="10"/>
        <v>Usualmente</v>
      </c>
      <c r="S28">
        <v>0</v>
      </c>
      <c r="T28" t="str">
        <f t="shared" si="11"/>
        <v>No fuma</v>
      </c>
      <c r="U28">
        <v>2</v>
      </c>
      <c r="V28">
        <f t="shared" si="12"/>
        <v>2</v>
      </c>
      <c r="W28" t="str">
        <f t="shared" si="13"/>
        <v>Siempre</v>
      </c>
      <c r="X28">
        <v>0</v>
      </c>
      <c r="Y28" t="str">
        <f t="shared" si="14"/>
        <v>No controla</v>
      </c>
      <c r="Z28">
        <v>1</v>
      </c>
      <c r="AA28">
        <f t="shared" si="15"/>
        <v>1</v>
      </c>
      <c r="AB28" t="str">
        <f t="shared" si="16"/>
        <v>A veces</v>
      </c>
      <c r="AC28">
        <v>2</v>
      </c>
      <c r="AD28">
        <f t="shared" si="17"/>
        <v>2</v>
      </c>
      <c r="AE28" t="str">
        <f t="shared" si="18"/>
        <v>Siempre</v>
      </c>
      <c r="AF28">
        <v>3</v>
      </c>
      <c r="AG28" t="str">
        <f t="shared" si="19"/>
        <v>Siempre</v>
      </c>
      <c r="AH28">
        <v>0</v>
      </c>
      <c r="AI28" t="str">
        <f t="shared" si="20"/>
        <v>No usa</v>
      </c>
      <c r="AJ28">
        <v>0</v>
      </c>
      <c r="AK28" t="str">
        <f t="shared" si="21"/>
        <v>No usa</v>
      </c>
      <c r="AL28">
        <v>0</v>
      </c>
      <c r="AM28" t="str">
        <f t="shared" si="22"/>
        <v>No usa</v>
      </c>
      <c r="AN28">
        <v>0</v>
      </c>
      <c r="AO28" t="str">
        <f t="shared" si="23"/>
        <v>No usa</v>
      </c>
      <c r="AP28">
        <v>1</v>
      </c>
      <c r="AQ28" t="str">
        <f t="shared" si="24"/>
        <v>Camina</v>
      </c>
      <c r="AR28">
        <v>0</v>
      </c>
      <c r="AS28" t="str">
        <f t="shared" si="25"/>
        <v>No es obeso</v>
      </c>
    </row>
    <row r="29" spans="1:45" x14ac:dyDescent="0.25">
      <c r="A29">
        <v>0</v>
      </c>
      <c r="B29" t="str">
        <f t="shared" si="0"/>
        <v>F</v>
      </c>
      <c r="C29">
        <v>23</v>
      </c>
      <c r="D29">
        <f t="shared" si="1"/>
        <v>23</v>
      </c>
      <c r="E29">
        <f t="shared" si="2"/>
        <v>23</v>
      </c>
      <c r="F29" t="str">
        <f t="shared" si="3"/>
        <v>1-25</v>
      </c>
      <c r="G29">
        <v>0</v>
      </c>
      <c r="H29" t="str">
        <f t="shared" si="4"/>
        <v>Pariente normal</v>
      </c>
      <c r="I29">
        <v>1</v>
      </c>
      <c r="J29" t="str">
        <f t="shared" si="5"/>
        <v>Hipercaloricos</v>
      </c>
      <c r="K29">
        <v>2</v>
      </c>
      <c r="L29">
        <f t="shared" si="6"/>
        <v>1</v>
      </c>
      <c r="M29" t="str">
        <f t="shared" si="7"/>
        <v>Suele comer</v>
      </c>
      <c r="N29">
        <v>4</v>
      </c>
      <c r="O29">
        <f t="shared" si="8"/>
        <v>2</v>
      </c>
      <c r="P29" t="str">
        <f t="shared" si="9"/>
        <v>Mas de 3</v>
      </c>
      <c r="Q29">
        <v>2</v>
      </c>
      <c r="R29" t="str">
        <f t="shared" si="10"/>
        <v>Usualmente</v>
      </c>
      <c r="S29">
        <v>0</v>
      </c>
      <c r="T29" t="str">
        <f t="shared" si="11"/>
        <v>No fuma</v>
      </c>
      <c r="U29">
        <v>2</v>
      </c>
      <c r="V29">
        <f t="shared" si="12"/>
        <v>2</v>
      </c>
      <c r="W29" t="str">
        <f t="shared" si="13"/>
        <v>Siempre</v>
      </c>
      <c r="X29">
        <v>0</v>
      </c>
      <c r="Y29" t="str">
        <f t="shared" si="14"/>
        <v>No controla</v>
      </c>
      <c r="Z29">
        <v>2</v>
      </c>
      <c r="AA29">
        <f t="shared" si="15"/>
        <v>2</v>
      </c>
      <c r="AB29" t="str">
        <f t="shared" si="16"/>
        <v>Usualmente</v>
      </c>
      <c r="AC29">
        <v>1</v>
      </c>
      <c r="AD29">
        <f t="shared" si="17"/>
        <v>1</v>
      </c>
      <c r="AE29" t="str">
        <f t="shared" si="18"/>
        <v>Usualmente</v>
      </c>
      <c r="AF29">
        <v>1</v>
      </c>
      <c r="AG29" t="str">
        <f t="shared" si="19"/>
        <v>A veces</v>
      </c>
      <c r="AH29">
        <v>1</v>
      </c>
      <c r="AI29" t="str">
        <f t="shared" si="20"/>
        <v>Usa auto</v>
      </c>
      <c r="AJ29">
        <v>0</v>
      </c>
      <c r="AK29" t="str">
        <f t="shared" si="21"/>
        <v>No usa</v>
      </c>
      <c r="AL29">
        <v>0</v>
      </c>
      <c r="AM29" t="str">
        <f t="shared" si="22"/>
        <v>No usa</v>
      </c>
      <c r="AN29">
        <v>0</v>
      </c>
      <c r="AO29" t="str">
        <f t="shared" si="23"/>
        <v>No usa</v>
      </c>
      <c r="AP29">
        <v>0</v>
      </c>
      <c r="AQ29" t="str">
        <f t="shared" si="24"/>
        <v>No camina</v>
      </c>
      <c r="AR29">
        <v>0</v>
      </c>
      <c r="AS29" t="str">
        <f t="shared" si="25"/>
        <v>No es obeso</v>
      </c>
    </row>
    <row r="30" spans="1:45" x14ac:dyDescent="0.25">
      <c r="A30">
        <v>1</v>
      </c>
      <c r="B30" t="str">
        <f t="shared" si="0"/>
        <v>M</v>
      </c>
      <c r="C30">
        <v>19</v>
      </c>
      <c r="D30">
        <f t="shared" si="1"/>
        <v>19</v>
      </c>
      <c r="E30">
        <f t="shared" si="2"/>
        <v>19</v>
      </c>
      <c r="F30" t="str">
        <f t="shared" si="3"/>
        <v>1-25</v>
      </c>
      <c r="G30">
        <v>1</v>
      </c>
      <c r="H30" t="str">
        <f t="shared" si="4"/>
        <v>Pariente gordo</v>
      </c>
      <c r="I30">
        <v>1</v>
      </c>
      <c r="J30" t="str">
        <f t="shared" si="5"/>
        <v>Hipercaloricos</v>
      </c>
      <c r="K30">
        <v>3</v>
      </c>
      <c r="L30">
        <f t="shared" si="6"/>
        <v>1</v>
      </c>
      <c r="M30" t="str">
        <f t="shared" si="7"/>
        <v>Suele comer</v>
      </c>
      <c r="N30">
        <v>3</v>
      </c>
      <c r="O30">
        <f t="shared" si="8"/>
        <v>2</v>
      </c>
      <c r="P30" t="str">
        <f t="shared" si="9"/>
        <v>Mas de 3</v>
      </c>
      <c r="Q30">
        <v>1</v>
      </c>
      <c r="R30" t="str">
        <f t="shared" si="10"/>
        <v>A veces</v>
      </c>
      <c r="S30">
        <v>0</v>
      </c>
      <c r="T30" t="str">
        <f t="shared" si="11"/>
        <v>No fuma</v>
      </c>
      <c r="U30">
        <v>2</v>
      </c>
      <c r="V30">
        <f t="shared" si="12"/>
        <v>2</v>
      </c>
      <c r="W30" t="str">
        <f t="shared" si="13"/>
        <v>Siempre</v>
      </c>
      <c r="X30">
        <v>1</v>
      </c>
      <c r="Y30" t="str">
        <f t="shared" si="14"/>
        <v>Controla</v>
      </c>
      <c r="Z30">
        <v>3</v>
      </c>
      <c r="AA30">
        <f t="shared" si="15"/>
        <v>3</v>
      </c>
      <c r="AB30" t="str">
        <f t="shared" si="16"/>
        <v>Siempre</v>
      </c>
      <c r="AC30">
        <v>1</v>
      </c>
      <c r="AD30">
        <f t="shared" si="17"/>
        <v>1</v>
      </c>
      <c r="AE30" t="str">
        <f t="shared" si="18"/>
        <v>Usualmente</v>
      </c>
      <c r="AF30">
        <v>1</v>
      </c>
      <c r="AG30" t="str">
        <f t="shared" si="19"/>
        <v>A veces</v>
      </c>
      <c r="AH30">
        <v>0</v>
      </c>
      <c r="AI30" t="str">
        <f t="shared" si="20"/>
        <v>No usa</v>
      </c>
      <c r="AJ30">
        <v>0</v>
      </c>
      <c r="AK30" t="str">
        <f t="shared" si="21"/>
        <v>No usa</v>
      </c>
      <c r="AL30">
        <v>0</v>
      </c>
      <c r="AM30" t="str">
        <f t="shared" si="22"/>
        <v>No usa</v>
      </c>
      <c r="AN30">
        <v>1</v>
      </c>
      <c r="AO30" t="str">
        <f t="shared" si="23"/>
        <v>Usa Transporte</v>
      </c>
      <c r="AP30">
        <v>0</v>
      </c>
      <c r="AQ30" t="str">
        <f t="shared" si="24"/>
        <v>No camina</v>
      </c>
      <c r="AR30">
        <v>0</v>
      </c>
      <c r="AS30" t="str">
        <f t="shared" si="25"/>
        <v>No es obeso</v>
      </c>
    </row>
    <row r="31" spans="1:45" x14ac:dyDescent="0.25">
      <c r="A31">
        <v>1</v>
      </c>
      <c r="B31" t="str">
        <f t="shared" si="0"/>
        <v>M</v>
      </c>
      <c r="C31">
        <v>23</v>
      </c>
      <c r="D31">
        <f t="shared" si="1"/>
        <v>23</v>
      </c>
      <c r="E31">
        <f t="shared" si="2"/>
        <v>23</v>
      </c>
      <c r="F31" t="str">
        <f t="shared" si="3"/>
        <v>1-25</v>
      </c>
      <c r="G31">
        <v>0</v>
      </c>
      <c r="H31" t="str">
        <f t="shared" si="4"/>
        <v>Pariente normal</v>
      </c>
      <c r="I31">
        <v>1</v>
      </c>
      <c r="J31" t="str">
        <f t="shared" si="5"/>
        <v>Hipercaloricos</v>
      </c>
      <c r="K31">
        <v>2</v>
      </c>
      <c r="L31">
        <f t="shared" si="6"/>
        <v>1</v>
      </c>
      <c r="M31" t="str">
        <f t="shared" si="7"/>
        <v>Suele comer</v>
      </c>
      <c r="N31">
        <v>3</v>
      </c>
      <c r="O31">
        <f t="shared" si="8"/>
        <v>2</v>
      </c>
      <c r="P31" t="str">
        <f t="shared" si="9"/>
        <v>Mas de 3</v>
      </c>
      <c r="Q31">
        <v>1</v>
      </c>
      <c r="R31" t="str">
        <f t="shared" si="10"/>
        <v>A veces</v>
      </c>
      <c r="S31">
        <v>0</v>
      </c>
      <c r="T31" t="str">
        <f t="shared" si="11"/>
        <v>No fuma</v>
      </c>
      <c r="U31">
        <v>2</v>
      </c>
      <c r="V31">
        <f t="shared" si="12"/>
        <v>2</v>
      </c>
      <c r="W31" t="str">
        <f t="shared" si="13"/>
        <v>Siempre</v>
      </c>
      <c r="X31">
        <v>0</v>
      </c>
      <c r="Y31" t="str">
        <f t="shared" si="14"/>
        <v>No controla</v>
      </c>
      <c r="Z31">
        <v>2</v>
      </c>
      <c r="AA31">
        <f t="shared" si="15"/>
        <v>2</v>
      </c>
      <c r="AB31" t="str">
        <f t="shared" si="16"/>
        <v>Usualmente</v>
      </c>
      <c r="AC31">
        <v>2</v>
      </c>
      <c r="AD31">
        <f t="shared" si="17"/>
        <v>2</v>
      </c>
      <c r="AE31" t="str">
        <f t="shared" si="18"/>
        <v>Siempre</v>
      </c>
      <c r="AF31">
        <v>2</v>
      </c>
      <c r="AG31" t="str">
        <f t="shared" si="19"/>
        <v>Usualmente</v>
      </c>
      <c r="AH31">
        <v>0</v>
      </c>
      <c r="AI31" t="str">
        <f t="shared" si="20"/>
        <v>No usa</v>
      </c>
      <c r="AJ31">
        <v>0</v>
      </c>
      <c r="AK31" t="str">
        <f t="shared" si="21"/>
        <v>No usa</v>
      </c>
      <c r="AL31">
        <v>0</v>
      </c>
      <c r="AM31" t="str">
        <f t="shared" si="22"/>
        <v>No usa</v>
      </c>
      <c r="AN31">
        <v>0</v>
      </c>
      <c r="AO31" t="str">
        <f t="shared" si="23"/>
        <v>No usa</v>
      </c>
      <c r="AP31">
        <v>1</v>
      </c>
      <c r="AQ31" t="str">
        <f t="shared" si="24"/>
        <v>Camina</v>
      </c>
      <c r="AR31">
        <v>0</v>
      </c>
      <c r="AS31" t="str">
        <f t="shared" si="25"/>
        <v>No es obeso</v>
      </c>
    </row>
    <row r="32" spans="1:45" x14ac:dyDescent="0.25">
      <c r="A32">
        <v>1</v>
      </c>
      <c r="B32" t="str">
        <f t="shared" si="0"/>
        <v>M</v>
      </c>
      <c r="C32">
        <v>29</v>
      </c>
      <c r="D32">
        <f t="shared" si="1"/>
        <v>29</v>
      </c>
      <c r="E32">
        <f t="shared" si="2"/>
        <v>29</v>
      </c>
      <c r="F32" t="str">
        <f t="shared" si="3"/>
        <v>25-50</v>
      </c>
      <c r="G32">
        <v>0</v>
      </c>
      <c r="H32" t="str">
        <f t="shared" si="4"/>
        <v>Pariente normal</v>
      </c>
      <c r="I32">
        <v>1</v>
      </c>
      <c r="J32" t="str">
        <f t="shared" si="5"/>
        <v>Hipercaloricos</v>
      </c>
      <c r="K32">
        <v>1</v>
      </c>
      <c r="L32">
        <f t="shared" si="6"/>
        <v>1</v>
      </c>
      <c r="M32" t="str">
        <f t="shared" si="7"/>
        <v>Suele comer</v>
      </c>
      <c r="N32">
        <v>4</v>
      </c>
      <c r="O32">
        <f t="shared" si="8"/>
        <v>2</v>
      </c>
      <c r="P32" t="str">
        <f t="shared" si="9"/>
        <v>Mas de 3</v>
      </c>
      <c r="Q32">
        <v>2</v>
      </c>
      <c r="R32" t="str">
        <f t="shared" si="10"/>
        <v>Usualmente</v>
      </c>
      <c r="S32">
        <v>0</v>
      </c>
      <c r="T32" t="str">
        <f t="shared" si="11"/>
        <v>No fuma</v>
      </c>
      <c r="U32">
        <v>3</v>
      </c>
      <c r="V32">
        <f t="shared" si="12"/>
        <v>2</v>
      </c>
      <c r="W32" t="str">
        <f t="shared" si="13"/>
        <v>Siempre</v>
      </c>
      <c r="X32">
        <v>0</v>
      </c>
      <c r="Y32" t="str">
        <f t="shared" si="14"/>
        <v>No controla</v>
      </c>
      <c r="Z32">
        <v>0</v>
      </c>
      <c r="AA32">
        <f t="shared" si="15"/>
        <v>0</v>
      </c>
      <c r="AB32" t="str">
        <f t="shared" si="16"/>
        <v>Nunca</v>
      </c>
      <c r="AC32">
        <v>1</v>
      </c>
      <c r="AD32">
        <f t="shared" si="17"/>
        <v>1</v>
      </c>
      <c r="AE32" t="str">
        <f t="shared" si="18"/>
        <v>Usualmente</v>
      </c>
      <c r="AF32">
        <v>0</v>
      </c>
      <c r="AG32" t="str">
        <f t="shared" si="19"/>
        <v>Nunca</v>
      </c>
      <c r="AH32">
        <v>0</v>
      </c>
      <c r="AI32" t="str">
        <f t="shared" si="20"/>
        <v>No usa</v>
      </c>
      <c r="AJ32">
        <v>0</v>
      </c>
      <c r="AK32" t="str">
        <f t="shared" si="21"/>
        <v>No usa</v>
      </c>
      <c r="AL32">
        <v>1</v>
      </c>
      <c r="AM32" t="str">
        <f t="shared" si="22"/>
        <v>Usa Moto</v>
      </c>
      <c r="AN32">
        <v>0</v>
      </c>
      <c r="AO32" t="str">
        <f t="shared" si="23"/>
        <v>No usa</v>
      </c>
      <c r="AP32">
        <v>0</v>
      </c>
      <c r="AQ32" t="str">
        <f t="shared" si="24"/>
        <v>No camina</v>
      </c>
      <c r="AR32">
        <v>0</v>
      </c>
      <c r="AS32" t="str">
        <f t="shared" si="25"/>
        <v>No es obeso</v>
      </c>
    </row>
    <row r="33" spans="1:45" x14ac:dyDescent="0.25">
      <c r="A33">
        <v>0</v>
      </c>
      <c r="B33" t="str">
        <f t="shared" si="0"/>
        <v>F</v>
      </c>
      <c r="C33">
        <v>31</v>
      </c>
      <c r="D33">
        <f t="shared" si="1"/>
        <v>31</v>
      </c>
      <c r="E33">
        <f t="shared" si="2"/>
        <v>31</v>
      </c>
      <c r="F33" t="str">
        <f t="shared" si="3"/>
        <v>25-50</v>
      </c>
      <c r="G33">
        <v>1</v>
      </c>
      <c r="H33" t="str">
        <f t="shared" si="4"/>
        <v>Pariente gordo</v>
      </c>
      <c r="I33">
        <v>0</v>
      </c>
      <c r="J33" t="str">
        <f t="shared" si="5"/>
        <v>Saludables</v>
      </c>
      <c r="K33">
        <v>2</v>
      </c>
      <c r="L33">
        <f t="shared" si="6"/>
        <v>1</v>
      </c>
      <c r="M33" t="str">
        <f t="shared" si="7"/>
        <v>Suele comer</v>
      </c>
      <c r="N33">
        <v>1</v>
      </c>
      <c r="O33">
        <f t="shared" si="8"/>
        <v>1</v>
      </c>
      <c r="P33">
        <f t="shared" si="9"/>
        <v>3</v>
      </c>
      <c r="Q33">
        <v>1</v>
      </c>
      <c r="R33" t="str">
        <f t="shared" si="10"/>
        <v>A veces</v>
      </c>
      <c r="S33">
        <v>0</v>
      </c>
      <c r="T33" t="str">
        <f t="shared" si="11"/>
        <v>No fuma</v>
      </c>
      <c r="U33">
        <v>1</v>
      </c>
      <c r="V33">
        <f t="shared" si="12"/>
        <v>1</v>
      </c>
      <c r="W33" t="str">
        <f t="shared" si="13"/>
        <v>Usualmente</v>
      </c>
      <c r="X33">
        <v>0</v>
      </c>
      <c r="Y33" t="str">
        <f t="shared" si="14"/>
        <v>No controla</v>
      </c>
      <c r="Z33">
        <v>1</v>
      </c>
      <c r="AA33">
        <f t="shared" si="15"/>
        <v>1</v>
      </c>
      <c r="AB33" t="str">
        <f t="shared" si="16"/>
        <v>A veces</v>
      </c>
      <c r="AC33">
        <v>0</v>
      </c>
      <c r="AD33">
        <f t="shared" si="17"/>
        <v>0</v>
      </c>
      <c r="AE33" t="str">
        <f t="shared" si="18"/>
        <v>Nunca</v>
      </c>
      <c r="AF33">
        <v>1</v>
      </c>
      <c r="AG33" t="str">
        <f t="shared" si="19"/>
        <v>A veces</v>
      </c>
      <c r="AH33">
        <v>0</v>
      </c>
      <c r="AI33" t="str">
        <f t="shared" si="20"/>
        <v>No usa</v>
      </c>
      <c r="AJ33">
        <v>0</v>
      </c>
      <c r="AK33" t="str">
        <f t="shared" si="21"/>
        <v>No usa</v>
      </c>
      <c r="AL33">
        <v>0</v>
      </c>
      <c r="AM33" t="str">
        <f t="shared" si="22"/>
        <v>No usa</v>
      </c>
      <c r="AN33">
        <v>1</v>
      </c>
      <c r="AO33" t="str">
        <f t="shared" si="23"/>
        <v>Usa Transporte</v>
      </c>
      <c r="AP33">
        <v>0</v>
      </c>
      <c r="AQ33" t="str">
        <f t="shared" si="24"/>
        <v>No camina</v>
      </c>
      <c r="AR33">
        <v>0</v>
      </c>
      <c r="AS33" t="str">
        <f t="shared" si="25"/>
        <v>No es obeso</v>
      </c>
    </row>
    <row r="34" spans="1:45" x14ac:dyDescent="0.25">
      <c r="A34">
        <v>0</v>
      </c>
      <c r="B34" t="str">
        <f t="shared" si="0"/>
        <v>F</v>
      </c>
      <c r="C34">
        <v>24</v>
      </c>
      <c r="D34">
        <f t="shared" si="1"/>
        <v>24</v>
      </c>
      <c r="E34">
        <f t="shared" si="2"/>
        <v>24</v>
      </c>
      <c r="F34" t="str">
        <f t="shared" si="3"/>
        <v>1-25</v>
      </c>
      <c r="G34">
        <v>0</v>
      </c>
      <c r="H34" t="str">
        <f t="shared" si="4"/>
        <v>Pariente normal</v>
      </c>
      <c r="I34">
        <v>0</v>
      </c>
      <c r="J34" t="str">
        <f t="shared" si="5"/>
        <v>Saludables</v>
      </c>
      <c r="K34">
        <v>2</v>
      </c>
      <c r="L34">
        <f t="shared" si="6"/>
        <v>1</v>
      </c>
      <c r="M34" t="str">
        <f t="shared" si="7"/>
        <v>Suele comer</v>
      </c>
      <c r="N34">
        <v>3</v>
      </c>
      <c r="O34">
        <f t="shared" si="8"/>
        <v>2</v>
      </c>
      <c r="P34" t="str">
        <f t="shared" si="9"/>
        <v>Mas de 3</v>
      </c>
      <c r="Q34">
        <v>1</v>
      </c>
      <c r="R34" t="str">
        <f t="shared" si="10"/>
        <v>A veces</v>
      </c>
      <c r="S34">
        <v>0</v>
      </c>
      <c r="T34" t="str">
        <f t="shared" si="11"/>
        <v>No fuma</v>
      </c>
      <c r="U34">
        <v>3</v>
      </c>
      <c r="V34">
        <f t="shared" si="12"/>
        <v>2</v>
      </c>
      <c r="W34" t="str">
        <f t="shared" si="13"/>
        <v>Siempre</v>
      </c>
      <c r="X34">
        <v>0</v>
      </c>
      <c r="Y34" t="str">
        <f t="shared" si="14"/>
        <v>No controla</v>
      </c>
      <c r="Z34">
        <v>1</v>
      </c>
      <c r="AA34">
        <f t="shared" si="15"/>
        <v>1</v>
      </c>
      <c r="AB34" t="str">
        <f t="shared" si="16"/>
        <v>A veces</v>
      </c>
      <c r="AC34">
        <v>1</v>
      </c>
      <c r="AD34">
        <f t="shared" si="17"/>
        <v>1</v>
      </c>
      <c r="AE34" t="str">
        <f t="shared" si="18"/>
        <v>Usualmente</v>
      </c>
      <c r="AF34">
        <v>1</v>
      </c>
      <c r="AG34" t="str">
        <f t="shared" si="19"/>
        <v>A veces</v>
      </c>
      <c r="AH34">
        <v>0</v>
      </c>
      <c r="AI34" t="str">
        <f t="shared" si="20"/>
        <v>No usa</v>
      </c>
      <c r="AJ34">
        <v>0</v>
      </c>
      <c r="AK34" t="str">
        <f t="shared" si="21"/>
        <v>No usa</v>
      </c>
      <c r="AL34">
        <v>0</v>
      </c>
      <c r="AM34" t="str">
        <f t="shared" si="22"/>
        <v>No usa</v>
      </c>
      <c r="AN34">
        <v>0</v>
      </c>
      <c r="AO34" t="str">
        <f t="shared" si="23"/>
        <v>No usa</v>
      </c>
      <c r="AP34">
        <v>1</v>
      </c>
      <c r="AQ34" t="str">
        <f t="shared" si="24"/>
        <v>Camina</v>
      </c>
      <c r="AR34">
        <v>0</v>
      </c>
      <c r="AS34" t="str">
        <f t="shared" si="25"/>
        <v>No es obeso</v>
      </c>
    </row>
    <row r="35" spans="1:45" x14ac:dyDescent="0.25">
      <c r="A35">
        <v>1</v>
      </c>
      <c r="B35" t="str">
        <f t="shared" si="0"/>
        <v>M</v>
      </c>
      <c r="C35">
        <v>39</v>
      </c>
      <c r="D35">
        <f t="shared" si="1"/>
        <v>39</v>
      </c>
      <c r="E35">
        <f t="shared" si="2"/>
        <v>39</v>
      </c>
      <c r="F35" t="str">
        <f t="shared" si="3"/>
        <v>25-50</v>
      </c>
      <c r="G35">
        <v>0</v>
      </c>
      <c r="H35" t="str">
        <f t="shared" si="4"/>
        <v>Pariente normal</v>
      </c>
      <c r="I35">
        <v>0</v>
      </c>
      <c r="J35" t="str">
        <f t="shared" si="5"/>
        <v>Saludables</v>
      </c>
      <c r="K35">
        <v>2</v>
      </c>
      <c r="L35">
        <f t="shared" si="6"/>
        <v>1</v>
      </c>
      <c r="M35" t="str">
        <f t="shared" si="7"/>
        <v>Suele comer</v>
      </c>
      <c r="N35">
        <v>1</v>
      </c>
      <c r="O35">
        <f t="shared" si="8"/>
        <v>1</v>
      </c>
      <c r="P35">
        <f t="shared" si="9"/>
        <v>3</v>
      </c>
      <c r="Q35">
        <v>1</v>
      </c>
      <c r="R35" t="str">
        <f t="shared" si="10"/>
        <v>A veces</v>
      </c>
      <c r="S35">
        <v>0</v>
      </c>
      <c r="T35" t="str">
        <f t="shared" si="11"/>
        <v>No fuma</v>
      </c>
      <c r="U35">
        <v>2</v>
      </c>
      <c r="V35">
        <f t="shared" si="12"/>
        <v>2</v>
      </c>
      <c r="W35" t="str">
        <f t="shared" si="13"/>
        <v>Siempre</v>
      </c>
      <c r="X35">
        <v>0</v>
      </c>
      <c r="Y35" t="str">
        <f t="shared" si="14"/>
        <v>No controla</v>
      </c>
      <c r="Z35">
        <v>0</v>
      </c>
      <c r="AA35">
        <f t="shared" si="15"/>
        <v>0</v>
      </c>
      <c r="AB35" t="str">
        <f t="shared" si="16"/>
        <v>Nunca</v>
      </c>
      <c r="AC35">
        <v>0</v>
      </c>
      <c r="AD35">
        <f t="shared" si="17"/>
        <v>0</v>
      </c>
      <c r="AE35" t="str">
        <f t="shared" si="18"/>
        <v>Nunca</v>
      </c>
      <c r="AF35">
        <v>1</v>
      </c>
      <c r="AG35" t="str">
        <f t="shared" si="19"/>
        <v>A veces</v>
      </c>
      <c r="AH35">
        <v>0</v>
      </c>
      <c r="AI35" t="str">
        <f t="shared" si="20"/>
        <v>No usa</v>
      </c>
      <c r="AJ35">
        <v>0</v>
      </c>
      <c r="AK35" t="str">
        <f t="shared" si="21"/>
        <v>No usa</v>
      </c>
      <c r="AL35">
        <v>0</v>
      </c>
      <c r="AM35" t="str">
        <f t="shared" si="22"/>
        <v>No usa</v>
      </c>
      <c r="AN35">
        <v>1</v>
      </c>
      <c r="AO35" t="str">
        <f t="shared" si="23"/>
        <v>Usa Transporte</v>
      </c>
      <c r="AP35">
        <v>0</v>
      </c>
      <c r="AQ35" t="str">
        <f t="shared" si="24"/>
        <v>No camina</v>
      </c>
      <c r="AR35">
        <v>0</v>
      </c>
      <c r="AS35" t="str">
        <f t="shared" si="25"/>
        <v>No es obeso</v>
      </c>
    </row>
    <row r="36" spans="1:45" x14ac:dyDescent="0.25">
      <c r="A36">
        <v>1</v>
      </c>
      <c r="B36" t="str">
        <f t="shared" si="0"/>
        <v>M</v>
      </c>
      <c r="C36">
        <v>22</v>
      </c>
      <c r="D36">
        <f t="shared" si="1"/>
        <v>22</v>
      </c>
      <c r="E36">
        <f t="shared" si="2"/>
        <v>22</v>
      </c>
      <c r="F36" t="str">
        <f t="shared" si="3"/>
        <v>1-25</v>
      </c>
      <c r="G36">
        <v>0</v>
      </c>
      <c r="H36" t="str">
        <f t="shared" si="4"/>
        <v>Pariente normal</v>
      </c>
      <c r="I36">
        <v>1</v>
      </c>
      <c r="J36" t="str">
        <f t="shared" si="5"/>
        <v>Hipercaloricos</v>
      </c>
      <c r="K36">
        <v>2</v>
      </c>
      <c r="L36">
        <f t="shared" si="6"/>
        <v>1</v>
      </c>
      <c r="M36" t="str">
        <f t="shared" si="7"/>
        <v>Suele comer</v>
      </c>
      <c r="N36">
        <v>4</v>
      </c>
      <c r="O36">
        <f t="shared" si="8"/>
        <v>2</v>
      </c>
      <c r="P36" t="str">
        <f t="shared" si="9"/>
        <v>Mas de 3</v>
      </c>
      <c r="Q36">
        <v>2</v>
      </c>
      <c r="R36" t="str">
        <f t="shared" si="10"/>
        <v>Usualmente</v>
      </c>
      <c r="S36">
        <v>0</v>
      </c>
      <c r="T36" t="str">
        <f t="shared" si="11"/>
        <v>No fuma</v>
      </c>
      <c r="U36">
        <v>2</v>
      </c>
      <c r="V36">
        <f t="shared" si="12"/>
        <v>2</v>
      </c>
      <c r="W36" t="str">
        <f t="shared" si="13"/>
        <v>Siempre</v>
      </c>
      <c r="X36">
        <v>0</v>
      </c>
      <c r="Y36" t="str">
        <f t="shared" si="14"/>
        <v>No controla</v>
      </c>
      <c r="Z36">
        <v>2</v>
      </c>
      <c r="AA36">
        <f t="shared" si="15"/>
        <v>2</v>
      </c>
      <c r="AB36" t="str">
        <f t="shared" si="16"/>
        <v>Usualmente</v>
      </c>
      <c r="AC36">
        <v>0</v>
      </c>
      <c r="AD36">
        <f t="shared" si="17"/>
        <v>0</v>
      </c>
      <c r="AE36" t="str">
        <f t="shared" si="18"/>
        <v>Nunca</v>
      </c>
      <c r="AF36">
        <v>1</v>
      </c>
      <c r="AG36" t="str">
        <f t="shared" si="19"/>
        <v>A veces</v>
      </c>
      <c r="AH36">
        <v>0</v>
      </c>
      <c r="AI36" t="str">
        <f t="shared" si="20"/>
        <v>No usa</v>
      </c>
      <c r="AJ36">
        <v>0</v>
      </c>
      <c r="AK36" t="str">
        <f t="shared" si="21"/>
        <v>No usa</v>
      </c>
      <c r="AL36">
        <v>0</v>
      </c>
      <c r="AM36" t="str">
        <f t="shared" si="22"/>
        <v>No usa</v>
      </c>
      <c r="AN36">
        <v>1</v>
      </c>
      <c r="AO36" t="str">
        <f t="shared" si="23"/>
        <v>Usa Transporte</v>
      </c>
      <c r="AP36">
        <v>0</v>
      </c>
      <c r="AQ36" t="str">
        <f t="shared" si="24"/>
        <v>No camina</v>
      </c>
      <c r="AR36">
        <v>0</v>
      </c>
      <c r="AS36" t="str">
        <f t="shared" si="25"/>
        <v>No es obeso</v>
      </c>
    </row>
    <row r="37" spans="1:45" x14ac:dyDescent="0.25">
      <c r="A37">
        <v>0</v>
      </c>
      <c r="B37" t="str">
        <f t="shared" si="0"/>
        <v>F</v>
      </c>
      <c r="C37">
        <v>21</v>
      </c>
      <c r="D37">
        <f t="shared" si="1"/>
        <v>21</v>
      </c>
      <c r="E37">
        <f t="shared" si="2"/>
        <v>21</v>
      </c>
      <c r="F37" t="str">
        <f t="shared" si="3"/>
        <v>1-25</v>
      </c>
      <c r="G37">
        <v>1</v>
      </c>
      <c r="H37" t="str">
        <f t="shared" si="4"/>
        <v>Pariente gordo</v>
      </c>
      <c r="I37">
        <v>0</v>
      </c>
      <c r="J37" t="str">
        <f t="shared" si="5"/>
        <v>Saludables</v>
      </c>
      <c r="K37">
        <v>2</v>
      </c>
      <c r="L37">
        <f t="shared" si="6"/>
        <v>1</v>
      </c>
      <c r="M37" t="str">
        <f t="shared" si="7"/>
        <v>Suele comer</v>
      </c>
      <c r="N37">
        <v>3</v>
      </c>
      <c r="O37">
        <f t="shared" si="8"/>
        <v>2</v>
      </c>
      <c r="P37" t="str">
        <f t="shared" si="9"/>
        <v>Mas de 3</v>
      </c>
      <c r="Q37">
        <v>1</v>
      </c>
      <c r="R37" t="str">
        <f t="shared" si="10"/>
        <v>A veces</v>
      </c>
      <c r="S37">
        <v>0</v>
      </c>
      <c r="T37" t="str">
        <f t="shared" si="11"/>
        <v>No fuma</v>
      </c>
      <c r="U37">
        <v>2</v>
      </c>
      <c r="V37">
        <f t="shared" si="12"/>
        <v>2</v>
      </c>
      <c r="W37" t="str">
        <f t="shared" si="13"/>
        <v>Siempre</v>
      </c>
      <c r="X37">
        <v>0</v>
      </c>
      <c r="Y37" t="str">
        <f t="shared" si="14"/>
        <v>No controla</v>
      </c>
      <c r="Z37">
        <v>2</v>
      </c>
      <c r="AA37">
        <f t="shared" si="15"/>
        <v>2</v>
      </c>
      <c r="AB37" t="str">
        <f t="shared" si="16"/>
        <v>Usualmente</v>
      </c>
      <c r="AC37">
        <v>2</v>
      </c>
      <c r="AD37">
        <f t="shared" si="17"/>
        <v>2</v>
      </c>
      <c r="AE37" t="str">
        <f t="shared" si="18"/>
        <v>Siempre</v>
      </c>
      <c r="AF37">
        <v>1</v>
      </c>
      <c r="AG37" t="str">
        <f t="shared" si="19"/>
        <v>A veces</v>
      </c>
      <c r="AH37">
        <v>0</v>
      </c>
      <c r="AI37" t="str">
        <f t="shared" si="20"/>
        <v>No usa</v>
      </c>
      <c r="AJ37">
        <v>0</v>
      </c>
      <c r="AK37" t="str">
        <f t="shared" si="21"/>
        <v>No usa</v>
      </c>
      <c r="AL37">
        <v>0</v>
      </c>
      <c r="AM37" t="str">
        <f t="shared" si="22"/>
        <v>No usa</v>
      </c>
      <c r="AN37">
        <v>1</v>
      </c>
      <c r="AO37" t="str">
        <f t="shared" si="23"/>
        <v>Usa Transporte</v>
      </c>
      <c r="AP37">
        <v>0</v>
      </c>
      <c r="AQ37" t="str">
        <f t="shared" si="24"/>
        <v>No camina</v>
      </c>
      <c r="AR37">
        <v>0</v>
      </c>
      <c r="AS37" t="str">
        <f t="shared" si="25"/>
        <v>No es obeso</v>
      </c>
    </row>
    <row r="38" spans="1:45" x14ac:dyDescent="0.25">
      <c r="A38">
        <v>0</v>
      </c>
      <c r="B38" t="str">
        <f t="shared" si="0"/>
        <v>F</v>
      </c>
      <c r="C38">
        <v>22</v>
      </c>
      <c r="D38">
        <f t="shared" si="1"/>
        <v>22</v>
      </c>
      <c r="E38">
        <f t="shared" si="2"/>
        <v>22</v>
      </c>
      <c r="F38" t="str">
        <f t="shared" si="3"/>
        <v>1-25</v>
      </c>
      <c r="G38">
        <v>0</v>
      </c>
      <c r="H38" t="str">
        <f t="shared" si="4"/>
        <v>Pariente normal</v>
      </c>
      <c r="I38">
        <v>1</v>
      </c>
      <c r="J38" t="str">
        <f t="shared" si="5"/>
        <v>Hipercaloricos</v>
      </c>
      <c r="K38">
        <v>2</v>
      </c>
      <c r="L38">
        <f t="shared" si="6"/>
        <v>1</v>
      </c>
      <c r="M38" t="str">
        <f t="shared" si="7"/>
        <v>Suele comer</v>
      </c>
      <c r="N38">
        <v>3</v>
      </c>
      <c r="O38">
        <f t="shared" si="8"/>
        <v>2</v>
      </c>
      <c r="P38" t="str">
        <f t="shared" si="9"/>
        <v>Mas de 3</v>
      </c>
      <c r="Q38">
        <v>1</v>
      </c>
      <c r="R38" t="str">
        <f t="shared" si="10"/>
        <v>A veces</v>
      </c>
      <c r="S38">
        <v>0</v>
      </c>
      <c r="T38" t="str">
        <f t="shared" si="11"/>
        <v>No fuma</v>
      </c>
      <c r="U38">
        <v>1</v>
      </c>
      <c r="V38">
        <f t="shared" si="12"/>
        <v>1</v>
      </c>
      <c r="W38" t="str">
        <f t="shared" si="13"/>
        <v>Usualmente</v>
      </c>
      <c r="X38">
        <v>1</v>
      </c>
      <c r="Y38" t="str">
        <f t="shared" si="14"/>
        <v>Controla</v>
      </c>
      <c r="Z38">
        <v>2</v>
      </c>
      <c r="AA38">
        <f t="shared" si="15"/>
        <v>2</v>
      </c>
      <c r="AB38" t="str">
        <f t="shared" si="16"/>
        <v>Usualmente</v>
      </c>
      <c r="AC38">
        <v>0</v>
      </c>
      <c r="AD38">
        <f t="shared" si="17"/>
        <v>0</v>
      </c>
      <c r="AE38" t="str">
        <f t="shared" si="18"/>
        <v>Nunca</v>
      </c>
      <c r="AF38">
        <v>0</v>
      </c>
      <c r="AG38" t="str">
        <f t="shared" si="19"/>
        <v>Nunca</v>
      </c>
      <c r="AH38">
        <v>0</v>
      </c>
      <c r="AI38" t="str">
        <f t="shared" si="20"/>
        <v>No usa</v>
      </c>
      <c r="AJ38">
        <v>0</v>
      </c>
      <c r="AK38" t="str">
        <f t="shared" si="21"/>
        <v>No usa</v>
      </c>
      <c r="AL38">
        <v>0</v>
      </c>
      <c r="AM38" t="str">
        <f t="shared" si="22"/>
        <v>No usa</v>
      </c>
      <c r="AN38">
        <v>0</v>
      </c>
      <c r="AO38" t="str">
        <f t="shared" si="23"/>
        <v>No usa</v>
      </c>
      <c r="AP38">
        <v>1</v>
      </c>
      <c r="AQ38" t="str">
        <f t="shared" si="24"/>
        <v>Camina</v>
      </c>
      <c r="AR38">
        <v>0</v>
      </c>
      <c r="AS38" t="str">
        <f t="shared" si="25"/>
        <v>No es obeso</v>
      </c>
    </row>
    <row r="39" spans="1:45" x14ac:dyDescent="0.25">
      <c r="A39">
        <v>0</v>
      </c>
      <c r="B39" t="str">
        <f t="shared" si="0"/>
        <v>F</v>
      </c>
      <c r="C39">
        <v>21</v>
      </c>
      <c r="D39">
        <f t="shared" si="1"/>
        <v>21</v>
      </c>
      <c r="E39">
        <f t="shared" si="2"/>
        <v>21</v>
      </c>
      <c r="F39" t="str">
        <f t="shared" si="3"/>
        <v>1-25</v>
      </c>
      <c r="G39">
        <v>0</v>
      </c>
      <c r="H39" t="str">
        <f t="shared" si="4"/>
        <v>Pariente normal</v>
      </c>
      <c r="I39">
        <v>1</v>
      </c>
      <c r="J39" t="str">
        <f t="shared" si="5"/>
        <v>Hipercaloricos</v>
      </c>
      <c r="K39">
        <v>2</v>
      </c>
      <c r="L39">
        <f t="shared" si="6"/>
        <v>1</v>
      </c>
      <c r="M39" t="str">
        <f t="shared" si="7"/>
        <v>Suele comer</v>
      </c>
      <c r="N39">
        <v>3</v>
      </c>
      <c r="O39">
        <f t="shared" si="8"/>
        <v>2</v>
      </c>
      <c r="P39" t="str">
        <f t="shared" si="9"/>
        <v>Mas de 3</v>
      </c>
      <c r="Q39">
        <v>1</v>
      </c>
      <c r="R39" t="str">
        <f t="shared" si="10"/>
        <v>A veces</v>
      </c>
      <c r="S39">
        <v>0</v>
      </c>
      <c r="T39" t="str">
        <f t="shared" si="11"/>
        <v>No fuma</v>
      </c>
      <c r="U39">
        <v>1</v>
      </c>
      <c r="V39">
        <f t="shared" si="12"/>
        <v>1</v>
      </c>
      <c r="W39" t="str">
        <f t="shared" si="13"/>
        <v>Usualmente</v>
      </c>
      <c r="X39">
        <v>0</v>
      </c>
      <c r="Y39" t="str">
        <f t="shared" si="14"/>
        <v>No controla</v>
      </c>
      <c r="Z39">
        <v>1</v>
      </c>
      <c r="AA39">
        <f t="shared" si="15"/>
        <v>1</v>
      </c>
      <c r="AB39" t="str">
        <f t="shared" si="16"/>
        <v>A veces</v>
      </c>
      <c r="AC39">
        <v>0</v>
      </c>
      <c r="AD39">
        <f t="shared" si="17"/>
        <v>0</v>
      </c>
      <c r="AE39" t="str">
        <f t="shared" si="18"/>
        <v>Nunca</v>
      </c>
      <c r="AF39">
        <v>1</v>
      </c>
      <c r="AG39" t="str">
        <f t="shared" si="19"/>
        <v>A veces</v>
      </c>
      <c r="AH39">
        <v>0</v>
      </c>
      <c r="AI39" t="str">
        <f t="shared" si="20"/>
        <v>No usa</v>
      </c>
      <c r="AJ39">
        <v>0</v>
      </c>
      <c r="AK39" t="str">
        <f t="shared" si="21"/>
        <v>No usa</v>
      </c>
      <c r="AL39">
        <v>0</v>
      </c>
      <c r="AM39" t="str">
        <f t="shared" si="22"/>
        <v>No usa</v>
      </c>
      <c r="AN39">
        <v>1</v>
      </c>
      <c r="AO39" t="str">
        <f t="shared" si="23"/>
        <v>Usa Transporte</v>
      </c>
      <c r="AP39">
        <v>0</v>
      </c>
      <c r="AQ39" t="str">
        <f t="shared" si="24"/>
        <v>No camina</v>
      </c>
      <c r="AR39">
        <v>0</v>
      </c>
      <c r="AS39" t="str">
        <f t="shared" si="25"/>
        <v>No es obeso</v>
      </c>
    </row>
    <row r="40" spans="1:45" x14ac:dyDescent="0.25">
      <c r="A40">
        <v>1</v>
      </c>
      <c r="B40" t="str">
        <f t="shared" si="0"/>
        <v>M</v>
      </c>
      <c r="C40">
        <v>23</v>
      </c>
      <c r="D40">
        <f t="shared" si="1"/>
        <v>23</v>
      </c>
      <c r="E40">
        <f t="shared" si="2"/>
        <v>23</v>
      </c>
      <c r="F40" t="str">
        <f t="shared" si="3"/>
        <v>1-25</v>
      </c>
      <c r="G40">
        <v>1</v>
      </c>
      <c r="H40" t="str">
        <f t="shared" si="4"/>
        <v>Pariente gordo</v>
      </c>
      <c r="I40">
        <v>1</v>
      </c>
      <c r="J40" t="str">
        <f t="shared" si="5"/>
        <v>Hipercaloricos</v>
      </c>
      <c r="K40">
        <v>2</v>
      </c>
      <c r="L40">
        <f t="shared" si="6"/>
        <v>1</v>
      </c>
      <c r="M40" t="str">
        <f t="shared" si="7"/>
        <v>Suele comer</v>
      </c>
      <c r="N40">
        <v>3</v>
      </c>
      <c r="O40">
        <f t="shared" si="8"/>
        <v>2</v>
      </c>
      <c r="P40" t="str">
        <f t="shared" si="9"/>
        <v>Mas de 3</v>
      </c>
      <c r="Q40">
        <v>1</v>
      </c>
      <c r="R40" t="str">
        <f t="shared" si="10"/>
        <v>A veces</v>
      </c>
      <c r="S40">
        <v>0</v>
      </c>
      <c r="T40" t="str">
        <f t="shared" si="11"/>
        <v>No fuma</v>
      </c>
      <c r="U40">
        <v>2</v>
      </c>
      <c r="V40">
        <f t="shared" si="12"/>
        <v>2</v>
      </c>
      <c r="W40" t="str">
        <f t="shared" si="13"/>
        <v>Siempre</v>
      </c>
      <c r="X40">
        <v>0</v>
      </c>
      <c r="Y40" t="str">
        <f t="shared" si="14"/>
        <v>No controla</v>
      </c>
      <c r="Z40">
        <v>1</v>
      </c>
      <c r="AA40">
        <f t="shared" si="15"/>
        <v>1</v>
      </c>
      <c r="AB40" t="str">
        <f t="shared" si="16"/>
        <v>A veces</v>
      </c>
      <c r="AC40">
        <v>1</v>
      </c>
      <c r="AD40">
        <f t="shared" si="17"/>
        <v>1</v>
      </c>
      <c r="AE40" t="str">
        <f t="shared" si="18"/>
        <v>Usualmente</v>
      </c>
      <c r="AF40">
        <v>1</v>
      </c>
      <c r="AG40" t="str">
        <f t="shared" si="19"/>
        <v>A veces</v>
      </c>
      <c r="AH40">
        <v>0</v>
      </c>
      <c r="AI40" t="str">
        <f t="shared" si="20"/>
        <v>No usa</v>
      </c>
      <c r="AJ40">
        <v>0</v>
      </c>
      <c r="AK40" t="str">
        <f t="shared" si="21"/>
        <v>No usa</v>
      </c>
      <c r="AL40">
        <v>0</v>
      </c>
      <c r="AM40" t="str">
        <f t="shared" si="22"/>
        <v>No usa</v>
      </c>
      <c r="AN40">
        <v>1</v>
      </c>
      <c r="AO40" t="str">
        <f t="shared" si="23"/>
        <v>Usa Transporte</v>
      </c>
      <c r="AP40">
        <v>0</v>
      </c>
      <c r="AQ40" t="str">
        <f t="shared" si="24"/>
        <v>No camina</v>
      </c>
      <c r="AR40">
        <v>0</v>
      </c>
      <c r="AS40" t="str">
        <f t="shared" si="25"/>
        <v>No es obeso</v>
      </c>
    </row>
    <row r="41" spans="1:45" x14ac:dyDescent="0.25">
      <c r="A41">
        <v>0</v>
      </c>
      <c r="B41" t="str">
        <f t="shared" si="0"/>
        <v>F</v>
      </c>
      <c r="C41">
        <v>21</v>
      </c>
      <c r="D41">
        <f t="shared" si="1"/>
        <v>21</v>
      </c>
      <c r="E41">
        <f t="shared" si="2"/>
        <v>21</v>
      </c>
      <c r="F41" t="str">
        <f t="shared" si="3"/>
        <v>1-25</v>
      </c>
      <c r="G41">
        <v>1</v>
      </c>
      <c r="H41" t="str">
        <f t="shared" si="4"/>
        <v>Pariente gordo</v>
      </c>
      <c r="I41">
        <v>1</v>
      </c>
      <c r="J41" t="str">
        <f t="shared" si="5"/>
        <v>Hipercaloricos</v>
      </c>
      <c r="K41">
        <v>2</v>
      </c>
      <c r="L41">
        <f t="shared" si="6"/>
        <v>1</v>
      </c>
      <c r="M41" t="str">
        <f t="shared" si="7"/>
        <v>Suele comer</v>
      </c>
      <c r="N41">
        <v>3</v>
      </c>
      <c r="O41">
        <f t="shared" si="8"/>
        <v>2</v>
      </c>
      <c r="P41" t="str">
        <f t="shared" si="9"/>
        <v>Mas de 3</v>
      </c>
      <c r="Q41">
        <v>1</v>
      </c>
      <c r="R41" t="str">
        <f t="shared" si="10"/>
        <v>A veces</v>
      </c>
      <c r="S41">
        <v>0</v>
      </c>
      <c r="T41" t="str">
        <f t="shared" si="11"/>
        <v>No fuma</v>
      </c>
      <c r="U41">
        <v>3</v>
      </c>
      <c r="V41">
        <f t="shared" si="12"/>
        <v>2</v>
      </c>
      <c r="W41" t="str">
        <f t="shared" si="13"/>
        <v>Siempre</v>
      </c>
      <c r="X41">
        <v>0</v>
      </c>
      <c r="Y41" t="str">
        <f t="shared" si="14"/>
        <v>No controla</v>
      </c>
      <c r="Z41">
        <v>3</v>
      </c>
      <c r="AA41">
        <f t="shared" si="15"/>
        <v>3</v>
      </c>
      <c r="AB41" t="str">
        <f t="shared" si="16"/>
        <v>Siempre</v>
      </c>
      <c r="AC41">
        <v>0</v>
      </c>
      <c r="AD41">
        <f t="shared" si="17"/>
        <v>0</v>
      </c>
      <c r="AE41" t="str">
        <f t="shared" si="18"/>
        <v>Nunca</v>
      </c>
      <c r="AF41">
        <v>1</v>
      </c>
      <c r="AG41" t="str">
        <f t="shared" si="19"/>
        <v>A veces</v>
      </c>
      <c r="AH41">
        <v>0</v>
      </c>
      <c r="AI41" t="str">
        <f t="shared" si="20"/>
        <v>No usa</v>
      </c>
      <c r="AJ41">
        <v>0</v>
      </c>
      <c r="AK41" t="str">
        <f t="shared" si="21"/>
        <v>No usa</v>
      </c>
      <c r="AL41">
        <v>0</v>
      </c>
      <c r="AM41" t="str">
        <f t="shared" si="22"/>
        <v>No usa</v>
      </c>
      <c r="AN41">
        <v>1</v>
      </c>
      <c r="AO41" t="str">
        <f t="shared" si="23"/>
        <v>Usa Transporte</v>
      </c>
      <c r="AP41">
        <v>0</v>
      </c>
      <c r="AQ41" t="str">
        <f t="shared" si="24"/>
        <v>No camina</v>
      </c>
      <c r="AR41">
        <v>0</v>
      </c>
      <c r="AS41" t="str">
        <f t="shared" si="25"/>
        <v>No es obeso</v>
      </c>
    </row>
    <row r="42" spans="1:45" x14ac:dyDescent="0.25">
      <c r="A42">
        <v>0</v>
      </c>
      <c r="B42" t="str">
        <f t="shared" si="0"/>
        <v>F</v>
      </c>
      <c r="C42">
        <v>21</v>
      </c>
      <c r="D42">
        <f t="shared" si="1"/>
        <v>21</v>
      </c>
      <c r="E42">
        <f t="shared" si="2"/>
        <v>21</v>
      </c>
      <c r="F42" t="str">
        <f t="shared" si="3"/>
        <v>1-25</v>
      </c>
      <c r="G42">
        <v>1</v>
      </c>
      <c r="H42" t="str">
        <f t="shared" si="4"/>
        <v>Pariente gordo</v>
      </c>
      <c r="I42">
        <v>1</v>
      </c>
      <c r="J42" t="str">
        <f t="shared" si="5"/>
        <v>Hipercaloricos</v>
      </c>
      <c r="K42">
        <v>2</v>
      </c>
      <c r="L42">
        <f t="shared" si="6"/>
        <v>1</v>
      </c>
      <c r="M42" t="str">
        <f t="shared" si="7"/>
        <v>Suele comer</v>
      </c>
      <c r="N42">
        <v>3</v>
      </c>
      <c r="O42">
        <f t="shared" si="8"/>
        <v>2</v>
      </c>
      <c r="P42" t="str">
        <f t="shared" si="9"/>
        <v>Mas de 3</v>
      </c>
      <c r="Q42">
        <v>1</v>
      </c>
      <c r="R42" t="str">
        <f t="shared" si="10"/>
        <v>A veces</v>
      </c>
      <c r="S42">
        <v>0</v>
      </c>
      <c r="T42" t="str">
        <f t="shared" si="11"/>
        <v>No fuma</v>
      </c>
      <c r="U42">
        <v>2</v>
      </c>
      <c r="V42">
        <f t="shared" si="12"/>
        <v>2</v>
      </c>
      <c r="W42" t="str">
        <f t="shared" si="13"/>
        <v>Siempre</v>
      </c>
      <c r="X42">
        <v>0</v>
      </c>
      <c r="Y42" t="str">
        <f t="shared" si="14"/>
        <v>No controla</v>
      </c>
      <c r="Z42">
        <v>1</v>
      </c>
      <c r="AA42">
        <f t="shared" si="15"/>
        <v>1</v>
      </c>
      <c r="AB42" t="str">
        <f t="shared" si="16"/>
        <v>A veces</v>
      </c>
      <c r="AC42">
        <v>0</v>
      </c>
      <c r="AD42">
        <f t="shared" si="17"/>
        <v>0</v>
      </c>
      <c r="AE42" t="str">
        <f t="shared" si="18"/>
        <v>Nunca</v>
      </c>
      <c r="AF42">
        <v>1</v>
      </c>
      <c r="AG42" t="str">
        <f t="shared" si="19"/>
        <v>A veces</v>
      </c>
      <c r="AH42">
        <v>0</v>
      </c>
      <c r="AI42" t="str">
        <f t="shared" si="20"/>
        <v>No usa</v>
      </c>
      <c r="AJ42">
        <v>0</v>
      </c>
      <c r="AK42" t="str">
        <f t="shared" si="21"/>
        <v>No usa</v>
      </c>
      <c r="AL42">
        <v>0</v>
      </c>
      <c r="AM42" t="str">
        <f t="shared" si="22"/>
        <v>No usa</v>
      </c>
      <c r="AN42">
        <v>1</v>
      </c>
      <c r="AO42" t="str">
        <f t="shared" si="23"/>
        <v>Usa Transporte</v>
      </c>
      <c r="AP42">
        <v>0</v>
      </c>
      <c r="AQ42" t="str">
        <f t="shared" si="24"/>
        <v>No camina</v>
      </c>
      <c r="AR42">
        <v>0</v>
      </c>
      <c r="AS42" t="str">
        <f t="shared" si="25"/>
        <v>No es obeso</v>
      </c>
    </row>
    <row r="43" spans="1:45" x14ac:dyDescent="0.25">
      <c r="A43">
        <v>1</v>
      </c>
      <c r="B43" t="str">
        <f t="shared" si="0"/>
        <v>M</v>
      </c>
      <c r="C43">
        <v>23</v>
      </c>
      <c r="D43">
        <f t="shared" si="1"/>
        <v>23</v>
      </c>
      <c r="E43">
        <f t="shared" si="2"/>
        <v>23</v>
      </c>
      <c r="F43" t="str">
        <f t="shared" si="3"/>
        <v>1-25</v>
      </c>
      <c r="G43">
        <v>0</v>
      </c>
      <c r="H43" t="str">
        <f t="shared" si="4"/>
        <v>Pariente normal</v>
      </c>
      <c r="I43">
        <v>0</v>
      </c>
      <c r="J43" t="str">
        <f t="shared" si="5"/>
        <v>Saludables</v>
      </c>
      <c r="K43">
        <v>2</v>
      </c>
      <c r="L43">
        <f t="shared" si="6"/>
        <v>1</v>
      </c>
      <c r="M43" t="str">
        <f t="shared" si="7"/>
        <v>Suele comer</v>
      </c>
      <c r="N43">
        <v>4</v>
      </c>
      <c r="O43">
        <f t="shared" si="8"/>
        <v>2</v>
      </c>
      <c r="P43" t="str">
        <f t="shared" si="9"/>
        <v>Mas de 3</v>
      </c>
      <c r="Q43">
        <v>2</v>
      </c>
      <c r="R43" t="str">
        <f t="shared" si="10"/>
        <v>Usualmente</v>
      </c>
      <c r="S43">
        <v>0</v>
      </c>
      <c r="T43" t="str">
        <f t="shared" si="11"/>
        <v>No fuma</v>
      </c>
      <c r="U43">
        <v>2</v>
      </c>
      <c r="V43">
        <f t="shared" si="12"/>
        <v>2</v>
      </c>
      <c r="W43" t="str">
        <f t="shared" si="13"/>
        <v>Siempre</v>
      </c>
      <c r="X43">
        <v>0</v>
      </c>
      <c r="Y43" t="str">
        <f t="shared" si="14"/>
        <v>No controla</v>
      </c>
      <c r="Z43">
        <v>0</v>
      </c>
      <c r="AA43">
        <f t="shared" si="15"/>
        <v>0</v>
      </c>
      <c r="AB43" t="str">
        <f t="shared" si="16"/>
        <v>Nunca</v>
      </c>
      <c r="AC43">
        <v>0</v>
      </c>
      <c r="AD43">
        <f t="shared" si="17"/>
        <v>0</v>
      </c>
      <c r="AE43" t="str">
        <f t="shared" si="18"/>
        <v>Nunca</v>
      </c>
      <c r="AF43">
        <v>0</v>
      </c>
      <c r="AG43" t="str">
        <f t="shared" si="19"/>
        <v>Nunca</v>
      </c>
      <c r="AH43">
        <v>0</v>
      </c>
      <c r="AI43" t="str">
        <f t="shared" si="20"/>
        <v>No usa</v>
      </c>
      <c r="AJ43">
        <v>0</v>
      </c>
      <c r="AK43" t="str">
        <f t="shared" si="21"/>
        <v>No usa</v>
      </c>
      <c r="AL43">
        <v>0</v>
      </c>
      <c r="AM43" t="str">
        <f t="shared" si="22"/>
        <v>No usa</v>
      </c>
      <c r="AN43">
        <v>0</v>
      </c>
      <c r="AO43" t="str">
        <f t="shared" si="23"/>
        <v>No usa</v>
      </c>
      <c r="AP43">
        <v>1</v>
      </c>
      <c r="AQ43" t="str">
        <f t="shared" si="24"/>
        <v>Camina</v>
      </c>
      <c r="AR43">
        <v>0</v>
      </c>
      <c r="AS43" t="str">
        <f t="shared" si="25"/>
        <v>No es obeso</v>
      </c>
    </row>
    <row r="44" spans="1:45" x14ac:dyDescent="0.25">
      <c r="A44">
        <v>0</v>
      </c>
      <c r="B44" t="str">
        <f t="shared" si="0"/>
        <v>F</v>
      </c>
      <c r="C44">
        <v>21</v>
      </c>
      <c r="D44">
        <f t="shared" si="1"/>
        <v>21</v>
      </c>
      <c r="E44">
        <f t="shared" si="2"/>
        <v>21</v>
      </c>
      <c r="F44" t="str">
        <f t="shared" si="3"/>
        <v>1-25</v>
      </c>
      <c r="G44">
        <v>1</v>
      </c>
      <c r="H44" t="str">
        <f t="shared" si="4"/>
        <v>Pariente gordo</v>
      </c>
      <c r="I44">
        <v>1</v>
      </c>
      <c r="J44" t="str">
        <f t="shared" si="5"/>
        <v>Hipercaloricos</v>
      </c>
      <c r="K44">
        <v>1</v>
      </c>
      <c r="L44">
        <f t="shared" si="6"/>
        <v>1</v>
      </c>
      <c r="M44" t="str">
        <f t="shared" si="7"/>
        <v>Suele comer</v>
      </c>
      <c r="N44">
        <v>3</v>
      </c>
      <c r="O44">
        <f t="shared" si="8"/>
        <v>2</v>
      </c>
      <c r="P44" t="str">
        <f t="shared" si="9"/>
        <v>Mas de 3</v>
      </c>
      <c r="Q44">
        <v>1</v>
      </c>
      <c r="R44" t="str">
        <f t="shared" si="10"/>
        <v>A veces</v>
      </c>
      <c r="S44">
        <v>0</v>
      </c>
      <c r="T44" t="str">
        <f t="shared" si="11"/>
        <v>No fuma</v>
      </c>
      <c r="U44">
        <v>1</v>
      </c>
      <c r="V44">
        <f t="shared" si="12"/>
        <v>1</v>
      </c>
      <c r="W44" t="str">
        <f t="shared" si="13"/>
        <v>Usualmente</v>
      </c>
      <c r="X44">
        <v>0</v>
      </c>
      <c r="Y44" t="str">
        <f t="shared" si="14"/>
        <v>No controla</v>
      </c>
      <c r="Z44">
        <v>0</v>
      </c>
      <c r="AA44">
        <f t="shared" si="15"/>
        <v>0</v>
      </c>
      <c r="AB44" t="str">
        <f t="shared" si="16"/>
        <v>Nunca</v>
      </c>
      <c r="AC44">
        <v>0</v>
      </c>
      <c r="AD44">
        <f t="shared" si="17"/>
        <v>0</v>
      </c>
      <c r="AE44" t="str">
        <f t="shared" si="18"/>
        <v>Nunca</v>
      </c>
      <c r="AF44">
        <v>0</v>
      </c>
      <c r="AG44" t="str">
        <f t="shared" si="19"/>
        <v>Nunca</v>
      </c>
      <c r="AH44">
        <v>0</v>
      </c>
      <c r="AI44" t="str">
        <f t="shared" si="20"/>
        <v>No usa</v>
      </c>
      <c r="AJ44">
        <v>0</v>
      </c>
      <c r="AK44" t="str">
        <f t="shared" si="21"/>
        <v>No usa</v>
      </c>
      <c r="AL44">
        <v>0</v>
      </c>
      <c r="AM44" t="str">
        <f t="shared" si="22"/>
        <v>No usa</v>
      </c>
      <c r="AN44">
        <v>1</v>
      </c>
      <c r="AO44" t="str">
        <f t="shared" si="23"/>
        <v>Usa Transporte</v>
      </c>
      <c r="AP44">
        <v>0</v>
      </c>
      <c r="AQ44" t="str">
        <f t="shared" si="24"/>
        <v>No camina</v>
      </c>
      <c r="AR44">
        <v>0</v>
      </c>
      <c r="AS44" t="str">
        <f t="shared" si="25"/>
        <v>No es obeso</v>
      </c>
    </row>
    <row r="45" spans="1:45" x14ac:dyDescent="0.25">
      <c r="A45">
        <v>1</v>
      </c>
      <c r="B45" t="str">
        <f t="shared" si="0"/>
        <v>M</v>
      </c>
      <c r="C45">
        <v>21</v>
      </c>
      <c r="D45">
        <f t="shared" si="1"/>
        <v>21</v>
      </c>
      <c r="E45">
        <f t="shared" si="2"/>
        <v>21</v>
      </c>
      <c r="F45" t="str">
        <f t="shared" si="3"/>
        <v>1-25</v>
      </c>
      <c r="G45">
        <v>1</v>
      </c>
      <c r="H45" t="str">
        <f t="shared" si="4"/>
        <v>Pariente gordo</v>
      </c>
      <c r="I45">
        <v>1</v>
      </c>
      <c r="J45" t="str">
        <f t="shared" si="5"/>
        <v>Hipercaloricos</v>
      </c>
      <c r="K45">
        <v>2</v>
      </c>
      <c r="L45">
        <f t="shared" si="6"/>
        <v>1</v>
      </c>
      <c r="M45" t="str">
        <f t="shared" si="7"/>
        <v>Suele comer</v>
      </c>
      <c r="N45">
        <v>3</v>
      </c>
      <c r="O45">
        <f t="shared" si="8"/>
        <v>2</v>
      </c>
      <c r="P45" t="str">
        <f t="shared" si="9"/>
        <v>Mas de 3</v>
      </c>
      <c r="Q45">
        <v>1</v>
      </c>
      <c r="R45" t="str">
        <f t="shared" si="10"/>
        <v>A veces</v>
      </c>
      <c r="S45">
        <v>1</v>
      </c>
      <c r="T45" t="str">
        <f t="shared" si="11"/>
        <v>Fuma</v>
      </c>
      <c r="U45">
        <v>2</v>
      </c>
      <c r="V45">
        <f t="shared" si="12"/>
        <v>2</v>
      </c>
      <c r="W45" t="str">
        <f t="shared" si="13"/>
        <v>Siempre</v>
      </c>
      <c r="X45">
        <v>0</v>
      </c>
      <c r="Y45" t="str">
        <f t="shared" si="14"/>
        <v>No controla</v>
      </c>
      <c r="Z45">
        <v>1</v>
      </c>
      <c r="AA45">
        <f t="shared" si="15"/>
        <v>1</v>
      </c>
      <c r="AB45" t="str">
        <f t="shared" si="16"/>
        <v>A veces</v>
      </c>
      <c r="AC45">
        <v>1</v>
      </c>
      <c r="AD45">
        <f t="shared" si="17"/>
        <v>1</v>
      </c>
      <c r="AE45" t="str">
        <f t="shared" si="18"/>
        <v>Usualmente</v>
      </c>
      <c r="AF45">
        <v>2</v>
      </c>
      <c r="AG45" t="str">
        <f t="shared" si="19"/>
        <v>Usualmente</v>
      </c>
      <c r="AH45">
        <v>0</v>
      </c>
      <c r="AI45" t="str">
        <f t="shared" si="20"/>
        <v>No usa</v>
      </c>
      <c r="AJ45">
        <v>0</v>
      </c>
      <c r="AK45" t="str">
        <f t="shared" si="21"/>
        <v>No usa</v>
      </c>
      <c r="AL45">
        <v>0</v>
      </c>
      <c r="AM45" t="str">
        <f t="shared" si="22"/>
        <v>No usa</v>
      </c>
      <c r="AN45">
        <v>1</v>
      </c>
      <c r="AO45" t="str">
        <f t="shared" si="23"/>
        <v>Usa Transporte</v>
      </c>
      <c r="AP45">
        <v>0</v>
      </c>
      <c r="AQ45" t="str">
        <f t="shared" si="24"/>
        <v>No camina</v>
      </c>
      <c r="AR45">
        <v>0</v>
      </c>
      <c r="AS45" t="str">
        <f t="shared" si="25"/>
        <v>No es obeso</v>
      </c>
    </row>
    <row r="46" spans="1:45" x14ac:dyDescent="0.25">
      <c r="A46">
        <v>1</v>
      </c>
      <c r="B46" t="str">
        <f t="shared" si="0"/>
        <v>M</v>
      </c>
      <c r="C46">
        <v>21</v>
      </c>
      <c r="D46">
        <f t="shared" si="1"/>
        <v>21</v>
      </c>
      <c r="E46">
        <f t="shared" si="2"/>
        <v>21</v>
      </c>
      <c r="F46" t="str">
        <f t="shared" si="3"/>
        <v>1-25</v>
      </c>
      <c r="G46">
        <v>0</v>
      </c>
      <c r="H46" t="str">
        <f t="shared" si="4"/>
        <v>Pariente normal</v>
      </c>
      <c r="I46">
        <v>0</v>
      </c>
      <c r="J46" t="str">
        <f t="shared" si="5"/>
        <v>Saludables</v>
      </c>
      <c r="K46">
        <v>1</v>
      </c>
      <c r="L46">
        <f t="shared" si="6"/>
        <v>1</v>
      </c>
      <c r="M46" t="str">
        <f t="shared" si="7"/>
        <v>Suele comer</v>
      </c>
      <c r="N46">
        <v>3</v>
      </c>
      <c r="O46">
        <f t="shared" si="8"/>
        <v>2</v>
      </c>
      <c r="P46" t="str">
        <f t="shared" si="9"/>
        <v>Mas de 3</v>
      </c>
      <c r="Q46">
        <v>0</v>
      </c>
      <c r="R46" t="str">
        <f t="shared" si="10"/>
        <v>Nunca</v>
      </c>
      <c r="S46">
        <v>0</v>
      </c>
      <c r="T46" t="str">
        <f t="shared" si="11"/>
        <v>No fuma</v>
      </c>
      <c r="U46">
        <v>2</v>
      </c>
      <c r="V46">
        <f t="shared" si="12"/>
        <v>2</v>
      </c>
      <c r="W46" t="str">
        <f t="shared" si="13"/>
        <v>Siempre</v>
      </c>
      <c r="X46">
        <v>0</v>
      </c>
      <c r="Y46" t="str">
        <f t="shared" si="14"/>
        <v>No controla</v>
      </c>
      <c r="Z46">
        <v>2</v>
      </c>
      <c r="AA46">
        <f t="shared" si="15"/>
        <v>2</v>
      </c>
      <c r="AB46" t="str">
        <f t="shared" si="16"/>
        <v>Usualmente</v>
      </c>
      <c r="AC46">
        <v>0</v>
      </c>
      <c r="AD46">
        <f t="shared" si="17"/>
        <v>0</v>
      </c>
      <c r="AE46" t="str">
        <f t="shared" si="18"/>
        <v>Nunca</v>
      </c>
      <c r="AF46">
        <v>0</v>
      </c>
      <c r="AG46" t="str">
        <f t="shared" si="19"/>
        <v>Nunca</v>
      </c>
      <c r="AH46">
        <v>0</v>
      </c>
      <c r="AI46" t="str">
        <f t="shared" si="20"/>
        <v>No usa</v>
      </c>
      <c r="AJ46">
        <v>0</v>
      </c>
      <c r="AK46" t="str">
        <f t="shared" si="21"/>
        <v>No usa</v>
      </c>
      <c r="AL46">
        <v>0</v>
      </c>
      <c r="AM46" t="str">
        <f t="shared" si="22"/>
        <v>No usa</v>
      </c>
      <c r="AN46">
        <v>1</v>
      </c>
      <c r="AO46" t="str">
        <f t="shared" si="23"/>
        <v>Usa Transporte</v>
      </c>
      <c r="AP46">
        <v>0</v>
      </c>
      <c r="AQ46" t="str">
        <f t="shared" si="24"/>
        <v>No camina</v>
      </c>
      <c r="AR46">
        <v>0</v>
      </c>
      <c r="AS46" t="str">
        <f t="shared" si="25"/>
        <v>No es obeso</v>
      </c>
    </row>
    <row r="47" spans="1:45" x14ac:dyDescent="0.25">
      <c r="A47">
        <v>0</v>
      </c>
      <c r="B47" t="str">
        <f t="shared" si="0"/>
        <v>F</v>
      </c>
      <c r="C47">
        <v>21</v>
      </c>
      <c r="D47">
        <f t="shared" si="1"/>
        <v>21</v>
      </c>
      <c r="E47">
        <f t="shared" si="2"/>
        <v>21</v>
      </c>
      <c r="F47" t="str">
        <f t="shared" si="3"/>
        <v>1-25</v>
      </c>
      <c r="G47">
        <v>1</v>
      </c>
      <c r="H47" t="str">
        <f t="shared" si="4"/>
        <v>Pariente gordo</v>
      </c>
      <c r="I47">
        <v>0</v>
      </c>
      <c r="J47" t="str">
        <f t="shared" si="5"/>
        <v>Saludables</v>
      </c>
      <c r="K47">
        <v>2</v>
      </c>
      <c r="L47">
        <f t="shared" si="6"/>
        <v>1</v>
      </c>
      <c r="M47" t="str">
        <f t="shared" si="7"/>
        <v>Suele comer</v>
      </c>
      <c r="N47">
        <v>3</v>
      </c>
      <c r="O47">
        <f t="shared" si="8"/>
        <v>2</v>
      </c>
      <c r="P47" t="str">
        <f t="shared" si="9"/>
        <v>Mas de 3</v>
      </c>
      <c r="Q47">
        <v>1</v>
      </c>
      <c r="R47" t="str">
        <f t="shared" si="10"/>
        <v>A veces</v>
      </c>
      <c r="S47">
        <v>0</v>
      </c>
      <c r="T47" t="str">
        <f t="shared" si="11"/>
        <v>No fuma</v>
      </c>
      <c r="U47">
        <v>1</v>
      </c>
      <c r="V47">
        <f t="shared" si="12"/>
        <v>1</v>
      </c>
      <c r="W47" t="str">
        <f t="shared" si="13"/>
        <v>Usualmente</v>
      </c>
      <c r="X47">
        <v>0</v>
      </c>
      <c r="Y47" t="str">
        <f t="shared" si="14"/>
        <v>No controla</v>
      </c>
      <c r="Z47">
        <v>0</v>
      </c>
      <c r="AA47">
        <f t="shared" si="15"/>
        <v>0</v>
      </c>
      <c r="AB47" t="str">
        <f t="shared" si="16"/>
        <v>Nunca</v>
      </c>
      <c r="AC47">
        <v>1</v>
      </c>
      <c r="AD47">
        <f t="shared" si="17"/>
        <v>1</v>
      </c>
      <c r="AE47" t="str">
        <f t="shared" si="18"/>
        <v>Usualmente</v>
      </c>
      <c r="AF47">
        <v>0</v>
      </c>
      <c r="AG47" t="str">
        <f t="shared" si="19"/>
        <v>Nunca</v>
      </c>
      <c r="AH47">
        <v>0</v>
      </c>
      <c r="AI47" t="str">
        <f t="shared" si="20"/>
        <v>No usa</v>
      </c>
      <c r="AJ47">
        <v>0</v>
      </c>
      <c r="AK47" t="str">
        <f t="shared" si="21"/>
        <v>No usa</v>
      </c>
      <c r="AL47">
        <v>0</v>
      </c>
      <c r="AM47" t="str">
        <f t="shared" si="22"/>
        <v>No usa</v>
      </c>
      <c r="AN47">
        <v>1</v>
      </c>
      <c r="AO47" t="str">
        <f t="shared" si="23"/>
        <v>Usa Transporte</v>
      </c>
      <c r="AP47">
        <v>0</v>
      </c>
      <c r="AQ47" t="str">
        <f t="shared" si="24"/>
        <v>No camina</v>
      </c>
      <c r="AR47">
        <v>0</v>
      </c>
      <c r="AS47" t="str">
        <f t="shared" si="25"/>
        <v>No es obeso</v>
      </c>
    </row>
    <row r="48" spans="1:45" x14ac:dyDescent="0.25">
      <c r="A48">
        <v>1</v>
      </c>
      <c r="B48" t="str">
        <f t="shared" si="0"/>
        <v>M</v>
      </c>
      <c r="C48">
        <v>21</v>
      </c>
      <c r="D48">
        <f t="shared" si="1"/>
        <v>21</v>
      </c>
      <c r="E48">
        <f t="shared" si="2"/>
        <v>21</v>
      </c>
      <c r="F48" t="str">
        <f t="shared" si="3"/>
        <v>1-25</v>
      </c>
      <c r="G48">
        <v>1</v>
      </c>
      <c r="H48" t="str">
        <f t="shared" si="4"/>
        <v>Pariente gordo</v>
      </c>
      <c r="I48">
        <v>1</v>
      </c>
      <c r="J48" t="str">
        <f t="shared" si="5"/>
        <v>Hipercaloricos</v>
      </c>
      <c r="K48">
        <v>1</v>
      </c>
      <c r="L48">
        <f t="shared" si="6"/>
        <v>1</v>
      </c>
      <c r="M48" t="str">
        <f t="shared" si="7"/>
        <v>Suele comer</v>
      </c>
      <c r="N48">
        <v>3</v>
      </c>
      <c r="O48">
        <f t="shared" si="8"/>
        <v>2</v>
      </c>
      <c r="P48" t="str">
        <f t="shared" si="9"/>
        <v>Mas de 3</v>
      </c>
      <c r="Q48">
        <v>2</v>
      </c>
      <c r="R48" t="str">
        <f t="shared" si="10"/>
        <v>Usualmente</v>
      </c>
      <c r="S48">
        <v>0</v>
      </c>
      <c r="T48" t="str">
        <f t="shared" si="11"/>
        <v>No fuma</v>
      </c>
      <c r="U48">
        <v>3</v>
      </c>
      <c r="V48">
        <f t="shared" si="12"/>
        <v>2</v>
      </c>
      <c r="W48" t="str">
        <f t="shared" si="13"/>
        <v>Siempre</v>
      </c>
      <c r="X48">
        <v>0</v>
      </c>
      <c r="Y48" t="str">
        <f t="shared" si="14"/>
        <v>No controla</v>
      </c>
      <c r="Z48">
        <v>2</v>
      </c>
      <c r="AA48">
        <f t="shared" si="15"/>
        <v>2</v>
      </c>
      <c r="AB48" t="str">
        <f t="shared" si="16"/>
        <v>Usualmente</v>
      </c>
      <c r="AC48">
        <v>0</v>
      </c>
      <c r="AD48">
        <f t="shared" si="17"/>
        <v>0</v>
      </c>
      <c r="AE48" t="str">
        <f t="shared" si="18"/>
        <v>Nunca</v>
      </c>
      <c r="AF48">
        <v>1</v>
      </c>
      <c r="AG48" t="str">
        <f t="shared" si="19"/>
        <v>A veces</v>
      </c>
      <c r="AH48">
        <v>0</v>
      </c>
      <c r="AI48" t="str">
        <f t="shared" si="20"/>
        <v>No usa</v>
      </c>
      <c r="AJ48">
        <v>0</v>
      </c>
      <c r="AK48" t="str">
        <f t="shared" si="21"/>
        <v>No usa</v>
      </c>
      <c r="AL48">
        <v>0</v>
      </c>
      <c r="AM48" t="str">
        <f t="shared" si="22"/>
        <v>No usa</v>
      </c>
      <c r="AN48">
        <v>1</v>
      </c>
      <c r="AO48" t="str">
        <f t="shared" si="23"/>
        <v>Usa Transporte</v>
      </c>
      <c r="AP48">
        <v>0</v>
      </c>
      <c r="AQ48" t="str">
        <f t="shared" si="24"/>
        <v>No camina</v>
      </c>
      <c r="AR48">
        <v>0</v>
      </c>
      <c r="AS48" t="str">
        <f t="shared" si="25"/>
        <v>No es obeso</v>
      </c>
    </row>
    <row r="49" spans="1:45" x14ac:dyDescent="0.25">
      <c r="A49">
        <v>1</v>
      </c>
      <c r="B49" t="str">
        <f t="shared" si="0"/>
        <v>M</v>
      </c>
      <c r="C49">
        <v>21</v>
      </c>
      <c r="D49">
        <f t="shared" si="1"/>
        <v>21</v>
      </c>
      <c r="E49">
        <f t="shared" si="2"/>
        <v>21</v>
      </c>
      <c r="F49" t="str">
        <f t="shared" si="3"/>
        <v>1-25</v>
      </c>
      <c r="G49">
        <v>1</v>
      </c>
      <c r="H49" t="str">
        <f t="shared" si="4"/>
        <v>Pariente gordo</v>
      </c>
      <c r="I49">
        <v>1</v>
      </c>
      <c r="J49" t="str">
        <f t="shared" si="5"/>
        <v>Hipercaloricos</v>
      </c>
      <c r="K49">
        <v>1</v>
      </c>
      <c r="L49">
        <f t="shared" si="6"/>
        <v>1</v>
      </c>
      <c r="M49" t="str">
        <f t="shared" si="7"/>
        <v>Suele comer</v>
      </c>
      <c r="N49">
        <v>3</v>
      </c>
      <c r="O49">
        <f t="shared" si="8"/>
        <v>2</v>
      </c>
      <c r="P49" t="str">
        <f t="shared" si="9"/>
        <v>Mas de 3</v>
      </c>
      <c r="Q49">
        <v>2</v>
      </c>
      <c r="R49" t="str">
        <f t="shared" si="10"/>
        <v>Usualmente</v>
      </c>
      <c r="S49">
        <v>0</v>
      </c>
      <c r="T49" t="str">
        <f t="shared" si="11"/>
        <v>No fuma</v>
      </c>
      <c r="U49">
        <v>3</v>
      </c>
      <c r="V49">
        <f t="shared" si="12"/>
        <v>2</v>
      </c>
      <c r="W49" t="str">
        <f t="shared" si="13"/>
        <v>Siempre</v>
      </c>
      <c r="X49">
        <v>0</v>
      </c>
      <c r="Y49" t="str">
        <f t="shared" si="14"/>
        <v>No controla</v>
      </c>
      <c r="Z49">
        <v>2</v>
      </c>
      <c r="AA49">
        <f t="shared" si="15"/>
        <v>2</v>
      </c>
      <c r="AB49" t="str">
        <f t="shared" si="16"/>
        <v>Usualmente</v>
      </c>
      <c r="AC49">
        <v>0</v>
      </c>
      <c r="AD49">
        <f t="shared" si="17"/>
        <v>0</v>
      </c>
      <c r="AE49" t="str">
        <f t="shared" si="18"/>
        <v>Nunca</v>
      </c>
      <c r="AF49">
        <v>1</v>
      </c>
      <c r="AG49" t="str">
        <f t="shared" si="19"/>
        <v>A veces</v>
      </c>
      <c r="AH49">
        <v>0</v>
      </c>
      <c r="AI49" t="str">
        <f t="shared" si="20"/>
        <v>No usa</v>
      </c>
      <c r="AJ49">
        <v>0</v>
      </c>
      <c r="AK49" t="str">
        <f t="shared" si="21"/>
        <v>No usa</v>
      </c>
      <c r="AL49">
        <v>0</v>
      </c>
      <c r="AM49" t="str">
        <f t="shared" si="22"/>
        <v>No usa</v>
      </c>
      <c r="AN49">
        <v>1</v>
      </c>
      <c r="AO49" t="str">
        <f t="shared" si="23"/>
        <v>Usa Transporte</v>
      </c>
      <c r="AP49">
        <v>0</v>
      </c>
      <c r="AQ49" t="str">
        <f t="shared" si="24"/>
        <v>No camina</v>
      </c>
      <c r="AR49">
        <v>0</v>
      </c>
      <c r="AS49" t="str">
        <f t="shared" si="25"/>
        <v>No es obeso</v>
      </c>
    </row>
    <row r="50" spans="1:45" x14ac:dyDescent="0.25">
      <c r="A50">
        <v>0</v>
      </c>
      <c r="B50" t="str">
        <f t="shared" si="0"/>
        <v>F</v>
      </c>
      <c r="C50">
        <v>20</v>
      </c>
      <c r="D50">
        <f t="shared" si="1"/>
        <v>20</v>
      </c>
      <c r="E50">
        <f t="shared" si="2"/>
        <v>20</v>
      </c>
      <c r="F50" t="str">
        <f t="shared" si="3"/>
        <v>1-25</v>
      </c>
      <c r="G50">
        <v>1</v>
      </c>
      <c r="H50" t="str">
        <f t="shared" si="4"/>
        <v>Pariente gordo</v>
      </c>
      <c r="I50">
        <v>0</v>
      </c>
      <c r="J50" t="str">
        <f t="shared" si="5"/>
        <v>Saludables</v>
      </c>
      <c r="K50">
        <v>3</v>
      </c>
      <c r="L50">
        <f t="shared" si="6"/>
        <v>1</v>
      </c>
      <c r="M50" t="str">
        <f t="shared" si="7"/>
        <v>Suele comer</v>
      </c>
      <c r="N50">
        <v>3</v>
      </c>
      <c r="O50">
        <f t="shared" si="8"/>
        <v>2</v>
      </c>
      <c r="P50" t="str">
        <f t="shared" si="9"/>
        <v>Mas de 3</v>
      </c>
      <c r="Q50">
        <v>1</v>
      </c>
      <c r="R50" t="str">
        <f t="shared" si="10"/>
        <v>A veces</v>
      </c>
      <c r="S50">
        <v>0</v>
      </c>
      <c r="T50" t="str">
        <f t="shared" si="11"/>
        <v>No fuma</v>
      </c>
      <c r="U50">
        <v>2</v>
      </c>
      <c r="V50">
        <f t="shared" si="12"/>
        <v>2</v>
      </c>
      <c r="W50" t="str">
        <f t="shared" si="13"/>
        <v>Siempre</v>
      </c>
      <c r="X50">
        <v>0</v>
      </c>
      <c r="Y50" t="str">
        <f t="shared" si="14"/>
        <v>No controla</v>
      </c>
      <c r="Z50">
        <v>1</v>
      </c>
      <c r="AA50">
        <f t="shared" si="15"/>
        <v>1</v>
      </c>
      <c r="AB50" t="str">
        <f t="shared" si="16"/>
        <v>A veces</v>
      </c>
      <c r="AC50">
        <v>0</v>
      </c>
      <c r="AD50">
        <f t="shared" si="17"/>
        <v>0</v>
      </c>
      <c r="AE50" t="str">
        <f t="shared" si="18"/>
        <v>Nunca</v>
      </c>
      <c r="AF50">
        <v>1</v>
      </c>
      <c r="AG50" t="str">
        <f t="shared" si="19"/>
        <v>A veces</v>
      </c>
      <c r="AH50">
        <v>0</v>
      </c>
      <c r="AI50" t="str">
        <f t="shared" si="20"/>
        <v>No usa</v>
      </c>
      <c r="AJ50">
        <v>0</v>
      </c>
      <c r="AK50" t="str">
        <f t="shared" si="21"/>
        <v>No usa</v>
      </c>
      <c r="AL50">
        <v>0</v>
      </c>
      <c r="AM50" t="str">
        <f t="shared" si="22"/>
        <v>No usa</v>
      </c>
      <c r="AN50">
        <v>0</v>
      </c>
      <c r="AO50" t="str">
        <f t="shared" si="23"/>
        <v>No usa</v>
      </c>
      <c r="AP50">
        <v>1</v>
      </c>
      <c r="AQ50" t="str">
        <f t="shared" si="24"/>
        <v>Camina</v>
      </c>
      <c r="AR50">
        <v>0</v>
      </c>
      <c r="AS50" t="str">
        <f t="shared" si="25"/>
        <v>No es obeso</v>
      </c>
    </row>
    <row r="51" spans="1:45" x14ac:dyDescent="0.25">
      <c r="A51">
        <v>0</v>
      </c>
      <c r="B51" t="str">
        <f t="shared" si="0"/>
        <v>F</v>
      </c>
      <c r="C51">
        <v>21</v>
      </c>
      <c r="D51">
        <f t="shared" si="1"/>
        <v>21</v>
      </c>
      <c r="E51">
        <f t="shared" si="2"/>
        <v>21</v>
      </c>
      <c r="F51" t="str">
        <f t="shared" si="3"/>
        <v>1-25</v>
      </c>
      <c r="G51">
        <v>0</v>
      </c>
      <c r="H51" t="str">
        <f t="shared" si="4"/>
        <v>Pariente normal</v>
      </c>
      <c r="I51">
        <v>1</v>
      </c>
      <c r="J51" t="str">
        <f t="shared" si="5"/>
        <v>Hipercaloricos</v>
      </c>
      <c r="K51">
        <v>2</v>
      </c>
      <c r="L51">
        <f t="shared" si="6"/>
        <v>1</v>
      </c>
      <c r="M51" t="str">
        <f t="shared" si="7"/>
        <v>Suele comer</v>
      </c>
      <c r="N51">
        <v>3</v>
      </c>
      <c r="O51">
        <f t="shared" si="8"/>
        <v>2</v>
      </c>
      <c r="P51" t="str">
        <f t="shared" si="9"/>
        <v>Mas de 3</v>
      </c>
      <c r="Q51">
        <v>1</v>
      </c>
      <c r="R51" t="str">
        <f t="shared" si="10"/>
        <v>A veces</v>
      </c>
      <c r="S51">
        <v>0</v>
      </c>
      <c r="T51" t="str">
        <f t="shared" si="11"/>
        <v>No fuma</v>
      </c>
      <c r="U51">
        <v>2</v>
      </c>
      <c r="V51">
        <f t="shared" si="12"/>
        <v>2</v>
      </c>
      <c r="W51" t="str">
        <f t="shared" si="13"/>
        <v>Siempre</v>
      </c>
      <c r="X51">
        <v>0</v>
      </c>
      <c r="Y51" t="str">
        <f t="shared" si="14"/>
        <v>No controla</v>
      </c>
      <c r="Z51">
        <v>0</v>
      </c>
      <c r="AA51">
        <f t="shared" si="15"/>
        <v>0</v>
      </c>
      <c r="AB51" t="str">
        <f t="shared" si="16"/>
        <v>Nunca</v>
      </c>
      <c r="AC51">
        <v>0</v>
      </c>
      <c r="AD51">
        <f t="shared" si="17"/>
        <v>0</v>
      </c>
      <c r="AE51" t="str">
        <f t="shared" si="18"/>
        <v>Nunca</v>
      </c>
      <c r="AF51">
        <v>1</v>
      </c>
      <c r="AG51" t="str">
        <f t="shared" si="19"/>
        <v>A veces</v>
      </c>
      <c r="AH51">
        <v>0</v>
      </c>
      <c r="AI51" t="str">
        <f t="shared" si="20"/>
        <v>No usa</v>
      </c>
      <c r="AJ51">
        <v>0</v>
      </c>
      <c r="AK51" t="str">
        <f t="shared" si="21"/>
        <v>No usa</v>
      </c>
      <c r="AL51">
        <v>0</v>
      </c>
      <c r="AM51" t="str">
        <f t="shared" si="22"/>
        <v>No usa</v>
      </c>
      <c r="AN51">
        <v>1</v>
      </c>
      <c r="AO51" t="str">
        <f t="shared" si="23"/>
        <v>Usa Transporte</v>
      </c>
      <c r="AP51">
        <v>0</v>
      </c>
      <c r="AQ51" t="str">
        <f t="shared" si="24"/>
        <v>No camina</v>
      </c>
      <c r="AR51">
        <v>0</v>
      </c>
      <c r="AS51" t="str">
        <f t="shared" si="25"/>
        <v>No es obeso</v>
      </c>
    </row>
    <row r="52" spans="1:45" x14ac:dyDescent="0.25">
      <c r="A52">
        <v>0</v>
      </c>
      <c r="B52" t="str">
        <f t="shared" si="0"/>
        <v>F</v>
      </c>
      <c r="C52">
        <v>21</v>
      </c>
      <c r="D52">
        <f t="shared" si="1"/>
        <v>21</v>
      </c>
      <c r="E52">
        <f t="shared" si="2"/>
        <v>21</v>
      </c>
      <c r="F52" t="str">
        <f t="shared" si="3"/>
        <v>1-25</v>
      </c>
      <c r="G52">
        <v>1</v>
      </c>
      <c r="H52" t="str">
        <f t="shared" si="4"/>
        <v>Pariente gordo</v>
      </c>
      <c r="I52">
        <v>1</v>
      </c>
      <c r="J52" t="str">
        <f t="shared" si="5"/>
        <v>Hipercaloricos</v>
      </c>
      <c r="K52">
        <v>3</v>
      </c>
      <c r="L52">
        <f t="shared" si="6"/>
        <v>1</v>
      </c>
      <c r="M52" t="str">
        <f t="shared" si="7"/>
        <v>Suele comer</v>
      </c>
      <c r="N52">
        <v>3</v>
      </c>
      <c r="O52">
        <f t="shared" si="8"/>
        <v>2</v>
      </c>
      <c r="P52" t="str">
        <f t="shared" si="9"/>
        <v>Mas de 3</v>
      </c>
      <c r="Q52">
        <v>1</v>
      </c>
      <c r="R52" t="str">
        <f t="shared" si="10"/>
        <v>A veces</v>
      </c>
      <c r="S52">
        <v>0</v>
      </c>
      <c r="T52" t="str">
        <f t="shared" si="11"/>
        <v>No fuma</v>
      </c>
      <c r="U52">
        <v>3</v>
      </c>
      <c r="V52">
        <f t="shared" si="12"/>
        <v>2</v>
      </c>
      <c r="W52" t="str">
        <f t="shared" si="13"/>
        <v>Siempre</v>
      </c>
      <c r="X52">
        <v>0</v>
      </c>
      <c r="Y52" t="str">
        <f t="shared" si="14"/>
        <v>No controla</v>
      </c>
      <c r="Z52">
        <v>0</v>
      </c>
      <c r="AA52">
        <f t="shared" si="15"/>
        <v>0</v>
      </c>
      <c r="AB52" t="str">
        <f t="shared" si="16"/>
        <v>Nunca</v>
      </c>
      <c r="AC52">
        <v>1</v>
      </c>
      <c r="AD52">
        <f t="shared" si="17"/>
        <v>1</v>
      </c>
      <c r="AE52" t="str">
        <f t="shared" si="18"/>
        <v>Usualmente</v>
      </c>
      <c r="AF52">
        <v>1</v>
      </c>
      <c r="AG52" t="str">
        <f t="shared" si="19"/>
        <v>A veces</v>
      </c>
      <c r="AH52">
        <v>0</v>
      </c>
      <c r="AI52" t="str">
        <f t="shared" si="20"/>
        <v>No usa</v>
      </c>
      <c r="AJ52">
        <v>0</v>
      </c>
      <c r="AK52" t="str">
        <f t="shared" si="21"/>
        <v>No usa</v>
      </c>
      <c r="AL52">
        <v>0</v>
      </c>
      <c r="AM52" t="str">
        <f t="shared" si="22"/>
        <v>No usa</v>
      </c>
      <c r="AN52">
        <v>0</v>
      </c>
      <c r="AO52" t="str">
        <f t="shared" si="23"/>
        <v>No usa</v>
      </c>
      <c r="AP52">
        <v>1</v>
      </c>
      <c r="AQ52" t="str">
        <f t="shared" si="24"/>
        <v>Camina</v>
      </c>
      <c r="AR52">
        <v>0</v>
      </c>
      <c r="AS52" t="str">
        <f t="shared" si="25"/>
        <v>No es obeso</v>
      </c>
    </row>
    <row r="53" spans="1:45" x14ac:dyDescent="0.25">
      <c r="A53">
        <v>0</v>
      </c>
      <c r="B53" t="str">
        <f t="shared" si="0"/>
        <v>F</v>
      </c>
      <c r="C53">
        <v>20</v>
      </c>
      <c r="D53">
        <f t="shared" si="1"/>
        <v>20</v>
      </c>
      <c r="E53">
        <f t="shared" si="2"/>
        <v>20</v>
      </c>
      <c r="F53" t="str">
        <f t="shared" si="3"/>
        <v>1-25</v>
      </c>
      <c r="G53">
        <v>0</v>
      </c>
      <c r="H53" t="str">
        <f t="shared" si="4"/>
        <v>Pariente normal</v>
      </c>
      <c r="I53">
        <v>1</v>
      </c>
      <c r="J53" t="str">
        <f t="shared" si="5"/>
        <v>Hipercaloricos</v>
      </c>
      <c r="K53">
        <v>2</v>
      </c>
      <c r="L53">
        <f t="shared" si="6"/>
        <v>1</v>
      </c>
      <c r="M53" t="str">
        <f t="shared" si="7"/>
        <v>Suele comer</v>
      </c>
      <c r="N53">
        <v>3</v>
      </c>
      <c r="O53">
        <f t="shared" si="8"/>
        <v>2</v>
      </c>
      <c r="P53" t="str">
        <f t="shared" si="9"/>
        <v>Mas de 3</v>
      </c>
      <c r="Q53">
        <v>1</v>
      </c>
      <c r="R53" t="str">
        <f t="shared" si="10"/>
        <v>A veces</v>
      </c>
      <c r="S53">
        <v>0</v>
      </c>
      <c r="T53" t="str">
        <f t="shared" si="11"/>
        <v>No fuma</v>
      </c>
      <c r="U53">
        <v>1</v>
      </c>
      <c r="V53">
        <f t="shared" si="12"/>
        <v>1</v>
      </c>
      <c r="W53" t="str">
        <f t="shared" si="13"/>
        <v>Usualmente</v>
      </c>
      <c r="X53">
        <v>0</v>
      </c>
      <c r="Y53" t="str">
        <f t="shared" si="14"/>
        <v>No controla</v>
      </c>
      <c r="Z53">
        <v>0</v>
      </c>
      <c r="AA53">
        <f t="shared" si="15"/>
        <v>0</v>
      </c>
      <c r="AB53" t="str">
        <f t="shared" si="16"/>
        <v>Nunca</v>
      </c>
      <c r="AC53">
        <v>0</v>
      </c>
      <c r="AD53">
        <f t="shared" si="17"/>
        <v>0</v>
      </c>
      <c r="AE53" t="str">
        <f t="shared" si="18"/>
        <v>Nunca</v>
      </c>
      <c r="AF53">
        <v>1</v>
      </c>
      <c r="AG53" t="str">
        <f t="shared" si="19"/>
        <v>A veces</v>
      </c>
      <c r="AH53">
        <v>1</v>
      </c>
      <c r="AI53" t="str">
        <f t="shared" si="20"/>
        <v>Usa auto</v>
      </c>
      <c r="AJ53">
        <v>0</v>
      </c>
      <c r="AK53" t="str">
        <f t="shared" si="21"/>
        <v>No usa</v>
      </c>
      <c r="AL53">
        <v>0</v>
      </c>
      <c r="AM53" t="str">
        <f t="shared" si="22"/>
        <v>No usa</v>
      </c>
      <c r="AN53">
        <v>0</v>
      </c>
      <c r="AO53" t="str">
        <f t="shared" si="23"/>
        <v>No usa</v>
      </c>
      <c r="AP53">
        <v>0</v>
      </c>
      <c r="AQ53" t="str">
        <f t="shared" si="24"/>
        <v>No camina</v>
      </c>
      <c r="AR53">
        <v>0</v>
      </c>
      <c r="AS53" t="str">
        <f t="shared" si="25"/>
        <v>No es obeso</v>
      </c>
    </row>
    <row r="54" spans="1:45" x14ac:dyDescent="0.25">
      <c r="A54">
        <v>0</v>
      </c>
      <c r="B54" t="str">
        <f t="shared" si="0"/>
        <v>F</v>
      </c>
      <c r="C54">
        <v>23</v>
      </c>
      <c r="D54">
        <f t="shared" si="1"/>
        <v>23</v>
      </c>
      <c r="E54">
        <f t="shared" si="2"/>
        <v>23</v>
      </c>
      <c r="F54" t="str">
        <f t="shared" si="3"/>
        <v>1-25</v>
      </c>
      <c r="G54">
        <v>0</v>
      </c>
      <c r="H54" t="str">
        <f t="shared" si="4"/>
        <v>Pariente normal</v>
      </c>
      <c r="I54">
        <v>1</v>
      </c>
      <c r="J54" t="str">
        <f t="shared" si="5"/>
        <v>Hipercaloricos</v>
      </c>
      <c r="K54">
        <v>3</v>
      </c>
      <c r="L54">
        <f t="shared" si="6"/>
        <v>1</v>
      </c>
      <c r="M54" t="str">
        <f t="shared" si="7"/>
        <v>Suele comer</v>
      </c>
      <c r="N54">
        <v>1</v>
      </c>
      <c r="O54">
        <f t="shared" si="8"/>
        <v>1</v>
      </c>
      <c r="P54">
        <f t="shared" si="9"/>
        <v>3</v>
      </c>
      <c r="Q54">
        <v>1</v>
      </c>
      <c r="R54" t="str">
        <f t="shared" si="10"/>
        <v>A veces</v>
      </c>
      <c r="S54">
        <v>0</v>
      </c>
      <c r="T54" t="str">
        <f t="shared" si="11"/>
        <v>No fuma</v>
      </c>
      <c r="U54">
        <v>2</v>
      </c>
      <c r="V54">
        <f t="shared" si="12"/>
        <v>2</v>
      </c>
      <c r="W54" t="str">
        <f t="shared" si="13"/>
        <v>Siempre</v>
      </c>
      <c r="X54">
        <v>0</v>
      </c>
      <c r="Y54" t="str">
        <f t="shared" si="14"/>
        <v>No controla</v>
      </c>
      <c r="Z54">
        <v>2</v>
      </c>
      <c r="AA54">
        <f t="shared" si="15"/>
        <v>2</v>
      </c>
      <c r="AB54" t="str">
        <f t="shared" si="16"/>
        <v>Usualmente</v>
      </c>
      <c r="AC54">
        <v>2</v>
      </c>
      <c r="AD54">
        <f t="shared" si="17"/>
        <v>2</v>
      </c>
      <c r="AE54" t="str">
        <f t="shared" si="18"/>
        <v>Siempre</v>
      </c>
      <c r="AF54">
        <v>0</v>
      </c>
      <c r="AG54" t="str">
        <f t="shared" si="19"/>
        <v>Nunca</v>
      </c>
      <c r="AH54">
        <v>0</v>
      </c>
      <c r="AI54" t="str">
        <f t="shared" si="20"/>
        <v>No usa</v>
      </c>
      <c r="AJ54">
        <v>0</v>
      </c>
      <c r="AK54" t="str">
        <f t="shared" si="21"/>
        <v>No usa</v>
      </c>
      <c r="AL54">
        <v>0</v>
      </c>
      <c r="AM54" t="str">
        <f t="shared" si="22"/>
        <v>No usa</v>
      </c>
      <c r="AN54">
        <v>1</v>
      </c>
      <c r="AO54" t="str">
        <f t="shared" si="23"/>
        <v>Usa Transporte</v>
      </c>
      <c r="AP54">
        <v>0</v>
      </c>
      <c r="AQ54" t="str">
        <f t="shared" si="24"/>
        <v>No camina</v>
      </c>
      <c r="AR54">
        <v>0</v>
      </c>
      <c r="AS54" t="str">
        <f t="shared" si="25"/>
        <v>No es obeso</v>
      </c>
    </row>
    <row r="55" spans="1:45" x14ac:dyDescent="0.25">
      <c r="A55">
        <v>0</v>
      </c>
      <c r="B55" t="str">
        <f t="shared" si="0"/>
        <v>F</v>
      </c>
      <c r="C55">
        <v>23</v>
      </c>
      <c r="D55">
        <f t="shared" si="1"/>
        <v>23</v>
      </c>
      <c r="E55">
        <f t="shared" si="2"/>
        <v>23</v>
      </c>
      <c r="F55" t="str">
        <f t="shared" si="3"/>
        <v>1-25</v>
      </c>
      <c r="G55">
        <v>1</v>
      </c>
      <c r="H55" t="str">
        <f t="shared" si="4"/>
        <v>Pariente gordo</v>
      </c>
      <c r="I55">
        <v>0</v>
      </c>
      <c r="J55" t="str">
        <f t="shared" si="5"/>
        <v>Saludables</v>
      </c>
      <c r="K55">
        <v>3</v>
      </c>
      <c r="L55">
        <f t="shared" si="6"/>
        <v>1</v>
      </c>
      <c r="M55" t="str">
        <f t="shared" si="7"/>
        <v>Suele comer</v>
      </c>
      <c r="N55">
        <v>3</v>
      </c>
      <c r="O55">
        <f t="shared" si="8"/>
        <v>2</v>
      </c>
      <c r="P55" t="str">
        <f t="shared" si="9"/>
        <v>Mas de 3</v>
      </c>
      <c r="Q55">
        <v>0</v>
      </c>
      <c r="R55" t="str">
        <f t="shared" si="10"/>
        <v>Nunca</v>
      </c>
      <c r="S55">
        <v>0</v>
      </c>
      <c r="T55" t="str">
        <f t="shared" si="11"/>
        <v>No fuma</v>
      </c>
      <c r="U55">
        <v>2</v>
      </c>
      <c r="V55">
        <f t="shared" si="12"/>
        <v>2</v>
      </c>
      <c r="W55" t="str">
        <f t="shared" si="13"/>
        <v>Siempre</v>
      </c>
      <c r="X55">
        <v>1</v>
      </c>
      <c r="Y55" t="str">
        <f t="shared" si="14"/>
        <v>Controla</v>
      </c>
      <c r="Z55">
        <v>2</v>
      </c>
      <c r="AA55">
        <f t="shared" si="15"/>
        <v>2</v>
      </c>
      <c r="AB55" t="str">
        <f t="shared" si="16"/>
        <v>Usualmente</v>
      </c>
      <c r="AC55">
        <v>1</v>
      </c>
      <c r="AD55">
        <f t="shared" si="17"/>
        <v>1</v>
      </c>
      <c r="AE55" t="str">
        <f t="shared" si="18"/>
        <v>Usualmente</v>
      </c>
      <c r="AF55">
        <v>0</v>
      </c>
      <c r="AG55" t="str">
        <f t="shared" si="19"/>
        <v>Nunca</v>
      </c>
      <c r="AH55">
        <v>0</v>
      </c>
      <c r="AI55" t="str">
        <f t="shared" si="20"/>
        <v>No usa</v>
      </c>
      <c r="AJ55">
        <v>0</v>
      </c>
      <c r="AK55" t="str">
        <f t="shared" si="21"/>
        <v>No usa</v>
      </c>
      <c r="AL55">
        <v>0</v>
      </c>
      <c r="AM55" t="str">
        <f t="shared" si="22"/>
        <v>No usa</v>
      </c>
      <c r="AN55">
        <v>1</v>
      </c>
      <c r="AO55" t="str">
        <f t="shared" si="23"/>
        <v>Usa Transporte</v>
      </c>
      <c r="AP55">
        <v>0</v>
      </c>
      <c r="AQ55" t="str">
        <f t="shared" si="24"/>
        <v>No camina</v>
      </c>
      <c r="AR55">
        <v>0</v>
      </c>
      <c r="AS55" t="str">
        <f t="shared" si="25"/>
        <v>No es obeso</v>
      </c>
    </row>
    <row r="56" spans="1:45" x14ac:dyDescent="0.25">
      <c r="A56">
        <v>0</v>
      </c>
      <c r="B56" t="str">
        <f t="shared" si="0"/>
        <v>F</v>
      </c>
      <c r="C56">
        <v>22</v>
      </c>
      <c r="D56">
        <f t="shared" si="1"/>
        <v>22</v>
      </c>
      <c r="E56">
        <f t="shared" si="2"/>
        <v>22</v>
      </c>
      <c r="F56" t="str">
        <f t="shared" si="3"/>
        <v>1-25</v>
      </c>
      <c r="G56">
        <v>0</v>
      </c>
      <c r="H56" t="str">
        <f t="shared" si="4"/>
        <v>Pariente normal</v>
      </c>
      <c r="I56">
        <v>0</v>
      </c>
      <c r="J56" t="str">
        <f t="shared" si="5"/>
        <v>Saludables</v>
      </c>
      <c r="K56">
        <v>3</v>
      </c>
      <c r="L56">
        <f t="shared" si="6"/>
        <v>1</v>
      </c>
      <c r="M56" t="str">
        <f t="shared" si="7"/>
        <v>Suele comer</v>
      </c>
      <c r="N56">
        <v>4</v>
      </c>
      <c r="O56">
        <f t="shared" si="8"/>
        <v>2</v>
      </c>
      <c r="P56" t="str">
        <f t="shared" si="9"/>
        <v>Mas de 3</v>
      </c>
      <c r="Q56">
        <v>3</v>
      </c>
      <c r="R56" t="str">
        <f t="shared" si="10"/>
        <v>Siempre</v>
      </c>
      <c r="S56">
        <v>0</v>
      </c>
      <c r="T56" t="str">
        <f t="shared" si="11"/>
        <v>No fuma</v>
      </c>
      <c r="U56">
        <v>3</v>
      </c>
      <c r="V56">
        <f t="shared" si="12"/>
        <v>2</v>
      </c>
      <c r="W56" t="str">
        <f t="shared" si="13"/>
        <v>Siempre</v>
      </c>
      <c r="X56">
        <v>0</v>
      </c>
      <c r="Y56" t="str">
        <f t="shared" si="14"/>
        <v>No controla</v>
      </c>
      <c r="Z56">
        <v>2</v>
      </c>
      <c r="AA56">
        <f t="shared" si="15"/>
        <v>2</v>
      </c>
      <c r="AB56" t="str">
        <f t="shared" si="16"/>
        <v>Usualmente</v>
      </c>
      <c r="AC56">
        <v>0</v>
      </c>
      <c r="AD56">
        <f t="shared" si="17"/>
        <v>0</v>
      </c>
      <c r="AE56" t="str">
        <f t="shared" si="18"/>
        <v>Nunca</v>
      </c>
      <c r="AF56">
        <v>0</v>
      </c>
      <c r="AG56" t="str">
        <f t="shared" si="19"/>
        <v>Nunca</v>
      </c>
      <c r="AH56">
        <v>0</v>
      </c>
      <c r="AI56" t="str">
        <f t="shared" si="20"/>
        <v>No usa</v>
      </c>
      <c r="AJ56">
        <v>0</v>
      </c>
      <c r="AK56" t="str">
        <f t="shared" si="21"/>
        <v>No usa</v>
      </c>
      <c r="AL56">
        <v>0</v>
      </c>
      <c r="AM56" t="str">
        <f t="shared" si="22"/>
        <v>No usa</v>
      </c>
      <c r="AN56">
        <v>1</v>
      </c>
      <c r="AO56" t="str">
        <f t="shared" si="23"/>
        <v>Usa Transporte</v>
      </c>
      <c r="AP56">
        <v>0</v>
      </c>
      <c r="AQ56" t="str">
        <f t="shared" si="24"/>
        <v>No camina</v>
      </c>
      <c r="AR56">
        <v>0</v>
      </c>
      <c r="AS56" t="str">
        <f t="shared" si="25"/>
        <v>No es obeso</v>
      </c>
    </row>
    <row r="57" spans="1:45" x14ac:dyDescent="0.25">
      <c r="A57">
        <v>1</v>
      </c>
      <c r="B57" t="str">
        <f t="shared" si="0"/>
        <v>M</v>
      </c>
      <c r="C57">
        <v>23</v>
      </c>
      <c r="D57">
        <f t="shared" si="1"/>
        <v>23</v>
      </c>
      <c r="E57">
        <f t="shared" si="2"/>
        <v>23</v>
      </c>
      <c r="F57" t="str">
        <f t="shared" si="3"/>
        <v>1-25</v>
      </c>
      <c r="G57">
        <v>0</v>
      </c>
      <c r="H57" t="str">
        <f t="shared" si="4"/>
        <v>Pariente normal</v>
      </c>
      <c r="I57">
        <v>0</v>
      </c>
      <c r="J57" t="str">
        <f t="shared" si="5"/>
        <v>Saludables</v>
      </c>
      <c r="K57">
        <v>2</v>
      </c>
      <c r="L57">
        <f t="shared" si="6"/>
        <v>1</v>
      </c>
      <c r="M57" t="str">
        <f t="shared" si="7"/>
        <v>Suele comer</v>
      </c>
      <c r="N57">
        <v>4</v>
      </c>
      <c r="O57">
        <f t="shared" si="8"/>
        <v>2</v>
      </c>
      <c r="P57" t="str">
        <f t="shared" si="9"/>
        <v>Mas de 3</v>
      </c>
      <c r="Q57">
        <v>2</v>
      </c>
      <c r="R57" t="str">
        <f t="shared" si="10"/>
        <v>Usualmente</v>
      </c>
      <c r="S57">
        <v>0</v>
      </c>
      <c r="T57" t="str">
        <f t="shared" si="11"/>
        <v>No fuma</v>
      </c>
      <c r="U57">
        <v>2</v>
      </c>
      <c r="V57">
        <f t="shared" si="12"/>
        <v>2</v>
      </c>
      <c r="W57" t="str">
        <f t="shared" si="13"/>
        <v>Siempre</v>
      </c>
      <c r="X57">
        <v>0</v>
      </c>
      <c r="Y57" t="str">
        <f t="shared" si="14"/>
        <v>No controla</v>
      </c>
      <c r="Z57">
        <v>0</v>
      </c>
      <c r="AA57">
        <f t="shared" si="15"/>
        <v>0</v>
      </c>
      <c r="AB57" t="str">
        <f t="shared" si="16"/>
        <v>Nunca</v>
      </c>
      <c r="AC57">
        <v>0</v>
      </c>
      <c r="AD57">
        <f t="shared" si="17"/>
        <v>0</v>
      </c>
      <c r="AE57" t="str">
        <f t="shared" si="18"/>
        <v>Nunca</v>
      </c>
      <c r="AF57">
        <v>1</v>
      </c>
      <c r="AG57" t="str">
        <f t="shared" si="19"/>
        <v>A veces</v>
      </c>
      <c r="AH57">
        <v>1</v>
      </c>
      <c r="AI57" t="str">
        <f t="shared" si="20"/>
        <v>Usa auto</v>
      </c>
      <c r="AJ57">
        <v>0</v>
      </c>
      <c r="AK57" t="str">
        <f t="shared" si="21"/>
        <v>No usa</v>
      </c>
      <c r="AL57">
        <v>0</v>
      </c>
      <c r="AM57" t="str">
        <f t="shared" si="22"/>
        <v>No usa</v>
      </c>
      <c r="AN57">
        <v>0</v>
      </c>
      <c r="AO57" t="str">
        <f t="shared" si="23"/>
        <v>No usa</v>
      </c>
      <c r="AP57">
        <v>0</v>
      </c>
      <c r="AQ57" t="str">
        <f t="shared" si="24"/>
        <v>No camina</v>
      </c>
      <c r="AR57">
        <v>0</v>
      </c>
      <c r="AS57" t="str">
        <f t="shared" si="25"/>
        <v>No es obeso</v>
      </c>
    </row>
    <row r="58" spans="1:45" x14ac:dyDescent="0.25">
      <c r="A58">
        <v>1</v>
      </c>
      <c r="B58" t="str">
        <f t="shared" si="0"/>
        <v>M</v>
      </c>
      <c r="C58">
        <v>22</v>
      </c>
      <c r="D58">
        <f t="shared" si="1"/>
        <v>22</v>
      </c>
      <c r="E58">
        <f t="shared" si="2"/>
        <v>22</v>
      </c>
      <c r="F58" t="str">
        <f t="shared" si="3"/>
        <v>1-25</v>
      </c>
      <c r="G58">
        <v>1</v>
      </c>
      <c r="H58" t="str">
        <f t="shared" si="4"/>
        <v>Pariente gordo</v>
      </c>
      <c r="I58">
        <v>1</v>
      </c>
      <c r="J58" t="str">
        <f t="shared" si="5"/>
        <v>Hipercaloricos</v>
      </c>
      <c r="K58">
        <v>2</v>
      </c>
      <c r="L58">
        <f t="shared" si="6"/>
        <v>1</v>
      </c>
      <c r="M58" t="str">
        <f t="shared" si="7"/>
        <v>Suele comer</v>
      </c>
      <c r="N58">
        <v>3</v>
      </c>
      <c r="O58">
        <f t="shared" si="8"/>
        <v>2</v>
      </c>
      <c r="P58" t="str">
        <f t="shared" si="9"/>
        <v>Mas de 3</v>
      </c>
      <c r="Q58">
        <v>1</v>
      </c>
      <c r="R58" t="str">
        <f t="shared" si="10"/>
        <v>A veces</v>
      </c>
      <c r="S58">
        <v>0</v>
      </c>
      <c r="T58" t="str">
        <f t="shared" si="11"/>
        <v>No fuma</v>
      </c>
      <c r="U58">
        <v>1</v>
      </c>
      <c r="V58">
        <f t="shared" si="12"/>
        <v>1</v>
      </c>
      <c r="W58" t="str">
        <f t="shared" si="13"/>
        <v>Usualmente</v>
      </c>
      <c r="X58">
        <v>0</v>
      </c>
      <c r="Y58" t="str">
        <f t="shared" si="14"/>
        <v>No controla</v>
      </c>
      <c r="Z58">
        <v>0</v>
      </c>
      <c r="AA58">
        <f t="shared" si="15"/>
        <v>0</v>
      </c>
      <c r="AB58" t="str">
        <f t="shared" si="16"/>
        <v>Nunca</v>
      </c>
      <c r="AC58">
        <v>1</v>
      </c>
      <c r="AD58">
        <f t="shared" si="17"/>
        <v>1</v>
      </c>
      <c r="AE58" t="str">
        <f t="shared" si="18"/>
        <v>Usualmente</v>
      </c>
      <c r="AF58">
        <v>1</v>
      </c>
      <c r="AG58" t="str">
        <f t="shared" si="19"/>
        <v>A veces</v>
      </c>
      <c r="AH58">
        <v>1</v>
      </c>
      <c r="AI58" t="str">
        <f t="shared" si="20"/>
        <v>Usa auto</v>
      </c>
      <c r="AJ58">
        <v>0</v>
      </c>
      <c r="AK58" t="str">
        <f t="shared" si="21"/>
        <v>No usa</v>
      </c>
      <c r="AL58">
        <v>0</v>
      </c>
      <c r="AM58" t="str">
        <f t="shared" si="22"/>
        <v>No usa</v>
      </c>
      <c r="AN58">
        <v>0</v>
      </c>
      <c r="AO58" t="str">
        <f t="shared" si="23"/>
        <v>No usa</v>
      </c>
      <c r="AP58">
        <v>0</v>
      </c>
      <c r="AQ58" t="str">
        <f t="shared" si="24"/>
        <v>No camina</v>
      </c>
      <c r="AR58">
        <v>0</v>
      </c>
      <c r="AS58" t="str">
        <f t="shared" si="25"/>
        <v>No es obeso</v>
      </c>
    </row>
    <row r="59" spans="1:45" x14ac:dyDescent="0.25">
      <c r="A59">
        <v>1</v>
      </c>
      <c r="B59" t="str">
        <f t="shared" si="0"/>
        <v>M</v>
      </c>
      <c r="C59">
        <v>21</v>
      </c>
      <c r="D59">
        <f t="shared" si="1"/>
        <v>21</v>
      </c>
      <c r="E59">
        <f t="shared" si="2"/>
        <v>21</v>
      </c>
      <c r="F59" t="str">
        <f t="shared" si="3"/>
        <v>1-25</v>
      </c>
      <c r="G59">
        <v>1</v>
      </c>
      <c r="H59" t="str">
        <f t="shared" si="4"/>
        <v>Pariente gordo</v>
      </c>
      <c r="I59">
        <v>0</v>
      </c>
      <c r="J59" t="str">
        <f t="shared" si="5"/>
        <v>Saludables</v>
      </c>
      <c r="K59">
        <v>2</v>
      </c>
      <c r="L59">
        <f t="shared" si="6"/>
        <v>1</v>
      </c>
      <c r="M59" t="str">
        <f t="shared" si="7"/>
        <v>Suele comer</v>
      </c>
      <c r="N59">
        <v>3</v>
      </c>
      <c r="O59">
        <f t="shared" si="8"/>
        <v>2</v>
      </c>
      <c r="P59" t="str">
        <f t="shared" si="9"/>
        <v>Mas de 3</v>
      </c>
      <c r="Q59">
        <v>1</v>
      </c>
      <c r="R59" t="str">
        <f t="shared" si="10"/>
        <v>A veces</v>
      </c>
      <c r="S59">
        <v>0</v>
      </c>
      <c r="T59" t="str">
        <f t="shared" si="11"/>
        <v>No fuma</v>
      </c>
      <c r="U59">
        <v>1</v>
      </c>
      <c r="V59">
        <f t="shared" si="12"/>
        <v>1</v>
      </c>
      <c r="W59" t="str">
        <f t="shared" si="13"/>
        <v>Usualmente</v>
      </c>
      <c r="X59">
        <v>0</v>
      </c>
      <c r="Y59" t="str">
        <f t="shared" si="14"/>
        <v>No controla</v>
      </c>
      <c r="Z59">
        <v>0</v>
      </c>
      <c r="AA59">
        <f t="shared" si="15"/>
        <v>0</v>
      </c>
      <c r="AB59" t="str">
        <f t="shared" si="16"/>
        <v>Nunca</v>
      </c>
      <c r="AC59">
        <v>1</v>
      </c>
      <c r="AD59">
        <f t="shared" si="17"/>
        <v>1</v>
      </c>
      <c r="AE59" t="str">
        <f t="shared" si="18"/>
        <v>Usualmente</v>
      </c>
      <c r="AF59">
        <v>0</v>
      </c>
      <c r="AG59" t="str">
        <f t="shared" si="19"/>
        <v>Nunca</v>
      </c>
      <c r="AH59">
        <v>0</v>
      </c>
      <c r="AI59" t="str">
        <f t="shared" si="20"/>
        <v>No usa</v>
      </c>
      <c r="AJ59">
        <v>0</v>
      </c>
      <c r="AK59" t="str">
        <f t="shared" si="21"/>
        <v>No usa</v>
      </c>
      <c r="AL59">
        <v>0</v>
      </c>
      <c r="AM59" t="str">
        <f t="shared" si="22"/>
        <v>No usa</v>
      </c>
      <c r="AN59">
        <v>1</v>
      </c>
      <c r="AO59" t="str">
        <f t="shared" si="23"/>
        <v>Usa Transporte</v>
      </c>
      <c r="AP59">
        <v>0</v>
      </c>
      <c r="AQ59" t="str">
        <f t="shared" si="24"/>
        <v>No camina</v>
      </c>
      <c r="AR59">
        <v>0</v>
      </c>
      <c r="AS59" t="str">
        <f t="shared" si="25"/>
        <v>No es obeso</v>
      </c>
    </row>
    <row r="60" spans="1:45" x14ac:dyDescent="0.25">
      <c r="A60">
        <v>0</v>
      </c>
      <c r="B60" t="str">
        <f t="shared" si="0"/>
        <v>F</v>
      </c>
      <c r="C60">
        <v>17</v>
      </c>
      <c r="D60">
        <f t="shared" si="1"/>
        <v>17</v>
      </c>
      <c r="E60">
        <f t="shared" si="2"/>
        <v>17</v>
      </c>
      <c r="F60" t="str">
        <f t="shared" si="3"/>
        <v>1-25</v>
      </c>
      <c r="G60">
        <v>1</v>
      </c>
      <c r="H60" t="str">
        <f t="shared" si="4"/>
        <v>Pariente gordo</v>
      </c>
      <c r="I60">
        <v>1</v>
      </c>
      <c r="J60" t="str">
        <f t="shared" si="5"/>
        <v>Hipercaloricos</v>
      </c>
      <c r="K60">
        <v>3</v>
      </c>
      <c r="L60">
        <f t="shared" si="6"/>
        <v>1</v>
      </c>
      <c r="M60" t="str">
        <f t="shared" si="7"/>
        <v>Suele comer</v>
      </c>
      <c r="N60">
        <v>1</v>
      </c>
      <c r="O60">
        <f t="shared" si="8"/>
        <v>1</v>
      </c>
      <c r="P60">
        <f t="shared" si="9"/>
        <v>3</v>
      </c>
      <c r="Q60">
        <v>1</v>
      </c>
      <c r="R60" t="str">
        <f t="shared" si="10"/>
        <v>A veces</v>
      </c>
      <c r="S60">
        <v>0</v>
      </c>
      <c r="T60" t="str">
        <f t="shared" si="11"/>
        <v>No fuma</v>
      </c>
      <c r="U60">
        <v>2</v>
      </c>
      <c r="V60">
        <f t="shared" si="12"/>
        <v>2</v>
      </c>
      <c r="W60" t="str">
        <f t="shared" si="13"/>
        <v>Siempre</v>
      </c>
      <c r="X60">
        <v>0</v>
      </c>
      <c r="Y60" t="str">
        <f t="shared" si="14"/>
        <v>No controla</v>
      </c>
      <c r="Z60">
        <v>1</v>
      </c>
      <c r="AA60">
        <f t="shared" si="15"/>
        <v>1</v>
      </c>
      <c r="AB60" t="str">
        <f t="shared" si="16"/>
        <v>A veces</v>
      </c>
      <c r="AC60">
        <v>1</v>
      </c>
      <c r="AD60">
        <f t="shared" si="17"/>
        <v>1</v>
      </c>
      <c r="AE60" t="str">
        <f t="shared" si="18"/>
        <v>Usualmente</v>
      </c>
      <c r="AF60">
        <v>0</v>
      </c>
      <c r="AG60" t="str">
        <f t="shared" si="19"/>
        <v>Nunca</v>
      </c>
      <c r="AH60">
        <v>0</v>
      </c>
      <c r="AI60" t="str">
        <f t="shared" si="20"/>
        <v>No usa</v>
      </c>
      <c r="AJ60">
        <v>0</v>
      </c>
      <c r="AK60" t="str">
        <f t="shared" si="21"/>
        <v>No usa</v>
      </c>
      <c r="AL60">
        <v>0</v>
      </c>
      <c r="AM60" t="str">
        <f t="shared" si="22"/>
        <v>No usa</v>
      </c>
      <c r="AN60">
        <v>0</v>
      </c>
      <c r="AO60" t="str">
        <f t="shared" si="23"/>
        <v>No usa</v>
      </c>
      <c r="AP60">
        <v>1</v>
      </c>
      <c r="AQ60" t="str">
        <f t="shared" si="24"/>
        <v>Camina</v>
      </c>
      <c r="AR60">
        <v>0</v>
      </c>
      <c r="AS60" t="str">
        <f t="shared" si="25"/>
        <v>No es obeso</v>
      </c>
    </row>
    <row r="61" spans="1:45" x14ac:dyDescent="0.25">
      <c r="A61">
        <v>1</v>
      </c>
      <c r="B61" t="str">
        <f t="shared" si="0"/>
        <v>M</v>
      </c>
      <c r="C61">
        <v>20</v>
      </c>
      <c r="D61">
        <f t="shared" si="1"/>
        <v>20</v>
      </c>
      <c r="E61">
        <f t="shared" si="2"/>
        <v>20</v>
      </c>
      <c r="F61" t="str">
        <f t="shared" si="3"/>
        <v>1-25</v>
      </c>
      <c r="G61">
        <v>1</v>
      </c>
      <c r="H61" t="str">
        <f t="shared" si="4"/>
        <v>Pariente gordo</v>
      </c>
      <c r="I61">
        <v>1</v>
      </c>
      <c r="J61" t="str">
        <f t="shared" si="5"/>
        <v>Hipercaloricos</v>
      </c>
      <c r="K61">
        <v>2</v>
      </c>
      <c r="L61">
        <f t="shared" si="6"/>
        <v>1</v>
      </c>
      <c r="M61" t="str">
        <f t="shared" si="7"/>
        <v>Suele comer</v>
      </c>
      <c r="N61">
        <v>4</v>
      </c>
      <c r="O61">
        <f t="shared" si="8"/>
        <v>2</v>
      </c>
      <c r="P61" t="str">
        <f t="shared" si="9"/>
        <v>Mas de 3</v>
      </c>
      <c r="Q61">
        <v>1</v>
      </c>
      <c r="R61" t="str">
        <f t="shared" si="10"/>
        <v>A veces</v>
      </c>
      <c r="S61">
        <v>0</v>
      </c>
      <c r="T61" t="str">
        <f t="shared" si="11"/>
        <v>No fuma</v>
      </c>
      <c r="U61">
        <v>3</v>
      </c>
      <c r="V61">
        <f t="shared" si="12"/>
        <v>2</v>
      </c>
      <c r="W61" t="str">
        <f t="shared" si="13"/>
        <v>Siempre</v>
      </c>
      <c r="X61">
        <v>0</v>
      </c>
      <c r="Y61" t="str">
        <f t="shared" si="14"/>
        <v>No controla</v>
      </c>
      <c r="Z61">
        <v>2</v>
      </c>
      <c r="AA61">
        <f t="shared" si="15"/>
        <v>2</v>
      </c>
      <c r="AB61" t="str">
        <f t="shared" si="16"/>
        <v>Usualmente</v>
      </c>
      <c r="AC61">
        <v>2</v>
      </c>
      <c r="AD61">
        <f t="shared" si="17"/>
        <v>2</v>
      </c>
      <c r="AE61" t="str">
        <f t="shared" si="18"/>
        <v>Siempre</v>
      </c>
      <c r="AF61">
        <v>0</v>
      </c>
      <c r="AG61" t="str">
        <f t="shared" si="19"/>
        <v>Nunca</v>
      </c>
      <c r="AH61">
        <v>0</v>
      </c>
      <c r="AI61" t="str">
        <f t="shared" si="20"/>
        <v>No usa</v>
      </c>
      <c r="AJ61">
        <v>0</v>
      </c>
      <c r="AK61" t="str">
        <f t="shared" si="21"/>
        <v>No usa</v>
      </c>
      <c r="AL61">
        <v>0</v>
      </c>
      <c r="AM61" t="str">
        <f t="shared" si="22"/>
        <v>No usa</v>
      </c>
      <c r="AN61">
        <v>1</v>
      </c>
      <c r="AO61" t="str">
        <f t="shared" si="23"/>
        <v>Usa Transporte</v>
      </c>
      <c r="AP61">
        <v>0</v>
      </c>
      <c r="AQ61" t="str">
        <f t="shared" si="24"/>
        <v>No camina</v>
      </c>
      <c r="AR61">
        <v>0</v>
      </c>
      <c r="AS61" t="str">
        <f t="shared" si="25"/>
        <v>No es obeso</v>
      </c>
    </row>
    <row r="62" spans="1:45" x14ac:dyDescent="0.25">
      <c r="A62">
        <v>0</v>
      </c>
      <c r="B62" t="str">
        <f t="shared" si="0"/>
        <v>F</v>
      </c>
      <c r="C62">
        <v>21</v>
      </c>
      <c r="D62">
        <f t="shared" si="1"/>
        <v>21</v>
      </c>
      <c r="E62">
        <f t="shared" si="2"/>
        <v>21</v>
      </c>
      <c r="F62" t="str">
        <f t="shared" si="3"/>
        <v>1-25</v>
      </c>
      <c r="G62">
        <v>1</v>
      </c>
      <c r="H62" t="str">
        <f t="shared" si="4"/>
        <v>Pariente gordo</v>
      </c>
      <c r="I62">
        <v>1</v>
      </c>
      <c r="J62" t="str">
        <f t="shared" si="5"/>
        <v>Hipercaloricos</v>
      </c>
      <c r="K62">
        <v>2</v>
      </c>
      <c r="L62">
        <f t="shared" si="6"/>
        <v>1</v>
      </c>
      <c r="M62" t="str">
        <f t="shared" si="7"/>
        <v>Suele comer</v>
      </c>
      <c r="N62">
        <v>3</v>
      </c>
      <c r="O62">
        <f t="shared" si="8"/>
        <v>2</v>
      </c>
      <c r="P62" t="str">
        <f t="shared" si="9"/>
        <v>Mas de 3</v>
      </c>
      <c r="Q62">
        <v>1</v>
      </c>
      <c r="R62" t="str">
        <f t="shared" si="10"/>
        <v>A veces</v>
      </c>
      <c r="S62">
        <v>0</v>
      </c>
      <c r="T62" t="str">
        <f t="shared" si="11"/>
        <v>No fuma</v>
      </c>
      <c r="U62">
        <v>3</v>
      </c>
      <c r="V62">
        <f t="shared" si="12"/>
        <v>2</v>
      </c>
      <c r="W62" t="str">
        <f t="shared" si="13"/>
        <v>Siempre</v>
      </c>
      <c r="X62">
        <v>0</v>
      </c>
      <c r="Y62" t="str">
        <f t="shared" si="14"/>
        <v>No controla</v>
      </c>
      <c r="Z62">
        <v>3</v>
      </c>
      <c r="AA62">
        <f t="shared" si="15"/>
        <v>3</v>
      </c>
      <c r="AB62" t="str">
        <f t="shared" si="16"/>
        <v>Siempre</v>
      </c>
      <c r="AC62">
        <v>1</v>
      </c>
      <c r="AD62">
        <f t="shared" si="17"/>
        <v>1</v>
      </c>
      <c r="AE62" t="str">
        <f t="shared" si="18"/>
        <v>Usualmente</v>
      </c>
      <c r="AF62">
        <v>1</v>
      </c>
      <c r="AG62" t="str">
        <f t="shared" si="19"/>
        <v>A veces</v>
      </c>
      <c r="AH62">
        <v>0</v>
      </c>
      <c r="AI62" t="str">
        <f t="shared" si="20"/>
        <v>No usa</v>
      </c>
      <c r="AJ62">
        <v>0</v>
      </c>
      <c r="AK62" t="str">
        <f t="shared" si="21"/>
        <v>No usa</v>
      </c>
      <c r="AL62">
        <v>0</v>
      </c>
      <c r="AM62" t="str">
        <f t="shared" si="22"/>
        <v>No usa</v>
      </c>
      <c r="AN62">
        <v>1</v>
      </c>
      <c r="AO62" t="str">
        <f t="shared" si="23"/>
        <v>Usa Transporte</v>
      </c>
      <c r="AP62">
        <v>0</v>
      </c>
      <c r="AQ62" t="str">
        <f t="shared" si="24"/>
        <v>No camina</v>
      </c>
      <c r="AR62">
        <v>0</v>
      </c>
      <c r="AS62" t="str">
        <f t="shared" si="25"/>
        <v>No es obeso</v>
      </c>
    </row>
    <row r="63" spans="1:45" x14ac:dyDescent="0.25">
      <c r="A63">
        <v>1</v>
      </c>
      <c r="B63" t="str">
        <f t="shared" si="0"/>
        <v>M</v>
      </c>
      <c r="C63">
        <v>20</v>
      </c>
      <c r="D63">
        <f t="shared" si="1"/>
        <v>20</v>
      </c>
      <c r="E63">
        <f t="shared" si="2"/>
        <v>20</v>
      </c>
      <c r="F63" t="str">
        <f t="shared" si="3"/>
        <v>1-25</v>
      </c>
      <c r="G63">
        <v>0</v>
      </c>
      <c r="H63" t="str">
        <f t="shared" si="4"/>
        <v>Pariente normal</v>
      </c>
      <c r="I63">
        <v>1</v>
      </c>
      <c r="J63" t="str">
        <f t="shared" si="5"/>
        <v>Hipercaloricos</v>
      </c>
      <c r="K63">
        <v>2</v>
      </c>
      <c r="L63">
        <f t="shared" si="6"/>
        <v>1</v>
      </c>
      <c r="M63" t="str">
        <f t="shared" si="7"/>
        <v>Suele comer</v>
      </c>
      <c r="N63">
        <v>3</v>
      </c>
      <c r="O63">
        <f t="shared" si="8"/>
        <v>2</v>
      </c>
      <c r="P63" t="str">
        <f t="shared" si="9"/>
        <v>Mas de 3</v>
      </c>
      <c r="Q63">
        <v>1</v>
      </c>
      <c r="R63" t="str">
        <f t="shared" si="10"/>
        <v>A veces</v>
      </c>
      <c r="S63">
        <v>0</v>
      </c>
      <c r="T63" t="str">
        <f t="shared" si="11"/>
        <v>No fuma</v>
      </c>
      <c r="U63">
        <v>2</v>
      </c>
      <c r="V63">
        <f t="shared" si="12"/>
        <v>2</v>
      </c>
      <c r="W63" t="str">
        <f t="shared" si="13"/>
        <v>Siempre</v>
      </c>
      <c r="X63">
        <v>0</v>
      </c>
      <c r="Y63" t="str">
        <f t="shared" si="14"/>
        <v>No controla</v>
      </c>
      <c r="Z63">
        <v>3</v>
      </c>
      <c r="AA63">
        <f t="shared" si="15"/>
        <v>3</v>
      </c>
      <c r="AB63" t="str">
        <f t="shared" si="16"/>
        <v>Siempre</v>
      </c>
      <c r="AC63">
        <v>1</v>
      </c>
      <c r="AD63">
        <f t="shared" si="17"/>
        <v>1</v>
      </c>
      <c r="AE63" t="str">
        <f t="shared" si="18"/>
        <v>Usualmente</v>
      </c>
      <c r="AF63">
        <v>1</v>
      </c>
      <c r="AG63" t="str">
        <f t="shared" si="19"/>
        <v>A veces</v>
      </c>
      <c r="AH63">
        <v>0</v>
      </c>
      <c r="AI63" t="str">
        <f t="shared" si="20"/>
        <v>No usa</v>
      </c>
      <c r="AJ63">
        <v>0</v>
      </c>
      <c r="AK63" t="str">
        <f t="shared" si="21"/>
        <v>No usa</v>
      </c>
      <c r="AL63">
        <v>0</v>
      </c>
      <c r="AM63" t="str">
        <f t="shared" si="22"/>
        <v>No usa</v>
      </c>
      <c r="AN63">
        <v>1</v>
      </c>
      <c r="AO63" t="str">
        <f t="shared" si="23"/>
        <v>Usa Transporte</v>
      </c>
      <c r="AP63">
        <v>0</v>
      </c>
      <c r="AQ63" t="str">
        <f t="shared" si="24"/>
        <v>No camina</v>
      </c>
      <c r="AR63">
        <v>0</v>
      </c>
      <c r="AS63" t="str">
        <f t="shared" si="25"/>
        <v>No es obeso</v>
      </c>
    </row>
    <row r="64" spans="1:45" x14ac:dyDescent="0.25">
      <c r="A64">
        <v>1</v>
      </c>
      <c r="B64" t="str">
        <f t="shared" si="0"/>
        <v>M</v>
      </c>
      <c r="C64">
        <v>22</v>
      </c>
      <c r="D64">
        <f t="shared" si="1"/>
        <v>22</v>
      </c>
      <c r="E64">
        <f t="shared" si="2"/>
        <v>22</v>
      </c>
      <c r="F64" t="str">
        <f t="shared" si="3"/>
        <v>1-25</v>
      </c>
      <c r="G64">
        <v>0</v>
      </c>
      <c r="H64" t="str">
        <f t="shared" si="4"/>
        <v>Pariente normal</v>
      </c>
      <c r="I64">
        <v>1</v>
      </c>
      <c r="J64" t="str">
        <f t="shared" si="5"/>
        <v>Hipercaloricos</v>
      </c>
      <c r="K64">
        <v>2</v>
      </c>
      <c r="L64">
        <f t="shared" si="6"/>
        <v>1</v>
      </c>
      <c r="M64" t="str">
        <f t="shared" si="7"/>
        <v>Suele comer</v>
      </c>
      <c r="N64">
        <v>1</v>
      </c>
      <c r="O64">
        <f t="shared" si="8"/>
        <v>1</v>
      </c>
      <c r="P64">
        <f t="shared" si="9"/>
        <v>3</v>
      </c>
      <c r="Q64">
        <v>0</v>
      </c>
      <c r="R64" t="str">
        <f t="shared" si="10"/>
        <v>Nunca</v>
      </c>
      <c r="S64">
        <v>0</v>
      </c>
      <c r="T64" t="str">
        <f t="shared" si="11"/>
        <v>No fuma</v>
      </c>
      <c r="U64">
        <v>2</v>
      </c>
      <c r="V64">
        <f t="shared" si="12"/>
        <v>2</v>
      </c>
      <c r="W64" t="str">
        <f t="shared" si="13"/>
        <v>Siempre</v>
      </c>
      <c r="X64">
        <v>0</v>
      </c>
      <c r="Y64" t="str">
        <f t="shared" si="14"/>
        <v>No controla</v>
      </c>
      <c r="Z64">
        <v>0</v>
      </c>
      <c r="AA64">
        <f t="shared" si="15"/>
        <v>0</v>
      </c>
      <c r="AB64" t="str">
        <f t="shared" si="16"/>
        <v>Nunca</v>
      </c>
      <c r="AC64">
        <v>0</v>
      </c>
      <c r="AD64">
        <f t="shared" si="17"/>
        <v>0</v>
      </c>
      <c r="AE64" t="str">
        <f t="shared" si="18"/>
        <v>Nunca</v>
      </c>
      <c r="AF64">
        <v>1</v>
      </c>
      <c r="AG64" t="str">
        <f t="shared" si="19"/>
        <v>A veces</v>
      </c>
      <c r="AH64">
        <v>0</v>
      </c>
      <c r="AI64" t="str">
        <f t="shared" si="20"/>
        <v>No usa</v>
      </c>
      <c r="AJ64">
        <v>0</v>
      </c>
      <c r="AK64" t="str">
        <f t="shared" si="21"/>
        <v>No usa</v>
      </c>
      <c r="AL64">
        <v>0</v>
      </c>
      <c r="AM64" t="str">
        <f t="shared" si="22"/>
        <v>No usa</v>
      </c>
      <c r="AN64">
        <v>1</v>
      </c>
      <c r="AO64" t="str">
        <f t="shared" si="23"/>
        <v>Usa Transporte</v>
      </c>
      <c r="AP64">
        <v>0</v>
      </c>
      <c r="AQ64" t="str">
        <f t="shared" si="24"/>
        <v>No camina</v>
      </c>
      <c r="AR64">
        <v>0</v>
      </c>
      <c r="AS64" t="str">
        <f t="shared" si="25"/>
        <v>No es obeso</v>
      </c>
    </row>
    <row r="65" spans="1:45" x14ac:dyDescent="0.25">
      <c r="A65">
        <v>1</v>
      </c>
      <c r="B65" t="str">
        <f t="shared" si="0"/>
        <v>M</v>
      </c>
      <c r="C65">
        <v>22</v>
      </c>
      <c r="D65">
        <f t="shared" si="1"/>
        <v>22</v>
      </c>
      <c r="E65">
        <f t="shared" si="2"/>
        <v>22</v>
      </c>
      <c r="F65" t="str">
        <f t="shared" si="3"/>
        <v>1-25</v>
      </c>
      <c r="G65">
        <v>1</v>
      </c>
      <c r="H65" t="str">
        <f t="shared" si="4"/>
        <v>Pariente gordo</v>
      </c>
      <c r="I65">
        <v>1</v>
      </c>
      <c r="J65" t="str">
        <f t="shared" si="5"/>
        <v>Hipercaloricos</v>
      </c>
      <c r="K65">
        <v>2</v>
      </c>
      <c r="L65">
        <f t="shared" si="6"/>
        <v>1</v>
      </c>
      <c r="M65" t="str">
        <f t="shared" si="7"/>
        <v>Suele comer</v>
      </c>
      <c r="N65">
        <v>3</v>
      </c>
      <c r="O65">
        <f t="shared" si="8"/>
        <v>2</v>
      </c>
      <c r="P65" t="str">
        <f t="shared" si="9"/>
        <v>Mas de 3</v>
      </c>
      <c r="Q65">
        <v>1</v>
      </c>
      <c r="R65" t="str">
        <f t="shared" si="10"/>
        <v>A veces</v>
      </c>
      <c r="S65">
        <v>0</v>
      </c>
      <c r="T65" t="str">
        <f t="shared" si="11"/>
        <v>No fuma</v>
      </c>
      <c r="U65">
        <v>2</v>
      </c>
      <c r="V65">
        <f t="shared" si="12"/>
        <v>2</v>
      </c>
      <c r="W65" t="str">
        <f t="shared" si="13"/>
        <v>Siempre</v>
      </c>
      <c r="X65">
        <v>0</v>
      </c>
      <c r="Y65" t="str">
        <f t="shared" si="14"/>
        <v>No controla</v>
      </c>
      <c r="Z65">
        <v>0</v>
      </c>
      <c r="AA65">
        <f t="shared" si="15"/>
        <v>0</v>
      </c>
      <c r="AB65" t="str">
        <f t="shared" si="16"/>
        <v>Nunca</v>
      </c>
      <c r="AC65">
        <v>2</v>
      </c>
      <c r="AD65">
        <f t="shared" si="17"/>
        <v>2</v>
      </c>
      <c r="AE65" t="str">
        <f t="shared" si="18"/>
        <v>Siempre</v>
      </c>
      <c r="AF65">
        <v>1</v>
      </c>
      <c r="AG65" t="str">
        <f t="shared" si="19"/>
        <v>A veces</v>
      </c>
      <c r="AH65">
        <v>1</v>
      </c>
      <c r="AI65" t="str">
        <f t="shared" si="20"/>
        <v>Usa auto</v>
      </c>
      <c r="AJ65">
        <v>0</v>
      </c>
      <c r="AK65" t="str">
        <f t="shared" si="21"/>
        <v>No usa</v>
      </c>
      <c r="AL65">
        <v>0</v>
      </c>
      <c r="AM65" t="str">
        <f t="shared" si="22"/>
        <v>No usa</v>
      </c>
      <c r="AN65">
        <v>0</v>
      </c>
      <c r="AO65" t="str">
        <f t="shared" si="23"/>
        <v>No usa</v>
      </c>
      <c r="AP65">
        <v>0</v>
      </c>
      <c r="AQ65" t="str">
        <f t="shared" si="24"/>
        <v>No camina</v>
      </c>
      <c r="AR65">
        <v>0</v>
      </c>
      <c r="AS65" t="str">
        <f t="shared" si="25"/>
        <v>No es obeso</v>
      </c>
    </row>
    <row r="66" spans="1:45" x14ac:dyDescent="0.25">
      <c r="A66">
        <v>0</v>
      </c>
      <c r="B66" t="str">
        <f t="shared" si="0"/>
        <v>F</v>
      </c>
      <c r="C66">
        <v>21</v>
      </c>
      <c r="D66">
        <f t="shared" si="1"/>
        <v>21</v>
      </c>
      <c r="E66">
        <f t="shared" si="2"/>
        <v>21</v>
      </c>
      <c r="F66" t="str">
        <f t="shared" si="3"/>
        <v>1-25</v>
      </c>
      <c r="G66">
        <v>1</v>
      </c>
      <c r="H66" t="str">
        <f t="shared" si="4"/>
        <v>Pariente gordo</v>
      </c>
      <c r="I66">
        <v>1</v>
      </c>
      <c r="J66" t="str">
        <f t="shared" si="5"/>
        <v>Hipercaloricos</v>
      </c>
      <c r="K66">
        <v>2</v>
      </c>
      <c r="L66">
        <f t="shared" si="6"/>
        <v>1</v>
      </c>
      <c r="M66" t="str">
        <f t="shared" si="7"/>
        <v>Suele comer</v>
      </c>
      <c r="N66">
        <v>3</v>
      </c>
      <c r="O66">
        <f t="shared" si="8"/>
        <v>2</v>
      </c>
      <c r="P66" t="str">
        <f t="shared" si="9"/>
        <v>Mas de 3</v>
      </c>
      <c r="Q66">
        <v>2</v>
      </c>
      <c r="R66" t="str">
        <f t="shared" si="10"/>
        <v>Usualmente</v>
      </c>
      <c r="S66">
        <v>0</v>
      </c>
      <c r="T66" t="str">
        <f t="shared" si="11"/>
        <v>No fuma</v>
      </c>
      <c r="U66">
        <v>1</v>
      </c>
      <c r="V66">
        <f t="shared" si="12"/>
        <v>1</v>
      </c>
      <c r="W66" t="str">
        <f t="shared" si="13"/>
        <v>Usualmente</v>
      </c>
      <c r="X66">
        <v>0</v>
      </c>
      <c r="Y66" t="str">
        <f t="shared" si="14"/>
        <v>No controla</v>
      </c>
      <c r="Z66">
        <v>1</v>
      </c>
      <c r="AA66">
        <f t="shared" si="15"/>
        <v>1</v>
      </c>
      <c r="AB66" t="str">
        <f t="shared" si="16"/>
        <v>A veces</v>
      </c>
      <c r="AC66">
        <v>1</v>
      </c>
      <c r="AD66">
        <f t="shared" si="17"/>
        <v>1</v>
      </c>
      <c r="AE66" t="str">
        <f t="shared" si="18"/>
        <v>Usualmente</v>
      </c>
      <c r="AF66">
        <v>0</v>
      </c>
      <c r="AG66" t="str">
        <f t="shared" si="19"/>
        <v>Nunca</v>
      </c>
      <c r="AH66">
        <v>0</v>
      </c>
      <c r="AI66" t="str">
        <f t="shared" si="20"/>
        <v>No usa</v>
      </c>
      <c r="AJ66">
        <v>0</v>
      </c>
      <c r="AK66" t="str">
        <f t="shared" si="21"/>
        <v>No usa</v>
      </c>
      <c r="AL66">
        <v>0</v>
      </c>
      <c r="AM66" t="str">
        <f t="shared" si="22"/>
        <v>No usa</v>
      </c>
      <c r="AN66">
        <v>1</v>
      </c>
      <c r="AO66" t="str">
        <f t="shared" si="23"/>
        <v>Usa Transporte</v>
      </c>
      <c r="AP66">
        <v>0</v>
      </c>
      <c r="AQ66" t="str">
        <f t="shared" si="24"/>
        <v>No camina</v>
      </c>
      <c r="AR66">
        <v>0</v>
      </c>
      <c r="AS66" t="str">
        <f t="shared" si="25"/>
        <v>No es obeso</v>
      </c>
    </row>
    <row r="67" spans="1:45" x14ac:dyDescent="0.25">
      <c r="A67">
        <v>0</v>
      </c>
      <c r="B67" t="str">
        <f t="shared" ref="B67:B130" si="26">IF(A67=1,"M","F")</f>
        <v>F</v>
      </c>
      <c r="C67">
        <v>21</v>
      </c>
      <c r="D67">
        <f t="shared" ref="D67:D130" si="27">IF(C67&lt;100,C67,ROUNDDOWN((C67/1000)/365,0))</f>
        <v>21</v>
      </c>
      <c r="E67">
        <f t="shared" ref="E67:E130" si="28">IF(AND(D67&gt;1,D67&lt;=100),D67,IF(D67&gt;100,100,5))</f>
        <v>21</v>
      </c>
      <c r="F67" t="str">
        <f t="shared" ref="F67:F130" si="29">IF(AND(E67&gt;=1,E67&lt;=25),"1-25",IF(AND(E67&gt;25,E67&lt;=50),"25-50",IF(AND(E67&gt;50,E67&lt;=75),"50-75","75-100")))</f>
        <v>1-25</v>
      </c>
      <c r="G67">
        <v>1</v>
      </c>
      <c r="H67" t="str">
        <f t="shared" ref="H67:H130" si="30">IF(G67=1,"Pariente gordo","Pariente normal")</f>
        <v>Pariente gordo</v>
      </c>
      <c r="I67">
        <v>1</v>
      </c>
      <c r="J67" t="str">
        <f t="shared" ref="J67:J130" si="31">IF(I67=1,"Hipercaloricos","Saludables")</f>
        <v>Hipercaloricos</v>
      </c>
      <c r="K67">
        <v>1</v>
      </c>
      <c r="L67">
        <f t="shared" ref="L67:L130" si="32">IF(AND(K67&gt;=1,K67&lt;=3),1,IF(AND(K67&gt;3,K67&lt;3000000),1))</f>
        <v>1</v>
      </c>
      <c r="M67" t="str">
        <f t="shared" ref="M67:M130" si="33">IF(L67=1,"Suele comer","No come")</f>
        <v>Suele comer</v>
      </c>
      <c r="N67">
        <v>3</v>
      </c>
      <c r="O67">
        <f t="shared" ref="O67:O130" si="34">IF(N67=1,N67,IF(AND(N67&gt;=2,N67&lt;4000000),2))</f>
        <v>2</v>
      </c>
      <c r="P67" t="str">
        <f t="shared" ref="P67:P130" si="35">IF(O67=0,"1-2",IF(O67=1,3,"Mas de 3"))</f>
        <v>Mas de 3</v>
      </c>
      <c r="Q67">
        <v>2</v>
      </c>
      <c r="R67" t="str">
        <f t="shared" ref="R67:R130" si="36">IF(Q67=0,"Nunca",IF(Q67=1,"A veces",IF(Q67=2,"Usualmente","Siempre")))</f>
        <v>Usualmente</v>
      </c>
      <c r="S67">
        <v>0</v>
      </c>
      <c r="T67" t="str">
        <f t="shared" ref="T67:T130" si="37">IF(S67=1,"Fuma","No fuma")</f>
        <v>No fuma</v>
      </c>
      <c r="U67">
        <v>2</v>
      </c>
      <c r="V67">
        <f t="shared" ref="V67:V130" si="38">IF(U67=1,U67,IF(U67=2,U67,IF(AND(U67&gt;=3,U67&lt;3000000),2)))</f>
        <v>2</v>
      </c>
      <c r="W67" t="str">
        <f t="shared" ref="W67:W130" si="39">IF(V67=0,"Nunca",IF(V67=1,"Usualmente","Siempre"))</f>
        <v>Siempre</v>
      </c>
      <c r="X67">
        <v>0</v>
      </c>
      <c r="Y67" t="str">
        <f t="shared" ref="Y67:Y130" si="40">IF(X67=1,"Controla","No controla")</f>
        <v>No controla</v>
      </c>
      <c r="Z67">
        <v>0</v>
      </c>
      <c r="AA67">
        <f t="shared" ref="AA67:AA130" si="41">IF(Z67=0,Z67,IF(Z67=1,Z67,IF(Z67=2,Z67,IF(Z67=3,Z67,IF(AND(Z67&gt;3,Z67&lt;300000),2,IF(AND(Z67&gt;300000,Z67&lt;3000000),3,IF(AND(Z67&gt;0,Z67&lt;1),0)))))))</f>
        <v>0</v>
      </c>
      <c r="AB67" t="str">
        <f t="shared" ref="AB67:AB130" si="42">IF(AA67=0,"Nunca",IF(AA67=1,"A veces",IF(AA67=2,"Usualmente","Siempre")))</f>
        <v>Nunca</v>
      </c>
      <c r="AC67">
        <v>1</v>
      </c>
      <c r="AD67">
        <f t="shared" ref="AD67:AD130" si="43">IF(AC67= 0,AC67,IF(AC67=1,AC67,IF(AC67=2,AC67,IF(AND(AC67&gt;2,AC67&lt;200000),1,IF(AND(AC67&gt;200000,AC67&lt;2000000),2,IF(AND(AC67&gt;0,AC67&lt;1),0))))))</f>
        <v>1</v>
      </c>
      <c r="AE67" t="str">
        <f t="shared" ref="AE67:AE130" si="44">IF(AD67=0,"Nunca",IF(AD67=1,"Usualmente","Siempre"))</f>
        <v>Usualmente</v>
      </c>
      <c r="AF67">
        <v>0</v>
      </c>
      <c r="AG67" t="str">
        <f t="shared" ref="AG67:AG130" si="45">IF(AF67=0,"Nunca",IF(AF67=1,"A veces",IF(AF67=2,"Usualmente","Siempre")))</f>
        <v>Nunca</v>
      </c>
      <c r="AH67">
        <v>0</v>
      </c>
      <c r="AI67" t="str">
        <f t="shared" ref="AI67:AI130" si="46">IF(AH67=1,"Usa auto","No usa")</f>
        <v>No usa</v>
      </c>
      <c r="AJ67">
        <v>0</v>
      </c>
      <c r="AK67" t="str">
        <f t="shared" ref="AK67:AK130" si="47">IF(AJ67=1,"Usa Bici","No usa")</f>
        <v>No usa</v>
      </c>
      <c r="AL67">
        <v>0</v>
      </c>
      <c r="AM67" t="str">
        <f t="shared" ref="AM67:AM130" si="48">IF(AL67=1,"Usa Moto","No usa")</f>
        <v>No usa</v>
      </c>
      <c r="AN67">
        <v>1</v>
      </c>
      <c r="AO67" t="str">
        <f t="shared" ref="AO67:AO130" si="49">IF(AN67=1,"Usa Transporte","No usa")</f>
        <v>Usa Transporte</v>
      </c>
      <c r="AP67">
        <v>0</v>
      </c>
      <c r="AQ67" t="str">
        <f t="shared" ref="AQ67:AQ130" si="50">IF(AP67=1,"Camina","No camina")</f>
        <v>No camina</v>
      </c>
      <c r="AR67">
        <v>0</v>
      </c>
      <c r="AS67" t="str">
        <f t="shared" ref="AS67:AS130" si="51">IF(AR67=1,"Es Obeso","No es obeso")</f>
        <v>No es obeso</v>
      </c>
    </row>
    <row r="68" spans="1:45" x14ac:dyDescent="0.25">
      <c r="A68">
        <v>1</v>
      </c>
      <c r="B68" t="str">
        <f t="shared" si="26"/>
        <v>M</v>
      </c>
      <c r="C68">
        <v>23</v>
      </c>
      <c r="D68">
        <f t="shared" si="27"/>
        <v>23</v>
      </c>
      <c r="E68">
        <f t="shared" si="28"/>
        <v>23</v>
      </c>
      <c r="F68" t="str">
        <f t="shared" si="29"/>
        <v>1-25</v>
      </c>
      <c r="G68">
        <v>1</v>
      </c>
      <c r="H68" t="str">
        <f t="shared" si="30"/>
        <v>Pariente gordo</v>
      </c>
      <c r="I68">
        <v>1</v>
      </c>
      <c r="J68" t="str">
        <f t="shared" si="31"/>
        <v>Hipercaloricos</v>
      </c>
      <c r="K68">
        <v>1</v>
      </c>
      <c r="L68">
        <f t="shared" si="32"/>
        <v>1</v>
      </c>
      <c r="M68" t="str">
        <f t="shared" si="33"/>
        <v>Suele comer</v>
      </c>
      <c r="N68">
        <v>3</v>
      </c>
      <c r="O68">
        <f t="shared" si="34"/>
        <v>2</v>
      </c>
      <c r="P68" t="str">
        <f t="shared" si="35"/>
        <v>Mas de 3</v>
      </c>
      <c r="Q68">
        <v>3</v>
      </c>
      <c r="R68" t="str">
        <f t="shared" si="36"/>
        <v>Siempre</v>
      </c>
      <c r="S68">
        <v>0</v>
      </c>
      <c r="T68" t="str">
        <f t="shared" si="37"/>
        <v>No fuma</v>
      </c>
      <c r="U68">
        <v>2</v>
      </c>
      <c r="V68">
        <f t="shared" si="38"/>
        <v>2</v>
      </c>
      <c r="W68" t="str">
        <f t="shared" si="39"/>
        <v>Siempre</v>
      </c>
      <c r="X68">
        <v>0</v>
      </c>
      <c r="Y68" t="str">
        <f t="shared" si="40"/>
        <v>No controla</v>
      </c>
      <c r="Z68">
        <v>0</v>
      </c>
      <c r="AA68">
        <f t="shared" si="41"/>
        <v>0</v>
      </c>
      <c r="AB68" t="str">
        <f t="shared" si="42"/>
        <v>Nunca</v>
      </c>
      <c r="AC68">
        <v>2</v>
      </c>
      <c r="AD68">
        <f t="shared" si="43"/>
        <v>2</v>
      </c>
      <c r="AE68" t="str">
        <f t="shared" si="44"/>
        <v>Siempre</v>
      </c>
      <c r="AF68">
        <v>2</v>
      </c>
      <c r="AG68" t="str">
        <f t="shared" si="45"/>
        <v>Usualmente</v>
      </c>
      <c r="AH68">
        <v>0</v>
      </c>
      <c r="AI68" t="str">
        <f t="shared" si="46"/>
        <v>No usa</v>
      </c>
      <c r="AJ68">
        <v>0</v>
      </c>
      <c r="AK68" t="str">
        <f t="shared" si="47"/>
        <v>No usa</v>
      </c>
      <c r="AL68">
        <v>0</v>
      </c>
      <c r="AM68" t="str">
        <f t="shared" si="48"/>
        <v>No usa</v>
      </c>
      <c r="AN68">
        <v>1</v>
      </c>
      <c r="AO68" t="str">
        <f t="shared" si="49"/>
        <v>Usa Transporte</v>
      </c>
      <c r="AP68">
        <v>0</v>
      </c>
      <c r="AQ68" t="str">
        <f t="shared" si="50"/>
        <v>No camina</v>
      </c>
      <c r="AR68">
        <v>0</v>
      </c>
      <c r="AS68" t="str">
        <f t="shared" si="51"/>
        <v>No es obeso</v>
      </c>
    </row>
    <row r="69" spans="1:45" x14ac:dyDescent="0.25">
      <c r="A69">
        <v>1</v>
      </c>
      <c r="B69" t="str">
        <f t="shared" si="26"/>
        <v>M</v>
      </c>
      <c r="C69">
        <v>23</v>
      </c>
      <c r="D69">
        <f t="shared" si="27"/>
        <v>23</v>
      </c>
      <c r="E69">
        <f t="shared" si="28"/>
        <v>23</v>
      </c>
      <c r="F69" t="str">
        <f t="shared" si="29"/>
        <v>1-25</v>
      </c>
      <c r="G69">
        <v>1</v>
      </c>
      <c r="H69" t="str">
        <f t="shared" si="30"/>
        <v>Pariente gordo</v>
      </c>
      <c r="I69">
        <v>1</v>
      </c>
      <c r="J69" t="str">
        <f t="shared" si="31"/>
        <v>Hipercaloricos</v>
      </c>
      <c r="K69">
        <v>2</v>
      </c>
      <c r="L69">
        <f t="shared" si="32"/>
        <v>1</v>
      </c>
      <c r="M69" t="str">
        <f t="shared" si="33"/>
        <v>Suele comer</v>
      </c>
      <c r="N69">
        <v>3</v>
      </c>
      <c r="O69">
        <f t="shared" si="34"/>
        <v>2</v>
      </c>
      <c r="P69" t="str">
        <f t="shared" si="35"/>
        <v>Mas de 3</v>
      </c>
      <c r="Q69">
        <v>3</v>
      </c>
      <c r="R69" t="str">
        <f t="shared" si="36"/>
        <v>Siempre</v>
      </c>
      <c r="S69">
        <v>0</v>
      </c>
      <c r="T69" t="str">
        <f t="shared" si="37"/>
        <v>No fuma</v>
      </c>
      <c r="U69">
        <v>2</v>
      </c>
      <c r="V69">
        <f t="shared" si="38"/>
        <v>2</v>
      </c>
      <c r="W69" t="str">
        <f t="shared" si="39"/>
        <v>Siempre</v>
      </c>
      <c r="X69">
        <v>0</v>
      </c>
      <c r="Y69" t="str">
        <f t="shared" si="40"/>
        <v>No controla</v>
      </c>
      <c r="Z69">
        <v>0</v>
      </c>
      <c r="AA69">
        <f t="shared" si="41"/>
        <v>0</v>
      </c>
      <c r="AB69" t="str">
        <f t="shared" si="42"/>
        <v>Nunca</v>
      </c>
      <c r="AC69">
        <v>1</v>
      </c>
      <c r="AD69">
        <f t="shared" si="43"/>
        <v>1</v>
      </c>
      <c r="AE69" t="str">
        <f t="shared" si="44"/>
        <v>Usualmente</v>
      </c>
      <c r="AF69">
        <v>2</v>
      </c>
      <c r="AG69" t="str">
        <f t="shared" si="45"/>
        <v>Usualmente</v>
      </c>
      <c r="AH69">
        <v>1</v>
      </c>
      <c r="AI69" t="str">
        <f t="shared" si="46"/>
        <v>Usa auto</v>
      </c>
      <c r="AJ69">
        <v>0</v>
      </c>
      <c r="AK69" t="str">
        <f t="shared" si="47"/>
        <v>No usa</v>
      </c>
      <c r="AL69">
        <v>0</v>
      </c>
      <c r="AM69" t="str">
        <f t="shared" si="48"/>
        <v>No usa</v>
      </c>
      <c r="AN69">
        <v>0</v>
      </c>
      <c r="AO69" t="str">
        <f t="shared" si="49"/>
        <v>No usa</v>
      </c>
      <c r="AP69">
        <v>0</v>
      </c>
      <c r="AQ69" t="str">
        <f t="shared" si="50"/>
        <v>No camina</v>
      </c>
      <c r="AR69">
        <v>1</v>
      </c>
      <c r="AS69" t="str">
        <f t="shared" si="51"/>
        <v>Es Obeso</v>
      </c>
    </row>
    <row r="70" spans="1:45" x14ac:dyDescent="0.25">
      <c r="A70">
        <v>1</v>
      </c>
      <c r="B70" t="str">
        <f t="shared" si="26"/>
        <v>M</v>
      </c>
      <c r="C70">
        <v>30</v>
      </c>
      <c r="D70">
        <f t="shared" si="27"/>
        <v>30</v>
      </c>
      <c r="E70">
        <f t="shared" si="28"/>
        <v>30</v>
      </c>
      <c r="F70" t="str">
        <f t="shared" si="29"/>
        <v>25-50</v>
      </c>
      <c r="G70">
        <v>1</v>
      </c>
      <c r="H70" t="str">
        <f t="shared" si="30"/>
        <v>Pariente gordo</v>
      </c>
      <c r="I70">
        <v>1</v>
      </c>
      <c r="J70" t="str">
        <f t="shared" si="31"/>
        <v>Hipercaloricos</v>
      </c>
      <c r="K70">
        <v>1</v>
      </c>
      <c r="L70">
        <f t="shared" si="32"/>
        <v>1</v>
      </c>
      <c r="M70" t="str">
        <f t="shared" si="33"/>
        <v>Suele comer</v>
      </c>
      <c r="N70">
        <v>3</v>
      </c>
      <c r="O70">
        <f t="shared" si="34"/>
        <v>2</v>
      </c>
      <c r="P70" t="str">
        <f t="shared" si="35"/>
        <v>Mas de 3</v>
      </c>
      <c r="Q70">
        <v>0</v>
      </c>
      <c r="R70" t="str">
        <f t="shared" si="36"/>
        <v>Nunca</v>
      </c>
      <c r="S70">
        <v>1</v>
      </c>
      <c r="T70" t="str">
        <f t="shared" si="37"/>
        <v>Fuma</v>
      </c>
      <c r="U70">
        <v>2</v>
      </c>
      <c r="V70">
        <f t="shared" si="38"/>
        <v>2</v>
      </c>
      <c r="W70" t="str">
        <f t="shared" si="39"/>
        <v>Siempre</v>
      </c>
      <c r="X70">
        <v>1</v>
      </c>
      <c r="Y70" t="str">
        <f t="shared" si="40"/>
        <v>Controla</v>
      </c>
      <c r="Z70">
        <v>0</v>
      </c>
      <c r="AA70">
        <f t="shared" si="41"/>
        <v>0</v>
      </c>
      <c r="AB70" t="str">
        <f t="shared" si="42"/>
        <v>Nunca</v>
      </c>
      <c r="AC70">
        <v>0</v>
      </c>
      <c r="AD70">
        <f t="shared" si="43"/>
        <v>0</v>
      </c>
      <c r="AE70" t="str">
        <f t="shared" si="44"/>
        <v>Nunca</v>
      </c>
      <c r="AF70">
        <v>2</v>
      </c>
      <c r="AG70" t="str">
        <f t="shared" si="45"/>
        <v>Usualmente</v>
      </c>
      <c r="AH70">
        <v>1</v>
      </c>
      <c r="AI70" t="str">
        <f t="shared" si="46"/>
        <v>Usa auto</v>
      </c>
      <c r="AJ70">
        <v>0</v>
      </c>
      <c r="AK70" t="str">
        <f t="shared" si="47"/>
        <v>No usa</v>
      </c>
      <c r="AL70">
        <v>0</v>
      </c>
      <c r="AM70" t="str">
        <f t="shared" si="48"/>
        <v>No usa</v>
      </c>
      <c r="AN70">
        <v>0</v>
      </c>
      <c r="AO70" t="str">
        <f t="shared" si="49"/>
        <v>No usa</v>
      </c>
      <c r="AP70">
        <v>0</v>
      </c>
      <c r="AQ70" t="str">
        <f t="shared" si="50"/>
        <v>No camina</v>
      </c>
      <c r="AR70">
        <v>1</v>
      </c>
      <c r="AS70" t="str">
        <f t="shared" si="51"/>
        <v>Es Obeso</v>
      </c>
    </row>
    <row r="71" spans="1:45" x14ac:dyDescent="0.25">
      <c r="A71">
        <v>1</v>
      </c>
      <c r="B71" t="str">
        <f t="shared" si="26"/>
        <v>M</v>
      </c>
      <c r="C71">
        <v>23</v>
      </c>
      <c r="D71">
        <f t="shared" si="27"/>
        <v>23</v>
      </c>
      <c r="E71">
        <f t="shared" si="28"/>
        <v>23</v>
      </c>
      <c r="F71" t="str">
        <f t="shared" si="29"/>
        <v>1-25</v>
      </c>
      <c r="G71">
        <v>1</v>
      </c>
      <c r="H71" t="str">
        <f t="shared" si="30"/>
        <v>Pariente gordo</v>
      </c>
      <c r="I71">
        <v>0</v>
      </c>
      <c r="J71" t="str">
        <f t="shared" si="31"/>
        <v>Saludables</v>
      </c>
      <c r="K71">
        <v>2</v>
      </c>
      <c r="L71">
        <f t="shared" si="32"/>
        <v>1</v>
      </c>
      <c r="M71" t="str">
        <f t="shared" si="33"/>
        <v>Suele comer</v>
      </c>
      <c r="N71">
        <v>3</v>
      </c>
      <c r="O71">
        <f t="shared" si="34"/>
        <v>2</v>
      </c>
      <c r="P71" t="str">
        <f t="shared" si="35"/>
        <v>Mas de 3</v>
      </c>
      <c r="Q71">
        <v>0</v>
      </c>
      <c r="R71" t="str">
        <f t="shared" si="36"/>
        <v>Nunca</v>
      </c>
      <c r="S71">
        <v>0</v>
      </c>
      <c r="T71" t="str">
        <f t="shared" si="37"/>
        <v>No fuma</v>
      </c>
      <c r="U71">
        <v>3</v>
      </c>
      <c r="V71">
        <f t="shared" si="38"/>
        <v>2</v>
      </c>
      <c r="W71" t="str">
        <f t="shared" si="39"/>
        <v>Siempre</v>
      </c>
      <c r="X71">
        <v>0</v>
      </c>
      <c r="Y71" t="str">
        <f t="shared" si="40"/>
        <v>No controla</v>
      </c>
      <c r="Z71">
        <v>0</v>
      </c>
      <c r="AA71">
        <f t="shared" si="41"/>
        <v>0</v>
      </c>
      <c r="AB71" t="str">
        <f t="shared" si="42"/>
        <v>Nunca</v>
      </c>
      <c r="AC71">
        <v>1</v>
      </c>
      <c r="AD71">
        <f t="shared" si="43"/>
        <v>1</v>
      </c>
      <c r="AE71" t="str">
        <f t="shared" si="44"/>
        <v>Usualmente</v>
      </c>
      <c r="AF71">
        <v>1</v>
      </c>
      <c r="AG71" t="str">
        <f t="shared" si="45"/>
        <v>A veces</v>
      </c>
      <c r="AH71">
        <v>0</v>
      </c>
      <c r="AI71" t="str">
        <f t="shared" si="46"/>
        <v>No usa</v>
      </c>
      <c r="AJ71">
        <v>0</v>
      </c>
      <c r="AK71" t="str">
        <f t="shared" si="47"/>
        <v>No usa</v>
      </c>
      <c r="AL71">
        <v>0</v>
      </c>
      <c r="AM71" t="str">
        <f t="shared" si="48"/>
        <v>No usa</v>
      </c>
      <c r="AN71">
        <v>1</v>
      </c>
      <c r="AO71" t="str">
        <f t="shared" si="49"/>
        <v>Usa Transporte</v>
      </c>
      <c r="AP71">
        <v>0</v>
      </c>
      <c r="AQ71" t="str">
        <f t="shared" si="50"/>
        <v>No camina</v>
      </c>
      <c r="AR71">
        <v>0</v>
      </c>
      <c r="AS71" t="str">
        <f t="shared" si="51"/>
        <v>No es obeso</v>
      </c>
    </row>
    <row r="72" spans="1:45" x14ac:dyDescent="0.25">
      <c r="A72">
        <v>0</v>
      </c>
      <c r="B72" t="str">
        <f t="shared" si="26"/>
        <v>F</v>
      </c>
      <c r="C72">
        <v>23</v>
      </c>
      <c r="D72">
        <f t="shared" si="27"/>
        <v>23</v>
      </c>
      <c r="E72">
        <f t="shared" si="28"/>
        <v>23</v>
      </c>
      <c r="F72" t="str">
        <f t="shared" si="29"/>
        <v>1-25</v>
      </c>
      <c r="G72">
        <v>1</v>
      </c>
      <c r="H72" t="str">
        <f t="shared" si="30"/>
        <v>Pariente gordo</v>
      </c>
      <c r="I72">
        <v>1</v>
      </c>
      <c r="J72" t="str">
        <f t="shared" si="31"/>
        <v>Hipercaloricos</v>
      </c>
      <c r="K72">
        <v>2</v>
      </c>
      <c r="L72">
        <f t="shared" si="32"/>
        <v>1</v>
      </c>
      <c r="M72" t="str">
        <f t="shared" si="33"/>
        <v>Suele comer</v>
      </c>
      <c r="N72">
        <v>3</v>
      </c>
      <c r="O72">
        <f t="shared" si="34"/>
        <v>2</v>
      </c>
      <c r="P72" t="str">
        <f t="shared" si="35"/>
        <v>Mas de 3</v>
      </c>
      <c r="Q72">
        <v>3</v>
      </c>
      <c r="R72" t="str">
        <f t="shared" si="36"/>
        <v>Siempre</v>
      </c>
      <c r="S72">
        <v>0</v>
      </c>
      <c r="T72" t="str">
        <f t="shared" si="37"/>
        <v>No fuma</v>
      </c>
      <c r="U72">
        <v>2</v>
      </c>
      <c r="V72">
        <f t="shared" si="38"/>
        <v>2</v>
      </c>
      <c r="W72" t="str">
        <f t="shared" si="39"/>
        <v>Siempre</v>
      </c>
      <c r="X72">
        <v>0</v>
      </c>
      <c r="Y72" t="str">
        <f t="shared" si="40"/>
        <v>No controla</v>
      </c>
      <c r="Z72">
        <v>0</v>
      </c>
      <c r="AA72">
        <f t="shared" si="41"/>
        <v>0</v>
      </c>
      <c r="AB72" t="str">
        <f t="shared" si="42"/>
        <v>Nunca</v>
      </c>
      <c r="AC72">
        <v>2</v>
      </c>
      <c r="AD72">
        <f t="shared" si="43"/>
        <v>2</v>
      </c>
      <c r="AE72" t="str">
        <f t="shared" si="44"/>
        <v>Siempre</v>
      </c>
      <c r="AF72">
        <v>0</v>
      </c>
      <c r="AG72" t="str">
        <f t="shared" si="45"/>
        <v>Nunca</v>
      </c>
      <c r="AH72">
        <v>0</v>
      </c>
      <c r="AI72" t="str">
        <f t="shared" si="46"/>
        <v>No usa</v>
      </c>
      <c r="AJ72">
        <v>0</v>
      </c>
      <c r="AK72" t="str">
        <f t="shared" si="47"/>
        <v>No usa</v>
      </c>
      <c r="AL72">
        <v>0</v>
      </c>
      <c r="AM72" t="str">
        <f t="shared" si="48"/>
        <v>No usa</v>
      </c>
      <c r="AN72">
        <v>1</v>
      </c>
      <c r="AO72" t="str">
        <f t="shared" si="49"/>
        <v>Usa Transporte</v>
      </c>
      <c r="AP72">
        <v>0</v>
      </c>
      <c r="AQ72" t="str">
        <f t="shared" si="50"/>
        <v>No camina</v>
      </c>
      <c r="AR72">
        <v>0</v>
      </c>
      <c r="AS72" t="str">
        <f t="shared" si="51"/>
        <v>No es obeso</v>
      </c>
    </row>
    <row r="73" spans="1:45" x14ac:dyDescent="0.25">
      <c r="A73">
        <v>0</v>
      </c>
      <c r="B73" t="str">
        <f t="shared" si="26"/>
        <v>F</v>
      </c>
      <c r="C73">
        <v>22</v>
      </c>
      <c r="D73">
        <f t="shared" si="27"/>
        <v>22</v>
      </c>
      <c r="E73">
        <f t="shared" si="28"/>
        <v>22</v>
      </c>
      <c r="F73" t="str">
        <f t="shared" si="29"/>
        <v>1-25</v>
      </c>
      <c r="G73">
        <v>1</v>
      </c>
      <c r="H73" t="str">
        <f t="shared" si="30"/>
        <v>Pariente gordo</v>
      </c>
      <c r="I73">
        <v>0</v>
      </c>
      <c r="J73" t="str">
        <f t="shared" si="31"/>
        <v>Saludables</v>
      </c>
      <c r="K73">
        <v>3</v>
      </c>
      <c r="L73">
        <f t="shared" si="32"/>
        <v>1</v>
      </c>
      <c r="M73" t="str">
        <f t="shared" si="33"/>
        <v>Suele comer</v>
      </c>
      <c r="N73">
        <v>3</v>
      </c>
      <c r="O73">
        <f t="shared" si="34"/>
        <v>2</v>
      </c>
      <c r="P73" t="str">
        <f t="shared" si="35"/>
        <v>Mas de 3</v>
      </c>
      <c r="Q73">
        <v>0</v>
      </c>
      <c r="R73" t="str">
        <f t="shared" si="36"/>
        <v>Nunca</v>
      </c>
      <c r="S73">
        <v>0</v>
      </c>
      <c r="T73" t="str">
        <f t="shared" si="37"/>
        <v>No fuma</v>
      </c>
      <c r="U73">
        <v>3</v>
      </c>
      <c r="V73">
        <f t="shared" si="38"/>
        <v>2</v>
      </c>
      <c r="W73" t="str">
        <f t="shared" si="39"/>
        <v>Siempre</v>
      </c>
      <c r="X73">
        <v>1</v>
      </c>
      <c r="Y73" t="str">
        <f t="shared" si="40"/>
        <v>Controla</v>
      </c>
      <c r="Z73">
        <v>2</v>
      </c>
      <c r="AA73">
        <f t="shared" si="41"/>
        <v>2</v>
      </c>
      <c r="AB73" t="str">
        <f t="shared" si="42"/>
        <v>Usualmente</v>
      </c>
      <c r="AC73">
        <v>1</v>
      </c>
      <c r="AD73">
        <f t="shared" si="43"/>
        <v>1</v>
      </c>
      <c r="AE73" t="str">
        <f t="shared" si="44"/>
        <v>Usualmente</v>
      </c>
      <c r="AF73">
        <v>1</v>
      </c>
      <c r="AG73" t="str">
        <f t="shared" si="45"/>
        <v>A veces</v>
      </c>
      <c r="AH73">
        <v>0</v>
      </c>
      <c r="AI73" t="str">
        <f t="shared" si="46"/>
        <v>No usa</v>
      </c>
      <c r="AJ73">
        <v>0</v>
      </c>
      <c r="AK73" t="str">
        <f t="shared" si="47"/>
        <v>No usa</v>
      </c>
      <c r="AL73">
        <v>0</v>
      </c>
      <c r="AM73" t="str">
        <f t="shared" si="48"/>
        <v>No usa</v>
      </c>
      <c r="AN73">
        <v>1</v>
      </c>
      <c r="AO73" t="str">
        <f t="shared" si="49"/>
        <v>Usa Transporte</v>
      </c>
      <c r="AP73">
        <v>0</v>
      </c>
      <c r="AQ73" t="str">
        <f t="shared" si="50"/>
        <v>No camina</v>
      </c>
      <c r="AR73">
        <v>0</v>
      </c>
      <c r="AS73" t="str">
        <f t="shared" si="51"/>
        <v>No es obeso</v>
      </c>
    </row>
    <row r="74" spans="1:45" x14ac:dyDescent="0.25">
      <c r="A74">
        <v>0</v>
      </c>
      <c r="B74" t="str">
        <f t="shared" si="26"/>
        <v>F</v>
      </c>
      <c r="C74">
        <v>24</v>
      </c>
      <c r="D74">
        <f t="shared" si="27"/>
        <v>24</v>
      </c>
      <c r="E74">
        <f t="shared" si="28"/>
        <v>24</v>
      </c>
      <c r="F74" t="str">
        <f t="shared" si="29"/>
        <v>1-25</v>
      </c>
      <c r="G74">
        <v>1</v>
      </c>
      <c r="H74" t="str">
        <f t="shared" si="30"/>
        <v>Pariente gordo</v>
      </c>
      <c r="I74">
        <v>0</v>
      </c>
      <c r="J74" t="str">
        <f t="shared" si="31"/>
        <v>Saludables</v>
      </c>
      <c r="K74">
        <v>2</v>
      </c>
      <c r="L74">
        <f t="shared" si="32"/>
        <v>1</v>
      </c>
      <c r="M74" t="str">
        <f t="shared" si="33"/>
        <v>Suele comer</v>
      </c>
      <c r="N74">
        <v>3</v>
      </c>
      <c r="O74">
        <f t="shared" si="34"/>
        <v>2</v>
      </c>
      <c r="P74" t="str">
        <f t="shared" si="35"/>
        <v>Mas de 3</v>
      </c>
      <c r="Q74">
        <v>1</v>
      </c>
      <c r="R74" t="str">
        <f t="shared" si="36"/>
        <v>A veces</v>
      </c>
      <c r="S74">
        <v>0</v>
      </c>
      <c r="T74" t="str">
        <f t="shared" si="37"/>
        <v>No fuma</v>
      </c>
      <c r="U74">
        <v>3</v>
      </c>
      <c r="V74">
        <f t="shared" si="38"/>
        <v>2</v>
      </c>
      <c r="W74" t="str">
        <f t="shared" si="39"/>
        <v>Siempre</v>
      </c>
      <c r="X74">
        <v>1</v>
      </c>
      <c r="Y74" t="str">
        <f t="shared" si="40"/>
        <v>Controla</v>
      </c>
      <c r="Z74">
        <v>1</v>
      </c>
      <c r="AA74">
        <f t="shared" si="41"/>
        <v>1</v>
      </c>
      <c r="AB74" t="str">
        <f t="shared" si="42"/>
        <v>A veces</v>
      </c>
      <c r="AC74">
        <v>0</v>
      </c>
      <c r="AD74">
        <f t="shared" si="43"/>
        <v>0</v>
      </c>
      <c r="AE74" t="str">
        <f t="shared" si="44"/>
        <v>Nunca</v>
      </c>
      <c r="AF74">
        <v>0</v>
      </c>
      <c r="AG74" t="str">
        <f t="shared" si="45"/>
        <v>Nunca</v>
      </c>
      <c r="AH74">
        <v>0</v>
      </c>
      <c r="AI74" t="str">
        <f t="shared" si="46"/>
        <v>No usa</v>
      </c>
      <c r="AJ74">
        <v>0</v>
      </c>
      <c r="AK74" t="str">
        <f t="shared" si="47"/>
        <v>No usa</v>
      </c>
      <c r="AL74">
        <v>0</v>
      </c>
      <c r="AM74" t="str">
        <f t="shared" si="48"/>
        <v>No usa</v>
      </c>
      <c r="AN74">
        <v>1</v>
      </c>
      <c r="AO74" t="str">
        <f t="shared" si="49"/>
        <v>Usa Transporte</v>
      </c>
      <c r="AP74">
        <v>0</v>
      </c>
      <c r="AQ74" t="str">
        <f t="shared" si="50"/>
        <v>No camina</v>
      </c>
      <c r="AR74">
        <v>0</v>
      </c>
      <c r="AS74" t="str">
        <f t="shared" si="51"/>
        <v>No es obeso</v>
      </c>
    </row>
    <row r="75" spans="1:45" x14ac:dyDescent="0.25">
      <c r="A75">
        <v>1</v>
      </c>
      <c r="B75" t="str">
        <f t="shared" si="26"/>
        <v>M</v>
      </c>
      <c r="C75">
        <v>19</v>
      </c>
      <c r="D75">
        <f t="shared" si="27"/>
        <v>19</v>
      </c>
      <c r="E75">
        <f t="shared" si="28"/>
        <v>19</v>
      </c>
      <c r="F75" t="str">
        <f t="shared" si="29"/>
        <v>1-25</v>
      </c>
      <c r="G75">
        <v>1</v>
      </c>
      <c r="H75" t="str">
        <f t="shared" si="30"/>
        <v>Pariente gordo</v>
      </c>
      <c r="I75">
        <v>0</v>
      </c>
      <c r="J75" t="str">
        <f t="shared" si="31"/>
        <v>Saludables</v>
      </c>
      <c r="K75">
        <v>2</v>
      </c>
      <c r="L75">
        <f t="shared" si="32"/>
        <v>1</v>
      </c>
      <c r="M75" t="str">
        <f t="shared" si="33"/>
        <v>Suele comer</v>
      </c>
      <c r="N75">
        <v>3</v>
      </c>
      <c r="O75">
        <f t="shared" si="34"/>
        <v>2</v>
      </c>
      <c r="P75" t="str">
        <f t="shared" si="35"/>
        <v>Mas de 3</v>
      </c>
      <c r="Q75">
        <v>1</v>
      </c>
      <c r="R75" t="str">
        <f t="shared" si="36"/>
        <v>A veces</v>
      </c>
      <c r="S75">
        <v>0</v>
      </c>
      <c r="T75" t="str">
        <f t="shared" si="37"/>
        <v>No fuma</v>
      </c>
      <c r="U75">
        <v>3</v>
      </c>
      <c r="V75">
        <f t="shared" si="38"/>
        <v>2</v>
      </c>
      <c r="W75" t="str">
        <f t="shared" si="39"/>
        <v>Siempre</v>
      </c>
      <c r="X75">
        <v>0</v>
      </c>
      <c r="Y75" t="str">
        <f t="shared" si="40"/>
        <v>No controla</v>
      </c>
      <c r="Z75">
        <v>2</v>
      </c>
      <c r="AA75">
        <f t="shared" si="41"/>
        <v>2</v>
      </c>
      <c r="AB75" t="str">
        <f t="shared" si="42"/>
        <v>Usualmente</v>
      </c>
      <c r="AC75">
        <v>1</v>
      </c>
      <c r="AD75">
        <f t="shared" si="43"/>
        <v>1</v>
      </c>
      <c r="AE75" t="str">
        <f t="shared" si="44"/>
        <v>Usualmente</v>
      </c>
      <c r="AF75">
        <v>1</v>
      </c>
      <c r="AG75" t="str">
        <f t="shared" si="45"/>
        <v>A veces</v>
      </c>
      <c r="AH75">
        <v>0</v>
      </c>
      <c r="AI75" t="str">
        <f t="shared" si="46"/>
        <v>No usa</v>
      </c>
      <c r="AJ75">
        <v>1</v>
      </c>
      <c r="AK75" t="str">
        <f t="shared" si="47"/>
        <v>Usa Bici</v>
      </c>
      <c r="AL75">
        <v>0</v>
      </c>
      <c r="AM75" t="str">
        <f t="shared" si="48"/>
        <v>No usa</v>
      </c>
      <c r="AN75">
        <v>0</v>
      </c>
      <c r="AO75" t="str">
        <f t="shared" si="49"/>
        <v>No usa</v>
      </c>
      <c r="AP75">
        <v>0</v>
      </c>
      <c r="AQ75" t="str">
        <f t="shared" si="50"/>
        <v>No camina</v>
      </c>
      <c r="AR75">
        <v>0</v>
      </c>
      <c r="AS75" t="str">
        <f t="shared" si="51"/>
        <v>No es obeso</v>
      </c>
    </row>
    <row r="76" spans="1:45" x14ac:dyDescent="0.25">
      <c r="A76">
        <v>1</v>
      </c>
      <c r="B76" t="str">
        <f t="shared" si="26"/>
        <v>M</v>
      </c>
      <c r="C76">
        <v>24</v>
      </c>
      <c r="D76">
        <f t="shared" si="27"/>
        <v>24</v>
      </c>
      <c r="E76">
        <f t="shared" si="28"/>
        <v>24</v>
      </c>
      <c r="F76" t="str">
        <f t="shared" si="29"/>
        <v>1-25</v>
      </c>
      <c r="G76">
        <v>1</v>
      </c>
      <c r="H76" t="str">
        <f t="shared" si="30"/>
        <v>Pariente gordo</v>
      </c>
      <c r="I76">
        <v>1</v>
      </c>
      <c r="J76" t="str">
        <f t="shared" si="31"/>
        <v>Hipercaloricos</v>
      </c>
      <c r="K76">
        <v>2</v>
      </c>
      <c r="L76">
        <f t="shared" si="32"/>
        <v>1</v>
      </c>
      <c r="M76" t="str">
        <f t="shared" si="33"/>
        <v>Suele comer</v>
      </c>
      <c r="N76">
        <v>3</v>
      </c>
      <c r="O76">
        <f t="shared" si="34"/>
        <v>2</v>
      </c>
      <c r="P76" t="str">
        <f t="shared" si="35"/>
        <v>Mas de 3</v>
      </c>
      <c r="Q76">
        <v>2</v>
      </c>
      <c r="R76" t="str">
        <f t="shared" si="36"/>
        <v>Usualmente</v>
      </c>
      <c r="S76">
        <v>0</v>
      </c>
      <c r="T76" t="str">
        <f t="shared" si="37"/>
        <v>No fuma</v>
      </c>
      <c r="U76">
        <v>3</v>
      </c>
      <c r="V76">
        <f t="shared" si="38"/>
        <v>2</v>
      </c>
      <c r="W76" t="str">
        <f t="shared" si="39"/>
        <v>Siempre</v>
      </c>
      <c r="X76">
        <v>0</v>
      </c>
      <c r="Y76" t="str">
        <f t="shared" si="40"/>
        <v>No controla</v>
      </c>
      <c r="Z76">
        <v>0</v>
      </c>
      <c r="AA76">
        <f t="shared" si="41"/>
        <v>0</v>
      </c>
      <c r="AB76" t="str">
        <f t="shared" si="42"/>
        <v>Nunca</v>
      </c>
      <c r="AC76">
        <v>1</v>
      </c>
      <c r="AD76">
        <f t="shared" si="43"/>
        <v>1</v>
      </c>
      <c r="AE76" t="str">
        <f t="shared" si="44"/>
        <v>Usualmente</v>
      </c>
      <c r="AF76">
        <v>2</v>
      </c>
      <c r="AG76" t="str">
        <f t="shared" si="45"/>
        <v>Usualmente</v>
      </c>
      <c r="AH76">
        <v>0</v>
      </c>
      <c r="AI76" t="str">
        <f t="shared" si="46"/>
        <v>No usa</v>
      </c>
      <c r="AJ76">
        <v>0</v>
      </c>
      <c r="AK76" t="str">
        <f t="shared" si="47"/>
        <v>No usa</v>
      </c>
      <c r="AL76">
        <v>0</v>
      </c>
      <c r="AM76" t="str">
        <f t="shared" si="48"/>
        <v>No usa</v>
      </c>
      <c r="AN76">
        <v>1</v>
      </c>
      <c r="AO76" t="str">
        <f t="shared" si="49"/>
        <v>Usa Transporte</v>
      </c>
      <c r="AP76">
        <v>0</v>
      </c>
      <c r="AQ76" t="str">
        <f t="shared" si="50"/>
        <v>No camina</v>
      </c>
      <c r="AR76">
        <v>0</v>
      </c>
      <c r="AS76" t="str">
        <f t="shared" si="51"/>
        <v>No es obeso</v>
      </c>
    </row>
    <row r="77" spans="1:45" x14ac:dyDescent="0.25">
      <c r="A77">
        <v>0</v>
      </c>
      <c r="B77" t="str">
        <f t="shared" si="26"/>
        <v>F</v>
      </c>
      <c r="C77">
        <v>23</v>
      </c>
      <c r="D77">
        <f t="shared" si="27"/>
        <v>23</v>
      </c>
      <c r="E77">
        <f t="shared" si="28"/>
        <v>23</v>
      </c>
      <c r="F77" t="str">
        <f t="shared" si="29"/>
        <v>1-25</v>
      </c>
      <c r="G77">
        <v>1</v>
      </c>
      <c r="H77" t="str">
        <f t="shared" si="30"/>
        <v>Pariente gordo</v>
      </c>
      <c r="I77">
        <v>0</v>
      </c>
      <c r="J77" t="str">
        <f t="shared" si="31"/>
        <v>Saludables</v>
      </c>
      <c r="K77">
        <v>3</v>
      </c>
      <c r="L77">
        <f t="shared" si="32"/>
        <v>1</v>
      </c>
      <c r="M77" t="str">
        <f t="shared" si="33"/>
        <v>Suele comer</v>
      </c>
      <c r="N77">
        <v>3</v>
      </c>
      <c r="O77">
        <f t="shared" si="34"/>
        <v>2</v>
      </c>
      <c r="P77" t="str">
        <f t="shared" si="35"/>
        <v>Mas de 3</v>
      </c>
      <c r="Q77">
        <v>1</v>
      </c>
      <c r="R77" t="str">
        <f t="shared" si="36"/>
        <v>A veces</v>
      </c>
      <c r="S77">
        <v>0</v>
      </c>
      <c r="T77" t="str">
        <f t="shared" si="37"/>
        <v>No fuma</v>
      </c>
      <c r="U77">
        <v>3</v>
      </c>
      <c r="V77">
        <f t="shared" si="38"/>
        <v>2</v>
      </c>
      <c r="W77" t="str">
        <f t="shared" si="39"/>
        <v>Siempre</v>
      </c>
      <c r="X77">
        <v>1</v>
      </c>
      <c r="Y77" t="str">
        <f t="shared" si="40"/>
        <v>Controla</v>
      </c>
      <c r="Z77">
        <v>2</v>
      </c>
      <c r="AA77">
        <f t="shared" si="41"/>
        <v>2</v>
      </c>
      <c r="AB77" t="str">
        <f t="shared" si="42"/>
        <v>Usualmente</v>
      </c>
      <c r="AC77">
        <v>0</v>
      </c>
      <c r="AD77">
        <f t="shared" si="43"/>
        <v>0</v>
      </c>
      <c r="AE77" t="str">
        <f t="shared" si="44"/>
        <v>Nunca</v>
      </c>
      <c r="AF77">
        <v>0</v>
      </c>
      <c r="AG77" t="str">
        <f t="shared" si="45"/>
        <v>Nunca</v>
      </c>
      <c r="AH77">
        <v>0</v>
      </c>
      <c r="AI77" t="str">
        <f t="shared" si="46"/>
        <v>No usa</v>
      </c>
      <c r="AJ77">
        <v>0</v>
      </c>
      <c r="AK77" t="str">
        <f t="shared" si="47"/>
        <v>No usa</v>
      </c>
      <c r="AL77">
        <v>0</v>
      </c>
      <c r="AM77" t="str">
        <f t="shared" si="48"/>
        <v>No usa</v>
      </c>
      <c r="AN77">
        <v>1</v>
      </c>
      <c r="AO77" t="str">
        <f t="shared" si="49"/>
        <v>Usa Transporte</v>
      </c>
      <c r="AP77">
        <v>0</v>
      </c>
      <c r="AQ77" t="str">
        <f t="shared" si="50"/>
        <v>No camina</v>
      </c>
      <c r="AR77">
        <v>0</v>
      </c>
      <c r="AS77" t="str">
        <f t="shared" si="51"/>
        <v>No es obeso</v>
      </c>
    </row>
    <row r="78" spans="1:45" x14ac:dyDescent="0.25">
      <c r="A78">
        <v>0</v>
      </c>
      <c r="B78" t="str">
        <f t="shared" si="26"/>
        <v>F</v>
      </c>
      <c r="C78">
        <v>24</v>
      </c>
      <c r="D78">
        <f t="shared" si="27"/>
        <v>24</v>
      </c>
      <c r="E78">
        <f t="shared" si="28"/>
        <v>24</v>
      </c>
      <c r="F78" t="str">
        <f t="shared" si="29"/>
        <v>1-25</v>
      </c>
      <c r="G78">
        <v>1</v>
      </c>
      <c r="H78" t="str">
        <f t="shared" si="30"/>
        <v>Pariente gordo</v>
      </c>
      <c r="I78">
        <v>0</v>
      </c>
      <c r="J78" t="str">
        <f t="shared" si="31"/>
        <v>Saludables</v>
      </c>
      <c r="K78">
        <v>2</v>
      </c>
      <c r="L78">
        <f t="shared" si="32"/>
        <v>1</v>
      </c>
      <c r="M78" t="str">
        <f t="shared" si="33"/>
        <v>Suele comer</v>
      </c>
      <c r="N78">
        <v>3</v>
      </c>
      <c r="O78">
        <f t="shared" si="34"/>
        <v>2</v>
      </c>
      <c r="P78" t="str">
        <f t="shared" si="35"/>
        <v>Mas de 3</v>
      </c>
      <c r="Q78">
        <v>0</v>
      </c>
      <c r="R78" t="str">
        <f t="shared" si="36"/>
        <v>Nunca</v>
      </c>
      <c r="S78">
        <v>0</v>
      </c>
      <c r="T78" t="str">
        <f t="shared" si="37"/>
        <v>No fuma</v>
      </c>
      <c r="U78">
        <v>2</v>
      </c>
      <c r="V78">
        <f t="shared" si="38"/>
        <v>2</v>
      </c>
      <c r="W78" t="str">
        <f t="shared" si="39"/>
        <v>Siempre</v>
      </c>
      <c r="X78">
        <v>0</v>
      </c>
      <c r="Y78" t="str">
        <f t="shared" si="40"/>
        <v>No controla</v>
      </c>
      <c r="Z78">
        <v>1</v>
      </c>
      <c r="AA78">
        <f t="shared" si="41"/>
        <v>1</v>
      </c>
      <c r="AB78" t="str">
        <f t="shared" si="42"/>
        <v>A veces</v>
      </c>
      <c r="AC78">
        <v>0</v>
      </c>
      <c r="AD78">
        <f t="shared" si="43"/>
        <v>0</v>
      </c>
      <c r="AE78" t="str">
        <f t="shared" si="44"/>
        <v>Nunca</v>
      </c>
      <c r="AF78">
        <v>0</v>
      </c>
      <c r="AG78" t="str">
        <f t="shared" si="45"/>
        <v>Nunca</v>
      </c>
      <c r="AH78">
        <v>0</v>
      </c>
      <c r="AI78" t="str">
        <f t="shared" si="46"/>
        <v>No usa</v>
      </c>
      <c r="AJ78">
        <v>0</v>
      </c>
      <c r="AK78" t="str">
        <f t="shared" si="47"/>
        <v>No usa</v>
      </c>
      <c r="AL78">
        <v>0</v>
      </c>
      <c r="AM78" t="str">
        <f t="shared" si="48"/>
        <v>No usa</v>
      </c>
      <c r="AN78">
        <v>1</v>
      </c>
      <c r="AO78" t="str">
        <f t="shared" si="49"/>
        <v>Usa Transporte</v>
      </c>
      <c r="AP78">
        <v>0</v>
      </c>
      <c r="AQ78" t="str">
        <f t="shared" si="50"/>
        <v>No camina</v>
      </c>
      <c r="AR78">
        <v>0</v>
      </c>
      <c r="AS78" t="str">
        <f t="shared" si="51"/>
        <v>No es obeso</v>
      </c>
    </row>
    <row r="79" spans="1:45" x14ac:dyDescent="0.25">
      <c r="A79">
        <v>0</v>
      </c>
      <c r="B79" t="str">
        <f t="shared" si="26"/>
        <v>F</v>
      </c>
      <c r="C79">
        <v>24</v>
      </c>
      <c r="D79">
        <f t="shared" si="27"/>
        <v>24</v>
      </c>
      <c r="E79">
        <f t="shared" si="28"/>
        <v>24</v>
      </c>
      <c r="F79" t="str">
        <f t="shared" si="29"/>
        <v>1-25</v>
      </c>
      <c r="G79">
        <v>1</v>
      </c>
      <c r="H79" t="str">
        <f t="shared" si="30"/>
        <v>Pariente gordo</v>
      </c>
      <c r="I79">
        <v>1</v>
      </c>
      <c r="J79" t="str">
        <f t="shared" si="31"/>
        <v>Hipercaloricos</v>
      </c>
      <c r="K79">
        <v>2</v>
      </c>
      <c r="L79">
        <f t="shared" si="32"/>
        <v>1</v>
      </c>
      <c r="M79" t="str">
        <f t="shared" si="33"/>
        <v>Suele comer</v>
      </c>
      <c r="N79">
        <v>3</v>
      </c>
      <c r="O79">
        <f t="shared" si="34"/>
        <v>2</v>
      </c>
      <c r="P79" t="str">
        <f t="shared" si="35"/>
        <v>Mas de 3</v>
      </c>
      <c r="Q79">
        <v>1</v>
      </c>
      <c r="R79" t="str">
        <f t="shared" si="36"/>
        <v>A veces</v>
      </c>
      <c r="S79">
        <v>0</v>
      </c>
      <c r="T79" t="str">
        <f t="shared" si="37"/>
        <v>No fuma</v>
      </c>
      <c r="U79">
        <v>3</v>
      </c>
      <c r="V79">
        <f t="shared" si="38"/>
        <v>2</v>
      </c>
      <c r="W79" t="str">
        <f t="shared" si="39"/>
        <v>Siempre</v>
      </c>
      <c r="X79">
        <v>0</v>
      </c>
      <c r="Y79" t="str">
        <f t="shared" si="40"/>
        <v>No controla</v>
      </c>
      <c r="Z79">
        <v>0</v>
      </c>
      <c r="AA79">
        <f t="shared" si="41"/>
        <v>0</v>
      </c>
      <c r="AB79" t="str">
        <f t="shared" si="42"/>
        <v>Nunca</v>
      </c>
      <c r="AC79">
        <v>0</v>
      </c>
      <c r="AD79">
        <f t="shared" si="43"/>
        <v>0</v>
      </c>
      <c r="AE79" t="str">
        <f t="shared" si="44"/>
        <v>Nunca</v>
      </c>
      <c r="AF79">
        <v>0</v>
      </c>
      <c r="AG79" t="str">
        <f t="shared" si="45"/>
        <v>Nunca</v>
      </c>
      <c r="AH79">
        <v>0</v>
      </c>
      <c r="AI79" t="str">
        <f t="shared" si="46"/>
        <v>No usa</v>
      </c>
      <c r="AJ79">
        <v>0</v>
      </c>
      <c r="AK79" t="str">
        <f t="shared" si="47"/>
        <v>No usa</v>
      </c>
      <c r="AL79">
        <v>0</v>
      </c>
      <c r="AM79" t="str">
        <f t="shared" si="48"/>
        <v>No usa</v>
      </c>
      <c r="AN79">
        <v>1</v>
      </c>
      <c r="AO79" t="str">
        <f t="shared" si="49"/>
        <v>Usa Transporte</v>
      </c>
      <c r="AP79">
        <v>0</v>
      </c>
      <c r="AQ79" t="str">
        <f t="shared" si="50"/>
        <v>No camina</v>
      </c>
      <c r="AR79">
        <v>0</v>
      </c>
      <c r="AS79" t="str">
        <f t="shared" si="51"/>
        <v>No es obeso</v>
      </c>
    </row>
    <row r="80" spans="1:45" x14ac:dyDescent="0.25">
      <c r="A80">
        <v>0</v>
      </c>
      <c r="B80" t="str">
        <f t="shared" si="26"/>
        <v>F</v>
      </c>
      <c r="C80">
        <v>23</v>
      </c>
      <c r="D80">
        <f t="shared" si="27"/>
        <v>23</v>
      </c>
      <c r="E80">
        <f t="shared" si="28"/>
        <v>23</v>
      </c>
      <c r="F80" t="str">
        <f t="shared" si="29"/>
        <v>1-25</v>
      </c>
      <c r="G80">
        <v>1</v>
      </c>
      <c r="H80" t="str">
        <f t="shared" si="30"/>
        <v>Pariente gordo</v>
      </c>
      <c r="I80">
        <v>1</v>
      </c>
      <c r="J80" t="str">
        <f t="shared" si="31"/>
        <v>Hipercaloricos</v>
      </c>
      <c r="K80">
        <v>2</v>
      </c>
      <c r="L80">
        <f t="shared" si="32"/>
        <v>1</v>
      </c>
      <c r="M80" t="str">
        <f t="shared" si="33"/>
        <v>Suele comer</v>
      </c>
      <c r="N80">
        <v>3</v>
      </c>
      <c r="O80">
        <f t="shared" si="34"/>
        <v>2</v>
      </c>
      <c r="P80" t="str">
        <f t="shared" si="35"/>
        <v>Mas de 3</v>
      </c>
      <c r="Q80">
        <v>1</v>
      </c>
      <c r="R80" t="str">
        <f t="shared" si="36"/>
        <v>A veces</v>
      </c>
      <c r="S80">
        <v>0</v>
      </c>
      <c r="T80" t="str">
        <f t="shared" si="37"/>
        <v>No fuma</v>
      </c>
      <c r="U80">
        <v>3</v>
      </c>
      <c r="V80">
        <f t="shared" si="38"/>
        <v>2</v>
      </c>
      <c r="W80" t="str">
        <f t="shared" si="39"/>
        <v>Siempre</v>
      </c>
      <c r="X80">
        <v>0</v>
      </c>
      <c r="Y80" t="str">
        <f t="shared" si="40"/>
        <v>No controla</v>
      </c>
      <c r="Z80">
        <v>0</v>
      </c>
      <c r="AA80">
        <f t="shared" si="41"/>
        <v>0</v>
      </c>
      <c r="AB80" t="str">
        <f t="shared" si="42"/>
        <v>Nunca</v>
      </c>
      <c r="AC80">
        <v>1</v>
      </c>
      <c r="AD80">
        <f t="shared" si="43"/>
        <v>1</v>
      </c>
      <c r="AE80" t="str">
        <f t="shared" si="44"/>
        <v>Usualmente</v>
      </c>
      <c r="AF80">
        <v>0</v>
      </c>
      <c r="AG80" t="str">
        <f t="shared" si="45"/>
        <v>Nunca</v>
      </c>
      <c r="AH80">
        <v>0</v>
      </c>
      <c r="AI80" t="str">
        <f t="shared" si="46"/>
        <v>No usa</v>
      </c>
      <c r="AJ80">
        <v>0</v>
      </c>
      <c r="AK80" t="str">
        <f t="shared" si="47"/>
        <v>No usa</v>
      </c>
      <c r="AL80">
        <v>0</v>
      </c>
      <c r="AM80" t="str">
        <f t="shared" si="48"/>
        <v>No usa</v>
      </c>
      <c r="AN80">
        <v>1</v>
      </c>
      <c r="AO80" t="str">
        <f t="shared" si="49"/>
        <v>Usa Transporte</v>
      </c>
      <c r="AP80">
        <v>0</v>
      </c>
      <c r="AQ80" t="str">
        <f t="shared" si="50"/>
        <v>No camina</v>
      </c>
      <c r="AR80">
        <v>1</v>
      </c>
      <c r="AS80" t="str">
        <f t="shared" si="51"/>
        <v>Es Obeso</v>
      </c>
    </row>
    <row r="81" spans="1:45" x14ac:dyDescent="0.25">
      <c r="A81">
        <v>1</v>
      </c>
      <c r="B81" t="str">
        <f t="shared" si="26"/>
        <v>M</v>
      </c>
      <c r="C81">
        <v>23</v>
      </c>
      <c r="D81">
        <f t="shared" si="27"/>
        <v>23</v>
      </c>
      <c r="E81">
        <f t="shared" si="28"/>
        <v>23</v>
      </c>
      <c r="F81" t="str">
        <f t="shared" si="29"/>
        <v>1-25</v>
      </c>
      <c r="G81">
        <v>1</v>
      </c>
      <c r="H81" t="str">
        <f t="shared" si="30"/>
        <v>Pariente gordo</v>
      </c>
      <c r="I81">
        <v>0</v>
      </c>
      <c r="J81" t="str">
        <f t="shared" si="31"/>
        <v>Saludables</v>
      </c>
      <c r="K81">
        <v>2</v>
      </c>
      <c r="L81">
        <f t="shared" si="32"/>
        <v>1</v>
      </c>
      <c r="M81" t="str">
        <f t="shared" si="33"/>
        <v>Suele comer</v>
      </c>
      <c r="N81">
        <v>3</v>
      </c>
      <c r="O81">
        <f t="shared" si="34"/>
        <v>2</v>
      </c>
      <c r="P81" t="str">
        <f t="shared" si="35"/>
        <v>Mas de 3</v>
      </c>
      <c r="Q81">
        <v>1</v>
      </c>
      <c r="R81" t="str">
        <f t="shared" si="36"/>
        <v>A veces</v>
      </c>
      <c r="S81">
        <v>0</v>
      </c>
      <c r="T81" t="str">
        <f t="shared" si="37"/>
        <v>No fuma</v>
      </c>
      <c r="U81">
        <v>2</v>
      </c>
      <c r="V81">
        <f t="shared" si="38"/>
        <v>2</v>
      </c>
      <c r="W81" t="str">
        <f t="shared" si="39"/>
        <v>Siempre</v>
      </c>
      <c r="X81">
        <v>0</v>
      </c>
      <c r="Y81" t="str">
        <f t="shared" si="40"/>
        <v>No controla</v>
      </c>
      <c r="Z81">
        <v>0</v>
      </c>
      <c r="AA81">
        <f t="shared" si="41"/>
        <v>0</v>
      </c>
      <c r="AB81" t="str">
        <f t="shared" si="42"/>
        <v>Nunca</v>
      </c>
      <c r="AC81">
        <v>0</v>
      </c>
      <c r="AD81">
        <f t="shared" si="43"/>
        <v>0</v>
      </c>
      <c r="AE81" t="str">
        <f t="shared" si="44"/>
        <v>Nunca</v>
      </c>
      <c r="AF81">
        <v>1</v>
      </c>
      <c r="AG81" t="str">
        <f t="shared" si="45"/>
        <v>A veces</v>
      </c>
      <c r="AH81">
        <v>0</v>
      </c>
      <c r="AI81" t="str">
        <f t="shared" si="46"/>
        <v>No usa</v>
      </c>
      <c r="AJ81">
        <v>0</v>
      </c>
      <c r="AK81" t="str">
        <f t="shared" si="47"/>
        <v>No usa</v>
      </c>
      <c r="AL81">
        <v>0</v>
      </c>
      <c r="AM81" t="str">
        <f t="shared" si="48"/>
        <v>No usa</v>
      </c>
      <c r="AN81">
        <v>1</v>
      </c>
      <c r="AO81" t="str">
        <f t="shared" si="49"/>
        <v>Usa Transporte</v>
      </c>
      <c r="AP81">
        <v>0</v>
      </c>
      <c r="AQ81" t="str">
        <f t="shared" si="50"/>
        <v>No camina</v>
      </c>
      <c r="AR81">
        <v>0</v>
      </c>
      <c r="AS81" t="str">
        <f t="shared" si="51"/>
        <v>No es obeso</v>
      </c>
    </row>
    <row r="82" spans="1:45" x14ac:dyDescent="0.25">
      <c r="A82">
        <v>0</v>
      </c>
      <c r="B82" t="str">
        <f t="shared" si="26"/>
        <v>F</v>
      </c>
      <c r="C82">
        <v>19</v>
      </c>
      <c r="D82">
        <f t="shared" si="27"/>
        <v>19</v>
      </c>
      <c r="E82">
        <f t="shared" si="28"/>
        <v>19</v>
      </c>
      <c r="F82" t="str">
        <f t="shared" si="29"/>
        <v>1-25</v>
      </c>
      <c r="G82">
        <v>0</v>
      </c>
      <c r="H82" t="str">
        <f t="shared" si="30"/>
        <v>Pariente normal</v>
      </c>
      <c r="I82">
        <v>0</v>
      </c>
      <c r="J82" t="str">
        <f t="shared" si="31"/>
        <v>Saludables</v>
      </c>
      <c r="K82">
        <v>3</v>
      </c>
      <c r="L82">
        <f t="shared" si="32"/>
        <v>1</v>
      </c>
      <c r="M82" t="str">
        <f t="shared" si="33"/>
        <v>Suele comer</v>
      </c>
      <c r="N82">
        <v>3</v>
      </c>
      <c r="O82">
        <f t="shared" si="34"/>
        <v>2</v>
      </c>
      <c r="P82" t="str">
        <f t="shared" si="35"/>
        <v>Mas de 3</v>
      </c>
      <c r="Q82">
        <v>1</v>
      </c>
      <c r="R82" t="str">
        <f t="shared" si="36"/>
        <v>A veces</v>
      </c>
      <c r="S82">
        <v>0</v>
      </c>
      <c r="T82" t="str">
        <f t="shared" si="37"/>
        <v>No fuma</v>
      </c>
      <c r="U82">
        <v>2</v>
      </c>
      <c r="V82">
        <f t="shared" si="38"/>
        <v>2</v>
      </c>
      <c r="W82" t="str">
        <f t="shared" si="39"/>
        <v>Siempre</v>
      </c>
      <c r="X82">
        <v>1</v>
      </c>
      <c r="Y82" t="str">
        <f t="shared" si="40"/>
        <v>Controla</v>
      </c>
      <c r="Z82">
        <v>0</v>
      </c>
      <c r="AA82">
        <f t="shared" si="41"/>
        <v>0</v>
      </c>
      <c r="AB82" t="str">
        <f t="shared" si="42"/>
        <v>Nunca</v>
      </c>
      <c r="AC82">
        <v>0</v>
      </c>
      <c r="AD82">
        <f t="shared" si="43"/>
        <v>0</v>
      </c>
      <c r="AE82" t="str">
        <f t="shared" si="44"/>
        <v>Nunca</v>
      </c>
      <c r="AF82">
        <v>0</v>
      </c>
      <c r="AG82" t="str">
        <f t="shared" si="45"/>
        <v>Nunca</v>
      </c>
      <c r="AH82">
        <v>0</v>
      </c>
      <c r="AI82" t="str">
        <f t="shared" si="46"/>
        <v>No usa</v>
      </c>
      <c r="AJ82">
        <v>0</v>
      </c>
      <c r="AK82" t="str">
        <f t="shared" si="47"/>
        <v>No usa</v>
      </c>
      <c r="AL82">
        <v>0</v>
      </c>
      <c r="AM82" t="str">
        <f t="shared" si="48"/>
        <v>No usa</v>
      </c>
      <c r="AN82">
        <v>1</v>
      </c>
      <c r="AO82" t="str">
        <f t="shared" si="49"/>
        <v>Usa Transporte</v>
      </c>
      <c r="AP82">
        <v>0</v>
      </c>
      <c r="AQ82" t="str">
        <f t="shared" si="50"/>
        <v>No camina</v>
      </c>
      <c r="AR82">
        <v>0</v>
      </c>
      <c r="AS82" t="str">
        <f t="shared" si="51"/>
        <v>No es obeso</v>
      </c>
    </row>
    <row r="83" spans="1:45" x14ac:dyDescent="0.25">
      <c r="A83">
        <v>1</v>
      </c>
      <c r="B83" t="str">
        <f t="shared" si="26"/>
        <v>M</v>
      </c>
      <c r="C83">
        <v>30</v>
      </c>
      <c r="D83">
        <f t="shared" si="27"/>
        <v>30</v>
      </c>
      <c r="E83">
        <f t="shared" si="28"/>
        <v>30</v>
      </c>
      <c r="F83" t="str">
        <f t="shared" si="29"/>
        <v>25-50</v>
      </c>
      <c r="G83">
        <v>1</v>
      </c>
      <c r="H83" t="str">
        <f t="shared" si="30"/>
        <v>Pariente gordo</v>
      </c>
      <c r="I83">
        <v>1</v>
      </c>
      <c r="J83" t="str">
        <f t="shared" si="31"/>
        <v>Hipercaloricos</v>
      </c>
      <c r="K83">
        <v>2</v>
      </c>
      <c r="L83">
        <f t="shared" si="32"/>
        <v>1</v>
      </c>
      <c r="M83" t="str">
        <f t="shared" si="33"/>
        <v>Suele comer</v>
      </c>
      <c r="N83">
        <v>3</v>
      </c>
      <c r="O83">
        <f t="shared" si="34"/>
        <v>2</v>
      </c>
      <c r="P83" t="str">
        <f t="shared" si="35"/>
        <v>Mas de 3</v>
      </c>
      <c r="Q83">
        <v>2</v>
      </c>
      <c r="R83" t="str">
        <f t="shared" si="36"/>
        <v>Usualmente</v>
      </c>
      <c r="S83">
        <v>0</v>
      </c>
      <c r="T83" t="str">
        <f t="shared" si="37"/>
        <v>No fuma</v>
      </c>
      <c r="U83">
        <v>2</v>
      </c>
      <c r="V83">
        <f t="shared" si="38"/>
        <v>2</v>
      </c>
      <c r="W83" t="str">
        <f t="shared" si="39"/>
        <v>Siempre</v>
      </c>
      <c r="X83">
        <v>0</v>
      </c>
      <c r="Y83" t="str">
        <f t="shared" si="40"/>
        <v>No controla</v>
      </c>
      <c r="Z83">
        <v>0</v>
      </c>
      <c r="AA83">
        <f t="shared" si="41"/>
        <v>0</v>
      </c>
      <c r="AB83" t="str">
        <f t="shared" si="42"/>
        <v>Nunca</v>
      </c>
      <c r="AC83">
        <v>0</v>
      </c>
      <c r="AD83">
        <f t="shared" si="43"/>
        <v>0</v>
      </c>
      <c r="AE83" t="str">
        <f t="shared" si="44"/>
        <v>Nunca</v>
      </c>
      <c r="AF83">
        <v>1</v>
      </c>
      <c r="AG83" t="str">
        <f t="shared" si="45"/>
        <v>A veces</v>
      </c>
      <c r="AH83">
        <v>0</v>
      </c>
      <c r="AI83" t="str">
        <f t="shared" si="46"/>
        <v>No usa</v>
      </c>
      <c r="AJ83">
        <v>0</v>
      </c>
      <c r="AK83" t="str">
        <f t="shared" si="47"/>
        <v>No usa</v>
      </c>
      <c r="AL83">
        <v>0</v>
      </c>
      <c r="AM83" t="str">
        <f t="shared" si="48"/>
        <v>No usa</v>
      </c>
      <c r="AN83">
        <v>1</v>
      </c>
      <c r="AO83" t="str">
        <f t="shared" si="49"/>
        <v>Usa Transporte</v>
      </c>
      <c r="AP83">
        <v>0</v>
      </c>
      <c r="AQ83" t="str">
        <f t="shared" si="50"/>
        <v>No camina</v>
      </c>
      <c r="AR83">
        <v>0</v>
      </c>
      <c r="AS83" t="str">
        <f t="shared" si="51"/>
        <v>No es obeso</v>
      </c>
    </row>
    <row r="84" spans="1:45" x14ac:dyDescent="0.25">
      <c r="A84">
        <v>1</v>
      </c>
      <c r="B84" t="str">
        <f t="shared" si="26"/>
        <v>M</v>
      </c>
      <c r="C84">
        <v>23</v>
      </c>
      <c r="D84">
        <f t="shared" si="27"/>
        <v>23</v>
      </c>
      <c r="E84">
        <f t="shared" si="28"/>
        <v>23</v>
      </c>
      <c r="F84" t="str">
        <f t="shared" si="29"/>
        <v>1-25</v>
      </c>
      <c r="G84">
        <v>1</v>
      </c>
      <c r="H84" t="str">
        <f t="shared" si="30"/>
        <v>Pariente gordo</v>
      </c>
      <c r="I84">
        <v>1</v>
      </c>
      <c r="J84" t="str">
        <f t="shared" si="31"/>
        <v>Hipercaloricos</v>
      </c>
      <c r="K84">
        <v>2</v>
      </c>
      <c r="L84">
        <f t="shared" si="32"/>
        <v>1</v>
      </c>
      <c r="M84" t="str">
        <f t="shared" si="33"/>
        <v>Suele comer</v>
      </c>
      <c r="N84">
        <v>3</v>
      </c>
      <c r="O84">
        <f t="shared" si="34"/>
        <v>2</v>
      </c>
      <c r="P84" t="str">
        <f t="shared" si="35"/>
        <v>Mas de 3</v>
      </c>
      <c r="Q84">
        <v>3</v>
      </c>
      <c r="R84" t="str">
        <f t="shared" si="36"/>
        <v>Siempre</v>
      </c>
      <c r="S84">
        <v>0</v>
      </c>
      <c r="T84" t="str">
        <f t="shared" si="37"/>
        <v>No fuma</v>
      </c>
      <c r="U84">
        <v>2</v>
      </c>
      <c r="V84">
        <f t="shared" si="38"/>
        <v>2</v>
      </c>
      <c r="W84" t="str">
        <f t="shared" si="39"/>
        <v>Siempre</v>
      </c>
      <c r="X84">
        <v>0</v>
      </c>
      <c r="Y84" t="str">
        <f t="shared" si="40"/>
        <v>No controla</v>
      </c>
      <c r="Z84">
        <v>0</v>
      </c>
      <c r="AA84">
        <f t="shared" si="41"/>
        <v>0</v>
      </c>
      <c r="AB84" t="str">
        <f t="shared" si="42"/>
        <v>Nunca</v>
      </c>
      <c r="AC84">
        <v>1</v>
      </c>
      <c r="AD84">
        <f t="shared" si="43"/>
        <v>1</v>
      </c>
      <c r="AE84" t="str">
        <f t="shared" si="44"/>
        <v>Usualmente</v>
      </c>
      <c r="AF84">
        <v>0</v>
      </c>
      <c r="AG84" t="str">
        <f t="shared" si="45"/>
        <v>Nunca</v>
      </c>
      <c r="AH84">
        <v>0</v>
      </c>
      <c r="AI84" t="str">
        <f t="shared" si="46"/>
        <v>No usa</v>
      </c>
      <c r="AJ84">
        <v>0</v>
      </c>
      <c r="AK84" t="str">
        <f t="shared" si="47"/>
        <v>No usa</v>
      </c>
      <c r="AL84">
        <v>0</v>
      </c>
      <c r="AM84" t="str">
        <f t="shared" si="48"/>
        <v>No usa</v>
      </c>
      <c r="AN84">
        <v>1</v>
      </c>
      <c r="AO84" t="str">
        <f t="shared" si="49"/>
        <v>Usa Transporte</v>
      </c>
      <c r="AP84">
        <v>0</v>
      </c>
      <c r="AQ84" t="str">
        <f t="shared" si="50"/>
        <v>No camina</v>
      </c>
      <c r="AR84">
        <v>1</v>
      </c>
      <c r="AS84" t="str">
        <f t="shared" si="51"/>
        <v>Es Obeso</v>
      </c>
    </row>
    <row r="85" spans="1:45" x14ac:dyDescent="0.25">
      <c r="A85">
        <v>0</v>
      </c>
      <c r="B85" t="str">
        <f t="shared" si="26"/>
        <v>F</v>
      </c>
      <c r="C85">
        <v>19</v>
      </c>
      <c r="D85">
        <f t="shared" si="27"/>
        <v>19</v>
      </c>
      <c r="E85">
        <f t="shared" si="28"/>
        <v>19</v>
      </c>
      <c r="F85" t="str">
        <f t="shared" si="29"/>
        <v>1-25</v>
      </c>
      <c r="G85">
        <v>0</v>
      </c>
      <c r="H85" t="str">
        <f t="shared" si="30"/>
        <v>Pariente normal</v>
      </c>
      <c r="I85">
        <v>0</v>
      </c>
      <c r="J85" t="str">
        <f t="shared" si="31"/>
        <v>Saludables</v>
      </c>
      <c r="K85">
        <v>3</v>
      </c>
      <c r="L85">
        <f t="shared" si="32"/>
        <v>1</v>
      </c>
      <c r="M85" t="str">
        <f t="shared" si="33"/>
        <v>Suele comer</v>
      </c>
      <c r="N85">
        <v>3</v>
      </c>
      <c r="O85">
        <f t="shared" si="34"/>
        <v>2</v>
      </c>
      <c r="P85" t="str">
        <f t="shared" si="35"/>
        <v>Mas de 3</v>
      </c>
      <c r="Q85">
        <v>0</v>
      </c>
      <c r="R85" t="str">
        <f t="shared" si="36"/>
        <v>Nunca</v>
      </c>
      <c r="S85">
        <v>0</v>
      </c>
      <c r="T85" t="str">
        <f t="shared" si="37"/>
        <v>No fuma</v>
      </c>
      <c r="U85">
        <v>3</v>
      </c>
      <c r="V85">
        <f t="shared" si="38"/>
        <v>2</v>
      </c>
      <c r="W85" t="str">
        <f t="shared" si="39"/>
        <v>Siempre</v>
      </c>
      <c r="X85">
        <v>1</v>
      </c>
      <c r="Y85" t="str">
        <f t="shared" si="40"/>
        <v>Controla</v>
      </c>
      <c r="Z85">
        <v>2</v>
      </c>
      <c r="AA85">
        <f t="shared" si="41"/>
        <v>2</v>
      </c>
      <c r="AB85" t="str">
        <f t="shared" si="42"/>
        <v>Usualmente</v>
      </c>
      <c r="AC85">
        <v>0</v>
      </c>
      <c r="AD85">
        <f t="shared" si="43"/>
        <v>0</v>
      </c>
      <c r="AE85" t="str">
        <f t="shared" si="44"/>
        <v>Nunca</v>
      </c>
      <c r="AF85">
        <v>0</v>
      </c>
      <c r="AG85" t="str">
        <f t="shared" si="45"/>
        <v>Nunca</v>
      </c>
      <c r="AH85">
        <v>0</v>
      </c>
      <c r="AI85" t="str">
        <f t="shared" si="46"/>
        <v>No usa</v>
      </c>
      <c r="AJ85">
        <v>0</v>
      </c>
      <c r="AK85" t="str">
        <f t="shared" si="47"/>
        <v>No usa</v>
      </c>
      <c r="AL85">
        <v>0</v>
      </c>
      <c r="AM85" t="str">
        <f t="shared" si="48"/>
        <v>No usa</v>
      </c>
      <c r="AN85">
        <v>0</v>
      </c>
      <c r="AO85" t="str">
        <f t="shared" si="49"/>
        <v>No usa</v>
      </c>
      <c r="AP85">
        <v>1</v>
      </c>
      <c r="AQ85" t="str">
        <f t="shared" si="50"/>
        <v>Camina</v>
      </c>
      <c r="AR85">
        <v>0</v>
      </c>
      <c r="AS85" t="str">
        <f t="shared" si="51"/>
        <v>No es obeso</v>
      </c>
    </row>
    <row r="86" spans="1:45" x14ac:dyDescent="0.25">
      <c r="A86">
        <v>1</v>
      </c>
      <c r="B86" t="str">
        <f t="shared" si="26"/>
        <v>M</v>
      </c>
      <c r="C86">
        <v>25</v>
      </c>
      <c r="D86">
        <f t="shared" si="27"/>
        <v>25</v>
      </c>
      <c r="E86">
        <f t="shared" si="28"/>
        <v>25</v>
      </c>
      <c r="F86" t="str">
        <f t="shared" si="29"/>
        <v>1-25</v>
      </c>
      <c r="G86">
        <v>1</v>
      </c>
      <c r="H86" t="str">
        <f t="shared" si="30"/>
        <v>Pariente gordo</v>
      </c>
      <c r="I86">
        <v>1</v>
      </c>
      <c r="J86" t="str">
        <f t="shared" si="31"/>
        <v>Hipercaloricos</v>
      </c>
      <c r="K86">
        <v>2</v>
      </c>
      <c r="L86">
        <f t="shared" si="32"/>
        <v>1</v>
      </c>
      <c r="M86" t="str">
        <f t="shared" si="33"/>
        <v>Suele comer</v>
      </c>
      <c r="N86">
        <v>3</v>
      </c>
      <c r="O86">
        <f t="shared" si="34"/>
        <v>2</v>
      </c>
      <c r="P86" t="str">
        <f t="shared" si="35"/>
        <v>Mas de 3</v>
      </c>
      <c r="Q86">
        <v>2</v>
      </c>
      <c r="R86" t="str">
        <f t="shared" si="36"/>
        <v>Usualmente</v>
      </c>
      <c r="S86">
        <v>0</v>
      </c>
      <c r="T86" t="str">
        <f t="shared" si="37"/>
        <v>No fuma</v>
      </c>
      <c r="U86">
        <v>2</v>
      </c>
      <c r="V86">
        <f t="shared" si="38"/>
        <v>2</v>
      </c>
      <c r="W86" t="str">
        <f t="shared" si="39"/>
        <v>Siempre</v>
      </c>
      <c r="X86">
        <v>0</v>
      </c>
      <c r="Y86" t="str">
        <f t="shared" si="40"/>
        <v>No controla</v>
      </c>
      <c r="Z86">
        <v>0</v>
      </c>
      <c r="AA86">
        <f t="shared" si="41"/>
        <v>0</v>
      </c>
      <c r="AB86" t="str">
        <f t="shared" si="42"/>
        <v>Nunca</v>
      </c>
      <c r="AC86">
        <v>1</v>
      </c>
      <c r="AD86">
        <f t="shared" si="43"/>
        <v>1</v>
      </c>
      <c r="AE86" t="str">
        <f t="shared" si="44"/>
        <v>Usualmente</v>
      </c>
      <c r="AF86">
        <v>1</v>
      </c>
      <c r="AG86" t="str">
        <f t="shared" si="45"/>
        <v>A veces</v>
      </c>
      <c r="AH86">
        <v>0</v>
      </c>
      <c r="AI86" t="str">
        <f t="shared" si="46"/>
        <v>No usa</v>
      </c>
      <c r="AJ86">
        <v>0</v>
      </c>
      <c r="AK86" t="str">
        <f t="shared" si="47"/>
        <v>No usa</v>
      </c>
      <c r="AL86">
        <v>0</v>
      </c>
      <c r="AM86" t="str">
        <f t="shared" si="48"/>
        <v>No usa</v>
      </c>
      <c r="AN86">
        <v>1</v>
      </c>
      <c r="AO86" t="str">
        <f t="shared" si="49"/>
        <v>Usa Transporte</v>
      </c>
      <c r="AP86">
        <v>0</v>
      </c>
      <c r="AQ86" t="str">
        <f t="shared" si="50"/>
        <v>No camina</v>
      </c>
      <c r="AR86">
        <v>0</v>
      </c>
      <c r="AS86" t="str">
        <f t="shared" si="51"/>
        <v>No es obeso</v>
      </c>
    </row>
    <row r="87" spans="1:45" x14ac:dyDescent="0.25">
      <c r="A87">
        <v>1</v>
      </c>
      <c r="B87" t="str">
        <f t="shared" si="26"/>
        <v>M</v>
      </c>
      <c r="C87">
        <v>23</v>
      </c>
      <c r="D87">
        <f t="shared" si="27"/>
        <v>23</v>
      </c>
      <c r="E87">
        <f t="shared" si="28"/>
        <v>23</v>
      </c>
      <c r="F87" t="str">
        <f t="shared" si="29"/>
        <v>1-25</v>
      </c>
      <c r="G87">
        <v>1</v>
      </c>
      <c r="H87" t="str">
        <f t="shared" si="30"/>
        <v>Pariente gordo</v>
      </c>
      <c r="I87">
        <v>0</v>
      </c>
      <c r="J87" t="str">
        <f t="shared" si="31"/>
        <v>Saludables</v>
      </c>
      <c r="K87">
        <v>2</v>
      </c>
      <c r="L87">
        <f t="shared" si="32"/>
        <v>1</v>
      </c>
      <c r="M87" t="str">
        <f t="shared" si="33"/>
        <v>Suele comer</v>
      </c>
      <c r="N87">
        <v>3</v>
      </c>
      <c r="O87">
        <f t="shared" si="34"/>
        <v>2</v>
      </c>
      <c r="P87" t="str">
        <f t="shared" si="35"/>
        <v>Mas de 3</v>
      </c>
      <c r="Q87">
        <v>1</v>
      </c>
      <c r="R87" t="str">
        <f t="shared" si="36"/>
        <v>A veces</v>
      </c>
      <c r="S87">
        <v>0</v>
      </c>
      <c r="T87" t="str">
        <f t="shared" si="37"/>
        <v>No fuma</v>
      </c>
      <c r="U87">
        <v>2</v>
      </c>
      <c r="V87">
        <f t="shared" si="38"/>
        <v>2</v>
      </c>
      <c r="W87" t="str">
        <f t="shared" si="39"/>
        <v>Siempre</v>
      </c>
      <c r="X87">
        <v>0</v>
      </c>
      <c r="Y87" t="str">
        <f t="shared" si="40"/>
        <v>No controla</v>
      </c>
      <c r="Z87">
        <v>0</v>
      </c>
      <c r="AA87">
        <f t="shared" si="41"/>
        <v>0</v>
      </c>
      <c r="AB87" t="str">
        <f t="shared" si="42"/>
        <v>Nunca</v>
      </c>
      <c r="AC87">
        <v>0</v>
      </c>
      <c r="AD87">
        <f t="shared" si="43"/>
        <v>0</v>
      </c>
      <c r="AE87" t="str">
        <f t="shared" si="44"/>
        <v>Nunca</v>
      </c>
      <c r="AF87">
        <v>0</v>
      </c>
      <c r="AG87" t="str">
        <f t="shared" si="45"/>
        <v>Nunca</v>
      </c>
      <c r="AH87">
        <v>0</v>
      </c>
      <c r="AI87" t="str">
        <f t="shared" si="46"/>
        <v>No usa</v>
      </c>
      <c r="AJ87">
        <v>0</v>
      </c>
      <c r="AK87" t="str">
        <f t="shared" si="47"/>
        <v>No usa</v>
      </c>
      <c r="AL87">
        <v>0</v>
      </c>
      <c r="AM87" t="str">
        <f t="shared" si="48"/>
        <v>No usa</v>
      </c>
      <c r="AN87">
        <v>1</v>
      </c>
      <c r="AO87" t="str">
        <f t="shared" si="49"/>
        <v>Usa Transporte</v>
      </c>
      <c r="AP87">
        <v>0</v>
      </c>
      <c r="AQ87" t="str">
        <f t="shared" si="50"/>
        <v>No camina</v>
      </c>
      <c r="AR87">
        <v>0</v>
      </c>
      <c r="AS87" t="str">
        <f t="shared" si="51"/>
        <v>No es obeso</v>
      </c>
    </row>
    <row r="88" spans="1:45" x14ac:dyDescent="0.25">
      <c r="A88">
        <v>1</v>
      </c>
      <c r="B88" t="str">
        <f t="shared" si="26"/>
        <v>M</v>
      </c>
      <c r="C88">
        <v>21</v>
      </c>
      <c r="D88">
        <f t="shared" si="27"/>
        <v>21</v>
      </c>
      <c r="E88">
        <f t="shared" si="28"/>
        <v>21</v>
      </c>
      <c r="F88" t="str">
        <f t="shared" si="29"/>
        <v>1-25</v>
      </c>
      <c r="G88">
        <v>1</v>
      </c>
      <c r="H88" t="str">
        <f t="shared" si="30"/>
        <v>Pariente gordo</v>
      </c>
      <c r="I88">
        <v>1</v>
      </c>
      <c r="J88" t="str">
        <f t="shared" si="31"/>
        <v>Hipercaloricos</v>
      </c>
      <c r="K88">
        <v>2</v>
      </c>
      <c r="L88">
        <f t="shared" si="32"/>
        <v>1</v>
      </c>
      <c r="M88" t="str">
        <f t="shared" si="33"/>
        <v>Suele comer</v>
      </c>
      <c r="N88">
        <v>1</v>
      </c>
      <c r="O88">
        <f t="shared" si="34"/>
        <v>1</v>
      </c>
      <c r="P88">
        <f t="shared" si="35"/>
        <v>3</v>
      </c>
      <c r="Q88">
        <v>2</v>
      </c>
      <c r="R88" t="str">
        <f t="shared" si="36"/>
        <v>Usualmente</v>
      </c>
      <c r="S88">
        <v>0</v>
      </c>
      <c r="T88" t="str">
        <f t="shared" si="37"/>
        <v>No fuma</v>
      </c>
      <c r="U88">
        <v>3</v>
      </c>
      <c r="V88">
        <f t="shared" si="38"/>
        <v>2</v>
      </c>
      <c r="W88" t="str">
        <f t="shared" si="39"/>
        <v>Siempre</v>
      </c>
      <c r="X88">
        <v>0</v>
      </c>
      <c r="Y88" t="str">
        <f t="shared" si="40"/>
        <v>No controla</v>
      </c>
      <c r="Z88">
        <v>1</v>
      </c>
      <c r="AA88">
        <f t="shared" si="41"/>
        <v>1</v>
      </c>
      <c r="AB88" t="str">
        <f t="shared" si="42"/>
        <v>A veces</v>
      </c>
      <c r="AC88">
        <v>0</v>
      </c>
      <c r="AD88">
        <f t="shared" si="43"/>
        <v>0</v>
      </c>
      <c r="AE88" t="str">
        <f t="shared" si="44"/>
        <v>Nunca</v>
      </c>
      <c r="AF88">
        <v>0</v>
      </c>
      <c r="AG88" t="str">
        <f t="shared" si="45"/>
        <v>Nunca</v>
      </c>
      <c r="AH88">
        <v>0</v>
      </c>
      <c r="AI88" t="str">
        <f t="shared" si="46"/>
        <v>No usa</v>
      </c>
      <c r="AJ88">
        <v>0</v>
      </c>
      <c r="AK88" t="str">
        <f t="shared" si="47"/>
        <v>No usa</v>
      </c>
      <c r="AL88">
        <v>0</v>
      </c>
      <c r="AM88" t="str">
        <f t="shared" si="48"/>
        <v>No usa</v>
      </c>
      <c r="AN88">
        <v>1</v>
      </c>
      <c r="AO88" t="str">
        <f t="shared" si="49"/>
        <v>Usa Transporte</v>
      </c>
      <c r="AP88">
        <v>0</v>
      </c>
      <c r="AQ88" t="str">
        <f t="shared" si="50"/>
        <v>No camina</v>
      </c>
      <c r="AR88">
        <v>0</v>
      </c>
      <c r="AS88" t="str">
        <f t="shared" si="51"/>
        <v>No es obeso</v>
      </c>
    </row>
    <row r="89" spans="1:45" x14ac:dyDescent="0.25">
      <c r="A89">
        <v>1</v>
      </c>
      <c r="B89" t="str">
        <f t="shared" si="26"/>
        <v>M</v>
      </c>
      <c r="C89">
        <v>19</v>
      </c>
      <c r="D89">
        <f t="shared" si="27"/>
        <v>19</v>
      </c>
      <c r="E89">
        <f t="shared" si="28"/>
        <v>19</v>
      </c>
      <c r="F89" t="str">
        <f t="shared" si="29"/>
        <v>1-25</v>
      </c>
      <c r="G89">
        <v>1</v>
      </c>
      <c r="H89" t="str">
        <f t="shared" si="30"/>
        <v>Pariente gordo</v>
      </c>
      <c r="I89">
        <v>1</v>
      </c>
      <c r="J89" t="str">
        <f t="shared" si="31"/>
        <v>Hipercaloricos</v>
      </c>
      <c r="K89">
        <v>2</v>
      </c>
      <c r="L89">
        <f t="shared" si="32"/>
        <v>1</v>
      </c>
      <c r="M89" t="str">
        <f t="shared" si="33"/>
        <v>Suele comer</v>
      </c>
      <c r="N89">
        <v>3</v>
      </c>
      <c r="O89">
        <f t="shared" si="34"/>
        <v>2</v>
      </c>
      <c r="P89" t="str">
        <f t="shared" si="35"/>
        <v>Mas de 3</v>
      </c>
      <c r="Q89">
        <v>1</v>
      </c>
      <c r="R89" t="str">
        <f t="shared" si="36"/>
        <v>A veces</v>
      </c>
      <c r="S89">
        <v>0</v>
      </c>
      <c r="T89" t="str">
        <f t="shared" si="37"/>
        <v>No fuma</v>
      </c>
      <c r="U89">
        <v>2</v>
      </c>
      <c r="V89">
        <f t="shared" si="38"/>
        <v>2</v>
      </c>
      <c r="W89" t="str">
        <f t="shared" si="39"/>
        <v>Siempre</v>
      </c>
      <c r="X89">
        <v>0</v>
      </c>
      <c r="Y89" t="str">
        <f t="shared" si="40"/>
        <v>No controla</v>
      </c>
      <c r="Z89">
        <v>0</v>
      </c>
      <c r="AA89">
        <f t="shared" si="41"/>
        <v>0</v>
      </c>
      <c r="AB89" t="str">
        <f t="shared" si="42"/>
        <v>Nunca</v>
      </c>
      <c r="AC89">
        <v>0</v>
      </c>
      <c r="AD89">
        <f t="shared" si="43"/>
        <v>0</v>
      </c>
      <c r="AE89" t="str">
        <f t="shared" si="44"/>
        <v>Nunca</v>
      </c>
      <c r="AF89">
        <v>0</v>
      </c>
      <c r="AG89" t="str">
        <f t="shared" si="45"/>
        <v>Nunca</v>
      </c>
      <c r="AH89">
        <v>0</v>
      </c>
      <c r="AI89" t="str">
        <f t="shared" si="46"/>
        <v>No usa</v>
      </c>
      <c r="AJ89">
        <v>0</v>
      </c>
      <c r="AK89" t="str">
        <f t="shared" si="47"/>
        <v>No usa</v>
      </c>
      <c r="AL89">
        <v>0</v>
      </c>
      <c r="AM89" t="str">
        <f t="shared" si="48"/>
        <v>No usa</v>
      </c>
      <c r="AN89">
        <v>1</v>
      </c>
      <c r="AO89" t="str">
        <f t="shared" si="49"/>
        <v>Usa Transporte</v>
      </c>
      <c r="AP89">
        <v>0</v>
      </c>
      <c r="AQ89" t="str">
        <f t="shared" si="50"/>
        <v>No camina</v>
      </c>
      <c r="AR89">
        <v>0</v>
      </c>
      <c r="AS89" t="str">
        <f t="shared" si="51"/>
        <v>No es obeso</v>
      </c>
    </row>
    <row r="90" spans="1:45" x14ac:dyDescent="0.25">
      <c r="A90">
        <v>0</v>
      </c>
      <c r="B90" t="str">
        <f t="shared" si="26"/>
        <v>F</v>
      </c>
      <c r="C90">
        <v>22</v>
      </c>
      <c r="D90">
        <f t="shared" si="27"/>
        <v>22</v>
      </c>
      <c r="E90">
        <f t="shared" si="28"/>
        <v>22</v>
      </c>
      <c r="F90" t="str">
        <f t="shared" si="29"/>
        <v>1-25</v>
      </c>
      <c r="G90">
        <v>1</v>
      </c>
      <c r="H90" t="str">
        <f t="shared" si="30"/>
        <v>Pariente gordo</v>
      </c>
      <c r="I90">
        <v>1</v>
      </c>
      <c r="J90" t="str">
        <f t="shared" si="31"/>
        <v>Hipercaloricos</v>
      </c>
      <c r="K90">
        <v>2</v>
      </c>
      <c r="L90">
        <f t="shared" si="32"/>
        <v>1</v>
      </c>
      <c r="M90" t="str">
        <f t="shared" si="33"/>
        <v>Suele comer</v>
      </c>
      <c r="N90">
        <v>3</v>
      </c>
      <c r="O90">
        <f t="shared" si="34"/>
        <v>2</v>
      </c>
      <c r="P90" t="str">
        <f t="shared" si="35"/>
        <v>Mas de 3</v>
      </c>
      <c r="Q90">
        <v>2</v>
      </c>
      <c r="R90" t="str">
        <f t="shared" si="36"/>
        <v>Usualmente</v>
      </c>
      <c r="S90">
        <v>0</v>
      </c>
      <c r="T90" t="str">
        <f t="shared" si="37"/>
        <v>No fuma</v>
      </c>
      <c r="U90">
        <v>2</v>
      </c>
      <c r="V90">
        <f t="shared" si="38"/>
        <v>2</v>
      </c>
      <c r="W90" t="str">
        <f t="shared" si="39"/>
        <v>Siempre</v>
      </c>
      <c r="X90">
        <v>1</v>
      </c>
      <c r="Y90" t="str">
        <f t="shared" si="40"/>
        <v>Controla</v>
      </c>
      <c r="Z90">
        <v>1</v>
      </c>
      <c r="AA90">
        <f t="shared" si="41"/>
        <v>1</v>
      </c>
      <c r="AB90" t="str">
        <f t="shared" si="42"/>
        <v>A veces</v>
      </c>
      <c r="AC90">
        <v>0</v>
      </c>
      <c r="AD90">
        <f t="shared" si="43"/>
        <v>0</v>
      </c>
      <c r="AE90" t="str">
        <f t="shared" si="44"/>
        <v>Nunca</v>
      </c>
      <c r="AF90">
        <v>0</v>
      </c>
      <c r="AG90" t="str">
        <f t="shared" si="45"/>
        <v>Nunca</v>
      </c>
      <c r="AH90">
        <v>1</v>
      </c>
      <c r="AI90" t="str">
        <f t="shared" si="46"/>
        <v>Usa auto</v>
      </c>
      <c r="AJ90">
        <v>0</v>
      </c>
      <c r="AK90" t="str">
        <f t="shared" si="47"/>
        <v>No usa</v>
      </c>
      <c r="AL90">
        <v>0</v>
      </c>
      <c r="AM90" t="str">
        <f t="shared" si="48"/>
        <v>No usa</v>
      </c>
      <c r="AN90">
        <v>0</v>
      </c>
      <c r="AO90" t="str">
        <f t="shared" si="49"/>
        <v>No usa</v>
      </c>
      <c r="AP90">
        <v>0</v>
      </c>
      <c r="AQ90" t="str">
        <f t="shared" si="50"/>
        <v>No camina</v>
      </c>
      <c r="AR90">
        <v>0</v>
      </c>
      <c r="AS90" t="str">
        <f t="shared" si="51"/>
        <v>No es obeso</v>
      </c>
    </row>
    <row r="91" spans="1:45" x14ac:dyDescent="0.25">
      <c r="A91">
        <v>0</v>
      </c>
      <c r="B91" t="str">
        <f t="shared" si="26"/>
        <v>F</v>
      </c>
      <c r="C91">
        <v>29</v>
      </c>
      <c r="D91">
        <f t="shared" si="27"/>
        <v>29</v>
      </c>
      <c r="E91">
        <f t="shared" si="28"/>
        <v>29</v>
      </c>
      <c r="F91" t="str">
        <f t="shared" si="29"/>
        <v>25-50</v>
      </c>
      <c r="G91">
        <v>1</v>
      </c>
      <c r="H91" t="str">
        <f t="shared" si="30"/>
        <v>Pariente gordo</v>
      </c>
      <c r="I91">
        <v>1</v>
      </c>
      <c r="J91" t="str">
        <f t="shared" si="31"/>
        <v>Hipercaloricos</v>
      </c>
      <c r="K91">
        <v>3</v>
      </c>
      <c r="L91">
        <f t="shared" si="32"/>
        <v>1</v>
      </c>
      <c r="M91" t="str">
        <f t="shared" si="33"/>
        <v>Suele comer</v>
      </c>
      <c r="N91">
        <v>3</v>
      </c>
      <c r="O91">
        <f t="shared" si="34"/>
        <v>2</v>
      </c>
      <c r="P91" t="str">
        <f t="shared" si="35"/>
        <v>Mas de 3</v>
      </c>
      <c r="Q91">
        <v>1</v>
      </c>
      <c r="R91" t="str">
        <f t="shared" si="36"/>
        <v>A veces</v>
      </c>
      <c r="S91">
        <v>0</v>
      </c>
      <c r="T91" t="str">
        <f t="shared" si="37"/>
        <v>No fuma</v>
      </c>
      <c r="U91">
        <v>1</v>
      </c>
      <c r="V91">
        <f t="shared" si="38"/>
        <v>1</v>
      </c>
      <c r="W91" t="str">
        <f t="shared" si="39"/>
        <v>Usualmente</v>
      </c>
      <c r="X91">
        <v>0</v>
      </c>
      <c r="Y91" t="str">
        <f t="shared" si="40"/>
        <v>No controla</v>
      </c>
      <c r="Z91">
        <v>2</v>
      </c>
      <c r="AA91">
        <f t="shared" si="41"/>
        <v>2</v>
      </c>
      <c r="AB91" t="str">
        <f t="shared" si="42"/>
        <v>Usualmente</v>
      </c>
      <c r="AC91">
        <v>1</v>
      </c>
      <c r="AD91">
        <f t="shared" si="43"/>
        <v>1</v>
      </c>
      <c r="AE91" t="str">
        <f t="shared" si="44"/>
        <v>Usualmente</v>
      </c>
      <c r="AF91">
        <v>2</v>
      </c>
      <c r="AG91" t="str">
        <f t="shared" si="45"/>
        <v>Usualmente</v>
      </c>
      <c r="AH91">
        <v>1</v>
      </c>
      <c r="AI91" t="str">
        <f t="shared" si="46"/>
        <v>Usa auto</v>
      </c>
      <c r="AJ91">
        <v>0</v>
      </c>
      <c r="AK91" t="str">
        <f t="shared" si="47"/>
        <v>No usa</v>
      </c>
      <c r="AL91">
        <v>0</v>
      </c>
      <c r="AM91" t="str">
        <f t="shared" si="48"/>
        <v>No usa</v>
      </c>
      <c r="AN91">
        <v>0</v>
      </c>
      <c r="AO91" t="str">
        <f t="shared" si="49"/>
        <v>No usa</v>
      </c>
      <c r="AP91">
        <v>0</v>
      </c>
      <c r="AQ91" t="str">
        <f t="shared" si="50"/>
        <v>No camina</v>
      </c>
      <c r="AR91">
        <v>0</v>
      </c>
      <c r="AS91" t="str">
        <f t="shared" si="51"/>
        <v>No es obeso</v>
      </c>
    </row>
    <row r="92" spans="1:45" x14ac:dyDescent="0.25">
      <c r="A92">
        <v>0</v>
      </c>
      <c r="B92" t="str">
        <f t="shared" si="26"/>
        <v>F</v>
      </c>
      <c r="C92">
        <v>25</v>
      </c>
      <c r="D92">
        <f t="shared" si="27"/>
        <v>25</v>
      </c>
      <c r="E92">
        <f t="shared" si="28"/>
        <v>25</v>
      </c>
      <c r="F92" t="str">
        <f t="shared" si="29"/>
        <v>1-25</v>
      </c>
      <c r="G92">
        <v>0</v>
      </c>
      <c r="H92" t="str">
        <f t="shared" si="30"/>
        <v>Pariente normal</v>
      </c>
      <c r="I92">
        <v>0</v>
      </c>
      <c r="J92" t="str">
        <f t="shared" si="31"/>
        <v>Saludables</v>
      </c>
      <c r="K92">
        <v>3</v>
      </c>
      <c r="L92">
        <f t="shared" si="32"/>
        <v>1</v>
      </c>
      <c r="M92" t="str">
        <f t="shared" si="33"/>
        <v>Suele comer</v>
      </c>
      <c r="N92">
        <v>4</v>
      </c>
      <c r="O92">
        <f t="shared" si="34"/>
        <v>2</v>
      </c>
      <c r="P92" t="str">
        <f t="shared" si="35"/>
        <v>Mas de 3</v>
      </c>
      <c r="Q92">
        <v>3</v>
      </c>
      <c r="R92" t="str">
        <f t="shared" si="36"/>
        <v>Siempre</v>
      </c>
      <c r="S92">
        <v>0</v>
      </c>
      <c r="T92" t="str">
        <f t="shared" si="37"/>
        <v>No fuma</v>
      </c>
      <c r="U92">
        <v>1</v>
      </c>
      <c r="V92">
        <f t="shared" si="38"/>
        <v>1</v>
      </c>
      <c r="W92" t="str">
        <f t="shared" si="39"/>
        <v>Usualmente</v>
      </c>
      <c r="X92">
        <v>0</v>
      </c>
      <c r="Y92" t="str">
        <f t="shared" si="40"/>
        <v>No controla</v>
      </c>
      <c r="Z92">
        <v>2</v>
      </c>
      <c r="AA92">
        <f t="shared" si="41"/>
        <v>2</v>
      </c>
      <c r="AB92" t="str">
        <f t="shared" si="42"/>
        <v>Usualmente</v>
      </c>
      <c r="AC92">
        <v>0</v>
      </c>
      <c r="AD92">
        <f t="shared" si="43"/>
        <v>0</v>
      </c>
      <c r="AE92" t="str">
        <f t="shared" si="44"/>
        <v>Nunca</v>
      </c>
      <c r="AF92">
        <v>0</v>
      </c>
      <c r="AG92" t="str">
        <f t="shared" si="45"/>
        <v>Nunca</v>
      </c>
      <c r="AH92">
        <v>0</v>
      </c>
      <c r="AI92" t="str">
        <f t="shared" si="46"/>
        <v>No usa</v>
      </c>
      <c r="AJ92">
        <v>0</v>
      </c>
      <c r="AK92" t="str">
        <f t="shared" si="47"/>
        <v>No usa</v>
      </c>
      <c r="AL92">
        <v>0</v>
      </c>
      <c r="AM92" t="str">
        <f t="shared" si="48"/>
        <v>No usa</v>
      </c>
      <c r="AN92">
        <v>1</v>
      </c>
      <c r="AO92" t="str">
        <f t="shared" si="49"/>
        <v>Usa Transporte</v>
      </c>
      <c r="AP92">
        <v>0</v>
      </c>
      <c r="AQ92" t="str">
        <f t="shared" si="50"/>
        <v>No camina</v>
      </c>
      <c r="AR92">
        <v>1</v>
      </c>
      <c r="AS92" t="str">
        <f t="shared" si="51"/>
        <v>Es Obeso</v>
      </c>
    </row>
    <row r="93" spans="1:45" x14ac:dyDescent="0.25">
      <c r="A93">
        <v>0</v>
      </c>
      <c r="B93" t="str">
        <f t="shared" si="26"/>
        <v>F</v>
      </c>
      <c r="C93">
        <v>20</v>
      </c>
      <c r="D93">
        <f t="shared" si="27"/>
        <v>20</v>
      </c>
      <c r="E93">
        <f t="shared" si="28"/>
        <v>20</v>
      </c>
      <c r="F93" t="str">
        <f t="shared" si="29"/>
        <v>1-25</v>
      </c>
      <c r="G93">
        <v>1</v>
      </c>
      <c r="H93" t="str">
        <f t="shared" si="30"/>
        <v>Pariente gordo</v>
      </c>
      <c r="I93">
        <v>0</v>
      </c>
      <c r="J93" t="str">
        <f t="shared" si="31"/>
        <v>Saludables</v>
      </c>
      <c r="K93">
        <v>3</v>
      </c>
      <c r="L93">
        <f t="shared" si="32"/>
        <v>1</v>
      </c>
      <c r="M93" t="str">
        <f t="shared" si="33"/>
        <v>Suele comer</v>
      </c>
      <c r="N93">
        <v>3</v>
      </c>
      <c r="O93">
        <f t="shared" si="34"/>
        <v>2</v>
      </c>
      <c r="P93" t="str">
        <f t="shared" si="35"/>
        <v>Mas de 3</v>
      </c>
      <c r="Q93">
        <v>3</v>
      </c>
      <c r="R93" t="str">
        <f t="shared" si="36"/>
        <v>Siempre</v>
      </c>
      <c r="S93">
        <v>0</v>
      </c>
      <c r="T93" t="str">
        <f t="shared" si="37"/>
        <v>No fuma</v>
      </c>
      <c r="U93">
        <v>2</v>
      </c>
      <c r="V93">
        <f t="shared" si="38"/>
        <v>2</v>
      </c>
      <c r="W93" t="str">
        <f t="shared" si="39"/>
        <v>Siempre</v>
      </c>
      <c r="X93">
        <v>1</v>
      </c>
      <c r="Y93" t="str">
        <f t="shared" si="40"/>
        <v>Controla</v>
      </c>
      <c r="Z93">
        <v>0</v>
      </c>
      <c r="AA93">
        <f t="shared" si="41"/>
        <v>0</v>
      </c>
      <c r="AB93" t="str">
        <f t="shared" si="42"/>
        <v>Nunca</v>
      </c>
      <c r="AC93">
        <v>1</v>
      </c>
      <c r="AD93">
        <f t="shared" si="43"/>
        <v>1</v>
      </c>
      <c r="AE93" t="str">
        <f t="shared" si="44"/>
        <v>Usualmente</v>
      </c>
      <c r="AF93">
        <v>2</v>
      </c>
      <c r="AG93" t="str">
        <f t="shared" si="45"/>
        <v>Usualmente</v>
      </c>
      <c r="AH93">
        <v>0</v>
      </c>
      <c r="AI93" t="str">
        <f t="shared" si="46"/>
        <v>No usa</v>
      </c>
      <c r="AJ93">
        <v>0</v>
      </c>
      <c r="AK93" t="str">
        <f t="shared" si="47"/>
        <v>No usa</v>
      </c>
      <c r="AL93">
        <v>0</v>
      </c>
      <c r="AM93" t="str">
        <f t="shared" si="48"/>
        <v>No usa</v>
      </c>
      <c r="AN93">
        <v>1</v>
      </c>
      <c r="AO93" t="str">
        <f t="shared" si="49"/>
        <v>Usa Transporte</v>
      </c>
      <c r="AP93">
        <v>0</v>
      </c>
      <c r="AQ93" t="str">
        <f t="shared" si="50"/>
        <v>No camina</v>
      </c>
      <c r="AR93">
        <v>0</v>
      </c>
      <c r="AS93" t="str">
        <f t="shared" si="51"/>
        <v>No es obeso</v>
      </c>
    </row>
    <row r="94" spans="1:45" x14ac:dyDescent="0.25">
      <c r="A94">
        <v>1</v>
      </c>
      <c r="B94" t="str">
        <f t="shared" si="26"/>
        <v>M</v>
      </c>
      <c r="C94">
        <v>55</v>
      </c>
      <c r="D94">
        <f t="shared" si="27"/>
        <v>55</v>
      </c>
      <c r="E94">
        <f t="shared" si="28"/>
        <v>55</v>
      </c>
      <c r="F94" t="str">
        <f t="shared" si="29"/>
        <v>50-75</v>
      </c>
      <c r="G94">
        <v>1</v>
      </c>
      <c r="H94" t="str">
        <f t="shared" si="30"/>
        <v>Pariente gordo</v>
      </c>
      <c r="I94">
        <v>0</v>
      </c>
      <c r="J94" t="str">
        <f t="shared" si="31"/>
        <v>Saludables</v>
      </c>
      <c r="K94">
        <v>3</v>
      </c>
      <c r="L94">
        <f t="shared" si="32"/>
        <v>1</v>
      </c>
      <c r="M94" t="str">
        <f t="shared" si="33"/>
        <v>Suele comer</v>
      </c>
      <c r="N94">
        <v>4</v>
      </c>
      <c r="O94">
        <f t="shared" si="34"/>
        <v>2</v>
      </c>
      <c r="P94" t="str">
        <f t="shared" si="35"/>
        <v>Mas de 3</v>
      </c>
      <c r="Q94">
        <v>2</v>
      </c>
      <c r="R94" t="str">
        <f t="shared" si="36"/>
        <v>Usualmente</v>
      </c>
      <c r="S94">
        <v>0</v>
      </c>
      <c r="T94" t="str">
        <f t="shared" si="37"/>
        <v>No fuma</v>
      </c>
      <c r="U94">
        <v>3</v>
      </c>
      <c r="V94">
        <f t="shared" si="38"/>
        <v>2</v>
      </c>
      <c r="W94" t="str">
        <f t="shared" si="39"/>
        <v>Siempre</v>
      </c>
      <c r="X94">
        <v>1</v>
      </c>
      <c r="Y94" t="str">
        <f t="shared" si="40"/>
        <v>Controla</v>
      </c>
      <c r="Z94">
        <v>3</v>
      </c>
      <c r="AA94">
        <f t="shared" si="41"/>
        <v>3</v>
      </c>
      <c r="AB94" t="str">
        <f t="shared" si="42"/>
        <v>Siempre</v>
      </c>
      <c r="AC94">
        <v>0</v>
      </c>
      <c r="AD94">
        <f t="shared" si="43"/>
        <v>0</v>
      </c>
      <c r="AE94" t="str">
        <f t="shared" si="44"/>
        <v>Nunca</v>
      </c>
      <c r="AF94">
        <v>2</v>
      </c>
      <c r="AG94" t="str">
        <f t="shared" si="45"/>
        <v>Usualmente</v>
      </c>
      <c r="AH94">
        <v>0</v>
      </c>
      <c r="AI94" t="str">
        <f t="shared" si="46"/>
        <v>No usa</v>
      </c>
      <c r="AJ94">
        <v>0</v>
      </c>
      <c r="AK94" t="str">
        <f t="shared" si="47"/>
        <v>No usa</v>
      </c>
      <c r="AL94">
        <v>0</v>
      </c>
      <c r="AM94" t="str">
        <f t="shared" si="48"/>
        <v>No usa</v>
      </c>
      <c r="AN94">
        <v>0</v>
      </c>
      <c r="AO94" t="str">
        <f t="shared" si="49"/>
        <v>No usa</v>
      </c>
      <c r="AP94">
        <v>1</v>
      </c>
      <c r="AQ94" t="str">
        <f t="shared" si="50"/>
        <v>Camina</v>
      </c>
      <c r="AR94">
        <v>0</v>
      </c>
      <c r="AS94" t="str">
        <f t="shared" si="51"/>
        <v>No es obeso</v>
      </c>
    </row>
    <row r="95" spans="1:45" x14ac:dyDescent="0.25">
      <c r="A95">
        <v>0</v>
      </c>
      <c r="B95" t="str">
        <f t="shared" si="26"/>
        <v>F</v>
      </c>
      <c r="C95">
        <v>20</v>
      </c>
      <c r="D95">
        <f t="shared" si="27"/>
        <v>20</v>
      </c>
      <c r="E95">
        <f t="shared" si="28"/>
        <v>20</v>
      </c>
      <c r="F95" t="str">
        <f t="shared" si="29"/>
        <v>1-25</v>
      </c>
      <c r="G95">
        <v>0</v>
      </c>
      <c r="H95" t="str">
        <f t="shared" si="30"/>
        <v>Pariente normal</v>
      </c>
      <c r="I95">
        <v>0</v>
      </c>
      <c r="J95" t="str">
        <f t="shared" si="31"/>
        <v>Saludables</v>
      </c>
      <c r="K95">
        <v>3</v>
      </c>
      <c r="L95">
        <f t="shared" si="32"/>
        <v>1</v>
      </c>
      <c r="M95" t="str">
        <f t="shared" si="33"/>
        <v>Suele comer</v>
      </c>
      <c r="N95">
        <v>3</v>
      </c>
      <c r="O95">
        <f t="shared" si="34"/>
        <v>2</v>
      </c>
      <c r="P95" t="str">
        <f t="shared" si="35"/>
        <v>Mas de 3</v>
      </c>
      <c r="Q95">
        <v>3</v>
      </c>
      <c r="R95" t="str">
        <f t="shared" si="36"/>
        <v>Siempre</v>
      </c>
      <c r="S95">
        <v>0</v>
      </c>
      <c r="T95" t="str">
        <f t="shared" si="37"/>
        <v>No fuma</v>
      </c>
      <c r="U95">
        <v>2</v>
      </c>
      <c r="V95">
        <f t="shared" si="38"/>
        <v>2</v>
      </c>
      <c r="W95" t="str">
        <f t="shared" si="39"/>
        <v>Siempre</v>
      </c>
      <c r="X95">
        <v>0</v>
      </c>
      <c r="Y95" t="str">
        <f t="shared" si="40"/>
        <v>No controla</v>
      </c>
      <c r="Z95">
        <v>1</v>
      </c>
      <c r="AA95">
        <f t="shared" si="41"/>
        <v>1</v>
      </c>
      <c r="AB95" t="str">
        <f t="shared" si="42"/>
        <v>A veces</v>
      </c>
      <c r="AC95">
        <v>0</v>
      </c>
      <c r="AD95">
        <f t="shared" si="43"/>
        <v>0</v>
      </c>
      <c r="AE95" t="str">
        <f t="shared" si="44"/>
        <v>Nunca</v>
      </c>
      <c r="AF95">
        <v>0</v>
      </c>
      <c r="AG95" t="str">
        <f t="shared" si="45"/>
        <v>Nunca</v>
      </c>
      <c r="AH95">
        <v>0</v>
      </c>
      <c r="AI95" t="str">
        <f t="shared" si="46"/>
        <v>No usa</v>
      </c>
      <c r="AJ95">
        <v>0</v>
      </c>
      <c r="AK95" t="str">
        <f t="shared" si="47"/>
        <v>No usa</v>
      </c>
      <c r="AL95">
        <v>0</v>
      </c>
      <c r="AM95" t="str">
        <f t="shared" si="48"/>
        <v>No usa</v>
      </c>
      <c r="AN95">
        <v>0</v>
      </c>
      <c r="AO95" t="str">
        <f t="shared" si="49"/>
        <v>No usa</v>
      </c>
      <c r="AP95">
        <v>1</v>
      </c>
      <c r="AQ95" t="str">
        <f t="shared" si="50"/>
        <v>Camina</v>
      </c>
      <c r="AR95">
        <v>0</v>
      </c>
      <c r="AS95" t="str">
        <f t="shared" si="51"/>
        <v>No es obeso</v>
      </c>
    </row>
    <row r="96" spans="1:45" x14ac:dyDescent="0.25">
      <c r="A96">
        <v>0</v>
      </c>
      <c r="B96" t="str">
        <f t="shared" si="26"/>
        <v>F</v>
      </c>
      <c r="C96">
        <v>24</v>
      </c>
      <c r="D96">
        <f t="shared" si="27"/>
        <v>24</v>
      </c>
      <c r="E96">
        <f t="shared" si="28"/>
        <v>24</v>
      </c>
      <c r="F96" t="str">
        <f t="shared" si="29"/>
        <v>1-25</v>
      </c>
      <c r="G96">
        <v>0</v>
      </c>
      <c r="H96" t="str">
        <f t="shared" si="30"/>
        <v>Pariente normal</v>
      </c>
      <c r="I96">
        <v>1</v>
      </c>
      <c r="J96" t="str">
        <f t="shared" si="31"/>
        <v>Hipercaloricos</v>
      </c>
      <c r="K96">
        <v>3</v>
      </c>
      <c r="L96">
        <f t="shared" si="32"/>
        <v>1</v>
      </c>
      <c r="M96" t="str">
        <f t="shared" si="33"/>
        <v>Suele comer</v>
      </c>
      <c r="N96">
        <v>3</v>
      </c>
      <c r="O96">
        <f t="shared" si="34"/>
        <v>2</v>
      </c>
      <c r="P96" t="str">
        <f t="shared" si="35"/>
        <v>Mas de 3</v>
      </c>
      <c r="Q96">
        <v>1</v>
      </c>
      <c r="R96" t="str">
        <f t="shared" si="36"/>
        <v>A veces</v>
      </c>
      <c r="S96">
        <v>0</v>
      </c>
      <c r="T96" t="str">
        <f t="shared" si="37"/>
        <v>No fuma</v>
      </c>
      <c r="U96">
        <v>2</v>
      </c>
      <c r="V96">
        <f t="shared" si="38"/>
        <v>2</v>
      </c>
      <c r="W96" t="str">
        <f t="shared" si="39"/>
        <v>Siempre</v>
      </c>
      <c r="X96">
        <v>0</v>
      </c>
      <c r="Y96" t="str">
        <f t="shared" si="40"/>
        <v>No controla</v>
      </c>
      <c r="Z96">
        <v>2</v>
      </c>
      <c r="AA96">
        <f t="shared" si="41"/>
        <v>2</v>
      </c>
      <c r="AB96" t="str">
        <f t="shared" si="42"/>
        <v>Usualmente</v>
      </c>
      <c r="AC96">
        <v>0</v>
      </c>
      <c r="AD96">
        <f t="shared" si="43"/>
        <v>0</v>
      </c>
      <c r="AE96" t="str">
        <f t="shared" si="44"/>
        <v>Nunca</v>
      </c>
      <c r="AF96">
        <v>0</v>
      </c>
      <c r="AG96" t="str">
        <f t="shared" si="45"/>
        <v>Nunca</v>
      </c>
      <c r="AH96">
        <v>0</v>
      </c>
      <c r="AI96" t="str">
        <f t="shared" si="46"/>
        <v>No usa</v>
      </c>
      <c r="AJ96">
        <v>0</v>
      </c>
      <c r="AK96" t="str">
        <f t="shared" si="47"/>
        <v>No usa</v>
      </c>
      <c r="AL96">
        <v>0</v>
      </c>
      <c r="AM96" t="str">
        <f t="shared" si="48"/>
        <v>No usa</v>
      </c>
      <c r="AN96">
        <v>1</v>
      </c>
      <c r="AO96" t="str">
        <f t="shared" si="49"/>
        <v>Usa Transporte</v>
      </c>
      <c r="AP96">
        <v>0</v>
      </c>
      <c r="AQ96" t="str">
        <f t="shared" si="50"/>
        <v>No camina</v>
      </c>
      <c r="AR96">
        <v>0</v>
      </c>
      <c r="AS96" t="str">
        <f t="shared" si="51"/>
        <v>No es obeso</v>
      </c>
    </row>
    <row r="97" spans="1:45" x14ac:dyDescent="0.25">
      <c r="A97">
        <v>1</v>
      </c>
      <c r="B97" t="str">
        <f t="shared" si="26"/>
        <v>M</v>
      </c>
      <c r="C97">
        <v>26</v>
      </c>
      <c r="D97">
        <f t="shared" si="27"/>
        <v>26</v>
      </c>
      <c r="E97">
        <f t="shared" si="28"/>
        <v>26</v>
      </c>
      <c r="F97" t="str">
        <f t="shared" si="29"/>
        <v>25-50</v>
      </c>
      <c r="G97">
        <v>1</v>
      </c>
      <c r="H97" t="str">
        <f t="shared" si="30"/>
        <v>Pariente gordo</v>
      </c>
      <c r="I97">
        <v>0</v>
      </c>
      <c r="J97" t="str">
        <f t="shared" si="31"/>
        <v>Saludables</v>
      </c>
      <c r="K97">
        <v>3</v>
      </c>
      <c r="L97">
        <f t="shared" si="32"/>
        <v>1</v>
      </c>
      <c r="M97" t="str">
        <f t="shared" si="33"/>
        <v>Suele comer</v>
      </c>
      <c r="N97">
        <v>1</v>
      </c>
      <c r="O97">
        <f t="shared" si="34"/>
        <v>1</v>
      </c>
      <c r="P97">
        <f t="shared" si="35"/>
        <v>3</v>
      </c>
      <c r="Q97">
        <v>2</v>
      </c>
      <c r="R97" t="str">
        <f t="shared" si="36"/>
        <v>Usualmente</v>
      </c>
      <c r="S97">
        <v>0</v>
      </c>
      <c r="T97" t="str">
        <f t="shared" si="37"/>
        <v>No fuma</v>
      </c>
      <c r="U97">
        <v>2</v>
      </c>
      <c r="V97">
        <f t="shared" si="38"/>
        <v>2</v>
      </c>
      <c r="W97" t="str">
        <f t="shared" si="39"/>
        <v>Siempre</v>
      </c>
      <c r="X97">
        <v>0</v>
      </c>
      <c r="Y97" t="str">
        <f t="shared" si="40"/>
        <v>No controla</v>
      </c>
      <c r="Z97">
        <v>2</v>
      </c>
      <c r="AA97">
        <f t="shared" si="41"/>
        <v>2</v>
      </c>
      <c r="AB97" t="str">
        <f t="shared" si="42"/>
        <v>Usualmente</v>
      </c>
      <c r="AC97">
        <v>0</v>
      </c>
      <c r="AD97">
        <f t="shared" si="43"/>
        <v>0</v>
      </c>
      <c r="AE97" t="str">
        <f t="shared" si="44"/>
        <v>Nunca</v>
      </c>
      <c r="AF97">
        <v>2</v>
      </c>
      <c r="AG97" t="str">
        <f t="shared" si="45"/>
        <v>Usualmente</v>
      </c>
      <c r="AH97">
        <v>0</v>
      </c>
      <c r="AI97" t="str">
        <f t="shared" si="46"/>
        <v>No usa</v>
      </c>
      <c r="AJ97">
        <v>0</v>
      </c>
      <c r="AK97" t="str">
        <f t="shared" si="47"/>
        <v>No usa</v>
      </c>
      <c r="AL97">
        <v>0</v>
      </c>
      <c r="AM97" t="str">
        <f t="shared" si="48"/>
        <v>No usa</v>
      </c>
      <c r="AN97">
        <v>1</v>
      </c>
      <c r="AO97" t="str">
        <f t="shared" si="49"/>
        <v>Usa Transporte</v>
      </c>
      <c r="AP97">
        <v>0</v>
      </c>
      <c r="AQ97" t="str">
        <f t="shared" si="50"/>
        <v>No camina</v>
      </c>
      <c r="AR97">
        <v>0</v>
      </c>
      <c r="AS97" t="str">
        <f t="shared" si="51"/>
        <v>No es obeso</v>
      </c>
    </row>
    <row r="98" spans="1:45" x14ac:dyDescent="0.25">
      <c r="A98">
        <v>0</v>
      </c>
      <c r="B98" t="str">
        <f t="shared" si="26"/>
        <v>F</v>
      </c>
      <c r="C98">
        <v>23</v>
      </c>
      <c r="D98">
        <f t="shared" si="27"/>
        <v>23</v>
      </c>
      <c r="E98">
        <f t="shared" si="28"/>
        <v>23</v>
      </c>
      <c r="F98" t="str">
        <f t="shared" si="29"/>
        <v>1-25</v>
      </c>
      <c r="G98">
        <v>1</v>
      </c>
      <c r="H98" t="str">
        <f t="shared" si="30"/>
        <v>Pariente gordo</v>
      </c>
      <c r="I98">
        <v>0</v>
      </c>
      <c r="J98" t="str">
        <f t="shared" si="31"/>
        <v>Saludables</v>
      </c>
      <c r="K98">
        <v>2</v>
      </c>
      <c r="L98">
        <f t="shared" si="32"/>
        <v>1</v>
      </c>
      <c r="M98" t="str">
        <f t="shared" si="33"/>
        <v>Suele comer</v>
      </c>
      <c r="N98">
        <v>3</v>
      </c>
      <c r="O98">
        <f t="shared" si="34"/>
        <v>2</v>
      </c>
      <c r="P98" t="str">
        <f t="shared" si="35"/>
        <v>Mas de 3</v>
      </c>
      <c r="Q98">
        <v>1</v>
      </c>
      <c r="R98" t="str">
        <f t="shared" si="36"/>
        <v>A veces</v>
      </c>
      <c r="S98">
        <v>0</v>
      </c>
      <c r="T98" t="str">
        <f t="shared" si="37"/>
        <v>No fuma</v>
      </c>
      <c r="U98">
        <v>2</v>
      </c>
      <c r="V98">
        <f t="shared" si="38"/>
        <v>2</v>
      </c>
      <c r="W98" t="str">
        <f t="shared" si="39"/>
        <v>Siempre</v>
      </c>
      <c r="X98">
        <v>0</v>
      </c>
      <c r="Y98" t="str">
        <f t="shared" si="40"/>
        <v>No controla</v>
      </c>
      <c r="Z98">
        <v>3</v>
      </c>
      <c r="AA98">
        <f t="shared" si="41"/>
        <v>3</v>
      </c>
      <c r="AB98" t="str">
        <f t="shared" si="42"/>
        <v>Siempre</v>
      </c>
      <c r="AC98">
        <v>0</v>
      </c>
      <c r="AD98">
        <f t="shared" si="43"/>
        <v>0</v>
      </c>
      <c r="AE98" t="str">
        <f t="shared" si="44"/>
        <v>Nunca</v>
      </c>
      <c r="AF98">
        <v>1</v>
      </c>
      <c r="AG98" t="str">
        <f t="shared" si="45"/>
        <v>A veces</v>
      </c>
      <c r="AH98">
        <v>0</v>
      </c>
      <c r="AI98" t="str">
        <f t="shared" si="46"/>
        <v>No usa</v>
      </c>
      <c r="AJ98">
        <v>0</v>
      </c>
      <c r="AK98" t="str">
        <f t="shared" si="47"/>
        <v>No usa</v>
      </c>
      <c r="AL98">
        <v>0</v>
      </c>
      <c r="AM98" t="str">
        <f t="shared" si="48"/>
        <v>No usa</v>
      </c>
      <c r="AN98">
        <v>1</v>
      </c>
      <c r="AO98" t="str">
        <f t="shared" si="49"/>
        <v>Usa Transporte</v>
      </c>
      <c r="AP98">
        <v>0</v>
      </c>
      <c r="AQ98" t="str">
        <f t="shared" si="50"/>
        <v>No camina</v>
      </c>
      <c r="AR98">
        <v>0</v>
      </c>
      <c r="AS98" t="str">
        <f t="shared" si="51"/>
        <v>No es obeso</v>
      </c>
    </row>
    <row r="99" spans="1:45" x14ac:dyDescent="0.25">
      <c r="A99">
        <v>0</v>
      </c>
      <c r="B99" t="str">
        <f t="shared" si="26"/>
        <v>F</v>
      </c>
      <c r="C99">
        <v>21</v>
      </c>
      <c r="D99">
        <f t="shared" si="27"/>
        <v>21</v>
      </c>
      <c r="E99">
        <f t="shared" si="28"/>
        <v>21</v>
      </c>
      <c r="F99" t="str">
        <f t="shared" si="29"/>
        <v>1-25</v>
      </c>
      <c r="G99">
        <v>0</v>
      </c>
      <c r="H99" t="str">
        <f t="shared" si="30"/>
        <v>Pariente normal</v>
      </c>
      <c r="I99">
        <v>0</v>
      </c>
      <c r="J99" t="str">
        <f t="shared" si="31"/>
        <v>Saludables</v>
      </c>
      <c r="K99">
        <v>3</v>
      </c>
      <c r="L99">
        <f t="shared" si="32"/>
        <v>1</v>
      </c>
      <c r="M99" t="str">
        <f t="shared" si="33"/>
        <v>Suele comer</v>
      </c>
      <c r="N99">
        <v>1</v>
      </c>
      <c r="O99">
        <f t="shared" si="34"/>
        <v>1</v>
      </c>
      <c r="P99">
        <f t="shared" si="35"/>
        <v>3</v>
      </c>
      <c r="Q99">
        <v>2</v>
      </c>
      <c r="R99" t="str">
        <f t="shared" si="36"/>
        <v>Usualmente</v>
      </c>
      <c r="S99">
        <v>0</v>
      </c>
      <c r="T99" t="str">
        <f t="shared" si="37"/>
        <v>No fuma</v>
      </c>
      <c r="U99">
        <v>1</v>
      </c>
      <c r="V99">
        <f t="shared" si="38"/>
        <v>1</v>
      </c>
      <c r="W99" t="str">
        <f t="shared" si="39"/>
        <v>Usualmente</v>
      </c>
      <c r="X99">
        <v>0</v>
      </c>
      <c r="Y99" t="str">
        <f t="shared" si="40"/>
        <v>No controla</v>
      </c>
      <c r="Z99">
        <v>0</v>
      </c>
      <c r="AA99">
        <f t="shared" si="41"/>
        <v>0</v>
      </c>
      <c r="AB99" t="str">
        <f t="shared" si="42"/>
        <v>Nunca</v>
      </c>
      <c r="AC99">
        <v>0</v>
      </c>
      <c r="AD99">
        <f t="shared" si="43"/>
        <v>0</v>
      </c>
      <c r="AE99" t="str">
        <f t="shared" si="44"/>
        <v>Nunca</v>
      </c>
      <c r="AF99">
        <v>1</v>
      </c>
      <c r="AG99" t="str">
        <f t="shared" si="45"/>
        <v>A veces</v>
      </c>
      <c r="AH99">
        <v>0</v>
      </c>
      <c r="AI99" t="str">
        <f t="shared" si="46"/>
        <v>No usa</v>
      </c>
      <c r="AJ99">
        <v>0</v>
      </c>
      <c r="AK99" t="str">
        <f t="shared" si="47"/>
        <v>No usa</v>
      </c>
      <c r="AL99">
        <v>0</v>
      </c>
      <c r="AM99" t="str">
        <f t="shared" si="48"/>
        <v>No usa</v>
      </c>
      <c r="AN99">
        <v>1</v>
      </c>
      <c r="AO99" t="str">
        <f t="shared" si="49"/>
        <v>Usa Transporte</v>
      </c>
      <c r="AP99">
        <v>0</v>
      </c>
      <c r="AQ99" t="str">
        <f t="shared" si="50"/>
        <v>No camina</v>
      </c>
      <c r="AR99">
        <v>0</v>
      </c>
      <c r="AS99" t="str">
        <f t="shared" si="51"/>
        <v>No es obeso</v>
      </c>
    </row>
    <row r="100" spans="1:45" x14ac:dyDescent="0.25">
      <c r="A100">
        <v>0</v>
      </c>
      <c r="B100" t="str">
        <f t="shared" si="26"/>
        <v>F</v>
      </c>
      <c r="C100">
        <v>21</v>
      </c>
      <c r="D100">
        <f t="shared" si="27"/>
        <v>21</v>
      </c>
      <c r="E100">
        <f t="shared" si="28"/>
        <v>21</v>
      </c>
      <c r="F100" t="str">
        <f t="shared" si="29"/>
        <v>1-25</v>
      </c>
      <c r="G100">
        <v>0</v>
      </c>
      <c r="H100" t="str">
        <f t="shared" si="30"/>
        <v>Pariente normal</v>
      </c>
      <c r="I100">
        <v>0</v>
      </c>
      <c r="J100" t="str">
        <f t="shared" si="31"/>
        <v>Saludables</v>
      </c>
      <c r="K100">
        <v>3</v>
      </c>
      <c r="L100">
        <f t="shared" si="32"/>
        <v>1</v>
      </c>
      <c r="M100" t="str">
        <f t="shared" si="33"/>
        <v>Suele comer</v>
      </c>
      <c r="N100">
        <v>1</v>
      </c>
      <c r="O100">
        <f t="shared" si="34"/>
        <v>1</v>
      </c>
      <c r="P100">
        <f t="shared" si="35"/>
        <v>3</v>
      </c>
      <c r="Q100">
        <v>2</v>
      </c>
      <c r="R100" t="str">
        <f t="shared" si="36"/>
        <v>Usualmente</v>
      </c>
      <c r="S100">
        <v>0</v>
      </c>
      <c r="T100" t="str">
        <f t="shared" si="37"/>
        <v>No fuma</v>
      </c>
      <c r="U100">
        <v>1</v>
      </c>
      <c r="V100">
        <f t="shared" si="38"/>
        <v>1</v>
      </c>
      <c r="W100" t="str">
        <f t="shared" si="39"/>
        <v>Usualmente</v>
      </c>
      <c r="X100">
        <v>0</v>
      </c>
      <c r="Y100" t="str">
        <f t="shared" si="40"/>
        <v>No controla</v>
      </c>
      <c r="Z100">
        <v>0</v>
      </c>
      <c r="AA100">
        <f t="shared" si="41"/>
        <v>0</v>
      </c>
      <c r="AB100" t="str">
        <f t="shared" si="42"/>
        <v>Nunca</v>
      </c>
      <c r="AC100">
        <v>0</v>
      </c>
      <c r="AD100">
        <f t="shared" si="43"/>
        <v>0</v>
      </c>
      <c r="AE100" t="str">
        <f t="shared" si="44"/>
        <v>Nunca</v>
      </c>
      <c r="AF100">
        <v>1</v>
      </c>
      <c r="AG100" t="str">
        <f t="shared" si="45"/>
        <v>A veces</v>
      </c>
      <c r="AH100">
        <v>0</v>
      </c>
      <c r="AI100" t="str">
        <f t="shared" si="46"/>
        <v>No usa</v>
      </c>
      <c r="AJ100">
        <v>0</v>
      </c>
      <c r="AK100" t="str">
        <f t="shared" si="47"/>
        <v>No usa</v>
      </c>
      <c r="AL100">
        <v>0</v>
      </c>
      <c r="AM100" t="str">
        <f t="shared" si="48"/>
        <v>No usa</v>
      </c>
      <c r="AN100">
        <v>1</v>
      </c>
      <c r="AO100" t="str">
        <f t="shared" si="49"/>
        <v>Usa Transporte</v>
      </c>
      <c r="AP100">
        <v>0</v>
      </c>
      <c r="AQ100" t="str">
        <f t="shared" si="50"/>
        <v>No camina</v>
      </c>
      <c r="AR100">
        <v>0</v>
      </c>
      <c r="AS100" t="str">
        <f t="shared" si="51"/>
        <v>No es obeso</v>
      </c>
    </row>
    <row r="101" spans="1:45" x14ac:dyDescent="0.25">
      <c r="A101">
        <v>1</v>
      </c>
      <c r="B101" t="str">
        <f t="shared" si="26"/>
        <v>M</v>
      </c>
      <c r="C101">
        <v>23</v>
      </c>
      <c r="D101">
        <f t="shared" si="27"/>
        <v>23</v>
      </c>
      <c r="E101">
        <f t="shared" si="28"/>
        <v>23</v>
      </c>
      <c r="F101" t="str">
        <f t="shared" si="29"/>
        <v>1-25</v>
      </c>
      <c r="G101">
        <v>0</v>
      </c>
      <c r="H101" t="str">
        <f t="shared" si="30"/>
        <v>Pariente normal</v>
      </c>
      <c r="I101">
        <v>0</v>
      </c>
      <c r="J101" t="str">
        <f t="shared" si="31"/>
        <v>Saludables</v>
      </c>
      <c r="K101">
        <v>2</v>
      </c>
      <c r="L101">
        <f t="shared" si="32"/>
        <v>1</v>
      </c>
      <c r="M101" t="str">
        <f t="shared" si="33"/>
        <v>Suele comer</v>
      </c>
      <c r="N101">
        <v>3</v>
      </c>
      <c r="O101">
        <f t="shared" si="34"/>
        <v>2</v>
      </c>
      <c r="P101" t="str">
        <f t="shared" si="35"/>
        <v>Mas de 3</v>
      </c>
      <c r="Q101">
        <v>1</v>
      </c>
      <c r="R101" t="str">
        <f t="shared" si="36"/>
        <v>A veces</v>
      </c>
      <c r="S101">
        <v>0</v>
      </c>
      <c r="T101" t="str">
        <f t="shared" si="37"/>
        <v>No fuma</v>
      </c>
      <c r="U101">
        <v>2</v>
      </c>
      <c r="V101">
        <f t="shared" si="38"/>
        <v>2</v>
      </c>
      <c r="W101" t="str">
        <f t="shared" si="39"/>
        <v>Siempre</v>
      </c>
      <c r="X101">
        <v>0</v>
      </c>
      <c r="Y101" t="str">
        <f t="shared" si="40"/>
        <v>No controla</v>
      </c>
      <c r="Z101">
        <v>3</v>
      </c>
      <c r="AA101">
        <f t="shared" si="41"/>
        <v>3</v>
      </c>
      <c r="AB101" t="str">
        <f t="shared" si="42"/>
        <v>Siempre</v>
      </c>
      <c r="AC101">
        <v>1</v>
      </c>
      <c r="AD101">
        <f t="shared" si="43"/>
        <v>1</v>
      </c>
      <c r="AE101" t="str">
        <f t="shared" si="44"/>
        <v>Usualmente</v>
      </c>
      <c r="AF101">
        <v>2</v>
      </c>
      <c r="AG101" t="str">
        <f t="shared" si="45"/>
        <v>Usualmente</v>
      </c>
      <c r="AH101">
        <v>0</v>
      </c>
      <c r="AI101" t="str">
        <f t="shared" si="46"/>
        <v>No usa</v>
      </c>
      <c r="AJ101">
        <v>0</v>
      </c>
      <c r="AK101" t="str">
        <f t="shared" si="47"/>
        <v>No usa</v>
      </c>
      <c r="AL101">
        <v>0</v>
      </c>
      <c r="AM101" t="str">
        <f t="shared" si="48"/>
        <v>No usa</v>
      </c>
      <c r="AN101">
        <v>1</v>
      </c>
      <c r="AO101" t="str">
        <f t="shared" si="49"/>
        <v>Usa Transporte</v>
      </c>
      <c r="AP101">
        <v>0</v>
      </c>
      <c r="AQ101" t="str">
        <f t="shared" si="50"/>
        <v>No camina</v>
      </c>
      <c r="AR101">
        <v>0</v>
      </c>
      <c r="AS101" t="str">
        <f t="shared" si="51"/>
        <v>No es obeso</v>
      </c>
    </row>
    <row r="102" spans="1:45" x14ac:dyDescent="0.25">
      <c r="A102">
        <v>0</v>
      </c>
      <c r="B102" t="str">
        <f t="shared" si="26"/>
        <v>F</v>
      </c>
      <c r="C102">
        <v>21</v>
      </c>
      <c r="D102">
        <f t="shared" si="27"/>
        <v>21</v>
      </c>
      <c r="E102">
        <f t="shared" si="28"/>
        <v>21</v>
      </c>
      <c r="F102" t="str">
        <f t="shared" si="29"/>
        <v>1-25</v>
      </c>
      <c r="G102">
        <v>0</v>
      </c>
      <c r="H102" t="str">
        <f t="shared" si="30"/>
        <v>Pariente normal</v>
      </c>
      <c r="I102">
        <v>1</v>
      </c>
      <c r="J102" t="str">
        <f t="shared" si="31"/>
        <v>Hipercaloricos</v>
      </c>
      <c r="K102">
        <v>3</v>
      </c>
      <c r="L102">
        <f t="shared" si="32"/>
        <v>1</v>
      </c>
      <c r="M102" t="str">
        <f t="shared" si="33"/>
        <v>Suele comer</v>
      </c>
      <c r="N102">
        <v>1</v>
      </c>
      <c r="O102">
        <f t="shared" si="34"/>
        <v>1</v>
      </c>
      <c r="P102">
        <f t="shared" si="35"/>
        <v>3</v>
      </c>
      <c r="Q102">
        <v>1</v>
      </c>
      <c r="R102" t="str">
        <f t="shared" si="36"/>
        <v>A veces</v>
      </c>
      <c r="S102">
        <v>0</v>
      </c>
      <c r="T102" t="str">
        <f t="shared" si="37"/>
        <v>No fuma</v>
      </c>
      <c r="U102">
        <v>1</v>
      </c>
      <c r="V102">
        <f t="shared" si="38"/>
        <v>1</v>
      </c>
      <c r="W102" t="str">
        <f t="shared" si="39"/>
        <v>Usualmente</v>
      </c>
      <c r="X102">
        <v>0</v>
      </c>
      <c r="Y102" t="str">
        <f t="shared" si="40"/>
        <v>No controla</v>
      </c>
      <c r="Z102">
        <v>0</v>
      </c>
      <c r="AA102">
        <f t="shared" si="41"/>
        <v>0</v>
      </c>
      <c r="AB102" t="str">
        <f t="shared" si="42"/>
        <v>Nunca</v>
      </c>
      <c r="AC102">
        <v>0</v>
      </c>
      <c r="AD102">
        <f t="shared" si="43"/>
        <v>0</v>
      </c>
      <c r="AE102" t="str">
        <f t="shared" si="44"/>
        <v>Nunca</v>
      </c>
      <c r="AF102">
        <v>1</v>
      </c>
      <c r="AG102" t="str">
        <f t="shared" si="45"/>
        <v>A veces</v>
      </c>
      <c r="AH102">
        <v>0</v>
      </c>
      <c r="AI102" t="str">
        <f t="shared" si="46"/>
        <v>No usa</v>
      </c>
      <c r="AJ102">
        <v>0</v>
      </c>
      <c r="AK102" t="str">
        <f t="shared" si="47"/>
        <v>No usa</v>
      </c>
      <c r="AL102">
        <v>0</v>
      </c>
      <c r="AM102" t="str">
        <f t="shared" si="48"/>
        <v>No usa</v>
      </c>
      <c r="AN102">
        <v>1</v>
      </c>
      <c r="AO102" t="str">
        <f t="shared" si="49"/>
        <v>Usa Transporte</v>
      </c>
      <c r="AP102">
        <v>0</v>
      </c>
      <c r="AQ102" t="str">
        <f t="shared" si="50"/>
        <v>No camina</v>
      </c>
      <c r="AR102">
        <v>0</v>
      </c>
      <c r="AS102" t="str">
        <f t="shared" si="51"/>
        <v>No es obeso</v>
      </c>
    </row>
    <row r="103" spans="1:45" x14ac:dyDescent="0.25">
      <c r="A103">
        <v>1</v>
      </c>
      <c r="B103" t="str">
        <f t="shared" si="26"/>
        <v>M</v>
      </c>
      <c r="C103">
        <v>22</v>
      </c>
      <c r="D103">
        <f t="shared" si="27"/>
        <v>22</v>
      </c>
      <c r="E103">
        <f t="shared" si="28"/>
        <v>22</v>
      </c>
      <c r="F103" t="str">
        <f t="shared" si="29"/>
        <v>1-25</v>
      </c>
      <c r="G103">
        <v>1</v>
      </c>
      <c r="H103" t="str">
        <f t="shared" si="30"/>
        <v>Pariente gordo</v>
      </c>
      <c r="I103">
        <v>0</v>
      </c>
      <c r="J103" t="str">
        <f t="shared" si="31"/>
        <v>Saludables</v>
      </c>
      <c r="K103">
        <v>2</v>
      </c>
      <c r="L103">
        <f t="shared" si="32"/>
        <v>1</v>
      </c>
      <c r="M103" t="str">
        <f t="shared" si="33"/>
        <v>Suele comer</v>
      </c>
      <c r="N103">
        <v>3</v>
      </c>
      <c r="O103">
        <f t="shared" si="34"/>
        <v>2</v>
      </c>
      <c r="P103" t="str">
        <f t="shared" si="35"/>
        <v>Mas de 3</v>
      </c>
      <c r="Q103">
        <v>2</v>
      </c>
      <c r="R103" t="str">
        <f t="shared" si="36"/>
        <v>Usualmente</v>
      </c>
      <c r="S103">
        <v>0</v>
      </c>
      <c r="T103" t="str">
        <f t="shared" si="37"/>
        <v>No fuma</v>
      </c>
      <c r="U103">
        <v>2</v>
      </c>
      <c r="V103">
        <f t="shared" si="38"/>
        <v>2</v>
      </c>
      <c r="W103" t="str">
        <f t="shared" si="39"/>
        <v>Siempre</v>
      </c>
      <c r="X103">
        <v>0</v>
      </c>
      <c r="Y103" t="str">
        <f t="shared" si="40"/>
        <v>No controla</v>
      </c>
      <c r="Z103">
        <v>0</v>
      </c>
      <c r="AA103">
        <f t="shared" si="41"/>
        <v>0</v>
      </c>
      <c r="AB103" t="str">
        <f t="shared" si="42"/>
        <v>Nunca</v>
      </c>
      <c r="AC103">
        <v>0</v>
      </c>
      <c r="AD103">
        <f t="shared" si="43"/>
        <v>0</v>
      </c>
      <c r="AE103" t="str">
        <f t="shared" si="44"/>
        <v>Nunca</v>
      </c>
      <c r="AF103">
        <v>0</v>
      </c>
      <c r="AG103" t="str">
        <f t="shared" si="45"/>
        <v>Nunca</v>
      </c>
      <c r="AH103">
        <v>0</v>
      </c>
      <c r="AI103" t="str">
        <f t="shared" si="46"/>
        <v>No usa</v>
      </c>
      <c r="AJ103">
        <v>0</v>
      </c>
      <c r="AK103" t="str">
        <f t="shared" si="47"/>
        <v>No usa</v>
      </c>
      <c r="AL103">
        <v>0</v>
      </c>
      <c r="AM103" t="str">
        <f t="shared" si="48"/>
        <v>No usa</v>
      </c>
      <c r="AN103">
        <v>1</v>
      </c>
      <c r="AO103" t="str">
        <f t="shared" si="49"/>
        <v>Usa Transporte</v>
      </c>
      <c r="AP103">
        <v>0</v>
      </c>
      <c r="AQ103" t="str">
        <f t="shared" si="50"/>
        <v>No camina</v>
      </c>
      <c r="AR103">
        <v>0</v>
      </c>
      <c r="AS103" t="str">
        <f t="shared" si="51"/>
        <v>No es obeso</v>
      </c>
    </row>
    <row r="104" spans="1:45" x14ac:dyDescent="0.25">
      <c r="A104">
        <v>0</v>
      </c>
      <c r="B104" t="str">
        <f t="shared" si="26"/>
        <v>F</v>
      </c>
      <c r="C104">
        <v>21</v>
      </c>
      <c r="D104">
        <f t="shared" si="27"/>
        <v>21</v>
      </c>
      <c r="E104">
        <f t="shared" si="28"/>
        <v>21</v>
      </c>
      <c r="F104" t="str">
        <f t="shared" si="29"/>
        <v>1-25</v>
      </c>
      <c r="G104">
        <v>0</v>
      </c>
      <c r="H104" t="str">
        <f t="shared" si="30"/>
        <v>Pariente normal</v>
      </c>
      <c r="I104">
        <v>1</v>
      </c>
      <c r="J104" t="str">
        <f t="shared" si="31"/>
        <v>Hipercaloricos</v>
      </c>
      <c r="K104">
        <v>2</v>
      </c>
      <c r="L104">
        <f t="shared" si="32"/>
        <v>1</v>
      </c>
      <c r="M104" t="str">
        <f t="shared" si="33"/>
        <v>Suele comer</v>
      </c>
      <c r="N104">
        <v>4</v>
      </c>
      <c r="O104">
        <f t="shared" si="34"/>
        <v>2</v>
      </c>
      <c r="P104" t="str">
        <f t="shared" si="35"/>
        <v>Mas de 3</v>
      </c>
      <c r="Q104">
        <v>2</v>
      </c>
      <c r="R104" t="str">
        <f t="shared" si="36"/>
        <v>Usualmente</v>
      </c>
      <c r="S104">
        <v>0</v>
      </c>
      <c r="T104" t="str">
        <f t="shared" si="37"/>
        <v>No fuma</v>
      </c>
      <c r="U104">
        <v>2</v>
      </c>
      <c r="V104">
        <f t="shared" si="38"/>
        <v>2</v>
      </c>
      <c r="W104" t="str">
        <f t="shared" si="39"/>
        <v>Siempre</v>
      </c>
      <c r="X104">
        <v>1</v>
      </c>
      <c r="Y104" t="str">
        <f t="shared" si="40"/>
        <v>Controla</v>
      </c>
      <c r="Z104">
        <v>2</v>
      </c>
      <c r="AA104">
        <f t="shared" si="41"/>
        <v>2</v>
      </c>
      <c r="AB104" t="str">
        <f t="shared" si="42"/>
        <v>Usualmente</v>
      </c>
      <c r="AC104">
        <v>0</v>
      </c>
      <c r="AD104">
        <f t="shared" si="43"/>
        <v>0</v>
      </c>
      <c r="AE104" t="str">
        <f t="shared" si="44"/>
        <v>Nunca</v>
      </c>
      <c r="AF104">
        <v>1</v>
      </c>
      <c r="AG104" t="str">
        <f t="shared" si="45"/>
        <v>A veces</v>
      </c>
      <c r="AH104">
        <v>1</v>
      </c>
      <c r="AI104" t="str">
        <f t="shared" si="46"/>
        <v>Usa auto</v>
      </c>
      <c r="AJ104">
        <v>0</v>
      </c>
      <c r="AK104" t="str">
        <f t="shared" si="47"/>
        <v>No usa</v>
      </c>
      <c r="AL104">
        <v>0</v>
      </c>
      <c r="AM104" t="str">
        <f t="shared" si="48"/>
        <v>No usa</v>
      </c>
      <c r="AN104">
        <v>0</v>
      </c>
      <c r="AO104" t="str">
        <f t="shared" si="49"/>
        <v>No usa</v>
      </c>
      <c r="AP104">
        <v>0</v>
      </c>
      <c r="AQ104" t="str">
        <f t="shared" si="50"/>
        <v>No camina</v>
      </c>
      <c r="AR104">
        <v>0</v>
      </c>
      <c r="AS104" t="str">
        <f t="shared" si="51"/>
        <v>No es obeso</v>
      </c>
    </row>
    <row r="105" spans="1:45" x14ac:dyDescent="0.25">
      <c r="A105">
        <v>0</v>
      </c>
      <c r="B105" t="str">
        <f t="shared" si="26"/>
        <v>F</v>
      </c>
      <c r="C105">
        <v>22</v>
      </c>
      <c r="D105">
        <f t="shared" si="27"/>
        <v>22</v>
      </c>
      <c r="E105">
        <f t="shared" si="28"/>
        <v>22</v>
      </c>
      <c r="F105" t="str">
        <f t="shared" si="29"/>
        <v>1-25</v>
      </c>
      <c r="G105">
        <v>1</v>
      </c>
      <c r="H105" t="str">
        <f t="shared" si="30"/>
        <v>Pariente gordo</v>
      </c>
      <c r="I105">
        <v>1</v>
      </c>
      <c r="J105" t="str">
        <f t="shared" si="31"/>
        <v>Hipercaloricos</v>
      </c>
      <c r="K105">
        <v>3</v>
      </c>
      <c r="L105">
        <f t="shared" si="32"/>
        <v>1</v>
      </c>
      <c r="M105" t="str">
        <f t="shared" si="33"/>
        <v>Suele comer</v>
      </c>
      <c r="N105">
        <v>4</v>
      </c>
      <c r="O105">
        <f t="shared" si="34"/>
        <v>2</v>
      </c>
      <c r="P105" t="str">
        <f t="shared" si="35"/>
        <v>Mas de 3</v>
      </c>
      <c r="Q105">
        <v>2</v>
      </c>
      <c r="R105" t="str">
        <f t="shared" si="36"/>
        <v>Usualmente</v>
      </c>
      <c r="S105">
        <v>0</v>
      </c>
      <c r="T105" t="str">
        <f t="shared" si="37"/>
        <v>No fuma</v>
      </c>
      <c r="U105">
        <v>2</v>
      </c>
      <c r="V105">
        <f t="shared" si="38"/>
        <v>2</v>
      </c>
      <c r="W105" t="str">
        <f t="shared" si="39"/>
        <v>Siempre</v>
      </c>
      <c r="X105">
        <v>0</v>
      </c>
      <c r="Y105" t="str">
        <f t="shared" si="40"/>
        <v>No controla</v>
      </c>
      <c r="Z105">
        <v>1</v>
      </c>
      <c r="AA105">
        <f t="shared" si="41"/>
        <v>1</v>
      </c>
      <c r="AB105" t="str">
        <f t="shared" si="42"/>
        <v>A veces</v>
      </c>
      <c r="AC105">
        <v>0</v>
      </c>
      <c r="AD105">
        <f t="shared" si="43"/>
        <v>0</v>
      </c>
      <c r="AE105" t="str">
        <f t="shared" si="44"/>
        <v>Nunca</v>
      </c>
      <c r="AF105">
        <v>1</v>
      </c>
      <c r="AG105" t="str">
        <f t="shared" si="45"/>
        <v>A veces</v>
      </c>
      <c r="AH105">
        <v>0</v>
      </c>
      <c r="AI105" t="str">
        <f t="shared" si="46"/>
        <v>No usa</v>
      </c>
      <c r="AJ105">
        <v>0</v>
      </c>
      <c r="AK105" t="str">
        <f t="shared" si="47"/>
        <v>No usa</v>
      </c>
      <c r="AL105">
        <v>0</v>
      </c>
      <c r="AM105" t="str">
        <f t="shared" si="48"/>
        <v>No usa</v>
      </c>
      <c r="AN105">
        <v>1</v>
      </c>
      <c r="AO105" t="str">
        <f t="shared" si="49"/>
        <v>Usa Transporte</v>
      </c>
      <c r="AP105">
        <v>0</v>
      </c>
      <c r="AQ105" t="str">
        <f t="shared" si="50"/>
        <v>No camina</v>
      </c>
      <c r="AR105">
        <v>0</v>
      </c>
      <c r="AS105" t="str">
        <f t="shared" si="51"/>
        <v>No es obeso</v>
      </c>
    </row>
    <row r="106" spans="1:45" x14ac:dyDescent="0.25">
      <c r="A106">
        <v>0</v>
      </c>
      <c r="B106" t="str">
        <f t="shared" si="26"/>
        <v>F</v>
      </c>
      <c r="C106">
        <v>38</v>
      </c>
      <c r="D106">
        <f t="shared" si="27"/>
        <v>38</v>
      </c>
      <c r="E106">
        <f t="shared" si="28"/>
        <v>38</v>
      </c>
      <c r="F106" t="str">
        <f t="shared" si="29"/>
        <v>25-50</v>
      </c>
      <c r="G106">
        <v>1</v>
      </c>
      <c r="H106" t="str">
        <f t="shared" si="30"/>
        <v>Pariente gordo</v>
      </c>
      <c r="I106">
        <v>1</v>
      </c>
      <c r="J106" t="str">
        <f t="shared" si="31"/>
        <v>Hipercaloricos</v>
      </c>
      <c r="K106">
        <v>2</v>
      </c>
      <c r="L106">
        <f t="shared" si="32"/>
        <v>1</v>
      </c>
      <c r="M106" t="str">
        <f t="shared" si="33"/>
        <v>Suele comer</v>
      </c>
      <c r="N106">
        <v>3</v>
      </c>
      <c r="O106">
        <f t="shared" si="34"/>
        <v>2</v>
      </c>
      <c r="P106" t="str">
        <f t="shared" si="35"/>
        <v>Mas de 3</v>
      </c>
      <c r="Q106">
        <v>1</v>
      </c>
      <c r="R106" t="str">
        <f t="shared" si="36"/>
        <v>A veces</v>
      </c>
      <c r="S106">
        <v>0</v>
      </c>
      <c r="T106" t="str">
        <f t="shared" si="37"/>
        <v>No fuma</v>
      </c>
      <c r="U106">
        <v>2</v>
      </c>
      <c r="V106">
        <f t="shared" si="38"/>
        <v>2</v>
      </c>
      <c r="W106" t="str">
        <f t="shared" si="39"/>
        <v>Siempre</v>
      </c>
      <c r="X106">
        <v>0</v>
      </c>
      <c r="Y106" t="str">
        <f t="shared" si="40"/>
        <v>No controla</v>
      </c>
      <c r="Z106">
        <v>0</v>
      </c>
      <c r="AA106">
        <f t="shared" si="41"/>
        <v>0</v>
      </c>
      <c r="AB106" t="str">
        <f t="shared" si="42"/>
        <v>Nunca</v>
      </c>
      <c r="AC106">
        <v>0</v>
      </c>
      <c r="AD106">
        <f t="shared" si="43"/>
        <v>0</v>
      </c>
      <c r="AE106" t="str">
        <f t="shared" si="44"/>
        <v>Nunca</v>
      </c>
      <c r="AF106">
        <v>1</v>
      </c>
      <c r="AG106" t="str">
        <f t="shared" si="45"/>
        <v>A veces</v>
      </c>
      <c r="AH106">
        <v>1</v>
      </c>
      <c r="AI106" t="str">
        <f t="shared" si="46"/>
        <v>Usa auto</v>
      </c>
      <c r="AJ106">
        <v>0</v>
      </c>
      <c r="AK106" t="str">
        <f t="shared" si="47"/>
        <v>No usa</v>
      </c>
      <c r="AL106">
        <v>0</v>
      </c>
      <c r="AM106" t="str">
        <f t="shared" si="48"/>
        <v>No usa</v>
      </c>
      <c r="AN106">
        <v>0</v>
      </c>
      <c r="AO106" t="str">
        <f t="shared" si="49"/>
        <v>No usa</v>
      </c>
      <c r="AP106">
        <v>0</v>
      </c>
      <c r="AQ106" t="str">
        <f t="shared" si="50"/>
        <v>No camina</v>
      </c>
      <c r="AR106">
        <v>1</v>
      </c>
      <c r="AS106" t="str">
        <f t="shared" si="51"/>
        <v>Es Obeso</v>
      </c>
    </row>
    <row r="107" spans="1:45" x14ac:dyDescent="0.25">
      <c r="A107">
        <v>0</v>
      </c>
      <c r="B107" t="str">
        <f t="shared" si="26"/>
        <v>F</v>
      </c>
      <c r="C107">
        <v>25</v>
      </c>
      <c r="D107">
        <f t="shared" si="27"/>
        <v>25</v>
      </c>
      <c r="E107">
        <f t="shared" si="28"/>
        <v>25</v>
      </c>
      <c r="F107" t="str">
        <f t="shared" si="29"/>
        <v>1-25</v>
      </c>
      <c r="G107">
        <v>0</v>
      </c>
      <c r="H107" t="str">
        <f t="shared" si="30"/>
        <v>Pariente normal</v>
      </c>
      <c r="I107">
        <v>1</v>
      </c>
      <c r="J107" t="str">
        <f t="shared" si="31"/>
        <v>Hipercaloricos</v>
      </c>
      <c r="K107">
        <v>2</v>
      </c>
      <c r="L107">
        <f t="shared" si="32"/>
        <v>1</v>
      </c>
      <c r="M107" t="str">
        <f t="shared" si="33"/>
        <v>Suele comer</v>
      </c>
      <c r="N107">
        <v>1</v>
      </c>
      <c r="O107">
        <f t="shared" si="34"/>
        <v>1</v>
      </c>
      <c r="P107">
        <f t="shared" si="35"/>
        <v>3</v>
      </c>
      <c r="Q107">
        <v>1</v>
      </c>
      <c r="R107" t="str">
        <f t="shared" si="36"/>
        <v>A veces</v>
      </c>
      <c r="S107">
        <v>0</v>
      </c>
      <c r="T107" t="str">
        <f t="shared" si="37"/>
        <v>No fuma</v>
      </c>
      <c r="U107">
        <v>2</v>
      </c>
      <c r="V107">
        <f t="shared" si="38"/>
        <v>2</v>
      </c>
      <c r="W107" t="str">
        <f t="shared" si="39"/>
        <v>Siempre</v>
      </c>
      <c r="X107">
        <v>0</v>
      </c>
      <c r="Y107" t="str">
        <f t="shared" si="40"/>
        <v>No controla</v>
      </c>
      <c r="Z107">
        <v>2</v>
      </c>
      <c r="AA107">
        <f t="shared" si="41"/>
        <v>2</v>
      </c>
      <c r="AB107" t="str">
        <f t="shared" si="42"/>
        <v>Usualmente</v>
      </c>
      <c r="AC107">
        <v>0</v>
      </c>
      <c r="AD107">
        <f t="shared" si="43"/>
        <v>0</v>
      </c>
      <c r="AE107" t="str">
        <f t="shared" si="44"/>
        <v>Nunca</v>
      </c>
      <c r="AF107">
        <v>1</v>
      </c>
      <c r="AG107" t="str">
        <f t="shared" si="45"/>
        <v>A veces</v>
      </c>
      <c r="AH107">
        <v>0</v>
      </c>
      <c r="AI107" t="str">
        <f t="shared" si="46"/>
        <v>No usa</v>
      </c>
      <c r="AJ107">
        <v>0</v>
      </c>
      <c r="AK107" t="str">
        <f t="shared" si="47"/>
        <v>No usa</v>
      </c>
      <c r="AL107">
        <v>0</v>
      </c>
      <c r="AM107" t="str">
        <f t="shared" si="48"/>
        <v>No usa</v>
      </c>
      <c r="AN107">
        <v>1</v>
      </c>
      <c r="AO107" t="str">
        <f t="shared" si="49"/>
        <v>Usa Transporte</v>
      </c>
      <c r="AP107">
        <v>0</v>
      </c>
      <c r="AQ107" t="str">
        <f t="shared" si="50"/>
        <v>No camina</v>
      </c>
      <c r="AR107">
        <v>0</v>
      </c>
      <c r="AS107" t="str">
        <f t="shared" si="51"/>
        <v>No es obeso</v>
      </c>
    </row>
    <row r="108" spans="1:45" x14ac:dyDescent="0.25">
      <c r="A108">
        <v>0</v>
      </c>
      <c r="B108" t="str">
        <f t="shared" si="26"/>
        <v>F</v>
      </c>
      <c r="C108">
        <v>25</v>
      </c>
      <c r="D108">
        <f t="shared" si="27"/>
        <v>25</v>
      </c>
      <c r="E108">
        <f t="shared" si="28"/>
        <v>25</v>
      </c>
      <c r="F108" t="str">
        <f t="shared" si="29"/>
        <v>1-25</v>
      </c>
      <c r="G108">
        <v>0</v>
      </c>
      <c r="H108" t="str">
        <f t="shared" si="30"/>
        <v>Pariente normal</v>
      </c>
      <c r="I108">
        <v>1</v>
      </c>
      <c r="J108" t="str">
        <f t="shared" si="31"/>
        <v>Hipercaloricos</v>
      </c>
      <c r="K108">
        <v>2</v>
      </c>
      <c r="L108">
        <f t="shared" si="32"/>
        <v>1</v>
      </c>
      <c r="M108" t="str">
        <f t="shared" si="33"/>
        <v>Suele comer</v>
      </c>
      <c r="N108">
        <v>1</v>
      </c>
      <c r="O108">
        <f t="shared" si="34"/>
        <v>1</v>
      </c>
      <c r="P108">
        <f t="shared" si="35"/>
        <v>3</v>
      </c>
      <c r="Q108">
        <v>1</v>
      </c>
      <c r="R108" t="str">
        <f t="shared" si="36"/>
        <v>A veces</v>
      </c>
      <c r="S108">
        <v>0</v>
      </c>
      <c r="T108" t="str">
        <f t="shared" si="37"/>
        <v>No fuma</v>
      </c>
      <c r="U108">
        <v>2</v>
      </c>
      <c r="V108">
        <f t="shared" si="38"/>
        <v>2</v>
      </c>
      <c r="W108" t="str">
        <f t="shared" si="39"/>
        <v>Siempre</v>
      </c>
      <c r="X108">
        <v>0</v>
      </c>
      <c r="Y108" t="str">
        <f t="shared" si="40"/>
        <v>No controla</v>
      </c>
      <c r="Z108">
        <v>2</v>
      </c>
      <c r="AA108">
        <f t="shared" si="41"/>
        <v>2</v>
      </c>
      <c r="AB108" t="str">
        <f t="shared" si="42"/>
        <v>Usualmente</v>
      </c>
      <c r="AC108">
        <v>0</v>
      </c>
      <c r="AD108">
        <f t="shared" si="43"/>
        <v>0</v>
      </c>
      <c r="AE108" t="str">
        <f t="shared" si="44"/>
        <v>Nunca</v>
      </c>
      <c r="AF108">
        <v>1</v>
      </c>
      <c r="AG108" t="str">
        <f t="shared" si="45"/>
        <v>A veces</v>
      </c>
      <c r="AH108">
        <v>0</v>
      </c>
      <c r="AI108" t="str">
        <f t="shared" si="46"/>
        <v>No usa</v>
      </c>
      <c r="AJ108">
        <v>0</v>
      </c>
      <c r="AK108" t="str">
        <f t="shared" si="47"/>
        <v>No usa</v>
      </c>
      <c r="AL108">
        <v>0</v>
      </c>
      <c r="AM108" t="str">
        <f t="shared" si="48"/>
        <v>No usa</v>
      </c>
      <c r="AN108">
        <v>1</v>
      </c>
      <c r="AO108" t="str">
        <f t="shared" si="49"/>
        <v>Usa Transporte</v>
      </c>
      <c r="AP108">
        <v>0</v>
      </c>
      <c r="AQ108" t="str">
        <f t="shared" si="50"/>
        <v>No camina</v>
      </c>
      <c r="AR108">
        <v>0</v>
      </c>
      <c r="AS108" t="str">
        <f t="shared" si="51"/>
        <v>No es obeso</v>
      </c>
    </row>
    <row r="109" spans="1:45" x14ac:dyDescent="0.25">
      <c r="A109">
        <v>1</v>
      </c>
      <c r="B109" t="str">
        <f t="shared" si="26"/>
        <v>M</v>
      </c>
      <c r="C109">
        <v>22</v>
      </c>
      <c r="D109">
        <f t="shared" si="27"/>
        <v>22</v>
      </c>
      <c r="E109">
        <f t="shared" si="28"/>
        <v>22</v>
      </c>
      <c r="F109" t="str">
        <f t="shared" si="29"/>
        <v>1-25</v>
      </c>
      <c r="G109">
        <v>1</v>
      </c>
      <c r="H109" t="str">
        <f t="shared" si="30"/>
        <v>Pariente gordo</v>
      </c>
      <c r="I109">
        <v>1</v>
      </c>
      <c r="J109" t="str">
        <f t="shared" si="31"/>
        <v>Hipercaloricos</v>
      </c>
      <c r="K109">
        <v>2</v>
      </c>
      <c r="L109">
        <f t="shared" si="32"/>
        <v>1</v>
      </c>
      <c r="M109" t="str">
        <f t="shared" si="33"/>
        <v>Suele comer</v>
      </c>
      <c r="N109">
        <v>3</v>
      </c>
      <c r="O109">
        <f t="shared" si="34"/>
        <v>2</v>
      </c>
      <c r="P109" t="str">
        <f t="shared" si="35"/>
        <v>Mas de 3</v>
      </c>
      <c r="Q109">
        <v>3</v>
      </c>
      <c r="R109" t="str">
        <f t="shared" si="36"/>
        <v>Siempre</v>
      </c>
      <c r="S109">
        <v>0</v>
      </c>
      <c r="T109" t="str">
        <f t="shared" si="37"/>
        <v>No fuma</v>
      </c>
      <c r="U109">
        <v>1</v>
      </c>
      <c r="V109">
        <f t="shared" si="38"/>
        <v>1</v>
      </c>
      <c r="W109" t="str">
        <f t="shared" si="39"/>
        <v>Usualmente</v>
      </c>
      <c r="X109">
        <v>0</v>
      </c>
      <c r="Y109" t="str">
        <f t="shared" si="40"/>
        <v>No controla</v>
      </c>
      <c r="Z109">
        <v>0</v>
      </c>
      <c r="AA109">
        <f t="shared" si="41"/>
        <v>0</v>
      </c>
      <c r="AB109" t="str">
        <f t="shared" si="42"/>
        <v>Nunca</v>
      </c>
      <c r="AC109">
        <v>1</v>
      </c>
      <c r="AD109">
        <f t="shared" si="43"/>
        <v>1</v>
      </c>
      <c r="AE109" t="str">
        <f t="shared" si="44"/>
        <v>Usualmente</v>
      </c>
      <c r="AF109">
        <v>1</v>
      </c>
      <c r="AG109" t="str">
        <f t="shared" si="45"/>
        <v>A veces</v>
      </c>
      <c r="AH109">
        <v>1</v>
      </c>
      <c r="AI109" t="str">
        <f t="shared" si="46"/>
        <v>Usa auto</v>
      </c>
      <c r="AJ109">
        <v>0</v>
      </c>
      <c r="AK109" t="str">
        <f t="shared" si="47"/>
        <v>No usa</v>
      </c>
      <c r="AL109">
        <v>0</v>
      </c>
      <c r="AM109" t="str">
        <f t="shared" si="48"/>
        <v>No usa</v>
      </c>
      <c r="AN109">
        <v>0</v>
      </c>
      <c r="AO109" t="str">
        <f t="shared" si="49"/>
        <v>No usa</v>
      </c>
      <c r="AP109">
        <v>0</v>
      </c>
      <c r="AQ109" t="str">
        <f t="shared" si="50"/>
        <v>No camina</v>
      </c>
      <c r="AR109">
        <v>0</v>
      </c>
      <c r="AS109" t="str">
        <f t="shared" si="51"/>
        <v>No es obeso</v>
      </c>
    </row>
    <row r="110" spans="1:45" x14ac:dyDescent="0.25">
      <c r="A110">
        <v>1</v>
      </c>
      <c r="B110" t="str">
        <f t="shared" si="26"/>
        <v>M</v>
      </c>
      <c r="C110">
        <v>22</v>
      </c>
      <c r="D110">
        <f t="shared" si="27"/>
        <v>22</v>
      </c>
      <c r="E110">
        <f t="shared" si="28"/>
        <v>22</v>
      </c>
      <c r="F110" t="str">
        <f t="shared" si="29"/>
        <v>1-25</v>
      </c>
      <c r="G110">
        <v>1</v>
      </c>
      <c r="H110" t="str">
        <f t="shared" si="30"/>
        <v>Pariente gordo</v>
      </c>
      <c r="I110">
        <v>0</v>
      </c>
      <c r="J110" t="str">
        <f t="shared" si="31"/>
        <v>Saludables</v>
      </c>
      <c r="K110">
        <v>2</v>
      </c>
      <c r="L110">
        <f t="shared" si="32"/>
        <v>1</v>
      </c>
      <c r="M110" t="str">
        <f t="shared" si="33"/>
        <v>Suele comer</v>
      </c>
      <c r="N110">
        <v>3</v>
      </c>
      <c r="O110">
        <f t="shared" si="34"/>
        <v>2</v>
      </c>
      <c r="P110" t="str">
        <f t="shared" si="35"/>
        <v>Mas de 3</v>
      </c>
      <c r="Q110">
        <v>1</v>
      </c>
      <c r="R110" t="str">
        <f t="shared" si="36"/>
        <v>A veces</v>
      </c>
      <c r="S110">
        <v>0</v>
      </c>
      <c r="T110" t="str">
        <f t="shared" si="37"/>
        <v>No fuma</v>
      </c>
      <c r="U110">
        <v>3</v>
      </c>
      <c r="V110">
        <f t="shared" si="38"/>
        <v>2</v>
      </c>
      <c r="W110" t="str">
        <f t="shared" si="39"/>
        <v>Siempre</v>
      </c>
      <c r="X110">
        <v>0</v>
      </c>
      <c r="Y110" t="str">
        <f t="shared" si="40"/>
        <v>No controla</v>
      </c>
      <c r="Z110">
        <v>3</v>
      </c>
      <c r="AA110">
        <f t="shared" si="41"/>
        <v>3</v>
      </c>
      <c r="AB110" t="str">
        <f t="shared" si="42"/>
        <v>Siempre</v>
      </c>
      <c r="AC110">
        <v>2</v>
      </c>
      <c r="AD110">
        <f t="shared" si="43"/>
        <v>2</v>
      </c>
      <c r="AE110" t="str">
        <f t="shared" si="44"/>
        <v>Siempre</v>
      </c>
      <c r="AF110">
        <v>0</v>
      </c>
      <c r="AG110" t="str">
        <f t="shared" si="45"/>
        <v>Nunca</v>
      </c>
      <c r="AH110">
        <v>0</v>
      </c>
      <c r="AI110" t="str">
        <f t="shared" si="46"/>
        <v>No usa</v>
      </c>
      <c r="AJ110">
        <v>0</v>
      </c>
      <c r="AK110" t="str">
        <f t="shared" si="47"/>
        <v>No usa</v>
      </c>
      <c r="AL110">
        <v>0</v>
      </c>
      <c r="AM110" t="str">
        <f t="shared" si="48"/>
        <v>No usa</v>
      </c>
      <c r="AN110">
        <v>0</v>
      </c>
      <c r="AO110" t="str">
        <f t="shared" si="49"/>
        <v>No usa</v>
      </c>
      <c r="AP110">
        <v>1</v>
      </c>
      <c r="AQ110" t="str">
        <f t="shared" si="50"/>
        <v>Camina</v>
      </c>
      <c r="AR110">
        <v>1</v>
      </c>
      <c r="AS110" t="str">
        <f t="shared" si="51"/>
        <v>Es Obeso</v>
      </c>
    </row>
    <row r="111" spans="1:45" x14ac:dyDescent="0.25">
      <c r="A111">
        <v>0</v>
      </c>
      <c r="B111" t="str">
        <f t="shared" si="26"/>
        <v>F</v>
      </c>
      <c r="C111">
        <v>21</v>
      </c>
      <c r="D111">
        <f t="shared" si="27"/>
        <v>21</v>
      </c>
      <c r="E111">
        <f t="shared" si="28"/>
        <v>21</v>
      </c>
      <c r="F111" t="str">
        <f t="shared" si="29"/>
        <v>1-25</v>
      </c>
      <c r="G111">
        <v>1</v>
      </c>
      <c r="H111" t="str">
        <f t="shared" si="30"/>
        <v>Pariente gordo</v>
      </c>
      <c r="I111">
        <v>1</v>
      </c>
      <c r="J111" t="str">
        <f t="shared" si="31"/>
        <v>Hipercaloricos</v>
      </c>
      <c r="K111">
        <v>3</v>
      </c>
      <c r="L111">
        <f t="shared" si="32"/>
        <v>1</v>
      </c>
      <c r="M111" t="str">
        <f t="shared" si="33"/>
        <v>Suele comer</v>
      </c>
      <c r="N111">
        <v>1</v>
      </c>
      <c r="O111">
        <f t="shared" si="34"/>
        <v>1</v>
      </c>
      <c r="P111">
        <f t="shared" si="35"/>
        <v>3</v>
      </c>
      <c r="Q111">
        <v>1</v>
      </c>
      <c r="R111" t="str">
        <f t="shared" si="36"/>
        <v>A veces</v>
      </c>
      <c r="S111">
        <v>0</v>
      </c>
      <c r="T111" t="str">
        <f t="shared" si="37"/>
        <v>No fuma</v>
      </c>
      <c r="U111">
        <v>3</v>
      </c>
      <c r="V111">
        <f t="shared" si="38"/>
        <v>2</v>
      </c>
      <c r="W111" t="str">
        <f t="shared" si="39"/>
        <v>Siempre</v>
      </c>
      <c r="X111">
        <v>0</v>
      </c>
      <c r="Y111" t="str">
        <f t="shared" si="40"/>
        <v>No controla</v>
      </c>
      <c r="Z111">
        <v>2</v>
      </c>
      <c r="AA111">
        <f t="shared" si="41"/>
        <v>2</v>
      </c>
      <c r="AB111" t="str">
        <f t="shared" si="42"/>
        <v>Usualmente</v>
      </c>
      <c r="AC111">
        <v>1</v>
      </c>
      <c r="AD111">
        <f t="shared" si="43"/>
        <v>1</v>
      </c>
      <c r="AE111" t="str">
        <f t="shared" si="44"/>
        <v>Usualmente</v>
      </c>
      <c r="AF111">
        <v>0</v>
      </c>
      <c r="AG111" t="str">
        <f t="shared" si="45"/>
        <v>Nunca</v>
      </c>
      <c r="AH111">
        <v>0</v>
      </c>
      <c r="AI111" t="str">
        <f t="shared" si="46"/>
        <v>No usa</v>
      </c>
      <c r="AJ111">
        <v>0</v>
      </c>
      <c r="AK111" t="str">
        <f t="shared" si="47"/>
        <v>No usa</v>
      </c>
      <c r="AL111">
        <v>0</v>
      </c>
      <c r="AM111" t="str">
        <f t="shared" si="48"/>
        <v>No usa</v>
      </c>
      <c r="AN111">
        <v>1</v>
      </c>
      <c r="AO111" t="str">
        <f t="shared" si="49"/>
        <v>Usa Transporte</v>
      </c>
      <c r="AP111">
        <v>0</v>
      </c>
      <c r="AQ111" t="str">
        <f t="shared" si="50"/>
        <v>No camina</v>
      </c>
      <c r="AR111">
        <v>1</v>
      </c>
      <c r="AS111" t="str">
        <f t="shared" si="51"/>
        <v>Es Obeso</v>
      </c>
    </row>
    <row r="112" spans="1:45" x14ac:dyDescent="0.25">
      <c r="A112">
        <v>1</v>
      </c>
      <c r="B112" t="str">
        <f t="shared" si="26"/>
        <v>M</v>
      </c>
      <c r="C112">
        <v>21</v>
      </c>
      <c r="D112">
        <f t="shared" si="27"/>
        <v>21</v>
      </c>
      <c r="E112">
        <f t="shared" si="28"/>
        <v>21</v>
      </c>
      <c r="F112" t="str">
        <f t="shared" si="29"/>
        <v>1-25</v>
      </c>
      <c r="G112">
        <v>1</v>
      </c>
      <c r="H112" t="str">
        <f t="shared" si="30"/>
        <v>Pariente gordo</v>
      </c>
      <c r="I112">
        <v>1</v>
      </c>
      <c r="J112" t="str">
        <f t="shared" si="31"/>
        <v>Hipercaloricos</v>
      </c>
      <c r="K112">
        <v>3</v>
      </c>
      <c r="L112">
        <f t="shared" si="32"/>
        <v>1</v>
      </c>
      <c r="M112" t="str">
        <f t="shared" si="33"/>
        <v>Suele comer</v>
      </c>
      <c r="N112">
        <v>3</v>
      </c>
      <c r="O112">
        <f t="shared" si="34"/>
        <v>2</v>
      </c>
      <c r="P112" t="str">
        <f t="shared" si="35"/>
        <v>Mas de 3</v>
      </c>
      <c r="Q112">
        <v>1</v>
      </c>
      <c r="R112" t="str">
        <f t="shared" si="36"/>
        <v>A veces</v>
      </c>
      <c r="S112">
        <v>0</v>
      </c>
      <c r="T112" t="str">
        <f t="shared" si="37"/>
        <v>No fuma</v>
      </c>
      <c r="U112">
        <v>2</v>
      </c>
      <c r="V112">
        <f t="shared" si="38"/>
        <v>2</v>
      </c>
      <c r="W112" t="str">
        <f t="shared" si="39"/>
        <v>Siempre</v>
      </c>
      <c r="X112">
        <v>0</v>
      </c>
      <c r="Y112" t="str">
        <f t="shared" si="40"/>
        <v>No controla</v>
      </c>
      <c r="Z112">
        <v>0</v>
      </c>
      <c r="AA112">
        <f t="shared" si="41"/>
        <v>0</v>
      </c>
      <c r="AB112" t="str">
        <f t="shared" si="42"/>
        <v>Nunca</v>
      </c>
      <c r="AC112">
        <v>1</v>
      </c>
      <c r="AD112">
        <f t="shared" si="43"/>
        <v>1</v>
      </c>
      <c r="AE112" t="str">
        <f t="shared" si="44"/>
        <v>Usualmente</v>
      </c>
      <c r="AF112">
        <v>1</v>
      </c>
      <c r="AG112" t="str">
        <f t="shared" si="45"/>
        <v>A veces</v>
      </c>
      <c r="AH112">
        <v>0</v>
      </c>
      <c r="AI112" t="str">
        <f t="shared" si="46"/>
        <v>No usa</v>
      </c>
      <c r="AJ112">
        <v>0</v>
      </c>
      <c r="AK112" t="str">
        <f t="shared" si="47"/>
        <v>No usa</v>
      </c>
      <c r="AL112">
        <v>0</v>
      </c>
      <c r="AM112" t="str">
        <f t="shared" si="48"/>
        <v>No usa</v>
      </c>
      <c r="AN112">
        <v>1</v>
      </c>
      <c r="AO112" t="str">
        <f t="shared" si="49"/>
        <v>Usa Transporte</v>
      </c>
      <c r="AP112">
        <v>0</v>
      </c>
      <c r="AQ112" t="str">
        <f t="shared" si="50"/>
        <v>No camina</v>
      </c>
      <c r="AR112">
        <v>0</v>
      </c>
      <c r="AS112" t="str">
        <f t="shared" si="51"/>
        <v>No es obeso</v>
      </c>
    </row>
    <row r="113" spans="1:45" x14ac:dyDescent="0.25">
      <c r="A113">
        <v>0</v>
      </c>
      <c r="B113" t="str">
        <f t="shared" si="26"/>
        <v>F</v>
      </c>
      <c r="C113">
        <v>22</v>
      </c>
      <c r="D113">
        <f t="shared" si="27"/>
        <v>22</v>
      </c>
      <c r="E113">
        <f t="shared" si="28"/>
        <v>22</v>
      </c>
      <c r="F113" t="str">
        <f t="shared" si="29"/>
        <v>1-25</v>
      </c>
      <c r="G113">
        <v>1</v>
      </c>
      <c r="H113" t="str">
        <f t="shared" si="30"/>
        <v>Pariente gordo</v>
      </c>
      <c r="I113">
        <v>1</v>
      </c>
      <c r="J113" t="str">
        <f t="shared" si="31"/>
        <v>Hipercaloricos</v>
      </c>
      <c r="K113">
        <v>2</v>
      </c>
      <c r="L113">
        <f t="shared" si="32"/>
        <v>1</v>
      </c>
      <c r="M113" t="str">
        <f t="shared" si="33"/>
        <v>Suele comer</v>
      </c>
      <c r="N113">
        <v>1</v>
      </c>
      <c r="O113">
        <f t="shared" si="34"/>
        <v>1</v>
      </c>
      <c r="P113">
        <f t="shared" si="35"/>
        <v>3</v>
      </c>
      <c r="Q113">
        <v>1</v>
      </c>
      <c r="R113" t="str">
        <f t="shared" si="36"/>
        <v>A veces</v>
      </c>
      <c r="S113">
        <v>0</v>
      </c>
      <c r="T113" t="str">
        <f t="shared" si="37"/>
        <v>No fuma</v>
      </c>
      <c r="U113">
        <v>1</v>
      </c>
      <c r="V113">
        <f t="shared" si="38"/>
        <v>1</v>
      </c>
      <c r="W113" t="str">
        <f t="shared" si="39"/>
        <v>Usualmente</v>
      </c>
      <c r="X113">
        <v>0</v>
      </c>
      <c r="Y113" t="str">
        <f t="shared" si="40"/>
        <v>No controla</v>
      </c>
      <c r="Z113">
        <v>0</v>
      </c>
      <c r="AA113">
        <f t="shared" si="41"/>
        <v>0</v>
      </c>
      <c r="AB113" t="str">
        <f t="shared" si="42"/>
        <v>Nunca</v>
      </c>
      <c r="AC113">
        <v>0</v>
      </c>
      <c r="AD113">
        <f t="shared" si="43"/>
        <v>0</v>
      </c>
      <c r="AE113" t="str">
        <f t="shared" si="44"/>
        <v>Nunca</v>
      </c>
      <c r="AF113">
        <v>0</v>
      </c>
      <c r="AG113" t="str">
        <f t="shared" si="45"/>
        <v>Nunca</v>
      </c>
      <c r="AH113">
        <v>0</v>
      </c>
      <c r="AI113" t="str">
        <f t="shared" si="46"/>
        <v>No usa</v>
      </c>
      <c r="AJ113">
        <v>0</v>
      </c>
      <c r="AK113" t="str">
        <f t="shared" si="47"/>
        <v>No usa</v>
      </c>
      <c r="AL113">
        <v>0</v>
      </c>
      <c r="AM113" t="str">
        <f t="shared" si="48"/>
        <v>No usa</v>
      </c>
      <c r="AN113">
        <v>1</v>
      </c>
      <c r="AO113" t="str">
        <f t="shared" si="49"/>
        <v>Usa Transporte</v>
      </c>
      <c r="AP113">
        <v>0</v>
      </c>
      <c r="AQ113" t="str">
        <f t="shared" si="50"/>
        <v>No camina</v>
      </c>
      <c r="AR113">
        <v>0</v>
      </c>
      <c r="AS113" t="str">
        <f t="shared" si="51"/>
        <v>No es obeso</v>
      </c>
    </row>
    <row r="114" spans="1:45" x14ac:dyDescent="0.25">
      <c r="A114">
        <v>0</v>
      </c>
      <c r="B114" t="str">
        <f t="shared" si="26"/>
        <v>F</v>
      </c>
      <c r="C114">
        <v>18</v>
      </c>
      <c r="D114">
        <f t="shared" si="27"/>
        <v>18</v>
      </c>
      <c r="E114">
        <f t="shared" si="28"/>
        <v>18</v>
      </c>
      <c r="F114" t="str">
        <f t="shared" si="29"/>
        <v>1-25</v>
      </c>
      <c r="G114">
        <v>1</v>
      </c>
      <c r="H114" t="str">
        <f t="shared" si="30"/>
        <v>Pariente gordo</v>
      </c>
      <c r="I114">
        <v>1</v>
      </c>
      <c r="J114" t="str">
        <f t="shared" si="31"/>
        <v>Hipercaloricos</v>
      </c>
      <c r="K114">
        <v>2</v>
      </c>
      <c r="L114">
        <f t="shared" si="32"/>
        <v>1</v>
      </c>
      <c r="M114" t="str">
        <f t="shared" si="33"/>
        <v>Suele comer</v>
      </c>
      <c r="N114">
        <v>4</v>
      </c>
      <c r="O114">
        <f t="shared" si="34"/>
        <v>2</v>
      </c>
      <c r="P114" t="str">
        <f t="shared" si="35"/>
        <v>Mas de 3</v>
      </c>
      <c r="Q114">
        <v>2</v>
      </c>
      <c r="R114" t="str">
        <f t="shared" si="36"/>
        <v>Usualmente</v>
      </c>
      <c r="S114">
        <v>0</v>
      </c>
      <c r="T114" t="str">
        <f t="shared" si="37"/>
        <v>No fuma</v>
      </c>
      <c r="U114">
        <v>2</v>
      </c>
      <c r="V114">
        <f t="shared" si="38"/>
        <v>2</v>
      </c>
      <c r="W114" t="str">
        <f t="shared" si="39"/>
        <v>Siempre</v>
      </c>
      <c r="X114">
        <v>0</v>
      </c>
      <c r="Y114" t="str">
        <f t="shared" si="40"/>
        <v>No controla</v>
      </c>
      <c r="Z114">
        <v>1</v>
      </c>
      <c r="AA114">
        <f t="shared" si="41"/>
        <v>1</v>
      </c>
      <c r="AB114" t="str">
        <f t="shared" si="42"/>
        <v>A veces</v>
      </c>
      <c r="AC114">
        <v>0</v>
      </c>
      <c r="AD114">
        <f t="shared" si="43"/>
        <v>0</v>
      </c>
      <c r="AE114" t="str">
        <f t="shared" si="44"/>
        <v>Nunca</v>
      </c>
      <c r="AF114">
        <v>1</v>
      </c>
      <c r="AG114" t="str">
        <f t="shared" si="45"/>
        <v>A veces</v>
      </c>
      <c r="AH114">
        <v>0</v>
      </c>
      <c r="AI114" t="str">
        <f t="shared" si="46"/>
        <v>No usa</v>
      </c>
      <c r="AJ114">
        <v>0</v>
      </c>
      <c r="AK114" t="str">
        <f t="shared" si="47"/>
        <v>No usa</v>
      </c>
      <c r="AL114">
        <v>0</v>
      </c>
      <c r="AM114" t="str">
        <f t="shared" si="48"/>
        <v>No usa</v>
      </c>
      <c r="AN114">
        <v>1</v>
      </c>
      <c r="AO114" t="str">
        <f t="shared" si="49"/>
        <v>Usa Transporte</v>
      </c>
      <c r="AP114">
        <v>0</v>
      </c>
      <c r="AQ114" t="str">
        <f t="shared" si="50"/>
        <v>No camina</v>
      </c>
      <c r="AR114">
        <v>0</v>
      </c>
      <c r="AS114" t="str">
        <f t="shared" si="51"/>
        <v>No es obeso</v>
      </c>
    </row>
    <row r="115" spans="1:45" x14ac:dyDescent="0.25">
      <c r="A115">
        <v>0</v>
      </c>
      <c r="B115" t="str">
        <f t="shared" si="26"/>
        <v>F</v>
      </c>
      <c r="C115">
        <v>22</v>
      </c>
      <c r="D115">
        <f t="shared" si="27"/>
        <v>22</v>
      </c>
      <c r="E115">
        <f t="shared" si="28"/>
        <v>22</v>
      </c>
      <c r="F115" t="str">
        <f t="shared" si="29"/>
        <v>1-25</v>
      </c>
      <c r="G115">
        <v>1</v>
      </c>
      <c r="H115" t="str">
        <f t="shared" si="30"/>
        <v>Pariente gordo</v>
      </c>
      <c r="I115">
        <v>0</v>
      </c>
      <c r="J115" t="str">
        <f t="shared" si="31"/>
        <v>Saludables</v>
      </c>
      <c r="K115">
        <v>2</v>
      </c>
      <c r="L115">
        <f t="shared" si="32"/>
        <v>1</v>
      </c>
      <c r="M115" t="str">
        <f t="shared" si="33"/>
        <v>Suele comer</v>
      </c>
      <c r="N115">
        <v>1</v>
      </c>
      <c r="O115">
        <f t="shared" si="34"/>
        <v>1</v>
      </c>
      <c r="P115">
        <f t="shared" si="35"/>
        <v>3</v>
      </c>
      <c r="Q115">
        <v>1</v>
      </c>
      <c r="R115" t="str">
        <f t="shared" si="36"/>
        <v>A veces</v>
      </c>
      <c r="S115">
        <v>0</v>
      </c>
      <c r="T115" t="str">
        <f t="shared" si="37"/>
        <v>No fuma</v>
      </c>
      <c r="U115">
        <v>2</v>
      </c>
      <c r="V115">
        <f t="shared" si="38"/>
        <v>2</v>
      </c>
      <c r="W115" t="str">
        <f t="shared" si="39"/>
        <v>Siempre</v>
      </c>
      <c r="X115">
        <v>0</v>
      </c>
      <c r="Y115" t="str">
        <f t="shared" si="40"/>
        <v>No controla</v>
      </c>
      <c r="Z115">
        <v>3</v>
      </c>
      <c r="AA115">
        <f t="shared" si="41"/>
        <v>3</v>
      </c>
      <c r="AB115" t="str">
        <f t="shared" si="42"/>
        <v>Siempre</v>
      </c>
      <c r="AC115">
        <v>0</v>
      </c>
      <c r="AD115">
        <f t="shared" si="43"/>
        <v>0</v>
      </c>
      <c r="AE115" t="str">
        <f t="shared" si="44"/>
        <v>Nunca</v>
      </c>
      <c r="AF115">
        <v>0</v>
      </c>
      <c r="AG115" t="str">
        <f t="shared" si="45"/>
        <v>Nunca</v>
      </c>
      <c r="AH115">
        <v>0</v>
      </c>
      <c r="AI115" t="str">
        <f t="shared" si="46"/>
        <v>No usa</v>
      </c>
      <c r="AJ115">
        <v>0</v>
      </c>
      <c r="AK115" t="str">
        <f t="shared" si="47"/>
        <v>No usa</v>
      </c>
      <c r="AL115">
        <v>0</v>
      </c>
      <c r="AM115" t="str">
        <f t="shared" si="48"/>
        <v>No usa</v>
      </c>
      <c r="AN115">
        <v>0</v>
      </c>
      <c r="AO115" t="str">
        <f t="shared" si="49"/>
        <v>No usa</v>
      </c>
      <c r="AP115">
        <v>1</v>
      </c>
      <c r="AQ115" t="str">
        <f t="shared" si="50"/>
        <v>Camina</v>
      </c>
      <c r="AR115">
        <v>0</v>
      </c>
      <c r="AS115" t="str">
        <f t="shared" si="51"/>
        <v>No es obeso</v>
      </c>
    </row>
    <row r="116" spans="1:45" x14ac:dyDescent="0.25">
      <c r="A116">
        <v>0</v>
      </c>
      <c r="B116" t="str">
        <f t="shared" si="26"/>
        <v>F</v>
      </c>
      <c r="C116">
        <v>19</v>
      </c>
      <c r="D116">
        <f t="shared" si="27"/>
        <v>19</v>
      </c>
      <c r="E116">
        <f t="shared" si="28"/>
        <v>19</v>
      </c>
      <c r="F116" t="str">
        <f t="shared" si="29"/>
        <v>1-25</v>
      </c>
      <c r="G116">
        <v>1</v>
      </c>
      <c r="H116" t="str">
        <f t="shared" si="30"/>
        <v>Pariente gordo</v>
      </c>
      <c r="I116">
        <v>1</v>
      </c>
      <c r="J116" t="str">
        <f t="shared" si="31"/>
        <v>Hipercaloricos</v>
      </c>
      <c r="K116">
        <v>3</v>
      </c>
      <c r="L116">
        <f t="shared" si="32"/>
        <v>1</v>
      </c>
      <c r="M116" t="str">
        <f t="shared" si="33"/>
        <v>Suele comer</v>
      </c>
      <c r="N116">
        <v>1</v>
      </c>
      <c r="O116">
        <f t="shared" si="34"/>
        <v>1</v>
      </c>
      <c r="P116">
        <f t="shared" si="35"/>
        <v>3</v>
      </c>
      <c r="Q116">
        <v>2</v>
      </c>
      <c r="R116" t="str">
        <f t="shared" si="36"/>
        <v>Usualmente</v>
      </c>
      <c r="S116">
        <v>0</v>
      </c>
      <c r="T116" t="str">
        <f t="shared" si="37"/>
        <v>No fuma</v>
      </c>
      <c r="U116">
        <v>2</v>
      </c>
      <c r="V116">
        <f t="shared" si="38"/>
        <v>2</v>
      </c>
      <c r="W116" t="str">
        <f t="shared" si="39"/>
        <v>Siempre</v>
      </c>
      <c r="X116">
        <v>0</v>
      </c>
      <c r="Y116" t="str">
        <f t="shared" si="40"/>
        <v>No controla</v>
      </c>
      <c r="Z116">
        <v>1</v>
      </c>
      <c r="AA116">
        <f t="shared" si="41"/>
        <v>1</v>
      </c>
      <c r="AB116" t="str">
        <f t="shared" si="42"/>
        <v>A veces</v>
      </c>
      <c r="AC116">
        <v>0</v>
      </c>
      <c r="AD116">
        <f t="shared" si="43"/>
        <v>0</v>
      </c>
      <c r="AE116" t="str">
        <f t="shared" si="44"/>
        <v>Nunca</v>
      </c>
      <c r="AF116">
        <v>2</v>
      </c>
      <c r="AG116" t="str">
        <f t="shared" si="45"/>
        <v>Usualmente</v>
      </c>
      <c r="AH116">
        <v>0</v>
      </c>
      <c r="AI116" t="str">
        <f t="shared" si="46"/>
        <v>No usa</v>
      </c>
      <c r="AJ116">
        <v>0</v>
      </c>
      <c r="AK116" t="str">
        <f t="shared" si="47"/>
        <v>No usa</v>
      </c>
      <c r="AL116">
        <v>0</v>
      </c>
      <c r="AM116" t="str">
        <f t="shared" si="48"/>
        <v>No usa</v>
      </c>
      <c r="AN116">
        <v>1</v>
      </c>
      <c r="AO116" t="str">
        <f t="shared" si="49"/>
        <v>Usa Transporte</v>
      </c>
      <c r="AP116">
        <v>0</v>
      </c>
      <c r="AQ116" t="str">
        <f t="shared" si="50"/>
        <v>No camina</v>
      </c>
      <c r="AR116">
        <v>0</v>
      </c>
      <c r="AS116" t="str">
        <f t="shared" si="51"/>
        <v>No es obeso</v>
      </c>
    </row>
    <row r="117" spans="1:45" x14ac:dyDescent="0.25">
      <c r="A117">
        <v>0</v>
      </c>
      <c r="B117" t="str">
        <f t="shared" si="26"/>
        <v>F</v>
      </c>
      <c r="C117">
        <v>17</v>
      </c>
      <c r="D117">
        <f t="shared" si="27"/>
        <v>17</v>
      </c>
      <c r="E117">
        <f t="shared" si="28"/>
        <v>17</v>
      </c>
      <c r="F117" t="str">
        <f t="shared" si="29"/>
        <v>1-25</v>
      </c>
      <c r="G117">
        <v>1</v>
      </c>
      <c r="H117" t="str">
        <f t="shared" si="30"/>
        <v>Pariente gordo</v>
      </c>
      <c r="I117">
        <v>1</v>
      </c>
      <c r="J117" t="str">
        <f t="shared" si="31"/>
        <v>Hipercaloricos</v>
      </c>
      <c r="K117">
        <v>3</v>
      </c>
      <c r="L117">
        <f t="shared" si="32"/>
        <v>1</v>
      </c>
      <c r="M117" t="str">
        <f t="shared" si="33"/>
        <v>Suele comer</v>
      </c>
      <c r="N117">
        <v>3</v>
      </c>
      <c r="O117">
        <f t="shared" si="34"/>
        <v>2</v>
      </c>
      <c r="P117" t="str">
        <f t="shared" si="35"/>
        <v>Mas de 3</v>
      </c>
      <c r="Q117">
        <v>2</v>
      </c>
      <c r="R117" t="str">
        <f t="shared" si="36"/>
        <v>Usualmente</v>
      </c>
      <c r="S117">
        <v>0</v>
      </c>
      <c r="T117" t="str">
        <f t="shared" si="37"/>
        <v>No fuma</v>
      </c>
      <c r="U117">
        <v>2</v>
      </c>
      <c r="V117">
        <f t="shared" si="38"/>
        <v>2</v>
      </c>
      <c r="W117" t="str">
        <f t="shared" si="39"/>
        <v>Siempre</v>
      </c>
      <c r="X117">
        <v>0</v>
      </c>
      <c r="Y117" t="str">
        <f t="shared" si="40"/>
        <v>No controla</v>
      </c>
      <c r="Z117">
        <v>0</v>
      </c>
      <c r="AA117">
        <f t="shared" si="41"/>
        <v>0</v>
      </c>
      <c r="AB117" t="str">
        <f t="shared" si="42"/>
        <v>Nunca</v>
      </c>
      <c r="AC117">
        <v>1</v>
      </c>
      <c r="AD117">
        <f t="shared" si="43"/>
        <v>1</v>
      </c>
      <c r="AE117" t="str">
        <f t="shared" si="44"/>
        <v>Usualmente</v>
      </c>
      <c r="AF117">
        <v>0</v>
      </c>
      <c r="AG117" t="str">
        <f t="shared" si="45"/>
        <v>Nunca</v>
      </c>
      <c r="AH117">
        <v>0</v>
      </c>
      <c r="AI117" t="str">
        <f t="shared" si="46"/>
        <v>No usa</v>
      </c>
      <c r="AJ117">
        <v>0</v>
      </c>
      <c r="AK117" t="str">
        <f t="shared" si="47"/>
        <v>No usa</v>
      </c>
      <c r="AL117">
        <v>0</v>
      </c>
      <c r="AM117" t="str">
        <f t="shared" si="48"/>
        <v>No usa</v>
      </c>
      <c r="AN117">
        <v>1</v>
      </c>
      <c r="AO117" t="str">
        <f t="shared" si="49"/>
        <v>Usa Transporte</v>
      </c>
      <c r="AP117">
        <v>0</v>
      </c>
      <c r="AQ117" t="str">
        <f t="shared" si="50"/>
        <v>No camina</v>
      </c>
      <c r="AR117">
        <v>0</v>
      </c>
      <c r="AS117" t="str">
        <f t="shared" si="51"/>
        <v>No es obeso</v>
      </c>
    </row>
    <row r="118" spans="1:45" x14ac:dyDescent="0.25">
      <c r="A118">
        <v>0</v>
      </c>
      <c r="B118" t="str">
        <f t="shared" si="26"/>
        <v>F</v>
      </c>
      <c r="C118">
        <v>15</v>
      </c>
      <c r="D118">
        <f t="shared" si="27"/>
        <v>15</v>
      </c>
      <c r="E118">
        <f t="shared" si="28"/>
        <v>15</v>
      </c>
      <c r="F118" t="str">
        <f t="shared" si="29"/>
        <v>1-25</v>
      </c>
      <c r="G118">
        <v>1</v>
      </c>
      <c r="H118" t="str">
        <f t="shared" si="30"/>
        <v>Pariente gordo</v>
      </c>
      <c r="I118">
        <v>1</v>
      </c>
      <c r="J118" t="str">
        <f t="shared" si="31"/>
        <v>Hipercaloricos</v>
      </c>
      <c r="K118">
        <v>3</v>
      </c>
      <c r="L118">
        <f t="shared" si="32"/>
        <v>1</v>
      </c>
      <c r="M118" t="str">
        <f t="shared" si="33"/>
        <v>Suele comer</v>
      </c>
      <c r="N118">
        <v>3</v>
      </c>
      <c r="O118">
        <f t="shared" si="34"/>
        <v>2</v>
      </c>
      <c r="P118" t="str">
        <f t="shared" si="35"/>
        <v>Mas de 3</v>
      </c>
      <c r="Q118">
        <v>1</v>
      </c>
      <c r="R118" t="str">
        <f t="shared" si="36"/>
        <v>A veces</v>
      </c>
      <c r="S118">
        <v>0</v>
      </c>
      <c r="T118" t="str">
        <f t="shared" si="37"/>
        <v>No fuma</v>
      </c>
      <c r="U118">
        <v>1</v>
      </c>
      <c r="V118">
        <f t="shared" si="38"/>
        <v>1</v>
      </c>
      <c r="W118" t="str">
        <f t="shared" si="39"/>
        <v>Usualmente</v>
      </c>
      <c r="X118">
        <v>0</v>
      </c>
      <c r="Y118" t="str">
        <f t="shared" si="40"/>
        <v>No controla</v>
      </c>
      <c r="Z118">
        <v>3</v>
      </c>
      <c r="AA118">
        <f t="shared" si="41"/>
        <v>3</v>
      </c>
      <c r="AB118" t="str">
        <f t="shared" si="42"/>
        <v>Siempre</v>
      </c>
      <c r="AC118">
        <v>2</v>
      </c>
      <c r="AD118">
        <f t="shared" si="43"/>
        <v>2</v>
      </c>
      <c r="AE118" t="str">
        <f t="shared" si="44"/>
        <v>Siempre</v>
      </c>
      <c r="AF118">
        <v>0</v>
      </c>
      <c r="AG118" t="str">
        <f t="shared" si="45"/>
        <v>Nunca</v>
      </c>
      <c r="AH118">
        <v>0</v>
      </c>
      <c r="AI118" t="str">
        <f t="shared" si="46"/>
        <v>No usa</v>
      </c>
      <c r="AJ118">
        <v>0</v>
      </c>
      <c r="AK118" t="str">
        <f t="shared" si="47"/>
        <v>No usa</v>
      </c>
      <c r="AL118">
        <v>0</v>
      </c>
      <c r="AM118" t="str">
        <f t="shared" si="48"/>
        <v>No usa</v>
      </c>
      <c r="AN118">
        <v>0</v>
      </c>
      <c r="AO118" t="str">
        <f t="shared" si="49"/>
        <v>No usa</v>
      </c>
      <c r="AP118">
        <v>1</v>
      </c>
      <c r="AQ118" t="str">
        <f t="shared" si="50"/>
        <v>Camina</v>
      </c>
      <c r="AR118">
        <v>1</v>
      </c>
      <c r="AS118" t="str">
        <f t="shared" si="51"/>
        <v>Es Obeso</v>
      </c>
    </row>
    <row r="119" spans="1:45" x14ac:dyDescent="0.25">
      <c r="A119">
        <v>0</v>
      </c>
      <c r="B119" t="str">
        <f t="shared" si="26"/>
        <v>F</v>
      </c>
      <c r="C119">
        <v>17</v>
      </c>
      <c r="D119">
        <f t="shared" si="27"/>
        <v>17</v>
      </c>
      <c r="E119">
        <f t="shared" si="28"/>
        <v>17</v>
      </c>
      <c r="F119" t="str">
        <f t="shared" si="29"/>
        <v>1-25</v>
      </c>
      <c r="G119">
        <v>1</v>
      </c>
      <c r="H119" t="str">
        <f t="shared" si="30"/>
        <v>Pariente gordo</v>
      </c>
      <c r="I119">
        <v>0</v>
      </c>
      <c r="J119" t="str">
        <f t="shared" si="31"/>
        <v>Saludables</v>
      </c>
      <c r="K119">
        <v>2</v>
      </c>
      <c r="L119">
        <f t="shared" si="32"/>
        <v>1</v>
      </c>
      <c r="M119" t="str">
        <f t="shared" si="33"/>
        <v>Suele comer</v>
      </c>
      <c r="N119">
        <v>3</v>
      </c>
      <c r="O119">
        <f t="shared" si="34"/>
        <v>2</v>
      </c>
      <c r="P119" t="str">
        <f t="shared" si="35"/>
        <v>Mas de 3</v>
      </c>
      <c r="Q119">
        <v>2</v>
      </c>
      <c r="R119" t="str">
        <f t="shared" si="36"/>
        <v>Usualmente</v>
      </c>
      <c r="S119">
        <v>0</v>
      </c>
      <c r="T119" t="str">
        <f t="shared" si="37"/>
        <v>No fuma</v>
      </c>
      <c r="U119">
        <v>2</v>
      </c>
      <c r="V119">
        <f t="shared" si="38"/>
        <v>2</v>
      </c>
      <c r="W119" t="str">
        <f t="shared" si="39"/>
        <v>Siempre</v>
      </c>
      <c r="X119">
        <v>0</v>
      </c>
      <c r="Y119" t="str">
        <f t="shared" si="40"/>
        <v>No controla</v>
      </c>
      <c r="Z119">
        <v>1</v>
      </c>
      <c r="AA119">
        <f t="shared" si="41"/>
        <v>1</v>
      </c>
      <c r="AB119" t="str">
        <f t="shared" si="42"/>
        <v>A veces</v>
      </c>
      <c r="AC119">
        <v>1</v>
      </c>
      <c r="AD119">
        <f t="shared" si="43"/>
        <v>1</v>
      </c>
      <c r="AE119" t="str">
        <f t="shared" si="44"/>
        <v>Usualmente</v>
      </c>
      <c r="AF119">
        <v>0</v>
      </c>
      <c r="AG119" t="str">
        <f t="shared" si="45"/>
        <v>Nunca</v>
      </c>
      <c r="AH119">
        <v>0</v>
      </c>
      <c r="AI119" t="str">
        <f t="shared" si="46"/>
        <v>No usa</v>
      </c>
      <c r="AJ119">
        <v>0</v>
      </c>
      <c r="AK119" t="str">
        <f t="shared" si="47"/>
        <v>No usa</v>
      </c>
      <c r="AL119">
        <v>0</v>
      </c>
      <c r="AM119" t="str">
        <f t="shared" si="48"/>
        <v>No usa</v>
      </c>
      <c r="AN119">
        <v>1</v>
      </c>
      <c r="AO119" t="str">
        <f t="shared" si="49"/>
        <v>Usa Transporte</v>
      </c>
      <c r="AP119">
        <v>0</v>
      </c>
      <c r="AQ119" t="str">
        <f t="shared" si="50"/>
        <v>No camina</v>
      </c>
      <c r="AR119">
        <v>0</v>
      </c>
      <c r="AS119" t="str">
        <f t="shared" si="51"/>
        <v>No es obeso</v>
      </c>
    </row>
    <row r="120" spans="1:45" x14ac:dyDescent="0.25">
      <c r="A120">
        <v>1</v>
      </c>
      <c r="B120" t="str">
        <f t="shared" si="26"/>
        <v>M</v>
      </c>
      <c r="C120">
        <v>23</v>
      </c>
      <c r="D120">
        <f t="shared" si="27"/>
        <v>23</v>
      </c>
      <c r="E120">
        <f t="shared" si="28"/>
        <v>23</v>
      </c>
      <c r="F120" t="str">
        <f t="shared" si="29"/>
        <v>1-25</v>
      </c>
      <c r="G120">
        <v>1</v>
      </c>
      <c r="H120" t="str">
        <f t="shared" si="30"/>
        <v>Pariente gordo</v>
      </c>
      <c r="I120">
        <v>1</v>
      </c>
      <c r="J120" t="str">
        <f t="shared" si="31"/>
        <v>Hipercaloricos</v>
      </c>
      <c r="K120">
        <v>2</v>
      </c>
      <c r="L120">
        <f t="shared" si="32"/>
        <v>1</v>
      </c>
      <c r="M120" t="str">
        <f t="shared" si="33"/>
        <v>Suele comer</v>
      </c>
      <c r="N120">
        <v>3</v>
      </c>
      <c r="O120">
        <f t="shared" si="34"/>
        <v>2</v>
      </c>
      <c r="P120" t="str">
        <f t="shared" si="35"/>
        <v>Mas de 3</v>
      </c>
      <c r="Q120">
        <v>1</v>
      </c>
      <c r="R120" t="str">
        <f t="shared" si="36"/>
        <v>A veces</v>
      </c>
      <c r="S120">
        <v>0</v>
      </c>
      <c r="T120" t="str">
        <f t="shared" si="37"/>
        <v>No fuma</v>
      </c>
      <c r="U120">
        <v>2</v>
      </c>
      <c r="V120">
        <f t="shared" si="38"/>
        <v>2</v>
      </c>
      <c r="W120" t="str">
        <f t="shared" si="39"/>
        <v>Siempre</v>
      </c>
      <c r="X120">
        <v>0</v>
      </c>
      <c r="Y120" t="str">
        <f t="shared" si="40"/>
        <v>No controla</v>
      </c>
      <c r="Z120">
        <v>1</v>
      </c>
      <c r="AA120">
        <f t="shared" si="41"/>
        <v>1</v>
      </c>
      <c r="AB120" t="str">
        <f t="shared" si="42"/>
        <v>A veces</v>
      </c>
      <c r="AC120">
        <v>1</v>
      </c>
      <c r="AD120">
        <f t="shared" si="43"/>
        <v>1</v>
      </c>
      <c r="AE120" t="str">
        <f t="shared" si="44"/>
        <v>Usualmente</v>
      </c>
      <c r="AF120">
        <v>1</v>
      </c>
      <c r="AG120" t="str">
        <f t="shared" si="45"/>
        <v>A veces</v>
      </c>
      <c r="AH120">
        <v>0</v>
      </c>
      <c r="AI120" t="str">
        <f t="shared" si="46"/>
        <v>No usa</v>
      </c>
      <c r="AJ120">
        <v>0</v>
      </c>
      <c r="AK120" t="str">
        <f t="shared" si="47"/>
        <v>No usa</v>
      </c>
      <c r="AL120">
        <v>0</v>
      </c>
      <c r="AM120" t="str">
        <f t="shared" si="48"/>
        <v>No usa</v>
      </c>
      <c r="AN120">
        <v>1</v>
      </c>
      <c r="AO120" t="str">
        <f t="shared" si="49"/>
        <v>Usa Transporte</v>
      </c>
      <c r="AP120">
        <v>0</v>
      </c>
      <c r="AQ120" t="str">
        <f t="shared" si="50"/>
        <v>No camina</v>
      </c>
      <c r="AR120">
        <v>0</v>
      </c>
      <c r="AS120" t="str">
        <f t="shared" si="51"/>
        <v>No es obeso</v>
      </c>
    </row>
    <row r="121" spans="1:45" x14ac:dyDescent="0.25">
      <c r="A121">
        <v>0</v>
      </c>
      <c r="B121" t="str">
        <f t="shared" si="26"/>
        <v>F</v>
      </c>
      <c r="C121">
        <v>19</v>
      </c>
      <c r="D121">
        <f t="shared" si="27"/>
        <v>19</v>
      </c>
      <c r="E121">
        <f t="shared" si="28"/>
        <v>19</v>
      </c>
      <c r="F121" t="str">
        <f t="shared" si="29"/>
        <v>1-25</v>
      </c>
      <c r="G121">
        <v>1</v>
      </c>
      <c r="H121" t="str">
        <f t="shared" si="30"/>
        <v>Pariente gordo</v>
      </c>
      <c r="I121">
        <v>0</v>
      </c>
      <c r="J121" t="str">
        <f t="shared" si="31"/>
        <v>Saludables</v>
      </c>
      <c r="K121">
        <v>3</v>
      </c>
      <c r="L121">
        <f t="shared" si="32"/>
        <v>1</v>
      </c>
      <c r="M121" t="str">
        <f t="shared" si="33"/>
        <v>Suele comer</v>
      </c>
      <c r="N121">
        <v>3</v>
      </c>
      <c r="O121">
        <f t="shared" si="34"/>
        <v>2</v>
      </c>
      <c r="P121" t="str">
        <f t="shared" si="35"/>
        <v>Mas de 3</v>
      </c>
      <c r="Q121">
        <v>2</v>
      </c>
      <c r="R121" t="str">
        <f t="shared" si="36"/>
        <v>Usualmente</v>
      </c>
      <c r="S121">
        <v>1</v>
      </c>
      <c r="T121" t="str">
        <f t="shared" si="37"/>
        <v>Fuma</v>
      </c>
      <c r="U121">
        <v>3</v>
      </c>
      <c r="V121">
        <f t="shared" si="38"/>
        <v>2</v>
      </c>
      <c r="W121" t="str">
        <f t="shared" si="39"/>
        <v>Siempre</v>
      </c>
      <c r="X121">
        <v>0</v>
      </c>
      <c r="Y121" t="str">
        <f t="shared" si="40"/>
        <v>No controla</v>
      </c>
      <c r="Z121">
        <v>2</v>
      </c>
      <c r="AA121">
        <f t="shared" si="41"/>
        <v>2</v>
      </c>
      <c r="AB121" t="str">
        <f t="shared" si="42"/>
        <v>Usualmente</v>
      </c>
      <c r="AC121">
        <v>1</v>
      </c>
      <c r="AD121">
        <f t="shared" si="43"/>
        <v>1</v>
      </c>
      <c r="AE121" t="str">
        <f t="shared" si="44"/>
        <v>Usualmente</v>
      </c>
      <c r="AF121">
        <v>1</v>
      </c>
      <c r="AG121" t="str">
        <f t="shared" si="45"/>
        <v>A veces</v>
      </c>
      <c r="AH121">
        <v>1</v>
      </c>
      <c r="AI121" t="str">
        <f t="shared" si="46"/>
        <v>Usa auto</v>
      </c>
      <c r="AJ121">
        <v>0</v>
      </c>
      <c r="AK121" t="str">
        <f t="shared" si="47"/>
        <v>No usa</v>
      </c>
      <c r="AL121">
        <v>0</v>
      </c>
      <c r="AM121" t="str">
        <f t="shared" si="48"/>
        <v>No usa</v>
      </c>
      <c r="AN121">
        <v>0</v>
      </c>
      <c r="AO121" t="str">
        <f t="shared" si="49"/>
        <v>No usa</v>
      </c>
      <c r="AP121">
        <v>0</v>
      </c>
      <c r="AQ121" t="str">
        <f t="shared" si="50"/>
        <v>No camina</v>
      </c>
      <c r="AR121">
        <v>0</v>
      </c>
      <c r="AS121" t="str">
        <f t="shared" si="51"/>
        <v>No es obeso</v>
      </c>
    </row>
    <row r="122" spans="1:45" x14ac:dyDescent="0.25">
      <c r="A122">
        <v>0</v>
      </c>
      <c r="B122" t="str">
        <f t="shared" si="26"/>
        <v>F</v>
      </c>
      <c r="C122">
        <v>23</v>
      </c>
      <c r="D122">
        <f t="shared" si="27"/>
        <v>23</v>
      </c>
      <c r="E122">
        <f t="shared" si="28"/>
        <v>23</v>
      </c>
      <c r="F122" t="str">
        <f t="shared" si="29"/>
        <v>1-25</v>
      </c>
      <c r="G122">
        <v>1</v>
      </c>
      <c r="H122" t="str">
        <f t="shared" si="30"/>
        <v>Pariente gordo</v>
      </c>
      <c r="I122">
        <v>1</v>
      </c>
      <c r="J122" t="str">
        <f t="shared" si="31"/>
        <v>Hipercaloricos</v>
      </c>
      <c r="K122">
        <v>2</v>
      </c>
      <c r="L122">
        <f t="shared" si="32"/>
        <v>1</v>
      </c>
      <c r="M122" t="str">
        <f t="shared" si="33"/>
        <v>Suele comer</v>
      </c>
      <c r="N122">
        <v>3</v>
      </c>
      <c r="O122">
        <f t="shared" si="34"/>
        <v>2</v>
      </c>
      <c r="P122" t="str">
        <f t="shared" si="35"/>
        <v>Mas de 3</v>
      </c>
      <c r="Q122">
        <v>2</v>
      </c>
      <c r="R122" t="str">
        <f t="shared" si="36"/>
        <v>Usualmente</v>
      </c>
      <c r="S122">
        <v>1</v>
      </c>
      <c r="T122" t="str">
        <f t="shared" si="37"/>
        <v>Fuma</v>
      </c>
      <c r="U122">
        <v>2</v>
      </c>
      <c r="V122">
        <f t="shared" si="38"/>
        <v>2</v>
      </c>
      <c r="W122" t="str">
        <f t="shared" si="39"/>
        <v>Siempre</v>
      </c>
      <c r="X122">
        <v>0</v>
      </c>
      <c r="Y122" t="str">
        <f t="shared" si="40"/>
        <v>No controla</v>
      </c>
      <c r="Z122">
        <v>0</v>
      </c>
      <c r="AA122">
        <f t="shared" si="41"/>
        <v>0</v>
      </c>
      <c r="AB122" t="str">
        <f t="shared" si="42"/>
        <v>Nunca</v>
      </c>
      <c r="AC122">
        <v>2</v>
      </c>
      <c r="AD122">
        <f t="shared" si="43"/>
        <v>2</v>
      </c>
      <c r="AE122" t="str">
        <f t="shared" si="44"/>
        <v>Siempre</v>
      </c>
      <c r="AF122">
        <v>0</v>
      </c>
      <c r="AG122" t="str">
        <f t="shared" si="45"/>
        <v>Nunca</v>
      </c>
      <c r="AH122">
        <v>0</v>
      </c>
      <c r="AI122" t="str">
        <f t="shared" si="46"/>
        <v>No usa</v>
      </c>
      <c r="AJ122">
        <v>0</v>
      </c>
      <c r="AK122" t="str">
        <f t="shared" si="47"/>
        <v>No usa</v>
      </c>
      <c r="AL122">
        <v>0</v>
      </c>
      <c r="AM122" t="str">
        <f t="shared" si="48"/>
        <v>No usa</v>
      </c>
      <c r="AN122">
        <v>0</v>
      </c>
      <c r="AO122" t="str">
        <f t="shared" si="49"/>
        <v>No usa</v>
      </c>
      <c r="AP122">
        <v>1</v>
      </c>
      <c r="AQ122" t="str">
        <f t="shared" si="50"/>
        <v>Camina</v>
      </c>
      <c r="AR122">
        <v>0</v>
      </c>
      <c r="AS122" t="str">
        <f t="shared" si="51"/>
        <v>No es obeso</v>
      </c>
    </row>
    <row r="123" spans="1:45" x14ac:dyDescent="0.25">
      <c r="A123">
        <v>1</v>
      </c>
      <c r="B123" t="str">
        <f t="shared" si="26"/>
        <v>M</v>
      </c>
      <c r="C123">
        <v>23</v>
      </c>
      <c r="D123">
        <f t="shared" si="27"/>
        <v>23</v>
      </c>
      <c r="E123">
        <f t="shared" si="28"/>
        <v>23</v>
      </c>
      <c r="F123" t="str">
        <f t="shared" si="29"/>
        <v>1-25</v>
      </c>
      <c r="G123">
        <v>1</v>
      </c>
      <c r="H123" t="str">
        <f t="shared" si="30"/>
        <v>Pariente gordo</v>
      </c>
      <c r="I123">
        <v>1</v>
      </c>
      <c r="J123" t="str">
        <f t="shared" si="31"/>
        <v>Hipercaloricos</v>
      </c>
      <c r="K123">
        <v>1</v>
      </c>
      <c r="L123">
        <f t="shared" si="32"/>
        <v>1</v>
      </c>
      <c r="M123" t="str">
        <f t="shared" si="33"/>
        <v>Suele comer</v>
      </c>
      <c r="N123">
        <v>3</v>
      </c>
      <c r="O123">
        <f t="shared" si="34"/>
        <v>2</v>
      </c>
      <c r="P123" t="str">
        <f t="shared" si="35"/>
        <v>Mas de 3</v>
      </c>
      <c r="Q123">
        <v>2</v>
      </c>
      <c r="R123" t="str">
        <f t="shared" si="36"/>
        <v>Usualmente</v>
      </c>
      <c r="S123">
        <v>0</v>
      </c>
      <c r="T123" t="str">
        <f t="shared" si="37"/>
        <v>No fuma</v>
      </c>
      <c r="U123">
        <v>2</v>
      </c>
      <c r="V123">
        <f t="shared" si="38"/>
        <v>2</v>
      </c>
      <c r="W123" t="str">
        <f t="shared" si="39"/>
        <v>Siempre</v>
      </c>
      <c r="X123">
        <v>0</v>
      </c>
      <c r="Y123" t="str">
        <f t="shared" si="40"/>
        <v>No controla</v>
      </c>
      <c r="Z123">
        <v>0</v>
      </c>
      <c r="AA123">
        <f t="shared" si="41"/>
        <v>0</v>
      </c>
      <c r="AB123" t="str">
        <f t="shared" si="42"/>
        <v>Nunca</v>
      </c>
      <c r="AC123">
        <v>2</v>
      </c>
      <c r="AD123">
        <f t="shared" si="43"/>
        <v>2</v>
      </c>
      <c r="AE123" t="str">
        <f t="shared" si="44"/>
        <v>Siempre</v>
      </c>
      <c r="AF123">
        <v>2</v>
      </c>
      <c r="AG123" t="str">
        <f t="shared" si="45"/>
        <v>Usualmente</v>
      </c>
      <c r="AH123">
        <v>0</v>
      </c>
      <c r="AI123" t="str">
        <f t="shared" si="46"/>
        <v>No usa</v>
      </c>
      <c r="AJ123">
        <v>0</v>
      </c>
      <c r="AK123" t="str">
        <f t="shared" si="47"/>
        <v>No usa</v>
      </c>
      <c r="AL123">
        <v>0</v>
      </c>
      <c r="AM123" t="str">
        <f t="shared" si="48"/>
        <v>No usa</v>
      </c>
      <c r="AN123">
        <v>1</v>
      </c>
      <c r="AO123" t="str">
        <f t="shared" si="49"/>
        <v>Usa Transporte</v>
      </c>
      <c r="AP123">
        <v>0</v>
      </c>
      <c r="AQ123" t="str">
        <f t="shared" si="50"/>
        <v>No camina</v>
      </c>
      <c r="AR123">
        <v>0</v>
      </c>
      <c r="AS123" t="str">
        <f t="shared" si="51"/>
        <v>No es obeso</v>
      </c>
    </row>
    <row r="124" spans="1:45" x14ac:dyDescent="0.25">
      <c r="A124">
        <v>1</v>
      </c>
      <c r="B124" t="str">
        <f t="shared" si="26"/>
        <v>M</v>
      </c>
      <c r="C124">
        <v>21</v>
      </c>
      <c r="D124">
        <f t="shared" si="27"/>
        <v>21</v>
      </c>
      <c r="E124">
        <f t="shared" si="28"/>
        <v>21</v>
      </c>
      <c r="F124" t="str">
        <f t="shared" si="29"/>
        <v>1-25</v>
      </c>
      <c r="G124">
        <v>1</v>
      </c>
      <c r="H124" t="str">
        <f t="shared" si="30"/>
        <v>Pariente gordo</v>
      </c>
      <c r="I124">
        <v>0</v>
      </c>
      <c r="J124" t="str">
        <f t="shared" si="31"/>
        <v>Saludables</v>
      </c>
      <c r="K124">
        <v>3</v>
      </c>
      <c r="L124">
        <f t="shared" si="32"/>
        <v>1</v>
      </c>
      <c r="M124" t="str">
        <f t="shared" si="33"/>
        <v>Suele comer</v>
      </c>
      <c r="N124">
        <v>4</v>
      </c>
      <c r="O124">
        <f t="shared" si="34"/>
        <v>2</v>
      </c>
      <c r="P124" t="str">
        <f t="shared" si="35"/>
        <v>Mas de 3</v>
      </c>
      <c r="Q124">
        <v>2</v>
      </c>
      <c r="R124" t="str">
        <f t="shared" si="36"/>
        <v>Usualmente</v>
      </c>
      <c r="S124">
        <v>0</v>
      </c>
      <c r="T124" t="str">
        <f t="shared" si="37"/>
        <v>No fuma</v>
      </c>
      <c r="U124">
        <v>1</v>
      </c>
      <c r="V124">
        <f t="shared" si="38"/>
        <v>1</v>
      </c>
      <c r="W124" t="str">
        <f t="shared" si="39"/>
        <v>Usualmente</v>
      </c>
      <c r="X124">
        <v>0</v>
      </c>
      <c r="Y124" t="str">
        <f t="shared" si="40"/>
        <v>No controla</v>
      </c>
      <c r="Z124">
        <v>1</v>
      </c>
      <c r="AA124">
        <f t="shared" si="41"/>
        <v>1</v>
      </c>
      <c r="AB124" t="str">
        <f t="shared" si="42"/>
        <v>A veces</v>
      </c>
      <c r="AC124">
        <v>0</v>
      </c>
      <c r="AD124">
        <f t="shared" si="43"/>
        <v>0</v>
      </c>
      <c r="AE124" t="str">
        <f t="shared" si="44"/>
        <v>Nunca</v>
      </c>
      <c r="AF124">
        <v>0</v>
      </c>
      <c r="AG124" t="str">
        <f t="shared" si="45"/>
        <v>Nunca</v>
      </c>
      <c r="AH124">
        <v>0</v>
      </c>
      <c r="AI124" t="str">
        <f t="shared" si="46"/>
        <v>No usa</v>
      </c>
      <c r="AJ124">
        <v>0</v>
      </c>
      <c r="AK124" t="str">
        <f t="shared" si="47"/>
        <v>No usa</v>
      </c>
      <c r="AL124">
        <v>0</v>
      </c>
      <c r="AM124" t="str">
        <f t="shared" si="48"/>
        <v>No usa</v>
      </c>
      <c r="AN124">
        <v>0</v>
      </c>
      <c r="AO124" t="str">
        <f t="shared" si="49"/>
        <v>No usa</v>
      </c>
      <c r="AP124">
        <v>1</v>
      </c>
      <c r="AQ124" t="str">
        <f t="shared" si="50"/>
        <v>Camina</v>
      </c>
      <c r="AR124">
        <v>0</v>
      </c>
      <c r="AS124" t="str">
        <f t="shared" si="51"/>
        <v>No es obeso</v>
      </c>
    </row>
    <row r="125" spans="1:45" x14ac:dyDescent="0.25">
      <c r="A125">
        <v>1</v>
      </c>
      <c r="B125" t="str">
        <f t="shared" si="26"/>
        <v>M</v>
      </c>
      <c r="C125">
        <v>24</v>
      </c>
      <c r="D125">
        <f t="shared" si="27"/>
        <v>24</v>
      </c>
      <c r="E125">
        <f t="shared" si="28"/>
        <v>24</v>
      </c>
      <c r="F125" t="str">
        <f t="shared" si="29"/>
        <v>1-25</v>
      </c>
      <c r="G125">
        <v>1</v>
      </c>
      <c r="H125" t="str">
        <f t="shared" si="30"/>
        <v>Pariente gordo</v>
      </c>
      <c r="I125">
        <v>1</v>
      </c>
      <c r="J125" t="str">
        <f t="shared" si="31"/>
        <v>Hipercaloricos</v>
      </c>
      <c r="K125">
        <v>3</v>
      </c>
      <c r="L125">
        <f t="shared" si="32"/>
        <v>1</v>
      </c>
      <c r="M125" t="str">
        <f t="shared" si="33"/>
        <v>Suele comer</v>
      </c>
      <c r="N125">
        <v>1</v>
      </c>
      <c r="O125">
        <f t="shared" si="34"/>
        <v>1</v>
      </c>
      <c r="P125">
        <f t="shared" si="35"/>
        <v>3</v>
      </c>
      <c r="Q125">
        <v>1</v>
      </c>
      <c r="R125" t="str">
        <f t="shared" si="36"/>
        <v>A veces</v>
      </c>
      <c r="S125">
        <v>0</v>
      </c>
      <c r="T125" t="str">
        <f t="shared" si="37"/>
        <v>No fuma</v>
      </c>
      <c r="U125">
        <v>2</v>
      </c>
      <c r="V125">
        <f t="shared" si="38"/>
        <v>2</v>
      </c>
      <c r="W125" t="str">
        <f t="shared" si="39"/>
        <v>Siempre</v>
      </c>
      <c r="X125">
        <v>0</v>
      </c>
      <c r="Y125" t="str">
        <f t="shared" si="40"/>
        <v>No controla</v>
      </c>
      <c r="Z125">
        <v>1</v>
      </c>
      <c r="AA125">
        <f t="shared" si="41"/>
        <v>1</v>
      </c>
      <c r="AB125" t="str">
        <f t="shared" si="42"/>
        <v>A veces</v>
      </c>
      <c r="AC125">
        <v>0</v>
      </c>
      <c r="AD125">
        <f t="shared" si="43"/>
        <v>0</v>
      </c>
      <c r="AE125" t="str">
        <f t="shared" si="44"/>
        <v>Nunca</v>
      </c>
      <c r="AF125">
        <v>0</v>
      </c>
      <c r="AG125" t="str">
        <f t="shared" si="45"/>
        <v>Nunca</v>
      </c>
      <c r="AH125">
        <v>0</v>
      </c>
      <c r="AI125" t="str">
        <f t="shared" si="46"/>
        <v>No usa</v>
      </c>
      <c r="AJ125">
        <v>0</v>
      </c>
      <c r="AK125" t="str">
        <f t="shared" si="47"/>
        <v>No usa</v>
      </c>
      <c r="AL125">
        <v>0</v>
      </c>
      <c r="AM125" t="str">
        <f t="shared" si="48"/>
        <v>No usa</v>
      </c>
      <c r="AN125">
        <v>1</v>
      </c>
      <c r="AO125" t="str">
        <f t="shared" si="49"/>
        <v>Usa Transporte</v>
      </c>
      <c r="AP125">
        <v>0</v>
      </c>
      <c r="AQ125" t="str">
        <f t="shared" si="50"/>
        <v>No camina</v>
      </c>
      <c r="AR125">
        <v>0</v>
      </c>
      <c r="AS125" t="str">
        <f t="shared" si="51"/>
        <v>No es obeso</v>
      </c>
    </row>
    <row r="126" spans="1:45" x14ac:dyDescent="0.25">
      <c r="A126">
        <v>1</v>
      </c>
      <c r="B126" t="str">
        <f t="shared" si="26"/>
        <v>M</v>
      </c>
      <c r="C126">
        <v>23</v>
      </c>
      <c r="D126">
        <f t="shared" si="27"/>
        <v>23</v>
      </c>
      <c r="E126">
        <f t="shared" si="28"/>
        <v>23</v>
      </c>
      <c r="F126" t="str">
        <f t="shared" si="29"/>
        <v>1-25</v>
      </c>
      <c r="G126">
        <v>0</v>
      </c>
      <c r="H126" t="str">
        <f t="shared" si="30"/>
        <v>Pariente normal</v>
      </c>
      <c r="I126">
        <v>1</v>
      </c>
      <c r="J126" t="str">
        <f t="shared" si="31"/>
        <v>Hipercaloricos</v>
      </c>
      <c r="K126">
        <v>3</v>
      </c>
      <c r="L126">
        <f t="shared" si="32"/>
        <v>1</v>
      </c>
      <c r="M126" t="str">
        <f t="shared" si="33"/>
        <v>Suele comer</v>
      </c>
      <c r="N126">
        <v>3</v>
      </c>
      <c r="O126">
        <f t="shared" si="34"/>
        <v>2</v>
      </c>
      <c r="P126" t="str">
        <f t="shared" si="35"/>
        <v>Mas de 3</v>
      </c>
      <c r="Q126">
        <v>1</v>
      </c>
      <c r="R126" t="str">
        <f t="shared" si="36"/>
        <v>A veces</v>
      </c>
      <c r="S126">
        <v>0</v>
      </c>
      <c r="T126" t="str">
        <f t="shared" si="37"/>
        <v>No fuma</v>
      </c>
      <c r="U126">
        <v>1</v>
      </c>
      <c r="V126">
        <f t="shared" si="38"/>
        <v>1</v>
      </c>
      <c r="W126" t="str">
        <f t="shared" si="39"/>
        <v>Usualmente</v>
      </c>
      <c r="X126">
        <v>0</v>
      </c>
      <c r="Y126" t="str">
        <f t="shared" si="40"/>
        <v>No controla</v>
      </c>
      <c r="Z126">
        <v>0</v>
      </c>
      <c r="AA126">
        <f t="shared" si="41"/>
        <v>0</v>
      </c>
      <c r="AB126" t="str">
        <f t="shared" si="42"/>
        <v>Nunca</v>
      </c>
      <c r="AC126">
        <v>0</v>
      </c>
      <c r="AD126">
        <f t="shared" si="43"/>
        <v>0</v>
      </c>
      <c r="AE126" t="str">
        <f t="shared" si="44"/>
        <v>Nunca</v>
      </c>
      <c r="AF126">
        <v>0</v>
      </c>
      <c r="AG126" t="str">
        <f t="shared" si="45"/>
        <v>Nunca</v>
      </c>
      <c r="AH126">
        <v>0</v>
      </c>
      <c r="AI126" t="str">
        <f t="shared" si="46"/>
        <v>No usa</v>
      </c>
      <c r="AJ126">
        <v>0</v>
      </c>
      <c r="AK126" t="str">
        <f t="shared" si="47"/>
        <v>No usa</v>
      </c>
      <c r="AL126">
        <v>0</v>
      </c>
      <c r="AM126" t="str">
        <f t="shared" si="48"/>
        <v>No usa</v>
      </c>
      <c r="AN126">
        <v>1</v>
      </c>
      <c r="AO126" t="str">
        <f t="shared" si="49"/>
        <v>Usa Transporte</v>
      </c>
      <c r="AP126">
        <v>0</v>
      </c>
      <c r="AQ126" t="str">
        <f t="shared" si="50"/>
        <v>No camina</v>
      </c>
      <c r="AR126">
        <v>0</v>
      </c>
      <c r="AS126" t="str">
        <f t="shared" si="51"/>
        <v>No es obeso</v>
      </c>
    </row>
    <row r="127" spans="1:45" x14ac:dyDescent="0.25">
      <c r="A127">
        <v>1</v>
      </c>
      <c r="B127" t="str">
        <f t="shared" si="26"/>
        <v>M</v>
      </c>
      <c r="C127">
        <v>18</v>
      </c>
      <c r="D127">
        <f t="shared" si="27"/>
        <v>18</v>
      </c>
      <c r="E127">
        <f t="shared" si="28"/>
        <v>18</v>
      </c>
      <c r="F127" t="str">
        <f t="shared" si="29"/>
        <v>1-25</v>
      </c>
      <c r="G127">
        <v>1</v>
      </c>
      <c r="H127" t="str">
        <f t="shared" si="30"/>
        <v>Pariente gordo</v>
      </c>
      <c r="I127">
        <v>1</v>
      </c>
      <c r="J127" t="str">
        <f t="shared" si="31"/>
        <v>Hipercaloricos</v>
      </c>
      <c r="K127">
        <v>2</v>
      </c>
      <c r="L127">
        <f t="shared" si="32"/>
        <v>1</v>
      </c>
      <c r="M127" t="str">
        <f t="shared" si="33"/>
        <v>Suele comer</v>
      </c>
      <c r="N127">
        <v>3</v>
      </c>
      <c r="O127">
        <f t="shared" si="34"/>
        <v>2</v>
      </c>
      <c r="P127" t="str">
        <f t="shared" si="35"/>
        <v>Mas de 3</v>
      </c>
      <c r="Q127">
        <v>3</v>
      </c>
      <c r="R127" t="str">
        <f t="shared" si="36"/>
        <v>Siempre</v>
      </c>
      <c r="S127">
        <v>0</v>
      </c>
      <c r="T127" t="str">
        <f t="shared" si="37"/>
        <v>No fuma</v>
      </c>
      <c r="U127">
        <v>2</v>
      </c>
      <c r="V127">
        <f t="shared" si="38"/>
        <v>2</v>
      </c>
      <c r="W127" t="str">
        <f t="shared" si="39"/>
        <v>Siempre</v>
      </c>
      <c r="X127">
        <v>0</v>
      </c>
      <c r="Y127" t="str">
        <f t="shared" si="40"/>
        <v>No controla</v>
      </c>
      <c r="Z127">
        <v>0</v>
      </c>
      <c r="AA127">
        <f t="shared" si="41"/>
        <v>0</v>
      </c>
      <c r="AB127" t="str">
        <f t="shared" si="42"/>
        <v>Nunca</v>
      </c>
      <c r="AC127">
        <v>0</v>
      </c>
      <c r="AD127">
        <f t="shared" si="43"/>
        <v>0</v>
      </c>
      <c r="AE127" t="str">
        <f t="shared" si="44"/>
        <v>Nunca</v>
      </c>
      <c r="AF127">
        <v>2</v>
      </c>
      <c r="AG127" t="str">
        <f t="shared" si="45"/>
        <v>Usualmente</v>
      </c>
      <c r="AH127">
        <v>0</v>
      </c>
      <c r="AI127" t="str">
        <f t="shared" si="46"/>
        <v>No usa</v>
      </c>
      <c r="AJ127">
        <v>0</v>
      </c>
      <c r="AK127" t="str">
        <f t="shared" si="47"/>
        <v>No usa</v>
      </c>
      <c r="AL127">
        <v>0</v>
      </c>
      <c r="AM127" t="str">
        <f t="shared" si="48"/>
        <v>No usa</v>
      </c>
      <c r="AN127">
        <v>1</v>
      </c>
      <c r="AO127" t="str">
        <f t="shared" si="49"/>
        <v>Usa Transporte</v>
      </c>
      <c r="AP127">
        <v>0</v>
      </c>
      <c r="AQ127" t="str">
        <f t="shared" si="50"/>
        <v>No camina</v>
      </c>
      <c r="AR127">
        <v>0</v>
      </c>
      <c r="AS127" t="str">
        <f t="shared" si="51"/>
        <v>No es obeso</v>
      </c>
    </row>
    <row r="128" spans="1:45" x14ac:dyDescent="0.25">
      <c r="A128">
        <v>1</v>
      </c>
      <c r="B128" t="str">
        <f t="shared" si="26"/>
        <v>M</v>
      </c>
      <c r="C128">
        <v>19</v>
      </c>
      <c r="D128">
        <f t="shared" si="27"/>
        <v>19</v>
      </c>
      <c r="E128">
        <f t="shared" si="28"/>
        <v>19</v>
      </c>
      <c r="F128" t="str">
        <f t="shared" si="29"/>
        <v>1-25</v>
      </c>
      <c r="G128">
        <v>0</v>
      </c>
      <c r="H128" t="str">
        <f t="shared" si="30"/>
        <v>Pariente normal</v>
      </c>
      <c r="I128">
        <v>1</v>
      </c>
      <c r="J128" t="str">
        <f t="shared" si="31"/>
        <v>Hipercaloricos</v>
      </c>
      <c r="K128">
        <v>2</v>
      </c>
      <c r="L128">
        <f t="shared" si="32"/>
        <v>1</v>
      </c>
      <c r="M128" t="str">
        <f t="shared" si="33"/>
        <v>Suele comer</v>
      </c>
      <c r="N128">
        <v>3</v>
      </c>
      <c r="O128">
        <f t="shared" si="34"/>
        <v>2</v>
      </c>
      <c r="P128" t="str">
        <f t="shared" si="35"/>
        <v>Mas de 3</v>
      </c>
      <c r="Q128">
        <v>1</v>
      </c>
      <c r="R128" t="str">
        <f t="shared" si="36"/>
        <v>A veces</v>
      </c>
      <c r="S128">
        <v>0</v>
      </c>
      <c r="T128" t="str">
        <f t="shared" si="37"/>
        <v>No fuma</v>
      </c>
      <c r="U128">
        <v>2</v>
      </c>
      <c r="V128">
        <f t="shared" si="38"/>
        <v>2</v>
      </c>
      <c r="W128" t="str">
        <f t="shared" si="39"/>
        <v>Siempre</v>
      </c>
      <c r="X128">
        <v>0</v>
      </c>
      <c r="Y128" t="str">
        <f t="shared" si="40"/>
        <v>No controla</v>
      </c>
      <c r="Z128">
        <v>1</v>
      </c>
      <c r="AA128">
        <f t="shared" si="41"/>
        <v>1</v>
      </c>
      <c r="AB128" t="str">
        <f t="shared" si="42"/>
        <v>A veces</v>
      </c>
      <c r="AC128">
        <v>0</v>
      </c>
      <c r="AD128">
        <f t="shared" si="43"/>
        <v>0</v>
      </c>
      <c r="AE128" t="str">
        <f t="shared" si="44"/>
        <v>Nunca</v>
      </c>
      <c r="AF128">
        <v>1</v>
      </c>
      <c r="AG128" t="str">
        <f t="shared" si="45"/>
        <v>A veces</v>
      </c>
      <c r="AH128">
        <v>0</v>
      </c>
      <c r="AI128" t="str">
        <f t="shared" si="46"/>
        <v>No usa</v>
      </c>
      <c r="AJ128">
        <v>0</v>
      </c>
      <c r="AK128" t="str">
        <f t="shared" si="47"/>
        <v>No usa</v>
      </c>
      <c r="AL128">
        <v>0</v>
      </c>
      <c r="AM128" t="str">
        <f t="shared" si="48"/>
        <v>No usa</v>
      </c>
      <c r="AN128">
        <v>1</v>
      </c>
      <c r="AO128" t="str">
        <f t="shared" si="49"/>
        <v>Usa Transporte</v>
      </c>
      <c r="AP128">
        <v>0</v>
      </c>
      <c r="AQ128" t="str">
        <f t="shared" si="50"/>
        <v>No camina</v>
      </c>
      <c r="AR128">
        <v>0</v>
      </c>
      <c r="AS128" t="str">
        <f t="shared" si="51"/>
        <v>No es obeso</v>
      </c>
    </row>
    <row r="129" spans="1:45" x14ac:dyDescent="0.25">
      <c r="A129">
        <v>0</v>
      </c>
      <c r="B129" t="str">
        <f t="shared" si="26"/>
        <v>F</v>
      </c>
      <c r="C129">
        <v>19</v>
      </c>
      <c r="D129">
        <f t="shared" si="27"/>
        <v>19</v>
      </c>
      <c r="E129">
        <f t="shared" si="28"/>
        <v>19</v>
      </c>
      <c r="F129" t="str">
        <f t="shared" si="29"/>
        <v>1-25</v>
      </c>
      <c r="G129">
        <v>0</v>
      </c>
      <c r="H129" t="str">
        <f t="shared" si="30"/>
        <v>Pariente normal</v>
      </c>
      <c r="I129">
        <v>1</v>
      </c>
      <c r="J129" t="str">
        <f t="shared" si="31"/>
        <v>Hipercaloricos</v>
      </c>
      <c r="K129">
        <v>3</v>
      </c>
      <c r="L129">
        <f t="shared" si="32"/>
        <v>1</v>
      </c>
      <c r="M129" t="str">
        <f t="shared" si="33"/>
        <v>Suele comer</v>
      </c>
      <c r="N129">
        <v>1</v>
      </c>
      <c r="O129">
        <f t="shared" si="34"/>
        <v>1</v>
      </c>
      <c r="P129">
        <f t="shared" si="35"/>
        <v>3</v>
      </c>
      <c r="Q129">
        <v>1</v>
      </c>
      <c r="R129" t="str">
        <f t="shared" si="36"/>
        <v>A veces</v>
      </c>
      <c r="S129">
        <v>0</v>
      </c>
      <c r="T129" t="str">
        <f t="shared" si="37"/>
        <v>No fuma</v>
      </c>
      <c r="U129">
        <v>3</v>
      </c>
      <c r="V129">
        <f t="shared" si="38"/>
        <v>2</v>
      </c>
      <c r="W129" t="str">
        <f t="shared" si="39"/>
        <v>Siempre</v>
      </c>
      <c r="X129">
        <v>1</v>
      </c>
      <c r="Y129" t="str">
        <f t="shared" si="40"/>
        <v>Controla</v>
      </c>
      <c r="Z129">
        <v>1</v>
      </c>
      <c r="AA129">
        <f t="shared" si="41"/>
        <v>1</v>
      </c>
      <c r="AB129" t="str">
        <f t="shared" si="42"/>
        <v>A veces</v>
      </c>
      <c r="AC129">
        <v>0</v>
      </c>
      <c r="AD129">
        <f t="shared" si="43"/>
        <v>0</v>
      </c>
      <c r="AE129" t="str">
        <f t="shared" si="44"/>
        <v>Nunca</v>
      </c>
      <c r="AF129">
        <v>1</v>
      </c>
      <c r="AG129" t="str">
        <f t="shared" si="45"/>
        <v>A veces</v>
      </c>
      <c r="AH129">
        <v>0</v>
      </c>
      <c r="AI129" t="str">
        <f t="shared" si="46"/>
        <v>No usa</v>
      </c>
      <c r="AJ129">
        <v>0</v>
      </c>
      <c r="AK129" t="str">
        <f t="shared" si="47"/>
        <v>No usa</v>
      </c>
      <c r="AL129">
        <v>0</v>
      </c>
      <c r="AM129" t="str">
        <f t="shared" si="48"/>
        <v>No usa</v>
      </c>
      <c r="AN129">
        <v>1</v>
      </c>
      <c r="AO129" t="str">
        <f t="shared" si="49"/>
        <v>Usa Transporte</v>
      </c>
      <c r="AP129">
        <v>0</v>
      </c>
      <c r="AQ129" t="str">
        <f t="shared" si="50"/>
        <v>No camina</v>
      </c>
      <c r="AR129">
        <v>0</v>
      </c>
      <c r="AS129" t="str">
        <f t="shared" si="51"/>
        <v>No es obeso</v>
      </c>
    </row>
    <row r="130" spans="1:45" x14ac:dyDescent="0.25">
      <c r="A130">
        <v>1</v>
      </c>
      <c r="B130" t="str">
        <f t="shared" si="26"/>
        <v>M</v>
      </c>
      <c r="C130">
        <v>20</v>
      </c>
      <c r="D130">
        <f t="shared" si="27"/>
        <v>20</v>
      </c>
      <c r="E130">
        <f t="shared" si="28"/>
        <v>20</v>
      </c>
      <c r="F130" t="str">
        <f t="shared" si="29"/>
        <v>1-25</v>
      </c>
      <c r="G130">
        <v>1</v>
      </c>
      <c r="H130" t="str">
        <f t="shared" si="30"/>
        <v>Pariente gordo</v>
      </c>
      <c r="I130">
        <v>1</v>
      </c>
      <c r="J130" t="str">
        <f t="shared" si="31"/>
        <v>Hipercaloricos</v>
      </c>
      <c r="K130">
        <v>3</v>
      </c>
      <c r="L130">
        <f t="shared" si="32"/>
        <v>1</v>
      </c>
      <c r="M130" t="str">
        <f t="shared" si="33"/>
        <v>Suele comer</v>
      </c>
      <c r="N130">
        <v>3</v>
      </c>
      <c r="O130">
        <f t="shared" si="34"/>
        <v>2</v>
      </c>
      <c r="P130" t="str">
        <f t="shared" si="35"/>
        <v>Mas de 3</v>
      </c>
      <c r="Q130">
        <v>2</v>
      </c>
      <c r="R130" t="str">
        <f t="shared" si="36"/>
        <v>Usualmente</v>
      </c>
      <c r="S130">
        <v>0</v>
      </c>
      <c r="T130" t="str">
        <f t="shared" si="37"/>
        <v>No fuma</v>
      </c>
      <c r="U130">
        <v>1</v>
      </c>
      <c r="V130">
        <f t="shared" si="38"/>
        <v>1</v>
      </c>
      <c r="W130" t="str">
        <f t="shared" si="39"/>
        <v>Usualmente</v>
      </c>
      <c r="X130">
        <v>0</v>
      </c>
      <c r="Y130" t="str">
        <f t="shared" si="40"/>
        <v>No controla</v>
      </c>
      <c r="Z130">
        <v>0</v>
      </c>
      <c r="AA130">
        <f t="shared" si="41"/>
        <v>0</v>
      </c>
      <c r="AB130" t="str">
        <f t="shared" si="42"/>
        <v>Nunca</v>
      </c>
      <c r="AC130">
        <v>0</v>
      </c>
      <c r="AD130">
        <f t="shared" si="43"/>
        <v>0</v>
      </c>
      <c r="AE130" t="str">
        <f t="shared" si="44"/>
        <v>Nunca</v>
      </c>
      <c r="AF130">
        <v>1</v>
      </c>
      <c r="AG130" t="str">
        <f t="shared" si="45"/>
        <v>A veces</v>
      </c>
      <c r="AH130">
        <v>0</v>
      </c>
      <c r="AI130" t="str">
        <f t="shared" si="46"/>
        <v>No usa</v>
      </c>
      <c r="AJ130">
        <v>0</v>
      </c>
      <c r="AK130" t="str">
        <f t="shared" si="47"/>
        <v>No usa</v>
      </c>
      <c r="AL130">
        <v>0</v>
      </c>
      <c r="AM130" t="str">
        <f t="shared" si="48"/>
        <v>No usa</v>
      </c>
      <c r="AN130">
        <v>1</v>
      </c>
      <c r="AO130" t="str">
        <f t="shared" si="49"/>
        <v>Usa Transporte</v>
      </c>
      <c r="AP130">
        <v>0</v>
      </c>
      <c r="AQ130" t="str">
        <f t="shared" si="50"/>
        <v>No camina</v>
      </c>
      <c r="AR130">
        <v>0</v>
      </c>
      <c r="AS130" t="str">
        <f t="shared" si="51"/>
        <v>No es obeso</v>
      </c>
    </row>
    <row r="131" spans="1:45" x14ac:dyDescent="0.25">
      <c r="A131">
        <v>1</v>
      </c>
      <c r="B131" t="str">
        <f t="shared" ref="B131:B194" si="52">IF(A131=1,"M","F")</f>
        <v>M</v>
      </c>
      <c r="C131">
        <v>27</v>
      </c>
      <c r="D131">
        <f t="shared" ref="D131:D194" si="53">IF(C131&lt;100,C131,ROUNDDOWN((C131/1000)/365,0))</f>
        <v>27</v>
      </c>
      <c r="E131">
        <f t="shared" ref="E131:E194" si="54">IF(AND(D131&gt;1,D131&lt;=100),D131,IF(D131&gt;100,100,5))</f>
        <v>27</v>
      </c>
      <c r="F131" t="str">
        <f t="shared" ref="F131:F194" si="55">IF(AND(E131&gt;=1,E131&lt;=25),"1-25",IF(AND(E131&gt;25,E131&lt;=50),"25-50",IF(AND(E131&gt;50,E131&lt;=75),"50-75","75-100")))</f>
        <v>25-50</v>
      </c>
      <c r="G131">
        <v>0</v>
      </c>
      <c r="H131" t="str">
        <f t="shared" ref="H131:H194" si="56">IF(G131=1,"Pariente gordo","Pariente normal")</f>
        <v>Pariente normal</v>
      </c>
      <c r="I131">
        <v>1</v>
      </c>
      <c r="J131" t="str">
        <f t="shared" ref="J131:J194" si="57">IF(I131=1,"Hipercaloricos","Saludables")</f>
        <v>Hipercaloricos</v>
      </c>
      <c r="K131">
        <v>3</v>
      </c>
      <c r="L131">
        <f t="shared" ref="L131:L194" si="58">IF(AND(K131&gt;=1,K131&lt;=3),1,IF(AND(K131&gt;3,K131&lt;3000000),1))</f>
        <v>1</v>
      </c>
      <c r="M131" t="str">
        <f t="shared" ref="M131:M194" si="59">IF(L131=1,"Suele comer","No come")</f>
        <v>Suele comer</v>
      </c>
      <c r="N131">
        <v>3</v>
      </c>
      <c r="O131">
        <f t="shared" ref="O131:O194" si="60">IF(N131=1,N131,IF(AND(N131&gt;=2,N131&lt;4000000),2))</f>
        <v>2</v>
      </c>
      <c r="P131" t="str">
        <f t="shared" ref="P131:P194" si="61">IF(O131=0,"1-2",IF(O131=1,3,"Mas de 3"))</f>
        <v>Mas de 3</v>
      </c>
      <c r="Q131">
        <v>1</v>
      </c>
      <c r="R131" t="str">
        <f t="shared" ref="R131:R194" si="62">IF(Q131=0,"Nunca",IF(Q131=1,"A veces",IF(Q131=2,"Usualmente","Siempre")))</f>
        <v>A veces</v>
      </c>
      <c r="S131">
        <v>0</v>
      </c>
      <c r="T131" t="str">
        <f t="shared" ref="T131:T194" si="63">IF(S131=1,"Fuma","No fuma")</f>
        <v>No fuma</v>
      </c>
      <c r="U131">
        <v>3</v>
      </c>
      <c r="V131">
        <f t="shared" ref="V131:V194" si="64">IF(U131=1,U131,IF(U131=2,U131,IF(AND(U131&gt;=3,U131&lt;3000000),2)))</f>
        <v>2</v>
      </c>
      <c r="W131" t="str">
        <f t="shared" ref="W131:W194" si="65">IF(V131=0,"Nunca",IF(V131=1,"Usualmente","Siempre"))</f>
        <v>Siempre</v>
      </c>
      <c r="X131">
        <v>0</v>
      </c>
      <c r="Y131" t="str">
        <f t="shared" ref="Y131:Y194" si="66">IF(X131=1,"Controla","No controla")</f>
        <v>No controla</v>
      </c>
      <c r="Z131">
        <v>1</v>
      </c>
      <c r="AA131">
        <f t="shared" ref="AA131:AA194" si="67">IF(Z131=0,Z131,IF(Z131=1,Z131,IF(Z131=2,Z131,IF(Z131=3,Z131,IF(AND(Z131&gt;3,Z131&lt;300000),2,IF(AND(Z131&gt;300000,Z131&lt;3000000),3,IF(AND(Z131&gt;0,Z131&lt;1),0)))))))</f>
        <v>1</v>
      </c>
      <c r="AB131" t="str">
        <f t="shared" ref="AB131:AB194" si="68">IF(AA131=0,"Nunca",IF(AA131=1,"A veces",IF(AA131=2,"Usualmente","Siempre")))</f>
        <v>A veces</v>
      </c>
      <c r="AC131">
        <v>1</v>
      </c>
      <c r="AD131">
        <f t="shared" ref="AD131:AD194" si="69">IF(AC131= 0,AC131,IF(AC131=1,AC131,IF(AC131=2,AC131,IF(AND(AC131&gt;2,AC131&lt;200000),1,IF(AND(AC131&gt;200000,AC131&lt;2000000),2,IF(AND(AC131&gt;0,AC131&lt;1),0))))))</f>
        <v>1</v>
      </c>
      <c r="AE131" t="str">
        <f t="shared" ref="AE131:AE194" si="70">IF(AD131=0,"Nunca",IF(AD131=1,"Usualmente","Siempre"))</f>
        <v>Usualmente</v>
      </c>
      <c r="AF131">
        <v>2</v>
      </c>
      <c r="AG131" t="str">
        <f t="shared" ref="AG131:AG194" si="71">IF(AF131=0,"Nunca",IF(AF131=1,"A veces",IF(AF131=2,"Usualmente","Siempre")))</f>
        <v>Usualmente</v>
      </c>
      <c r="AH131">
        <v>0</v>
      </c>
      <c r="AI131" t="str">
        <f t="shared" ref="AI131:AI194" si="72">IF(AH131=1,"Usa auto","No usa")</f>
        <v>No usa</v>
      </c>
      <c r="AJ131">
        <v>0</v>
      </c>
      <c r="AK131" t="str">
        <f t="shared" ref="AK131:AK194" si="73">IF(AJ131=1,"Usa Bici","No usa")</f>
        <v>No usa</v>
      </c>
      <c r="AL131">
        <v>0</v>
      </c>
      <c r="AM131" t="str">
        <f t="shared" ref="AM131:AM194" si="74">IF(AL131=1,"Usa Moto","No usa")</f>
        <v>No usa</v>
      </c>
      <c r="AN131">
        <v>1</v>
      </c>
      <c r="AO131" t="str">
        <f t="shared" ref="AO131:AO194" si="75">IF(AN131=1,"Usa Transporte","No usa")</f>
        <v>Usa Transporte</v>
      </c>
      <c r="AP131">
        <v>0</v>
      </c>
      <c r="AQ131" t="str">
        <f t="shared" ref="AQ131:AQ194" si="76">IF(AP131=1,"Camina","No camina")</f>
        <v>No camina</v>
      </c>
      <c r="AR131">
        <v>0</v>
      </c>
      <c r="AS131" t="str">
        <f t="shared" ref="AS131:AS194" si="77">IF(AR131=1,"Es Obeso","No es obeso")</f>
        <v>No es obeso</v>
      </c>
    </row>
    <row r="132" spans="1:45" x14ac:dyDescent="0.25">
      <c r="A132">
        <v>0</v>
      </c>
      <c r="B132" t="str">
        <f t="shared" si="52"/>
        <v>F</v>
      </c>
      <c r="C132">
        <v>20</v>
      </c>
      <c r="D132">
        <f t="shared" si="53"/>
        <v>20</v>
      </c>
      <c r="E132">
        <f t="shared" si="54"/>
        <v>20</v>
      </c>
      <c r="F132" t="str">
        <f t="shared" si="55"/>
        <v>1-25</v>
      </c>
      <c r="G132">
        <v>1</v>
      </c>
      <c r="H132" t="str">
        <f t="shared" si="56"/>
        <v>Pariente gordo</v>
      </c>
      <c r="I132">
        <v>1</v>
      </c>
      <c r="J132" t="str">
        <f t="shared" si="57"/>
        <v>Hipercaloricos</v>
      </c>
      <c r="K132">
        <v>2</v>
      </c>
      <c r="L132">
        <f t="shared" si="58"/>
        <v>1</v>
      </c>
      <c r="M132" t="str">
        <f t="shared" si="59"/>
        <v>Suele comer</v>
      </c>
      <c r="N132">
        <v>4</v>
      </c>
      <c r="O132">
        <f t="shared" si="60"/>
        <v>2</v>
      </c>
      <c r="P132" t="str">
        <f t="shared" si="61"/>
        <v>Mas de 3</v>
      </c>
      <c r="Q132">
        <v>2</v>
      </c>
      <c r="R132" t="str">
        <f t="shared" si="62"/>
        <v>Usualmente</v>
      </c>
      <c r="S132">
        <v>0</v>
      </c>
      <c r="T132" t="str">
        <f t="shared" si="63"/>
        <v>No fuma</v>
      </c>
      <c r="U132">
        <v>2</v>
      </c>
      <c r="V132">
        <f t="shared" si="64"/>
        <v>2</v>
      </c>
      <c r="W132" t="str">
        <f t="shared" si="65"/>
        <v>Siempre</v>
      </c>
      <c r="X132">
        <v>0</v>
      </c>
      <c r="Y132" t="str">
        <f t="shared" si="66"/>
        <v>No controla</v>
      </c>
      <c r="Z132">
        <v>1</v>
      </c>
      <c r="AA132">
        <f t="shared" si="67"/>
        <v>1</v>
      </c>
      <c r="AB132" t="str">
        <f t="shared" si="68"/>
        <v>A veces</v>
      </c>
      <c r="AC132">
        <v>1</v>
      </c>
      <c r="AD132">
        <f t="shared" si="69"/>
        <v>1</v>
      </c>
      <c r="AE132" t="str">
        <f t="shared" si="70"/>
        <v>Usualmente</v>
      </c>
      <c r="AF132">
        <v>0</v>
      </c>
      <c r="AG132" t="str">
        <f t="shared" si="71"/>
        <v>Nunca</v>
      </c>
      <c r="AH132">
        <v>0</v>
      </c>
      <c r="AI132" t="str">
        <f t="shared" si="72"/>
        <v>No usa</v>
      </c>
      <c r="AJ132">
        <v>0</v>
      </c>
      <c r="AK132" t="str">
        <f t="shared" si="73"/>
        <v>No usa</v>
      </c>
      <c r="AL132">
        <v>0</v>
      </c>
      <c r="AM132" t="str">
        <f t="shared" si="74"/>
        <v>No usa</v>
      </c>
      <c r="AN132">
        <v>1</v>
      </c>
      <c r="AO132" t="str">
        <f t="shared" si="75"/>
        <v>Usa Transporte</v>
      </c>
      <c r="AP132">
        <v>0</v>
      </c>
      <c r="AQ132" t="str">
        <f t="shared" si="76"/>
        <v>No camina</v>
      </c>
      <c r="AR132">
        <v>0</v>
      </c>
      <c r="AS132" t="str">
        <f t="shared" si="77"/>
        <v>No es obeso</v>
      </c>
    </row>
    <row r="133" spans="1:45" x14ac:dyDescent="0.25">
      <c r="A133">
        <v>1</v>
      </c>
      <c r="B133" t="str">
        <f t="shared" si="52"/>
        <v>M</v>
      </c>
      <c r="C133">
        <v>23</v>
      </c>
      <c r="D133">
        <f t="shared" si="53"/>
        <v>23</v>
      </c>
      <c r="E133">
        <f t="shared" si="54"/>
        <v>23</v>
      </c>
      <c r="F133" t="str">
        <f t="shared" si="55"/>
        <v>1-25</v>
      </c>
      <c r="G133">
        <v>0</v>
      </c>
      <c r="H133" t="str">
        <f t="shared" si="56"/>
        <v>Pariente normal</v>
      </c>
      <c r="I133">
        <v>0</v>
      </c>
      <c r="J133" t="str">
        <f t="shared" si="57"/>
        <v>Saludables</v>
      </c>
      <c r="K133">
        <v>2</v>
      </c>
      <c r="L133">
        <f t="shared" si="58"/>
        <v>1</v>
      </c>
      <c r="M133" t="str">
        <f t="shared" si="59"/>
        <v>Suele comer</v>
      </c>
      <c r="N133">
        <v>3</v>
      </c>
      <c r="O133">
        <f t="shared" si="60"/>
        <v>2</v>
      </c>
      <c r="P133" t="str">
        <f t="shared" si="61"/>
        <v>Mas de 3</v>
      </c>
      <c r="Q133">
        <v>1</v>
      </c>
      <c r="R133" t="str">
        <f t="shared" si="62"/>
        <v>A veces</v>
      </c>
      <c r="S133">
        <v>0</v>
      </c>
      <c r="T133" t="str">
        <f t="shared" si="63"/>
        <v>No fuma</v>
      </c>
      <c r="U133">
        <v>1</v>
      </c>
      <c r="V133">
        <f t="shared" si="64"/>
        <v>1</v>
      </c>
      <c r="W133" t="str">
        <f t="shared" si="65"/>
        <v>Usualmente</v>
      </c>
      <c r="X133">
        <v>0</v>
      </c>
      <c r="Y133" t="str">
        <f t="shared" si="66"/>
        <v>No controla</v>
      </c>
      <c r="Z133">
        <v>1</v>
      </c>
      <c r="AA133">
        <f t="shared" si="67"/>
        <v>1</v>
      </c>
      <c r="AB133" t="str">
        <f t="shared" si="68"/>
        <v>A veces</v>
      </c>
      <c r="AC133">
        <v>0</v>
      </c>
      <c r="AD133">
        <f t="shared" si="69"/>
        <v>0</v>
      </c>
      <c r="AE133" t="str">
        <f t="shared" si="70"/>
        <v>Nunca</v>
      </c>
      <c r="AF133">
        <v>0</v>
      </c>
      <c r="AG133" t="str">
        <f t="shared" si="71"/>
        <v>Nunca</v>
      </c>
      <c r="AH133">
        <v>0</v>
      </c>
      <c r="AI133" t="str">
        <f t="shared" si="72"/>
        <v>No usa</v>
      </c>
      <c r="AJ133">
        <v>0</v>
      </c>
      <c r="AK133" t="str">
        <f t="shared" si="73"/>
        <v>No usa</v>
      </c>
      <c r="AL133">
        <v>0</v>
      </c>
      <c r="AM133" t="str">
        <f t="shared" si="74"/>
        <v>No usa</v>
      </c>
      <c r="AN133">
        <v>1</v>
      </c>
      <c r="AO133" t="str">
        <f t="shared" si="75"/>
        <v>Usa Transporte</v>
      </c>
      <c r="AP133">
        <v>0</v>
      </c>
      <c r="AQ133" t="str">
        <f t="shared" si="76"/>
        <v>No camina</v>
      </c>
      <c r="AR133">
        <v>0</v>
      </c>
      <c r="AS133" t="str">
        <f t="shared" si="77"/>
        <v>No es obeso</v>
      </c>
    </row>
    <row r="134" spans="1:45" x14ac:dyDescent="0.25">
      <c r="A134">
        <v>0</v>
      </c>
      <c r="B134" t="str">
        <f t="shared" si="52"/>
        <v>F</v>
      </c>
      <c r="C134">
        <v>19</v>
      </c>
      <c r="D134">
        <f t="shared" si="53"/>
        <v>19</v>
      </c>
      <c r="E134">
        <f t="shared" si="54"/>
        <v>19</v>
      </c>
      <c r="F134" t="str">
        <f t="shared" si="55"/>
        <v>1-25</v>
      </c>
      <c r="G134">
        <v>1</v>
      </c>
      <c r="H134" t="str">
        <f t="shared" si="56"/>
        <v>Pariente gordo</v>
      </c>
      <c r="I134">
        <v>1</v>
      </c>
      <c r="J134" t="str">
        <f t="shared" si="57"/>
        <v>Hipercaloricos</v>
      </c>
      <c r="K134">
        <v>3</v>
      </c>
      <c r="L134">
        <f t="shared" si="58"/>
        <v>1</v>
      </c>
      <c r="M134" t="str">
        <f t="shared" si="59"/>
        <v>Suele comer</v>
      </c>
      <c r="N134">
        <v>3</v>
      </c>
      <c r="O134">
        <f t="shared" si="60"/>
        <v>2</v>
      </c>
      <c r="P134" t="str">
        <f t="shared" si="61"/>
        <v>Mas de 3</v>
      </c>
      <c r="Q134">
        <v>2</v>
      </c>
      <c r="R134" t="str">
        <f t="shared" si="62"/>
        <v>Usualmente</v>
      </c>
      <c r="S134">
        <v>1</v>
      </c>
      <c r="T134" t="str">
        <f t="shared" si="63"/>
        <v>Fuma</v>
      </c>
      <c r="U134">
        <v>3</v>
      </c>
      <c r="V134">
        <f t="shared" si="64"/>
        <v>2</v>
      </c>
      <c r="W134" t="str">
        <f t="shared" si="65"/>
        <v>Siempre</v>
      </c>
      <c r="X134">
        <v>1</v>
      </c>
      <c r="Y134" t="str">
        <f t="shared" si="66"/>
        <v>Controla</v>
      </c>
      <c r="Z134">
        <v>1</v>
      </c>
      <c r="AA134">
        <f t="shared" si="67"/>
        <v>1</v>
      </c>
      <c r="AB134" t="str">
        <f t="shared" si="68"/>
        <v>A veces</v>
      </c>
      <c r="AC134">
        <v>2</v>
      </c>
      <c r="AD134">
        <f t="shared" si="69"/>
        <v>2</v>
      </c>
      <c r="AE134" t="str">
        <f t="shared" si="70"/>
        <v>Siempre</v>
      </c>
      <c r="AF134">
        <v>2</v>
      </c>
      <c r="AG134" t="str">
        <f t="shared" si="71"/>
        <v>Usualmente</v>
      </c>
      <c r="AH134">
        <v>0</v>
      </c>
      <c r="AI134" t="str">
        <f t="shared" si="72"/>
        <v>No usa</v>
      </c>
      <c r="AJ134">
        <v>0</v>
      </c>
      <c r="AK134" t="str">
        <f t="shared" si="73"/>
        <v>No usa</v>
      </c>
      <c r="AL134">
        <v>0</v>
      </c>
      <c r="AM134" t="str">
        <f t="shared" si="74"/>
        <v>No usa</v>
      </c>
      <c r="AN134">
        <v>1</v>
      </c>
      <c r="AO134" t="str">
        <f t="shared" si="75"/>
        <v>Usa Transporte</v>
      </c>
      <c r="AP134">
        <v>0</v>
      </c>
      <c r="AQ134" t="str">
        <f t="shared" si="76"/>
        <v>No camina</v>
      </c>
      <c r="AR134">
        <v>0</v>
      </c>
      <c r="AS134" t="str">
        <f t="shared" si="77"/>
        <v>No es obeso</v>
      </c>
    </row>
    <row r="135" spans="1:45" x14ac:dyDescent="0.25">
      <c r="A135">
        <v>0</v>
      </c>
      <c r="B135" t="str">
        <f t="shared" si="52"/>
        <v>F</v>
      </c>
      <c r="C135">
        <v>61</v>
      </c>
      <c r="D135">
        <f t="shared" si="53"/>
        <v>61</v>
      </c>
      <c r="E135">
        <f t="shared" si="54"/>
        <v>61</v>
      </c>
      <c r="F135" t="str">
        <f t="shared" si="55"/>
        <v>50-75</v>
      </c>
      <c r="G135">
        <v>0</v>
      </c>
      <c r="H135" t="str">
        <f t="shared" si="56"/>
        <v>Pariente normal</v>
      </c>
      <c r="I135">
        <v>1</v>
      </c>
      <c r="J135" t="str">
        <f t="shared" si="57"/>
        <v>Hipercaloricos</v>
      </c>
      <c r="K135">
        <v>3</v>
      </c>
      <c r="L135">
        <f t="shared" si="58"/>
        <v>1</v>
      </c>
      <c r="M135" t="str">
        <f t="shared" si="59"/>
        <v>Suele comer</v>
      </c>
      <c r="N135">
        <v>3</v>
      </c>
      <c r="O135">
        <f t="shared" si="60"/>
        <v>2</v>
      </c>
      <c r="P135" t="str">
        <f t="shared" si="61"/>
        <v>Mas de 3</v>
      </c>
      <c r="Q135">
        <v>3</v>
      </c>
      <c r="R135" t="str">
        <f t="shared" si="62"/>
        <v>Siempre</v>
      </c>
      <c r="S135">
        <v>0</v>
      </c>
      <c r="T135" t="str">
        <f t="shared" si="63"/>
        <v>No fuma</v>
      </c>
      <c r="U135">
        <v>2</v>
      </c>
      <c r="V135">
        <f t="shared" si="64"/>
        <v>2</v>
      </c>
      <c r="W135" t="str">
        <f t="shared" si="65"/>
        <v>Siempre</v>
      </c>
      <c r="X135">
        <v>0</v>
      </c>
      <c r="Y135" t="str">
        <f t="shared" si="66"/>
        <v>No controla</v>
      </c>
      <c r="Z135">
        <v>1</v>
      </c>
      <c r="AA135">
        <f t="shared" si="67"/>
        <v>1</v>
      </c>
      <c r="AB135" t="str">
        <f t="shared" si="68"/>
        <v>A veces</v>
      </c>
      <c r="AC135">
        <v>1</v>
      </c>
      <c r="AD135">
        <f t="shared" si="69"/>
        <v>1</v>
      </c>
      <c r="AE135" t="str">
        <f t="shared" si="70"/>
        <v>Usualmente</v>
      </c>
      <c r="AF135">
        <v>2</v>
      </c>
      <c r="AG135" t="str">
        <f t="shared" si="71"/>
        <v>Usualmente</v>
      </c>
      <c r="AH135">
        <v>0</v>
      </c>
      <c r="AI135" t="str">
        <f t="shared" si="72"/>
        <v>No usa</v>
      </c>
      <c r="AJ135">
        <v>0</v>
      </c>
      <c r="AK135" t="str">
        <f t="shared" si="73"/>
        <v>No usa</v>
      </c>
      <c r="AL135">
        <v>0</v>
      </c>
      <c r="AM135" t="str">
        <f t="shared" si="74"/>
        <v>No usa</v>
      </c>
      <c r="AN135">
        <v>1</v>
      </c>
      <c r="AO135" t="str">
        <f t="shared" si="75"/>
        <v>Usa Transporte</v>
      </c>
      <c r="AP135">
        <v>0</v>
      </c>
      <c r="AQ135" t="str">
        <f t="shared" si="76"/>
        <v>No camina</v>
      </c>
      <c r="AR135">
        <v>0</v>
      </c>
      <c r="AS135" t="str">
        <f t="shared" si="77"/>
        <v>No es obeso</v>
      </c>
    </row>
    <row r="136" spans="1:45" x14ac:dyDescent="0.25">
      <c r="A136">
        <v>1</v>
      </c>
      <c r="B136" t="str">
        <f t="shared" si="52"/>
        <v>M</v>
      </c>
      <c r="C136">
        <v>30</v>
      </c>
      <c r="D136">
        <f t="shared" si="53"/>
        <v>30</v>
      </c>
      <c r="E136">
        <f t="shared" si="54"/>
        <v>30</v>
      </c>
      <c r="F136" t="str">
        <f t="shared" si="55"/>
        <v>25-50</v>
      </c>
      <c r="G136">
        <v>1</v>
      </c>
      <c r="H136" t="str">
        <f t="shared" si="56"/>
        <v>Pariente gordo</v>
      </c>
      <c r="I136">
        <v>1</v>
      </c>
      <c r="J136" t="str">
        <f t="shared" si="57"/>
        <v>Hipercaloricos</v>
      </c>
      <c r="K136">
        <v>3</v>
      </c>
      <c r="L136">
        <f t="shared" si="58"/>
        <v>1</v>
      </c>
      <c r="M136" t="str">
        <f t="shared" si="59"/>
        <v>Suele comer</v>
      </c>
      <c r="N136">
        <v>3</v>
      </c>
      <c r="O136">
        <f t="shared" si="60"/>
        <v>2</v>
      </c>
      <c r="P136" t="str">
        <f t="shared" si="61"/>
        <v>Mas de 3</v>
      </c>
      <c r="Q136">
        <v>1</v>
      </c>
      <c r="R136" t="str">
        <f t="shared" si="62"/>
        <v>A veces</v>
      </c>
      <c r="S136">
        <v>0</v>
      </c>
      <c r="T136" t="str">
        <f t="shared" si="63"/>
        <v>No fuma</v>
      </c>
      <c r="U136">
        <v>1</v>
      </c>
      <c r="V136">
        <f t="shared" si="64"/>
        <v>1</v>
      </c>
      <c r="W136" t="str">
        <f t="shared" si="65"/>
        <v>Usualmente</v>
      </c>
      <c r="X136">
        <v>0</v>
      </c>
      <c r="Y136" t="str">
        <f t="shared" si="66"/>
        <v>No controla</v>
      </c>
      <c r="Z136">
        <v>2</v>
      </c>
      <c r="AA136">
        <f t="shared" si="67"/>
        <v>2</v>
      </c>
      <c r="AB136" t="str">
        <f t="shared" si="68"/>
        <v>Usualmente</v>
      </c>
      <c r="AC136">
        <v>0</v>
      </c>
      <c r="AD136">
        <f t="shared" si="69"/>
        <v>0</v>
      </c>
      <c r="AE136" t="str">
        <f t="shared" si="70"/>
        <v>Nunca</v>
      </c>
      <c r="AF136">
        <v>1</v>
      </c>
      <c r="AG136" t="str">
        <f t="shared" si="71"/>
        <v>A veces</v>
      </c>
      <c r="AH136">
        <v>1</v>
      </c>
      <c r="AI136" t="str">
        <f t="shared" si="72"/>
        <v>Usa auto</v>
      </c>
      <c r="AJ136">
        <v>0</v>
      </c>
      <c r="AK136" t="str">
        <f t="shared" si="73"/>
        <v>No usa</v>
      </c>
      <c r="AL136">
        <v>0</v>
      </c>
      <c r="AM136" t="str">
        <f t="shared" si="74"/>
        <v>No usa</v>
      </c>
      <c r="AN136">
        <v>0</v>
      </c>
      <c r="AO136" t="str">
        <f t="shared" si="75"/>
        <v>No usa</v>
      </c>
      <c r="AP136">
        <v>0</v>
      </c>
      <c r="AQ136" t="str">
        <f t="shared" si="76"/>
        <v>No camina</v>
      </c>
      <c r="AR136">
        <v>1</v>
      </c>
      <c r="AS136" t="str">
        <f t="shared" si="77"/>
        <v>Es Obeso</v>
      </c>
    </row>
    <row r="137" spans="1:45" x14ac:dyDescent="0.25">
      <c r="A137">
        <v>1</v>
      </c>
      <c r="B137" t="str">
        <f t="shared" si="52"/>
        <v>M</v>
      </c>
      <c r="C137">
        <v>24</v>
      </c>
      <c r="D137">
        <f t="shared" si="53"/>
        <v>24</v>
      </c>
      <c r="E137">
        <f t="shared" si="54"/>
        <v>24</v>
      </c>
      <c r="F137" t="str">
        <f t="shared" si="55"/>
        <v>1-25</v>
      </c>
      <c r="G137">
        <v>1</v>
      </c>
      <c r="H137" t="str">
        <f t="shared" si="56"/>
        <v>Pariente gordo</v>
      </c>
      <c r="I137">
        <v>1</v>
      </c>
      <c r="J137" t="str">
        <f t="shared" si="57"/>
        <v>Hipercaloricos</v>
      </c>
      <c r="K137">
        <v>2</v>
      </c>
      <c r="L137">
        <f t="shared" si="58"/>
        <v>1</v>
      </c>
      <c r="M137" t="str">
        <f t="shared" si="59"/>
        <v>Suele comer</v>
      </c>
      <c r="N137">
        <v>3</v>
      </c>
      <c r="O137">
        <f t="shared" si="60"/>
        <v>2</v>
      </c>
      <c r="P137" t="str">
        <f t="shared" si="61"/>
        <v>Mas de 3</v>
      </c>
      <c r="Q137">
        <v>1</v>
      </c>
      <c r="R137" t="str">
        <f t="shared" si="62"/>
        <v>A veces</v>
      </c>
      <c r="S137">
        <v>0</v>
      </c>
      <c r="T137" t="str">
        <f t="shared" si="63"/>
        <v>No fuma</v>
      </c>
      <c r="U137">
        <v>2</v>
      </c>
      <c r="V137">
        <f t="shared" si="64"/>
        <v>2</v>
      </c>
      <c r="W137" t="str">
        <f t="shared" si="65"/>
        <v>Siempre</v>
      </c>
      <c r="X137">
        <v>0</v>
      </c>
      <c r="Y137" t="str">
        <f t="shared" si="66"/>
        <v>No controla</v>
      </c>
      <c r="Z137">
        <v>1</v>
      </c>
      <c r="AA137">
        <f t="shared" si="67"/>
        <v>1</v>
      </c>
      <c r="AB137" t="str">
        <f t="shared" si="68"/>
        <v>A veces</v>
      </c>
      <c r="AC137">
        <v>0</v>
      </c>
      <c r="AD137">
        <f t="shared" si="69"/>
        <v>0</v>
      </c>
      <c r="AE137" t="str">
        <f t="shared" si="70"/>
        <v>Nunca</v>
      </c>
      <c r="AF137">
        <v>1</v>
      </c>
      <c r="AG137" t="str">
        <f t="shared" si="71"/>
        <v>A veces</v>
      </c>
      <c r="AH137">
        <v>1</v>
      </c>
      <c r="AI137" t="str">
        <f t="shared" si="72"/>
        <v>Usa auto</v>
      </c>
      <c r="AJ137">
        <v>0</v>
      </c>
      <c r="AK137" t="str">
        <f t="shared" si="73"/>
        <v>No usa</v>
      </c>
      <c r="AL137">
        <v>0</v>
      </c>
      <c r="AM137" t="str">
        <f t="shared" si="74"/>
        <v>No usa</v>
      </c>
      <c r="AN137">
        <v>0</v>
      </c>
      <c r="AO137" t="str">
        <f t="shared" si="75"/>
        <v>No usa</v>
      </c>
      <c r="AP137">
        <v>0</v>
      </c>
      <c r="AQ137" t="str">
        <f t="shared" si="76"/>
        <v>No camina</v>
      </c>
      <c r="AR137">
        <v>0</v>
      </c>
      <c r="AS137" t="str">
        <f t="shared" si="77"/>
        <v>No es obeso</v>
      </c>
    </row>
    <row r="138" spans="1:45" x14ac:dyDescent="0.25">
      <c r="A138">
        <v>1</v>
      </c>
      <c r="B138" t="str">
        <f t="shared" si="52"/>
        <v>M</v>
      </c>
      <c r="C138">
        <v>25</v>
      </c>
      <c r="D138">
        <f t="shared" si="53"/>
        <v>25</v>
      </c>
      <c r="E138">
        <f t="shared" si="54"/>
        <v>25</v>
      </c>
      <c r="F138" t="str">
        <f t="shared" si="55"/>
        <v>1-25</v>
      </c>
      <c r="G138">
        <v>1</v>
      </c>
      <c r="H138" t="str">
        <f t="shared" si="56"/>
        <v>Pariente gordo</v>
      </c>
      <c r="I138">
        <v>1</v>
      </c>
      <c r="J138" t="str">
        <f t="shared" si="57"/>
        <v>Hipercaloricos</v>
      </c>
      <c r="K138">
        <v>2</v>
      </c>
      <c r="L138">
        <f t="shared" si="58"/>
        <v>1</v>
      </c>
      <c r="M138" t="str">
        <f t="shared" si="59"/>
        <v>Suele comer</v>
      </c>
      <c r="N138">
        <v>3</v>
      </c>
      <c r="O138">
        <f t="shared" si="60"/>
        <v>2</v>
      </c>
      <c r="P138" t="str">
        <f t="shared" si="61"/>
        <v>Mas de 3</v>
      </c>
      <c r="Q138">
        <v>1</v>
      </c>
      <c r="R138" t="str">
        <f t="shared" si="62"/>
        <v>A veces</v>
      </c>
      <c r="S138">
        <v>0</v>
      </c>
      <c r="T138" t="str">
        <f t="shared" si="63"/>
        <v>No fuma</v>
      </c>
      <c r="U138">
        <v>2</v>
      </c>
      <c r="V138">
        <f t="shared" si="64"/>
        <v>2</v>
      </c>
      <c r="W138" t="str">
        <f t="shared" si="65"/>
        <v>Siempre</v>
      </c>
      <c r="X138">
        <v>0</v>
      </c>
      <c r="Y138" t="str">
        <f t="shared" si="66"/>
        <v>No controla</v>
      </c>
      <c r="Z138">
        <v>1</v>
      </c>
      <c r="AA138">
        <f t="shared" si="67"/>
        <v>1</v>
      </c>
      <c r="AB138" t="str">
        <f t="shared" si="68"/>
        <v>A veces</v>
      </c>
      <c r="AC138">
        <v>1</v>
      </c>
      <c r="AD138">
        <f t="shared" si="69"/>
        <v>1</v>
      </c>
      <c r="AE138" t="str">
        <f t="shared" si="70"/>
        <v>Usualmente</v>
      </c>
      <c r="AF138">
        <v>1</v>
      </c>
      <c r="AG138" t="str">
        <f t="shared" si="71"/>
        <v>A veces</v>
      </c>
      <c r="AH138">
        <v>0</v>
      </c>
      <c r="AI138" t="str">
        <f t="shared" si="72"/>
        <v>No usa</v>
      </c>
      <c r="AJ138">
        <v>0</v>
      </c>
      <c r="AK138" t="str">
        <f t="shared" si="73"/>
        <v>No usa</v>
      </c>
      <c r="AL138">
        <v>0</v>
      </c>
      <c r="AM138" t="str">
        <f t="shared" si="74"/>
        <v>No usa</v>
      </c>
      <c r="AN138">
        <v>1</v>
      </c>
      <c r="AO138" t="str">
        <f t="shared" si="75"/>
        <v>Usa Transporte</v>
      </c>
      <c r="AP138">
        <v>0</v>
      </c>
      <c r="AQ138" t="str">
        <f t="shared" si="76"/>
        <v>No camina</v>
      </c>
      <c r="AR138">
        <v>0</v>
      </c>
      <c r="AS138" t="str">
        <f t="shared" si="77"/>
        <v>No es obeso</v>
      </c>
    </row>
    <row r="139" spans="1:45" x14ac:dyDescent="0.25">
      <c r="A139">
        <v>1</v>
      </c>
      <c r="B139" t="str">
        <f t="shared" si="52"/>
        <v>M</v>
      </c>
      <c r="C139">
        <v>44</v>
      </c>
      <c r="D139">
        <f t="shared" si="53"/>
        <v>44</v>
      </c>
      <c r="E139">
        <f t="shared" si="54"/>
        <v>44</v>
      </c>
      <c r="F139" t="str">
        <f t="shared" si="55"/>
        <v>25-50</v>
      </c>
      <c r="G139">
        <v>1</v>
      </c>
      <c r="H139" t="str">
        <f t="shared" si="56"/>
        <v>Pariente gordo</v>
      </c>
      <c r="I139">
        <v>0</v>
      </c>
      <c r="J139" t="str">
        <f t="shared" si="57"/>
        <v>Saludables</v>
      </c>
      <c r="K139">
        <v>2</v>
      </c>
      <c r="L139">
        <f t="shared" si="58"/>
        <v>1</v>
      </c>
      <c r="M139" t="str">
        <f t="shared" si="59"/>
        <v>Suele comer</v>
      </c>
      <c r="N139">
        <v>3</v>
      </c>
      <c r="O139">
        <f t="shared" si="60"/>
        <v>2</v>
      </c>
      <c r="P139" t="str">
        <f t="shared" si="61"/>
        <v>Mas de 3</v>
      </c>
      <c r="Q139">
        <v>1</v>
      </c>
      <c r="R139" t="str">
        <f t="shared" si="62"/>
        <v>A veces</v>
      </c>
      <c r="S139">
        <v>1</v>
      </c>
      <c r="T139" t="str">
        <f t="shared" si="63"/>
        <v>Fuma</v>
      </c>
      <c r="U139">
        <v>3</v>
      </c>
      <c r="V139">
        <f t="shared" si="64"/>
        <v>2</v>
      </c>
      <c r="W139" t="str">
        <f t="shared" si="65"/>
        <v>Siempre</v>
      </c>
      <c r="X139">
        <v>0</v>
      </c>
      <c r="Y139" t="str">
        <f t="shared" si="66"/>
        <v>No controla</v>
      </c>
      <c r="Z139">
        <v>0</v>
      </c>
      <c r="AA139">
        <f t="shared" si="67"/>
        <v>0</v>
      </c>
      <c r="AB139" t="str">
        <f t="shared" si="68"/>
        <v>Nunca</v>
      </c>
      <c r="AC139">
        <v>0</v>
      </c>
      <c r="AD139">
        <f t="shared" si="69"/>
        <v>0</v>
      </c>
      <c r="AE139" t="str">
        <f t="shared" si="70"/>
        <v>Nunca</v>
      </c>
      <c r="AF139">
        <v>0</v>
      </c>
      <c r="AG139" t="str">
        <f t="shared" si="71"/>
        <v>Nunca</v>
      </c>
      <c r="AH139">
        <v>0</v>
      </c>
      <c r="AI139" t="str">
        <f t="shared" si="72"/>
        <v>No usa</v>
      </c>
      <c r="AJ139">
        <v>0</v>
      </c>
      <c r="AK139" t="str">
        <f t="shared" si="73"/>
        <v>No usa</v>
      </c>
      <c r="AL139">
        <v>1</v>
      </c>
      <c r="AM139" t="str">
        <f t="shared" si="74"/>
        <v>Usa Moto</v>
      </c>
      <c r="AN139">
        <v>0</v>
      </c>
      <c r="AO139" t="str">
        <f t="shared" si="75"/>
        <v>No usa</v>
      </c>
      <c r="AP139">
        <v>0</v>
      </c>
      <c r="AQ139" t="str">
        <f t="shared" si="76"/>
        <v>No camina</v>
      </c>
      <c r="AR139">
        <v>1</v>
      </c>
      <c r="AS139" t="str">
        <f t="shared" si="77"/>
        <v>Es Obeso</v>
      </c>
    </row>
    <row r="140" spans="1:45" x14ac:dyDescent="0.25">
      <c r="A140">
        <v>1</v>
      </c>
      <c r="B140" t="str">
        <f t="shared" si="52"/>
        <v>M</v>
      </c>
      <c r="C140">
        <v>31</v>
      </c>
      <c r="D140">
        <f t="shared" si="53"/>
        <v>31</v>
      </c>
      <c r="E140">
        <f t="shared" si="54"/>
        <v>31</v>
      </c>
      <c r="F140" t="str">
        <f t="shared" si="55"/>
        <v>25-50</v>
      </c>
      <c r="G140">
        <v>1</v>
      </c>
      <c r="H140" t="str">
        <f t="shared" si="56"/>
        <v>Pariente gordo</v>
      </c>
      <c r="I140">
        <v>0</v>
      </c>
      <c r="J140" t="str">
        <f t="shared" si="57"/>
        <v>Saludables</v>
      </c>
      <c r="K140">
        <v>3</v>
      </c>
      <c r="L140">
        <f t="shared" si="58"/>
        <v>1</v>
      </c>
      <c r="M140" t="str">
        <f t="shared" si="59"/>
        <v>Suele comer</v>
      </c>
      <c r="N140">
        <v>3</v>
      </c>
      <c r="O140">
        <f t="shared" si="60"/>
        <v>2</v>
      </c>
      <c r="P140" t="str">
        <f t="shared" si="61"/>
        <v>Mas de 3</v>
      </c>
      <c r="Q140">
        <v>3</v>
      </c>
      <c r="R140" t="str">
        <f t="shared" si="62"/>
        <v>Siempre</v>
      </c>
      <c r="S140">
        <v>0</v>
      </c>
      <c r="T140" t="str">
        <f t="shared" si="63"/>
        <v>No fuma</v>
      </c>
      <c r="U140">
        <v>3</v>
      </c>
      <c r="V140">
        <f t="shared" si="64"/>
        <v>2</v>
      </c>
      <c r="W140" t="str">
        <f t="shared" si="65"/>
        <v>Siempre</v>
      </c>
      <c r="X140">
        <v>1</v>
      </c>
      <c r="Y140" t="str">
        <f t="shared" si="66"/>
        <v>Controla</v>
      </c>
      <c r="Z140">
        <v>3</v>
      </c>
      <c r="AA140">
        <f t="shared" si="67"/>
        <v>3</v>
      </c>
      <c r="AB140" t="str">
        <f t="shared" si="68"/>
        <v>Siempre</v>
      </c>
      <c r="AC140">
        <v>0</v>
      </c>
      <c r="AD140">
        <f t="shared" si="69"/>
        <v>0</v>
      </c>
      <c r="AE140" t="str">
        <f t="shared" si="70"/>
        <v>Nunca</v>
      </c>
      <c r="AF140">
        <v>0</v>
      </c>
      <c r="AG140" t="str">
        <f t="shared" si="71"/>
        <v>Nunca</v>
      </c>
      <c r="AH140">
        <v>0</v>
      </c>
      <c r="AI140" t="str">
        <f t="shared" si="72"/>
        <v>No usa</v>
      </c>
      <c r="AJ140">
        <v>1</v>
      </c>
      <c r="AK140" t="str">
        <f t="shared" si="73"/>
        <v>Usa Bici</v>
      </c>
      <c r="AL140">
        <v>0</v>
      </c>
      <c r="AM140" t="str">
        <f t="shared" si="74"/>
        <v>No usa</v>
      </c>
      <c r="AN140">
        <v>0</v>
      </c>
      <c r="AO140" t="str">
        <f t="shared" si="75"/>
        <v>No usa</v>
      </c>
      <c r="AP140">
        <v>0</v>
      </c>
      <c r="AQ140" t="str">
        <f t="shared" si="76"/>
        <v>No camina</v>
      </c>
      <c r="AR140">
        <v>0</v>
      </c>
      <c r="AS140" t="str">
        <f t="shared" si="77"/>
        <v>No es obeso</v>
      </c>
    </row>
    <row r="141" spans="1:45" x14ac:dyDescent="0.25">
      <c r="A141">
        <v>1</v>
      </c>
      <c r="B141" t="str">
        <f t="shared" si="52"/>
        <v>M</v>
      </c>
      <c r="C141">
        <v>25</v>
      </c>
      <c r="D141">
        <f t="shared" si="53"/>
        <v>25</v>
      </c>
      <c r="E141">
        <f t="shared" si="54"/>
        <v>25</v>
      </c>
      <c r="F141" t="str">
        <f t="shared" si="55"/>
        <v>1-25</v>
      </c>
      <c r="G141">
        <v>0</v>
      </c>
      <c r="H141" t="str">
        <f t="shared" si="56"/>
        <v>Pariente normal</v>
      </c>
      <c r="I141">
        <v>1</v>
      </c>
      <c r="J141" t="str">
        <f t="shared" si="57"/>
        <v>Hipercaloricos</v>
      </c>
      <c r="K141">
        <v>2</v>
      </c>
      <c r="L141">
        <f t="shared" si="58"/>
        <v>1</v>
      </c>
      <c r="M141" t="str">
        <f t="shared" si="59"/>
        <v>Suele comer</v>
      </c>
      <c r="N141">
        <v>3</v>
      </c>
      <c r="O141">
        <f t="shared" si="60"/>
        <v>2</v>
      </c>
      <c r="P141" t="str">
        <f t="shared" si="61"/>
        <v>Mas de 3</v>
      </c>
      <c r="Q141">
        <v>2</v>
      </c>
      <c r="R141" t="str">
        <f t="shared" si="62"/>
        <v>Usualmente</v>
      </c>
      <c r="S141">
        <v>0</v>
      </c>
      <c r="T141" t="str">
        <f t="shared" si="63"/>
        <v>No fuma</v>
      </c>
      <c r="U141">
        <v>2</v>
      </c>
      <c r="V141">
        <f t="shared" si="64"/>
        <v>2</v>
      </c>
      <c r="W141" t="str">
        <f t="shared" si="65"/>
        <v>Siempre</v>
      </c>
      <c r="X141">
        <v>0</v>
      </c>
      <c r="Y141" t="str">
        <f t="shared" si="66"/>
        <v>No controla</v>
      </c>
      <c r="Z141">
        <v>0</v>
      </c>
      <c r="AA141">
        <f t="shared" si="67"/>
        <v>0</v>
      </c>
      <c r="AB141" t="str">
        <f t="shared" si="68"/>
        <v>Nunca</v>
      </c>
      <c r="AC141">
        <v>1</v>
      </c>
      <c r="AD141">
        <f t="shared" si="69"/>
        <v>1</v>
      </c>
      <c r="AE141" t="str">
        <f t="shared" si="70"/>
        <v>Usualmente</v>
      </c>
      <c r="AF141">
        <v>0</v>
      </c>
      <c r="AG141" t="str">
        <f t="shared" si="71"/>
        <v>Nunca</v>
      </c>
      <c r="AH141">
        <v>0</v>
      </c>
      <c r="AI141" t="str">
        <f t="shared" si="72"/>
        <v>No usa</v>
      </c>
      <c r="AJ141">
        <v>0</v>
      </c>
      <c r="AK141" t="str">
        <f t="shared" si="73"/>
        <v>No usa</v>
      </c>
      <c r="AL141">
        <v>0</v>
      </c>
      <c r="AM141" t="str">
        <f t="shared" si="74"/>
        <v>No usa</v>
      </c>
      <c r="AN141">
        <v>1</v>
      </c>
      <c r="AO141" t="str">
        <f t="shared" si="75"/>
        <v>Usa Transporte</v>
      </c>
      <c r="AP141">
        <v>0</v>
      </c>
      <c r="AQ141" t="str">
        <f t="shared" si="76"/>
        <v>No camina</v>
      </c>
      <c r="AR141">
        <v>0</v>
      </c>
      <c r="AS141" t="str">
        <f t="shared" si="77"/>
        <v>No es obeso</v>
      </c>
    </row>
    <row r="142" spans="1:45" x14ac:dyDescent="0.25">
      <c r="A142">
        <v>1</v>
      </c>
      <c r="B142" t="str">
        <f t="shared" si="52"/>
        <v>M</v>
      </c>
      <c r="C142">
        <v>23</v>
      </c>
      <c r="D142">
        <f t="shared" si="53"/>
        <v>23</v>
      </c>
      <c r="E142">
        <f t="shared" si="54"/>
        <v>23</v>
      </c>
      <c r="F142" t="str">
        <f t="shared" si="55"/>
        <v>1-25</v>
      </c>
      <c r="G142">
        <v>1</v>
      </c>
      <c r="H142" t="str">
        <f t="shared" si="56"/>
        <v>Pariente gordo</v>
      </c>
      <c r="I142">
        <v>1</v>
      </c>
      <c r="J142" t="str">
        <f t="shared" si="57"/>
        <v>Hipercaloricos</v>
      </c>
      <c r="K142">
        <v>3</v>
      </c>
      <c r="L142">
        <f t="shared" si="58"/>
        <v>1</v>
      </c>
      <c r="M142" t="str">
        <f t="shared" si="59"/>
        <v>Suele comer</v>
      </c>
      <c r="N142">
        <v>3</v>
      </c>
      <c r="O142">
        <f t="shared" si="60"/>
        <v>2</v>
      </c>
      <c r="P142" t="str">
        <f t="shared" si="61"/>
        <v>Mas de 3</v>
      </c>
      <c r="Q142">
        <v>2</v>
      </c>
      <c r="R142" t="str">
        <f t="shared" si="62"/>
        <v>Usualmente</v>
      </c>
      <c r="S142">
        <v>0</v>
      </c>
      <c r="T142" t="str">
        <f t="shared" si="63"/>
        <v>No fuma</v>
      </c>
      <c r="U142">
        <v>3</v>
      </c>
      <c r="V142">
        <f t="shared" si="64"/>
        <v>2</v>
      </c>
      <c r="W142" t="str">
        <f t="shared" si="65"/>
        <v>Siempre</v>
      </c>
      <c r="X142">
        <v>0</v>
      </c>
      <c r="Y142" t="str">
        <f t="shared" si="66"/>
        <v>No controla</v>
      </c>
      <c r="Z142">
        <v>1</v>
      </c>
      <c r="AA142">
        <f t="shared" si="67"/>
        <v>1</v>
      </c>
      <c r="AB142" t="str">
        <f t="shared" si="68"/>
        <v>A veces</v>
      </c>
      <c r="AC142">
        <v>1</v>
      </c>
      <c r="AD142">
        <f t="shared" si="69"/>
        <v>1</v>
      </c>
      <c r="AE142" t="str">
        <f t="shared" si="70"/>
        <v>Usualmente</v>
      </c>
      <c r="AF142">
        <v>1</v>
      </c>
      <c r="AG142" t="str">
        <f t="shared" si="71"/>
        <v>A veces</v>
      </c>
      <c r="AH142">
        <v>0</v>
      </c>
      <c r="AI142" t="str">
        <f t="shared" si="72"/>
        <v>No usa</v>
      </c>
      <c r="AJ142">
        <v>0</v>
      </c>
      <c r="AK142" t="str">
        <f t="shared" si="73"/>
        <v>No usa</v>
      </c>
      <c r="AL142">
        <v>0</v>
      </c>
      <c r="AM142" t="str">
        <f t="shared" si="74"/>
        <v>No usa</v>
      </c>
      <c r="AN142">
        <v>1</v>
      </c>
      <c r="AO142" t="str">
        <f t="shared" si="75"/>
        <v>Usa Transporte</v>
      </c>
      <c r="AP142">
        <v>0</v>
      </c>
      <c r="AQ142" t="str">
        <f t="shared" si="76"/>
        <v>No camina</v>
      </c>
      <c r="AR142">
        <v>0</v>
      </c>
      <c r="AS142" t="str">
        <f t="shared" si="77"/>
        <v>No es obeso</v>
      </c>
    </row>
    <row r="143" spans="1:45" x14ac:dyDescent="0.25">
      <c r="A143">
        <v>1</v>
      </c>
      <c r="B143" t="str">
        <f t="shared" si="52"/>
        <v>M</v>
      </c>
      <c r="C143">
        <v>25</v>
      </c>
      <c r="D143">
        <f t="shared" si="53"/>
        <v>25</v>
      </c>
      <c r="E143">
        <f t="shared" si="54"/>
        <v>25</v>
      </c>
      <c r="F143" t="str">
        <f t="shared" si="55"/>
        <v>1-25</v>
      </c>
      <c r="G143">
        <v>0</v>
      </c>
      <c r="H143" t="str">
        <f t="shared" si="56"/>
        <v>Pariente normal</v>
      </c>
      <c r="I143">
        <v>1</v>
      </c>
      <c r="J143" t="str">
        <f t="shared" si="57"/>
        <v>Hipercaloricos</v>
      </c>
      <c r="K143">
        <v>3</v>
      </c>
      <c r="L143">
        <f t="shared" si="58"/>
        <v>1</v>
      </c>
      <c r="M143" t="str">
        <f t="shared" si="59"/>
        <v>Suele comer</v>
      </c>
      <c r="N143">
        <v>3</v>
      </c>
      <c r="O143">
        <f t="shared" si="60"/>
        <v>2</v>
      </c>
      <c r="P143" t="str">
        <f t="shared" si="61"/>
        <v>Mas de 3</v>
      </c>
      <c r="Q143">
        <v>3</v>
      </c>
      <c r="R143" t="str">
        <f t="shared" si="62"/>
        <v>Siempre</v>
      </c>
      <c r="S143">
        <v>0</v>
      </c>
      <c r="T143" t="str">
        <f t="shared" si="63"/>
        <v>No fuma</v>
      </c>
      <c r="U143">
        <v>2</v>
      </c>
      <c r="V143">
        <f t="shared" si="64"/>
        <v>2</v>
      </c>
      <c r="W143" t="str">
        <f t="shared" si="65"/>
        <v>Siempre</v>
      </c>
      <c r="X143">
        <v>0</v>
      </c>
      <c r="Y143" t="str">
        <f t="shared" si="66"/>
        <v>No controla</v>
      </c>
      <c r="Z143">
        <v>2</v>
      </c>
      <c r="AA143">
        <f t="shared" si="67"/>
        <v>2</v>
      </c>
      <c r="AB143" t="str">
        <f t="shared" si="68"/>
        <v>Usualmente</v>
      </c>
      <c r="AC143">
        <v>0</v>
      </c>
      <c r="AD143">
        <f t="shared" si="69"/>
        <v>0</v>
      </c>
      <c r="AE143" t="str">
        <f t="shared" si="70"/>
        <v>Nunca</v>
      </c>
      <c r="AF143">
        <v>2</v>
      </c>
      <c r="AG143" t="str">
        <f t="shared" si="71"/>
        <v>Usualmente</v>
      </c>
      <c r="AH143">
        <v>0</v>
      </c>
      <c r="AI143" t="str">
        <f t="shared" si="72"/>
        <v>No usa</v>
      </c>
      <c r="AJ143">
        <v>0</v>
      </c>
      <c r="AK143" t="str">
        <f t="shared" si="73"/>
        <v>No usa</v>
      </c>
      <c r="AL143">
        <v>0</v>
      </c>
      <c r="AM143" t="str">
        <f t="shared" si="74"/>
        <v>No usa</v>
      </c>
      <c r="AN143">
        <v>1</v>
      </c>
      <c r="AO143" t="str">
        <f t="shared" si="75"/>
        <v>Usa Transporte</v>
      </c>
      <c r="AP143">
        <v>0</v>
      </c>
      <c r="AQ143" t="str">
        <f t="shared" si="76"/>
        <v>No camina</v>
      </c>
      <c r="AR143">
        <v>0</v>
      </c>
      <c r="AS143" t="str">
        <f t="shared" si="77"/>
        <v>No es obeso</v>
      </c>
    </row>
    <row r="144" spans="1:45" x14ac:dyDescent="0.25">
      <c r="A144">
        <v>1</v>
      </c>
      <c r="B144" t="str">
        <f t="shared" si="52"/>
        <v>M</v>
      </c>
      <c r="C144">
        <v>23</v>
      </c>
      <c r="D144">
        <f t="shared" si="53"/>
        <v>23</v>
      </c>
      <c r="E144">
        <f t="shared" si="54"/>
        <v>23</v>
      </c>
      <c r="F144" t="str">
        <f t="shared" si="55"/>
        <v>1-25</v>
      </c>
      <c r="G144">
        <v>0</v>
      </c>
      <c r="H144" t="str">
        <f t="shared" si="56"/>
        <v>Pariente normal</v>
      </c>
      <c r="I144">
        <v>1</v>
      </c>
      <c r="J144" t="str">
        <f t="shared" si="57"/>
        <v>Hipercaloricos</v>
      </c>
      <c r="K144">
        <v>2</v>
      </c>
      <c r="L144">
        <f t="shared" si="58"/>
        <v>1</v>
      </c>
      <c r="M144" t="str">
        <f t="shared" si="59"/>
        <v>Suele comer</v>
      </c>
      <c r="N144">
        <v>3</v>
      </c>
      <c r="O144">
        <f t="shared" si="60"/>
        <v>2</v>
      </c>
      <c r="P144" t="str">
        <f t="shared" si="61"/>
        <v>Mas de 3</v>
      </c>
      <c r="Q144">
        <v>2</v>
      </c>
      <c r="R144" t="str">
        <f t="shared" si="62"/>
        <v>Usualmente</v>
      </c>
      <c r="S144">
        <v>1</v>
      </c>
      <c r="T144" t="str">
        <f t="shared" si="63"/>
        <v>Fuma</v>
      </c>
      <c r="U144">
        <v>1</v>
      </c>
      <c r="V144">
        <f t="shared" si="64"/>
        <v>1</v>
      </c>
      <c r="W144" t="str">
        <f t="shared" si="65"/>
        <v>Usualmente</v>
      </c>
      <c r="X144">
        <v>0</v>
      </c>
      <c r="Y144" t="str">
        <f t="shared" si="66"/>
        <v>No controla</v>
      </c>
      <c r="Z144">
        <v>1</v>
      </c>
      <c r="AA144">
        <f t="shared" si="67"/>
        <v>1</v>
      </c>
      <c r="AB144" t="str">
        <f t="shared" si="68"/>
        <v>A veces</v>
      </c>
      <c r="AC144">
        <v>1</v>
      </c>
      <c r="AD144">
        <f t="shared" si="69"/>
        <v>1</v>
      </c>
      <c r="AE144" t="str">
        <f t="shared" si="70"/>
        <v>Usualmente</v>
      </c>
      <c r="AF144">
        <v>2</v>
      </c>
      <c r="AG144" t="str">
        <f t="shared" si="71"/>
        <v>Usualmente</v>
      </c>
      <c r="AH144">
        <v>1</v>
      </c>
      <c r="AI144" t="str">
        <f t="shared" si="72"/>
        <v>Usa auto</v>
      </c>
      <c r="AJ144">
        <v>0</v>
      </c>
      <c r="AK144" t="str">
        <f t="shared" si="73"/>
        <v>No usa</v>
      </c>
      <c r="AL144">
        <v>0</v>
      </c>
      <c r="AM144" t="str">
        <f t="shared" si="74"/>
        <v>No usa</v>
      </c>
      <c r="AN144">
        <v>0</v>
      </c>
      <c r="AO144" t="str">
        <f t="shared" si="75"/>
        <v>No usa</v>
      </c>
      <c r="AP144">
        <v>0</v>
      </c>
      <c r="AQ144" t="str">
        <f t="shared" si="76"/>
        <v>No camina</v>
      </c>
      <c r="AR144">
        <v>1</v>
      </c>
      <c r="AS144" t="str">
        <f t="shared" si="77"/>
        <v>Es Obeso</v>
      </c>
    </row>
    <row r="145" spans="1:45" x14ac:dyDescent="0.25">
      <c r="A145">
        <v>0</v>
      </c>
      <c r="B145" t="str">
        <f t="shared" si="52"/>
        <v>F</v>
      </c>
      <c r="C145">
        <v>34</v>
      </c>
      <c r="D145">
        <f t="shared" si="53"/>
        <v>34</v>
      </c>
      <c r="E145">
        <f t="shared" si="54"/>
        <v>34</v>
      </c>
      <c r="F145" t="str">
        <f t="shared" si="55"/>
        <v>25-50</v>
      </c>
      <c r="G145">
        <v>0</v>
      </c>
      <c r="H145" t="str">
        <f t="shared" si="56"/>
        <v>Pariente normal</v>
      </c>
      <c r="I145">
        <v>1</v>
      </c>
      <c r="J145" t="str">
        <f t="shared" si="57"/>
        <v>Hipercaloricos</v>
      </c>
      <c r="K145">
        <v>3</v>
      </c>
      <c r="L145">
        <f t="shared" si="58"/>
        <v>1</v>
      </c>
      <c r="M145" t="str">
        <f t="shared" si="59"/>
        <v>Suele comer</v>
      </c>
      <c r="N145">
        <v>1</v>
      </c>
      <c r="O145">
        <f t="shared" si="60"/>
        <v>1</v>
      </c>
      <c r="P145">
        <f t="shared" si="61"/>
        <v>3</v>
      </c>
      <c r="Q145">
        <v>1</v>
      </c>
      <c r="R145" t="str">
        <f t="shared" si="62"/>
        <v>A veces</v>
      </c>
      <c r="S145">
        <v>0</v>
      </c>
      <c r="T145" t="str">
        <f t="shared" si="63"/>
        <v>No fuma</v>
      </c>
      <c r="U145">
        <v>1</v>
      </c>
      <c r="V145">
        <f t="shared" si="64"/>
        <v>1</v>
      </c>
      <c r="W145" t="str">
        <f t="shared" si="65"/>
        <v>Usualmente</v>
      </c>
      <c r="X145">
        <v>0</v>
      </c>
      <c r="Y145" t="str">
        <f t="shared" si="66"/>
        <v>No controla</v>
      </c>
      <c r="Z145">
        <v>0</v>
      </c>
      <c r="AA145">
        <f t="shared" si="67"/>
        <v>0</v>
      </c>
      <c r="AB145" t="str">
        <f t="shared" si="68"/>
        <v>Nunca</v>
      </c>
      <c r="AC145">
        <v>0</v>
      </c>
      <c r="AD145">
        <f t="shared" si="69"/>
        <v>0</v>
      </c>
      <c r="AE145" t="str">
        <f t="shared" si="70"/>
        <v>Nunca</v>
      </c>
      <c r="AF145">
        <v>1</v>
      </c>
      <c r="AG145" t="str">
        <f t="shared" si="71"/>
        <v>A veces</v>
      </c>
      <c r="AH145">
        <v>1</v>
      </c>
      <c r="AI145" t="str">
        <f t="shared" si="72"/>
        <v>Usa auto</v>
      </c>
      <c r="AJ145">
        <v>0</v>
      </c>
      <c r="AK145" t="str">
        <f t="shared" si="73"/>
        <v>No usa</v>
      </c>
      <c r="AL145">
        <v>0</v>
      </c>
      <c r="AM145" t="str">
        <f t="shared" si="74"/>
        <v>No usa</v>
      </c>
      <c r="AN145">
        <v>0</v>
      </c>
      <c r="AO145" t="str">
        <f t="shared" si="75"/>
        <v>No usa</v>
      </c>
      <c r="AP145">
        <v>0</v>
      </c>
      <c r="AQ145" t="str">
        <f t="shared" si="76"/>
        <v>No camina</v>
      </c>
      <c r="AR145">
        <v>0</v>
      </c>
      <c r="AS145" t="str">
        <f t="shared" si="77"/>
        <v>No es obeso</v>
      </c>
    </row>
    <row r="146" spans="1:45" x14ac:dyDescent="0.25">
      <c r="A146">
        <v>1</v>
      </c>
      <c r="B146" t="str">
        <f t="shared" si="52"/>
        <v>M</v>
      </c>
      <c r="C146">
        <v>22</v>
      </c>
      <c r="D146">
        <f t="shared" si="53"/>
        <v>22</v>
      </c>
      <c r="E146">
        <f t="shared" si="54"/>
        <v>22</v>
      </c>
      <c r="F146" t="str">
        <f t="shared" si="55"/>
        <v>1-25</v>
      </c>
      <c r="G146">
        <v>1</v>
      </c>
      <c r="H146" t="str">
        <f t="shared" si="56"/>
        <v>Pariente gordo</v>
      </c>
      <c r="I146">
        <v>0</v>
      </c>
      <c r="J146" t="str">
        <f t="shared" si="57"/>
        <v>Saludables</v>
      </c>
      <c r="K146">
        <v>2</v>
      </c>
      <c r="L146">
        <f t="shared" si="58"/>
        <v>1</v>
      </c>
      <c r="M146" t="str">
        <f t="shared" si="59"/>
        <v>Suele comer</v>
      </c>
      <c r="N146">
        <v>4</v>
      </c>
      <c r="O146">
        <f t="shared" si="60"/>
        <v>2</v>
      </c>
      <c r="P146" t="str">
        <f t="shared" si="61"/>
        <v>Mas de 3</v>
      </c>
      <c r="Q146">
        <v>1</v>
      </c>
      <c r="R146" t="str">
        <f t="shared" si="62"/>
        <v>A veces</v>
      </c>
      <c r="S146">
        <v>0</v>
      </c>
      <c r="T146" t="str">
        <f t="shared" si="63"/>
        <v>No fuma</v>
      </c>
      <c r="U146">
        <v>3</v>
      </c>
      <c r="V146">
        <f t="shared" si="64"/>
        <v>2</v>
      </c>
      <c r="W146" t="str">
        <f t="shared" si="65"/>
        <v>Siempre</v>
      </c>
      <c r="X146">
        <v>1</v>
      </c>
      <c r="Y146" t="str">
        <f t="shared" si="66"/>
        <v>Controla</v>
      </c>
      <c r="Z146">
        <v>2</v>
      </c>
      <c r="AA146">
        <f t="shared" si="67"/>
        <v>2</v>
      </c>
      <c r="AB146" t="str">
        <f t="shared" si="68"/>
        <v>Usualmente</v>
      </c>
      <c r="AC146">
        <v>2</v>
      </c>
      <c r="AD146">
        <f t="shared" si="69"/>
        <v>2</v>
      </c>
      <c r="AE146" t="str">
        <f t="shared" si="70"/>
        <v>Siempre</v>
      </c>
      <c r="AF146">
        <v>1</v>
      </c>
      <c r="AG146" t="str">
        <f t="shared" si="71"/>
        <v>A veces</v>
      </c>
      <c r="AH146">
        <v>0</v>
      </c>
      <c r="AI146" t="str">
        <f t="shared" si="72"/>
        <v>No usa</v>
      </c>
      <c r="AJ146">
        <v>0</v>
      </c>
      <c r="AK146" t="str">
        <f t="shared" si="73"/>
        <v>No usa</v>
      </c>
      <c r="AL146">
        <v>0</v>
      </c>
      <c r="AM146" t="str">
        <f t="shared" si="74"/>
        <v>No usa</v>
      </c>
      <c r="AN146">
        <v>1</v>
      </c>
      <c r="AO146" t="str">
        <f t="shared" si="75"/>
        <v>Usa Transporte</v>
      </c>
      <c r="AP146">
        <v>0</v>
      </c>
      <c r="AQ146" t="str">
        <f t="shared" si="76"/>
        <v>No camina</v>
      </c>
      <c r="AR146">
        <v>0</v>
      </c>
      <c r="AS146" t="str">
        <f t="shared" si="77"/>
        <v>No es obeso</v>
      </c>
    </row>
    <row r="147" spans="1:45" x14ac:dyDescent="0.25">
      <c r="A147">
        <v>1</v>
      </c>
      <c r="B147" t="str">
        <f t="shared" si="52"/>
        <v>M</v>
      </c>
      <c r="C147">
        <v>21</v>
      </c>
      <c r="D147">
        <f t="shared" si="53"/>
        <v>21</v>
      </c>
      <c r="E147">
        <f t="shared" si="54"/>
        <v>21</v>
      </c>
      <c r="F147" t="str">
        <f t="shared" si="55"/>
        <v>1-25</v>
      </c>
      <c r="G147">
        <v>0</v>
      </c>
      <c r="H147" t="str">
        <f t="shared" si="56"/>
        <v>Pariente normal</v>
      </c>
      <c r="I147">
        <v>1</v>
      </c>
      <c r="J147" t="str">
        <f t="shared" si="57"/>
        <v>Hipercaloricos</v>
      </c>
      <c r="K147">
        <v>2</v>
      </c>
      <c r="L147">
        <f t="shared" si="58"/>
        <v>1</v>
      </c>
      <c r="M147" t="str">
        <f t="shared" si="59"/>
        <v>Suele comer</v>
      </c>
      <c r="N147">
        <v>1</v>
      </c>
      <c r="O147">
        <f t="shared" si="60"/>
        <v>1</v>
      </c>
      <c r="P147">
        <f t="shared" si="61"/>
        <v>3</v>
      </c>
      <c r="Q147">
        <v>0</v>
      </c>
      <c r="R147" t="str">
        <f t="shared" si="62"/>
        <v>Nunca</v>
      </c>
      <c r="S147">
        <v>0</v>
      </c>
      <c r="T147" t="str">
        <f t="shared" si="63"/>
        <v>No fuma</v>
      </c>
      <c r="U147">
        <v>3</v>
      </c>
      <c r="V147">
        <f t="shared" si="64"/>
        <v>2</v>
      </c>
      <c r="W147" t="str">
        <f t="shared" si="65"/>
        <v>Siempre</v>
      </c>
      <c r="X147">
        <v>0</v>
      </c>
      <c r="Y147" t="str">
        <f t="shared" si="66"/>
        <v>No controla</v>
      </c>
      <c r="Z147">
        <v>1</v>
      </c>
      <c r="AA147">
        <f t="shared" si="67"/>
        <v>1</v>
      </c>
      <c r="AB147" t="str">
        <f t="shared" si="68"/>
        <v>A veces</v>
      </c>
      <c r="AC147">
        <v>0</v>
      </c>
      <c r="AD147">
        <f t="shared" si="69"/>
        <v>0</v>
      </c>
      <c r="AE147" t="str">
        <f t="shared" si="70"/>
        <v>Nunca</v>
      </c>
      <c r="AF147">
        <v>1</v>
      </c>
      <c r="AG147" t="str">
        <f t="shared" si="71"/>
        <v>A veces</v>
      </c>
      <c r="AH147">
        <v>0</v>
      </c>
      <c r="AI147" t="str">
        <f t="shared" si="72"/>
        <v>No usa</v>
      </c>
      <c r="AJ147">
        <v>0</v>
      </c>
      <c r="AK147" t="str">
        <f t="shared" si="73"/>
        <v>No usa</v>
      </c>
      <c r="AL147">
        <v>0</v>
      </c>
      <c r="AM147" t="str">
        <f t="shared" si="74"/>
        <v>No usa</v>
      </c>
      <c r="AN147">
        <v>1</v>
      </c>
      <c r="AO147" t="str">
        <f t="shared" si="75"/>
        <v>Usa Transporte</v>
      </c>
      <c r="AP147">
        <v>0</v>
      </c>
      <c r="AQ147" t="str">
        <f t="shared" si="76"/>
        <v>No camina</v>
      </c>
      <c r="AR147">
        <v>0</v>
      </c>
      <c r="AS147" t="str">
        <f t="shared" si="77"/>
        <v>No es obeso</v>
      </c>
    </row>
    <row r="148" spans="1:45" x14ac:dyDescent="0.25">
      <c r="A148">
        <v>0</v>
      </c>
      <c r="B148" t="str">
        <f t="shared" si="52"/>
        <v>F</v>
      </c>
      <c r="C148">
        <v>24</v>
      </c>
      <c r="D148">
        <f t="shared" si="53"/>
        <v>24</v>
      </c>
      <c r="E148">
        <f t="shared" si="54"/>
        <v>24</v>
      </c>
      <c r="F148" t="str">
        <f t="shared" si="55"/>
        <v>1-25</v>
      </c>
      <c r="G148">
        <v>0</v>
      </c>
      <c r="H148" t="str">
        <f t="shared" si="56"/>
        <v>Pariente normal</v>
      </c>
      <c r="I148">
        <v>0</v>
      </c>
      <c r="J148" t="str">
        <f t="shared" si="57"/>
        <v>Saludables</v>
      </c>
      <c r="K148">
        <v>3</v>
      </c>
      <c r="L148">
        <f t="shared" si="58"/>
        <v>1</v>
      </c>
      <c r="M148" t="str">
        <f t="shared" si="59"/>
        <v>Suele comer</v>
      </c>
      <c r="N148">
        <v>3</v>
      </c>
      <c r="O148">
        <f t="shared" si="60"/>
        <v>2</v>
      </c>
      <c r="P148" t="str">
        <f t="shared" si="61"/>
        <v>Mas de 3</v>
      </c>
      <c r="Q148">
        <v>2</v>
      </c>
      <c r="R148" t="str">
        <f t="shared" si="62"/>
        <v>Usualmente</v>
      </c>
      <c r="S148">
        <v>0</v>
      </c>
      <c r="T148" t="str">
        <f t="shared" si="63"/>
        <v>No fuma</v>
      </c>
      <c r="U148">
        <v>2</v>
      </c>
      <c r="V148">
        <f t="shared" si="64"/>
        <v>2</v>
      </c>
      <c r="W148" t="str">
        <f t="shared" si="65"/>
        <v>Siempre</v>
      </c>
      <c r="X148">
        <v>0</v>
      </c>
      <c r="Y148" t="str">
        <f t="shared" si="66"/>
        <v>No controla</v>
      </c>
      <c r="Z148">
        <v>2</v>
      </c>
      <c r="AA148">
        <f t="shared" si="67"/>
        <v>2</v>
      </c>
      <c r="AB148" t="str">
        <f t="shared" si="68"/>
        <v>Usualmente</v>
      </c>
      <c r="AC148">
        <v>2</v>
      </c>
      <c r="AD148">
        <f t="shared" si="69"/>
        <v>2</v>
      </c>
      <c r="AE148" t="str">
        <f t="shared" si="70"/>
        <v>Siempre</v>
      </c>
      <c r="AF148">
        <v>2</v>
      </c>
      <c r="AG148" t="str">
        <f t="shared" si="71"/>
        <v>Usualmente</v>
      </c>
      <c r="AH148">
        <v>0</v>
      </c>
      <c r="AI148" t="str">
        <f t="shared" si="72"/>
        <v>No usa</v>
      </c>
      <c r="AJ148">
        <v>0</v>
      </c>
      <c r="AK148" t="str">
        <f t="shared" si="73"/>
        <v>No usa</v>
      </c>
      <c r="AL148">
        <v>0</v>
      </c>
      <c r="AM148" t="str">
        <f t="shared" si="74"/>
        <v>No usa</v>
      </c>
      <c r="AN148">
        <v>1</v>
      </c>
      <c r="AO148" t="str">
        <f t="shared" si="75"/>
        <v>Usa Transporte</v>
      </c>
      <c r="AP148">
        <v>0</v>
      </c>
      <c r="AQ148" t="str">
        <f t="shared" si="76"/>
        <v>No camina</v>
      </c>
      <c r="AR148">
        <v>0</v>
      </c>
      <c r="AS148" t="str">
        <f t="shared" si="77"/>
        <v>No es obeso</v>
      </c>
    </row>
    <row r="149" spans="1:45" x14ac:dyDescent="0.25">
      <c r="A149">
        <v>0</v>
      </c>
      <c r="B149" t="str">
        <f t="shared" si="52"/>
        <v>F</v>
      </c>
      <c r="C149">
        <v>36</v>
      </c>
      <c r="D149">
        <f t="shared" si="53"/>
        <v>36</v>
      </c>
      <c r="E149">
        <f t="shared" si="54"/>
        <v>36</v>
      </c>
      <c r="F149" t="str">
        <f t="shared" si="55"/>
        <v>25-50</v>
      </c>
      <c r="G149">
        <v>1</v>
      </c>
      <c r="H149" t="str">
        <f t="shared" si="56"/>
        <v>Pariente gordo</v>
      </c>
      <c r="I149">
        <v>0</v>
      </c>
      <c r="J149" t="str">
        <f t="shared" si="57"/>
        <v>Saludables</v>
      </c>
      <c r="K149">
        <v>3</v>
      </c>
      <c r="L149">
        <f t="shared" si="58"/>
        <v>1</v>
      </c>
      <c r="M149" t="str">
        <f t="shared" si="59"/>
        <v>Suele comer</v>
      </c>
      <c r="N149">
        <v>3</v>
      </c>
      <c r="O149">
        <f t="shared" si="60"/>
        <v>2</v>
      </c>
      <c r="P149" t="str">
        <f t="shared" si="61"/>
        <v>Mas de 3</v>
      </c>
      <c r="Q149">
        <v>1</v>
      </c>
      <c r="R149" t="str">
        <f t="shared" si="62"/>
        <v>A veces</v>
      </c>
      <c r="S149">
        <v>0</v>
      </c>
      <c r="T149" t="str">
        <f t="shared" si="63"/>
        <v>No fuma</v>
      </c>
      <c r="U149">
        <v>1</v>
      </c>
      <c r="V149">
        <f t="shared" si="64"/>
        <v>1</v>
      </c>
      <c r="W149" t="str">
        <f t="shared" si="65"/>
        <v>Usualmente</v>
      </c>
      <c r="X149">
        <v>0</v>
      </c>
      <c r="Y149" t="str">
        <f t="shared" si="66"/>
        <v>No controla</v>
      </c>
      <c r="Z149">
        <v>0</v>
      </c>
      <c r="AA149">
        <f t="shared" si="67"/>
        <v>0</v>
      </c>
      <c r="AB149" t="str">
        <f t="shared" si="68"/>
        <v>Nunca</v>
      </c>
      <c r="AC149">
        <v>0</v>
      </c>
      <c r="AD149">
        <f t="shared" si="69"/>
        <v>0</v>
      </c>
      <c r="AE149" t="str">
        <f t="shared" si="70"/>
        <v>Nunca</v>
      </c>
      <c r="AF149">
        <v>1</v>
      </c>
      <c r="AG149" t="str">
        <f t="shared" si="71"/>
        <v>A veces</v>
      </c>
      <c r="AH149">
        <v>1</v>
      </c>
      <c r="AI149" t="str">
        <f t="shared" si="72"/>
        <v>Usa auto</v>
      </c>
      <c r="AJ149">
        <v>0</v>
      </c>
      <c r="AK149" t="str">
        <f t="shared" si="73"/>
        <v>No usa</v>
      </c>
      <c r="AL149">
        <v>0</v>
      </c>
      <c r="AM149" t="str">
        <f t="shared" si="74"/>
        <v>No usa</v>
      </c>
      <c r="AN149">
        <v>0</v>
      </c>
      <c r="AO149" t="str">
        <f t="shared" si="75"/>
        <v>No usa</v>
      </c>
      <c r="AP149">
        <v>0</v>
      </c>
      <c r="AQ149" t="str">
        <f t="shared" si="76"/>
        <v>No camina</v>
      </c>
      <c r="AR149">
        <v>1</v>
      </c>
      <c r="AS149" t="str">
        <f t="shared" si="77"/>
        <v>Es Obeso</v>
      </c>
    </row>
    <row r="150" spans="1:45" x14ac:dyDescent="0.25">
      <c r="A150">
        <v>0</v>
      </c>
      <c r="B150" t="str">
        <f t="shared" si="52"/>
        <v>F</v>
      </c>
      <c r="C150">
        <v>27</v>
      </c>
      <c r="D150">
        <f t="shared" si="53"/>
        <v>27</v>
      </c>
      <c r="E150">
        <f t="shared" si="54"/>
        <v>27</v>
      </c>
      <c r="F150" t="str">
        <f t="shared" si="55"/>
        <v>25-50</v>
      </c>
      <c r="G150">
        <v>0</v>
      </c>
      <c r="H150" t="str">
        <f t="shared" si="56"/>
        <v>Pariente normal</v>
      </c>
      <c r="I150">
        <v>1</v>
      </c>
      <c r="J150" t="str">
        <f t="shared" si="57"/>
        <v>Hipercaloricos</v>
      </c>
      <c r="K150">
        <v>3</v>
      </c>
      <c r="L150">
        <f t="shared" si="58"/>
        <v>1</v>
      </c>
      <c r="M150" t="str">
        <f t="shared" si="59"/>
        <v>Suele comer</v>
      </c>
      <c r="N150">
        <v>3</v>
      </c>
      <c r="O150">
        <f t="shared" si="60"/>
        <v>2</v>
      </c>
      <c r="P150" t="str">
        <f t="shared" si="61"/>
        <v>Mas de 3</v>
      </c>
      <c r="Q150">
        <v>3</v>
      </c>
      <c r="R150" t="str">
        <f t="shared" si="62"/>
        <v>Siempre</v>
      </c>
      <c r="S150">
        <v>0</v>
      </c>
      <c r="T150" t="str">
        <f t="shared" si="63"/>
        <v>No fuma</v>
      </c>
      <c r="U150">
        <v>2</v>
      </c>
      <c r="V150">
        <f t="shared" si="64"/>
        <v>2</v>
      </c>
      <c r="W150" t="str">
        <f t="shared" si="65"/>
        <v>Siempre</v>
      </c>
      <c r="X150">
        <v>0</v>
      </c>
      <c r="Y150" t="str">
        <f t="shared" si="66"/>
        <v>No controla</v>
      </c>
      <c r="Z150">
        <v>0</v>
      </c>
      <c r="AA150">
        <f t="shared" si="67"/>
        <v>0</v>
      </c>
      <c r="AB150" t="str">
        <f t="shared" si="68"/>
        <v>Nunca</v>
      </c>
      <c r="AC150">
        <v>0</v>
      </c>
      <c r="AD150">
        <f t="shared" si="69"/>
        <v>0</v>
      </c>
      <c r="AE150" t="str">
        <f t="shared" si="70"/>
        <v>Nunca</v>
      </c>
      <c r="AF150">
        <v>1</v>
      </c>
      <c r="AG150" t="str">
        <f t="shared" si="71"/>
        <v>A veces</v>
      </c>
      <c r="AH150">
        <v>1</v>
      </c>
      <c r="AI150" t="str">
        <f t="shared" si="72"/>
        <v>Usa auto</v>
      </c>
      <c r="AJ150">
        <v>0</v>
      </c>
      <c r="AK150" t="str">
        <f t="shared" si="73"/>
        <v>No usa</v>
      </c>
      <c r="AL150">
        <v>0</v>
      </c>
      <c r="AM150" t="str">
        <f t="shared" si="74"/>
        <v>No usa</v>
      </c>
      <c r="AN150">
        <v>0</v>
      </c>
      <c r="AO150" t="str">
        <f t="shared" si="75"/>
        <v>No usa</v>
      </c>
      <c r="AP150">
        <v>0</v>
      </c>
      <c r="AQ150" t="str">
        <f t="shared" si="76"/>
        <v>No camina</v>
      </c>
      <c r="AR150">
        <v>0</v>
      </c>
      <c r="AS150" t="str">
        <f t="shared" si="77"/>
        <v>No es obeso</v>
      </c>
    </row>
    <row r="151" spans="1:45" x14ac:dyDescent="0.25">
      <c r="A151">
        <v>0</v>
      </c>
      <c r="B151" t="str">
        <f t="shared" si="52"/>
        <v>F</v>
      </c>
      <c r="C151">
        <v>32</v>
      </c>
      <c r="D151">
        <f t="shared" si="53"/>
        <v>32</v>
      </c>
      <c r="E151">
        <f t="shared" si="54"/>
        <v>32</v>
      </c>
      <c r="F151" t="str">
        <f t="shared" si="55"/>
        <v>25-50</v>
      </c>
      <c r="G151">
        <v>1</v>
      </c>
      <c r="H151" t="str">
        <f t="shared" si="56"/>
        <v>Pariente gordo</v>
      </c>
      <c r="I151">
        <v>1</v>
      </c>
      <c r="J151" t="str">
        <f t="shared" si="57"/>
        <v>Hipercaloricos</v>
      </c>
      <c r="K151">
        <v>3</v>
      </c>
      <c r="L151">
        <f t="shared" si="58"/>
        <v>1</v>
      </c>
      <c r="M151" t="str">
        <f t="shared" si="59"/>
        <v>Suele comer</v>
      </c>
      <c r="N151">
        <v>1</v>
      </c>
      <c r="O151">
        <f t="shared" si="60"/>
        <v>1</v>
      </c>
      <c r="P151">
        <f t="shared" si="61"/>
        <v>3</v>
      </c>
      <c r="Q151">
        <v>1</v>
      </c>
      <c r="R151" t="str">
        <f t="shared" si="62"/>
        <v>A veces</v>
      </c>
      <c r="S151">
        <v>0</v>
      </c>
      <c r="T151" t="str">
        <f t="shared" si="63"/>
        <v>No fuma</v>
      </c>
      <c r="U151">
        <v>2</v>
      </c>
      <c r="V151">
        <f t="shared" si="64"/>
        <v>2</v>
      </c>
      <c r="W151" t="str">
        <f t="shared" si="65"/>
        <v>Siempre</v>
      </c>
      <c r="X151">
        <v>0</v>
      </c>
      <c r="Y151" t="str">
        <f t="shared" si="66"/>
        <v>No controla</v>
      </c>
      <c r="Z151">
        <v>2</v>
      </c>
      <c r="AA151">
        <f t="shared" si="67"/>
        <v>2</v>
      </c>
      <c r="AB151" t="str">
        <f t="shared" si="68"/>
        <v>Usualmente</v>
      </c>
      <c r="AC151">
        <v>0</v>
      </c>
      <c r="AD151">
        <f t="shared" si="69"/>
        <v>0</v>
      </c>
      <c r="AE151" t="str">
        <f t="shared" si="70"/>
        <v>Nunca</v>
      </c>
      <c r="AF151">
        <v>1</v>
      </c>
      <c r="AG151" t="str">
        <f t="shared" si="71"/>
        <v>A veces</v>
      </c>
      <c r="AH151">
        <v>1</v>
      </c>
      <c r="AI151" t="str">
        <f t="shared" si="72"/>
        <v>Usa auto</v>
      </c>
      <c r="AJ151">
        <v>0</v>
      </c>
      <c r="AK151" t="str">
        <f t="shared" si="73"/>
        <v>No usa</v>
      </c>
      <c r="AL151">
        <v>0</v>
      </c>
      <c r="AM151" t="str">
        <f t="shared" si="74"/>
        <v>No usa</v>
      </c>
      <c r="AN151">
        <v>0</v>
      </c>
      <c r="AO151" t="str">
        <f t="shared" si="75"/>
        <v>No usa</v>
      </c>
      <c r="AP151">
        <v>0</v>
      </c>
      <c r="AQ151" t="str">
        <f t="shared" si="76"/>
        <v>No camina</v>
      </c>
      <c r="AR151">
        <v>1</v>
      </c>
      <c r="AS151" t="str">
        <f t="shared" si="77"/>
        <v>Es Obeso</v>
      </c>
    </row>
    <row r="152" spans="1:45" x14ac:dyDescent="0.25">
      <c r="A152">
        <v>1</v>
      </c>
      <c r="B152" t="str">
        <f t="shared" si="52"/>
        <v>M</v>
      </c>
      <c r="C152">
        <v>25</v>
      </c>
      <c r="D152">
        <f t="shared" si="53"/>
        <v>25</v>
      </c>
      <c r="E152">
        <f t="shared" si="54"/>
        <v>25</v>
      </c>
      <c r="F152" t="str">
        <f t="shared" si="55"/>
        <v>1-25</v>
      </c>
      <c r="G152">
        <v>1</v>
      </c>
      <c r="H152" t="str">
        <f t="shared" si="56"/>
        <v>Pariente gordo</v>
      </c>
      <c r="I152">
        <v>1</v>
      </c>
      <c r="J152" t="str">
        <f t="shared" si="57"/>
        <v>Hipercaloricos</v>
      </c>
      <c r="K152">
        <v>2</v>
      </c>
      <c r="L152">
        <f t="shared" si="58"/>
        <v>1</v>
      </c>
      <c r="M152" t="str">
        <f t="shared" si="59"/>
        <v>Suele comer</v>
      </c>
      <c r="N152">
        <v>1</v>
      </c>
      <c r="O152">
        <f t="shared" si="60"/>
        <v>1</v>
      </c>
      <c r="P152">
        <f t="shared" si="61"/>
        <v>3</v>
      </c>
      <c r="Q152">
        <v>1</v>
      </c>
      <c r="R152" t="str">
        <f t="shared" si="62"/>
        <v>A veces</v>
      </c>
      <c r="S152">
        <v>0</v>
      </c>
      <c r="T152" t="str">
        <f t="shared" si="63"/>
        <v>No fuma</v>
      </c>
      <c r="U152">
        <v>2</v>
      </c>
      <c r="V152">
        <f t="shared" si="64"/>
        <v>2</v>
      </c>
      <c r="W152" t="str">
        <f t="shared" si="65"/>
        <v>Siempre</v>
      </c>
      <c r="X152">
        <v>0</v>
      </c>
      <c r="Y152" t="str">
        <f t="shared" si="66"/>
        <v>No controla</v>
      </c>
      <c r="Z152">
        <v>2</v>
      </c>
      <c r="AA152">
        <f t="shared" si="67"/>
        <v>2</v>
      </c>
      <c r="AB152" t="str">
        <f t="shared" si="68"/>
        <v>Usualmente</v>
      </c>
      <c r="AC152">
        <v>1</v>
      </c>
      <c r="AD152">
        <f t="shared" si="69"/>
        <v>1</v>
      </c>
      <c r="AE152" t="str">
        <f t="shared" si="70"/>
        <v>Usualmente</v>
      </c>
      <c r="AF152">
        <v>1</v>
      </c>
      <c r="AG152" t="str">
        <f t="shared" si="71"/>
        <v>A veces</v>
      </c>
      <c r="AH152">
        <v>0</v>
      </c>
      <c r="AI152" t="str">
        <f t="shared" si="72"/>
        <v>No usa</v>
      </c>
      <c r="AJ152">
        <v>0</v>
      </c>
      <c r="AK152" t="str">
        <f t="shared" si="73"/>
        <v>No usa</v>
      </c>
      <c r="AL152">
        <v>0</v>
      </c>
      <c r="AM152" t="str">
        <f t="shared" si="74"/>
        <v>No usa</v>
      </c>
      <c r="AN152">
        <v>1</v>
      </c>
      <c r="AO152" t="str">
        <f t="shared" si="75"/>
        <v>Usa Transporte</v>
      </c>
      <c r="AP152">
        <v>0</v>
      </c>
      <c r="AQ152" t="str">
        <f t="shared" si="76"/>
        <v>No camina</v>
      </c>
      <c r="AR152">
        <v>0</v>
      </c>
      <c r="AS152" t="str">
        <f t="shared" si="77"/>
        <v>No es obeso</v>
      </c>
    </row>
    <row r="153" spans="1:45" x14ac:dyDescent="0.25">
      <c r="A153">
        <v>0</v>
      </c>
      <c r="B153" t="str">
        <f t="shared" si="52"/>
        <v>F</v>
      </c>
      <c r="C153">
        <v>30</v>
      </c>
      <c r="D153">
        <f t="shared" si="53"/>
        <v>30</v>
      </c>
      <c r="E153">
        <f t="shared" si="54"/>
        <v>30</v>
      </c>
      <c r="F153" t="str">
        <f t="shared" si="55"/>
        <v>25-50</v>
      </c>
      <c r="G153">
        <v>1</v>
      </c>
      <c r="H153" t="str">
        <f t="shared" si="56"/>
        <v>Pariente gordo</v>
      </c>
      <c r="I153">
        <v>1</v>
      </c>
      <c r="J153" t="str">
        <f t="shared" si="57"/>
        <v>Hipercaloricos</v>
      </c>
      <c r="K153">
        <v>3</v>
      </c>
      <c r="L153">
        <f t="shared" si="58"/>
        <v>1</v>
      </c>
      <c r="M153" t="str">
        <f t="shared" si="59"/>
        <v>Suele comer</v>
      </c>
      <c r="N153">
        <v>3</v>
      </c>
      <c r="O153">
        <f t="shared" si="60"/>
        <v>2</v>
      </c>
      <c r="P153" t="str">
        <f t="shared" si="61"/>
        <v>Mas de 3</v>
      </c>
      <c r="Q153">
        <v>1</v>
      </c>
      <c r="R153" t="str">
        <f t="shared" si="62"/>
        <v>A veces</v>
      </c>
      <c r="S153">
        <v>0</v>
      </c>
      <c r="T153" t="str">
        <f t="shared" si="63"/>
        <v>No fuma</v>
      </c>
      <c r="U153">
        <v>2</v>
      </c>
      <c r="V153">
        <f t="shared" si="64"/>
        <v>2</v>
      </c>
      <c r="W153" t="str">
        <f t="shared" si="65"/>
        <v>Siempre</v>
      </c>
      <c r="X153">
        <v>0</v>
      </c>
      <c r="Y153" t="str">
        <f t="shared" si="66"/>
        <v>No controla</v>
      </c>
      <c r="Z153">
        <v>2</v>
      </c>
      <c r="AA153">
        <f t="shared" si="67"/>
        <v>2</v>
      </c>
      <c r="AB153" t="str">
        <f t="shared" si="68"/>
        <v>Usualmente</v>
      </c>
      <c r="AC153">
        <v>0</v>
      </c>
      <c r="AD153">
        <f t="shared" si="69"/>
        <v>0</v>
      </c>
      <c r="AE153" t="str">
        <f t="shared" si="70"/>
        <v>Nunca</v>
      </c>
      <c r="AF153">
        <v>1</v>
      </c>
      <c r="AG153" t="str">
        <f t="shared" si="71"/>
        <v>A veces</v>
      </c>
      <c r="AH153">
        <v>1</v>
      </c>
      <c r="AI153" t="str">
        <f t="shared" si="72"/>
        <v>Usa auto</v>
      </c>
      <c r="AJ153">
        <v>0</v>
      </c>
      <c r="AK153" t="str">
        <f t="shared" si="73"/>
        <v>No usa</v>
      </c>
      <c r="AL153">
        <v>0</v>
      </c>
      <c r="AM153" t="str">
        <f t="shared" si="74"/>
        <v>No usa</v>
      </c>
      <c r="AN153">
        <v>0</v>
      </c>
      <c r="AO153" t="str">
        <f t="shared" si="75"/>
        <v>No usa</v>
      </c>
      <c r="AP153">
        <v>0</v>
      </c>
      <c r="AQ153" t="str">
        <f t="shared" si="76"/>
        <v>No camina</v>
      </c>
      <c r="AR153">
        <v>0</v>
      </c>
      <c r="AS153" t="str">
        <f t="shared" si="77"/>
        <v>No es obeso</v>
      </c>
    </row>
    <row r="154" spans="1:45" x14ac:dyDescent="0.25">
      <c r="A154">
        <v>0</v>
      </c>
      <c r="B154" t="str">
        <f t="shared" si="52"/>
        <v>F</v>
      </c>
      <c r="C154">
        <v>38</v>
      </c>
      <c r="D154">
        <f t="shared" si="53"/>
        <v>38</v>
      </c>
      <c r="E154">
        <f t="shared" si="54"/>
        <v>38</v>
      </c>
      <c r="F154" t="str">
        <f t="shared" si="55"/>
        <v>25-50</v>
      </c>
      <c r="G154">
        <v>1</v>
      </c>
      <c r="H154" t="str">
        <f t="shared" si="56"/>
        <v>Pariente gordo</v>
      </c>
      <c r="I154">
        <v>1</v>
      </c>
      <c r="J154" t="str">
        <f t="shared" si="57"/>
        <v>Hipercaloricos</v>
      </c>
      <c r="K154">
        <v>2</v>
      </c>
      <c r="L154">
        <f t="shared" si="58"/>
        <v>1</v>
      </c>
      <c r="M154" t="str">
        <f t="shared" si="59"/>
        <v>Suele comer</v>
      </c>
      <c r="N154">
        <v>1</v>
      </c>
      <c r="O154">
        <f t="shared" si="60"/>
        <v>1</v>
      </c>
      <c r="P154">
        <f t="shared" si="61"/>
        <v>3</v>
      </c>
      <c r="Q154">
        <v>3</v>
      </c>
      <c r="R154" t="str">
        <f t="shared" si="62"/>
        <v>Siempre</v>
      </c>
      <c r="S154">
        <v>1</v>
      </c>
      <c r="T154" t="str">
        <f t="shared" si="63"/>
        <v>Fuma</v>
      </c>
      <c r="U154">
        <v>2</v>
      </c>
      <c r="V154">
        <f t="shared" si="64"/>
        <v>2</v>
      </c>
      <c r="W154" t="str">
        <f t="shared" si="65"/>
        <v>Siempre</v>
      </c>
      <c r="X154">
        <v>0</v>
      </c>
      <c r="Y154" t="str">
        <f t="shared" si="66"/>
        <v>No controla</v>
      </c>
      <c r="Z154">
        <v>0</v>
      </c>
      <c r="AA154">
        <f t="shared" si="67"/>
        <v>0</v>
      </c>
      <c r="AB154" t="str">
        <f t="shared" si="68"/>
        <v>Nunca</v>
      </c>
      <c r="AC154">
        <v>0</v>
      </c>
      <c r="AD154">
        <f t="shared" si="69"/>
        <v>0</v>
      </c>
      <c r="AE154" t="str">
        <f t="shared" si="70"/>
        <v>Nunca</v>
      </c>
      <c r="AF154">
        <v>1</v>
      </c>
      <c r="AG154" t="str">
        <f t="shared" si="71"/>
        <v>A veces</v>
      </c>
      <c r="AH154">
        <v>1</v>
      </c>
      <c r="AI154" t="str">
        <f t="shared" si="72"/>
        <v>Usa auto</v>
      </c>
      <c r="AJ154">
        <v>0</v>
      </c>
      <c r="AK154" t="str">
        <f t="shared" si="73"/>
        <v>No usa</v>
      </c>
      <c r="AL154">
        <v>0</v>
      </c>
      <c r="AM154" t="str">
        <f t="shared" si="74"/>
        <v>No usa</v>
      </c>
      <c r="AN154">
        <v>0</v>
      </c>
      <c r="AO154" t="str">
        <f t="shared" si="75"/>
        <v>No usa</v>
      </c>
      <c r="AP154">
        <v>0</v>
      </c>
      <c r="AQ154" t="str">
        <f t="shared" si="76"/>
        <v>No camina</v>
      </c>
      <c r="AR154">
        <v>0</v>
      </c>
      <c r="AS154" t="str">
        <f t="shared" si="77"/>
        <v>No es obeso</v>
      </c>
    </row>
    <row r="155" spans="1:45" x14ac:dyDescent="0.25">
      <c r="A155">
        <v>1</v>
      </c>
      <c r="B155" t="str">
        <f t="shared" si="52"/>
        <v>M</v>
      </c>
      <c r="C155">
        <v>34</v>
      </c>
      <c r="D155">
        <f t="shared" si="53"/>
        <v>34</v>
      </c>
      <c r="E155">
        <f t="shared" si="54"/>
        <v>34</v>
      </c>
      <c r="F155" t="str">
        <f t="shared" si="55"/>
        <v>25-50</v>
      </c>
      <c r="G155">
        <v>1</v>
      </c>
      <c r="H155" t="str">
        <f t="shared" si="56"/>
        <v>Pariente gordo</v>
      </c>
      <c r="I155">
        <v>0</v>
      </c>
      <c r="J155" t="str">
        <f t="shared" si="57"/>
        <v>Saludables</v>
      </c>
      <c r="K155">
        <v>2</v>
      </c>
      <c r="L155">
        <f t="shared" si="58"/>
        <v>1</v>
      </c>
      <c r="M155" t="str">
        <f t="shared" si="59"/>
        <v>Suele comer</v>
      </c>
      <c r="N155">
        <v>3</v>
      </c>
      <c r="O155">
        <f t="shared" si="60"/>
        <v>2</v>
      </c>
      <c r="P155" t="str">
        <f t="shared" si="61"/>
        <v>Mas de 3</v>
      </c>
      <c r="Q155">
        <v>1</v>
      </c>
      <c r="R155" t="str">
        <f t="shared" si="62"/>
        <v>A veces</v>
      </c>
      <c r="S155">
        <v>0</v>
      </c>
      <c r="T155" t="str">
        <f t="shared" si="63"/>
        <v>No fuma</v>
      </c>
      <c r="U155">
        <v>3</v>
      </c>
      <c r="V155">
        <f t="shared" si="64"/>
        <v>2</v>
      </c>
      <c r="W155" t="str">
        <f t="shared" si="65"/>
        <v>Siempre</v>
      </c>
      <c r="X155">
        <v>0</v>
      </c>
      <c r="Y155" t="str">
        <f t="shared" si="66"/>
        <v>No controla</v>
      </c>
      <c r="Z155">
        <v>2</v>
      </c>
      <c r="AA155">
        <f t="shared" si="67"/>
        <v>2</v>
      </c>
      <c r="AB155" t="str">
        <f t="shared" si="68"/>
        <v>Usualmente</v>
      </c>
      <c r="AC155">
        <v>0</v>
      </c>
      <c r="AD155">
        <f t="shared" si="69"/>
        <v>0</v>
      </c>
      <c r="AE155" t="str">
        <f t="shared" si="70"/>
        <v>Nunca</v>
      </c>
      <c r="AF155">
        <v>0</v>
      </c>
      <c r="AG155" t="str">
        <f t="shared" si="71"/>
        <v>Nunca</v>
      </c>
      <c r="AH155">
        <v>1</v>
      </c>
      <c r="AI155" t="str">
        <f t="shared" si="72"/>
        <v>Usa auto</v>
      </c>
      <c r="AJ155">
        <v>0</v>
      </c>
      <c r="AK155" t="str">
        <f t="shared" si="73"/>
        <v>No usa</v>
      </c>
      <c r="AL155">
        <v>0</v>
      </c>
      <c r="AM155" t="str">
        <f t="shared" si="74"/>
        <v>No usa</v>
      </c>
      <c r="AN155">
        <v>0</v>
      </c>
      <c r="AO155" t="str">
        <f t="shared" si="75"/>
        <v>No usa</v>
      </c>
      <c r="AP155">
        <v>0</v>
      </c>
      <c r="AQ155" t="str">
        <f t="shared" si="76"/>
        <v>No camina</v>
      </c>
      <c r="AR155">
        <v>0</v>
      </c>
      <c r="AS155" t="str">
        <f t="shared" si="77"/>
        <v>No es obeso</v>
      </c>
    </row>
    <row r="156" spans="1:45" x14ac:dyDescent="0.25">
      <c r="A156">
        <v>1</v>
      </c>
      <c r="B156" t="str">
        <f t="shared" si="52"/>
        <v>M</v>
      </c>
      <c r="C156">
        <v>22</v>
      </c>
      <c r="D156">
        <f t="shared" si="53"/>
        <v>22</v>
      </c>
      <c r="E156">
        <f t="shared" si="54"/>
        <v>22</v>
      </c>
      <c r="F156" t="str">
        <f t="shared" si="55"/>
        <v>1-25</v>
      </c>
      <c r="G156">
        <v>1</v>
      </c>
      <c r="H156" t="str">
        <f t="shared" si="56"/>
        <v>Pariente gordo</v>
      </c>
      <c r="I156">
        <v>1</v>
      </c>
      <c r="J156" t="str">
        <f t="shared" si="57"/>
        <v>Hipercaloricos</v>
      </c>
      <c r="K156">
        <v>2</v>
      </c>
      <c r="L156">
        <f t="shared" si="58"/>
        <v>1</v>
      </c>
      <c r="M156" t="str">
        <f t="shared" si="59"/>
        <v>Suele comer</v>
      </c>
      <c r="N156">
        <v>3</v>
      </c>
      <c r="O156">
        <f t="shared" si="60"/>
        <v>2</v>
      </c>
      <c r="P156" t="str">
        <f t="shared" si="61"/>
        <v>Mas de 3</v>
      </c>
      <c r="Q156">
        <v>1</v>
      </c>
      <c r="R156" t="str">
        <f t="shared" si="62"/>
        <v>A veces</v>
      </c>
      <c r="S156">
        <v>0</v>
      </c>
      <c r="T156" t="str">
        <f t="shared" si="63"/>
        <v>No fuma</v>
      </c>
      <c r="U156">
        <v>2</v>
      </c>
      <c r="V156">
        <f t="shared" si="64"/>
        <v>2</v>
      </c>
      <c r="W156" t="str">
        <f t="shared" si="65"/>
        <v>Siempre</v>
      </c>
      <c r="X156">
        <v>0</v>
      </c>
      <c r="Y156" t="str">
        <f t="shared" si="66"/>
        <v>No controla</v>
      </c>
      <c r="Z156">
        <v>0</v>
      </c>
      <c r="AA156">
        <f t="shared" si="67"/>
        <v>0</v>
      </c>
      <c r="AB156" t="str">
        <f t="shared" si="68"/>
        <v>Nunca</v>
      </c>
      <c r="AC156">
        <v>0</v>
      </c>
      <c r="AD156">
        <f t="shared" si="69"/>
        <v>0</v>
      </c>
      <c r="AE156" t="str">
        <f t="shared" si="70"/>
        <v>Nunca</v>
      </c>
      <c r="AF156">
        <v>1</v>
      </c>
      <c r="AG156" t="str">
        <f t="shared" si="71"/>
        <v>A veces</v>
      </c>
      <c r="AH156">
        <v>0</v>
      </c>
      <c r="AI156" t="str">
        <f t="shared" si="72"/>
        <v>No usa</v>
      </c>
      <c r="AJ156">
        <v>0</v>
      </c>
      <c r="AK156" t="str">
        <f t="shared" si="73"/>
        <v>No usa</v>
      </c>
      <c r="AL156">
        <v>0</v>
      </c>
      <c r="AM156" t="str">
        <f t="shared" si="74"/>
        <v>No usa</v>
      </c>
      <c r="AN156">
        <v>1</v>
      </c>
      <c r="AO156" t="str">
        <f t="shared" si="75"/>
        <v>Usa Transporte</v>
      </c>
      <c r="AP156">
        <v>0</v>
      </c>
      <c r="AQ156" t="str">
        <f t="shared" si="76"/>
        <v>No camina</v>
      </c>
      <c r="AR156">
        <v>1</v>
      </c>
      <c r="AS156" t="str">
        <f t="shared" si="77"/>
        <v>Es Obeso</v>
      </c>
    </row>
    <row r="157" spans="1:45" x14ac:dyDescent="0.25">
      <c r="A157">
        <v>0</v>
      </c>
      <c r="B157" t="str">
        <f t="shared" si="52"/>
        <v>F</v>
      </c>
      <c r="C157">
        <v>31</v>
      </c>
      <c r="D157">
        <f t="shared" si="53"/>
        <v>31</v>
      </c>
      <c r="E157">
        <f t="shared" si="54"/>
        <v>31</v>
      </c>
      <c r="F157" t="str">
        <f t="shared" si="55"/>
        <v>25-50</v>
      </c>
      <c r="G157">
        <v>1</v>
      </c>
      <c r="H157" t="str">
        <f t="shared" si="56"/>
        <v>Pariente gordo</v>
      </c>
      <c r="I157">
        <v>1</v>
      </c>
      <c r="J157" t="str">
        <f t="shared" si="57"/>
        <v>Hipercaloricos</v>
      </c>
      <c r="K157">
        <v>3</v>
      </c>
      <c r="L157">
        <f t="shared" si="58"/>
        <v>1</v>
      </c>
      <c r="M157" t="str">
        <f t="shared" si="59"/>
        <v>Suele comer</v>
      </c>
      <c r="N157">
        <v>1</v>
      </c>
      <c r="O157">
        <f t="shared" si="60"/>
        <v>1</v>
      </c>
      <c r="P157">
        <f t="shared" si="61"/>
        <v>3</v>
      </c>
      <c r="Q157">
        <v>2</v>
      </c>
      <c r="R157" t="str">
        <f t="shared" si="62"/>
        <v>Usualmente</v>
      </c>
      <c r="S157">
        <v>0</v>
      </c>
      <c r="T157" t="str">
        <f t="shared" si="63"/>
        <v>No fuma</v>
      </c>
      <c r="U157">
        <v>2</v>
      </c>
      <c r="V157">
        <f t="shared" si="64"/>
        <v>2</v>
      </c>
      <c r="W157" t="str">
        <f t="shared" si="65"/>
        <v>Siempre</v>
      </c>
      <c r="X157">
        <v>0</v>
      </c>
      <c r="Y157" t="str">
        <f t="shared" si="66"/>
        <v>No controla</v>
      </c>
      <c r="Z157">
        <v>1</v>
      </c>
      <c r="AA157">
        <f t="shared" si="67"/>
        <v>1</v>
      </c>
      <c r="AB157" t="str">
        <f t="shared" si="68"/>
        <v>A veces</v>
      </c>
      <c r="AC157">
        <v>1</v>
      </c>
      <c r="AD157">
        <f t="shared" si="69"/>
        <v>1</v>
      </c>
      <c r="AE157" t="str">
        <f t="shared" si="70"/>
        <v>Usualmente</v>
      </c>
      <c r="AF157">
        <v>1</v>
      </c>
      <c r="AG157" t="str">
        <f t="shared" si="71"/>
        <v>A veces</v>
      </c>
      <c r="AH157">
        <v>1</v>
      </c>
      <c r="AI157" t="str">
        <f t="shared" si="72"/>
        <v>Usa auto</v>
      </c>
      <c r="AJ157">
        <v>0</v>
      </c>
      <c r="AK157" t="str">
        <f t="shared" si="73"/>
        <v>No usa</v>
      </c>
      <c r="AL157">
        <v>0</v>
      </c>
      <c r="AM157" t="str">
        <f t="shared" si="74"/>
        <v>No usa</v>
      </c>
      <c r="AN157">
        <v>0</v>
      </c>
      <c r="AO157" t="str">
        <f t="shared" si="75"/>
        <v>No usa</v>
      </c>
      <c r="AP157">
        <v>0</v>
      </c>
      <c r="AQ157" t="str">
        <f t="shared" si="76"/>
        <v>No camina</v>
      </c>
      <c r="AR157">
        <v>0</v>
      </c>
      <c r="AS157" t="str">
        <f t="shared" si="77"/>
        <v>No es obeso</v>
      </c>
    </row>
    <row r="158" spans="1:45" x14ac:dyDescent="0.25">
      <c r="A158">
        <v>0</v>
      </c>
      <c r="B158" t="str">
        <f t="shared" si="52"/>
        <v>F</v>
      </c>
      <c r="C158">
        <v>35</v>
      </c>
      <c r="D158">
        <f t="shared" si="53"/>
        <v>35</v>
      </c>
      <c r="E158">
        <f t="shared" si="54"/>
        <v>35</v>
      </c>
      <c r="F158" t="str">
        <f t="shared" si="55"/>
        <v>25-50</v>
      </c>
      <c r="G158">
        <v>1</v>
      </c>
      <c r="H158" t="str">
        <f t="shared" si="56"/>
        <v>Pariente gordo</v>
      </c>
      <c r="I158">
        <v>0</v>
      </c>
      <c r="J158" t="str">
        <f t="shared" si="57"/>
        <v>Saludables</v>
      </c>
      <c r="K158">
        <v>3</v>
      </c>
      <c r="L158">
        <f t="shared" si="58"/>
        <v>1</v>
      </c>
      <c r="M158" t="str">
        <f t="shared" si="59"/>
        <v>Suele comer</v>
      </c>
      <c r="N158">
        <v>3</v>
      </c>
      <c r="O158">
        <f t="shared" si="60"/>
        <v>2</v>
      </c>
      <c r="P158" t="str">
        <f t="shared" si="61"/>
        <v>Mas de 3</v>
      </c>
      <c r="Q158">
        <v>2</v>
      </c>
      <c r="R158" t="str">
        <f t="shared" si="62"/>
        <v>Usualmente</v>
      </c>
      <c r="S158">
        <v>0</v>
      </c>
      <c r="T158" t="str">
        <f t="shared" si="63"/>
        <v>No fuma</v>
      </c>
      <c r="U158">
        <v>1</v>
      </c>
      <c r="V158">
        <f t="shared" si="64"/>
        <v>1</v>
      </c>
      <c r="W158" t="str">
        <f t="shared" si="65"/>
        <v>Usualmente</v>
      </c>
      <c r="X158">
        <v>0</v>
      </c>
      <c r="Y158" t="str">
        <f t="shared" si="66"/>
        <v>No controla</v>
      </c>
      <c r="Z158">
        <v>0</v>
      </c>
      <c r="AA158">
        <f t="shared" si="67"/>
        <v>0</v>
      </c>
      <c r="AB158" t="str">
        <f t="shared" si="68"/>
        <v>Nunca</v>
      </c>
      <c r="AC158">
        <v>1</v>
      </c>
      <c r="AD158">
        <f t="shared" si="69"/>
        <v>1</v>
      </c>
      <c r="AE158" t="str">
        <f t="shared" si="70"/>
        <v>Usualmente</v>
      </c>
      <c r="AF158">
        <v>0</v>
      </c>
      <c r="AG158" t="str">
        <f t="shared" si="71"/>
        <v>Nunca</v>
      </c>
      <c r="AH158">
        <v>1</v>
      </c>
      <c r="AI158" t="str">
        <f t="shared" si="72"/>
        <v>Usa auto</v>
      </c>
      <c r="AJ158">
        <v>0</v>
      </c>
      <c r="AK158" t="str">
        <f t="shared" si="73"/>
        <v>No usa</v>
      </c>
      <c r="AL158">
        <v>0</v>
      </c>
      <c r="AM158" t="str">
        <f t="shared" si="74"/>
        <v>No usa</v>
      </c>
      <c r="AN158">
        <v>0</v>
      </c>
      <c r="AO158" t="str">
        <f t="shared" si="75"/>
        <v>No usa</v>
      </c>
      <c r="AP158">
        <v>0</v>
      </c>
      <c r="AQ158" t="str">
        <f t="shared" si="76"/>
        <v>No camina</v>
      </c>
      <c r="AR158">
        <v>0</v>
      </c>
      <c r="AS158" t="str">
        <f t="shared" si="77"/>
        <v>No es obeso</v>
      </c>
    </row>
    <row r="159" spans="1:45" x14ac:dyDescent="0.25">
      <c r="A159">
        <v>1</v>
      </c>
      <c r="B159" t="str">
        <f t="shared" si="52"/>
        <v>M</v>
      </c>
      <c r="C159">
        <v>21</v>
      </c>
      <c r="D159">
        <f t="shared" si="53"/>
        <v>21</v>
      </c>
      <c r="E159">
        <f t="shared" si="54"/>
        <v>21</v>
      </c>
      <c r="F159" t="str">
        <f t="shared" si="55"/>
        <v>1-25</v>
      </c>
      <c r="G159">
        <v>1</v>
      </c>
      <c r="H159" t="str">
        <f t="shared" si="56"/>
        <v>Pariente gordo</v>
      </c>
      <c r="I159">
        <v>1</v>
      </c>
      <c r="J159" t="str">
        <f t="shared" si="57"/>
        <v>Hipercaloricos</v>
      </c>
      <c r="K159">
        <v>2</v>
      </c>
      <c r="L159">
        <f t="shared" si="58"/>
        <v>1</v>
      </c>
      <c r="M159" t="str">
        <f t="shared" si="59"/>
        <v>Suele comer</v>
      </c>
      <c r="N159">
        <v>3</v>
      </c>
      <c r="O159">
        <f t="shared" si="60"/>
        <v>2</v>
      </c>
      <c r="P159" t="str">
        <f t="shared" si="61"/>
        <v>Mas de 3</v>
      </c>
      <c r="Q159">
        <v>2</v>
      </c>
      <c r="R159" t="str">
        <f t="shared" si="62"/>
        <v>Usualmente</v>
      </c>
      <c r="S159">
        <v>0</v>
      </c>
      <c r="T159" t="str">
        <f t="shared" si="63"/>
        <v>No fuma</v>
      </c>
      <c r="U159">
        <v>2</v>
      </c>
      <c r="V159">
        <f t="shared" si="64"/>
        <v>2</v>
      </c>
      <c r="W159" t="str">
        <f t="shared" si="65"/>
        <v>Siempre</v>
      </c>
      <c r="X159">
        <v>0</v>
      </c>
      <c r="Y159" t="str">
        <f t="shared" si="66"/>
        <v>No controla</v>
      </c>
      <c r="Z159">
        <v>2</v>
      </c>
      <c r="AA159">
        <f t="shared" si="67"/>
        <v>2</v>
      </c>
      <c r="AB159" t="str">
        <f t="shared" si="68"/>
        <v>Usualmente</v>
      </c>
      <c r="AC159">
        <v>1</v>
      </c>
      <c r="AD159">
        <f t="shared" si="69"/>
        <v>1</v>
      </c>
      <c r="AE159" t="str">
        <f t="shared" si="70"/>
        <v>Usualmente</v>
      </c>
      <c r="AF159">
        <v>1</v>
      </c>
      <c r="AG159" t="str">
        <f t="shared" si="71"/>
        <v>A veces</v>
      </c>
      <c r="AH159">
        <v>0</v>
      </c>
      <c r="AI159" t="str">
        <f t="shared" si="72"/>
        <v>No usa</v>
      </c>
      <c r="AJ159">
        <v>0</v>
      </c>
      <c r="AK159" t="str">
        <f t="shared" si="73"/>
        <v>No usa</v>
      </c>
      <c r="AL159">
        <v>0</v>
      </c>
      <c r="AM159" t="str">
        <f t="shared" si="74"/>
        <v>No usa</v>
      </c>
      <c r="AN159">
        <v>1</v>
      </c>
      <c r="AO159" t="str">
        <f t="shared" si="75"/>
        <v>Usa Transporte</v>
      </c>
      <c r="AP159">
        <v>0</v>
      </c>
      <c r="AQ159" t="str">
        <f t="shared" si="76"/>
        <v>No camina</v>
      </c>
      <c r="AR159">
        <v>0</v>
      </c>
      <c r="AS159" t="str">
        <f t="shared" si="77"/>
        <v>No es obeso</v>
      </c>
    </row>
    <row r="160" spans="1:45" x14ac:dyDescent="0.25">
      <c r="A160">
        <v>0</v>
      </c>
      <c r="B160" t="str">
        <f t="shared" si="52"/>
        <v>F</v>
      </c>
      <c r="C160">
        <v>40</v>
      </c>
      <c r="D160">
        <f t="shared" si="53"/>
        <v>40</v>
      </c>
      <c r="E160">
        <f t="shared" si="54"/>
        <v>40</v>
      </c>
      <c r="F160" t="str">
        <f t="shared" si="55"/>
        <v>25-50</v>
      </c>
      <c r="G160">
        <v>1</v>
      </c>
      <c r="H160" t="str">
        <f t="shared" si="56"/>
        <v>Pariente gordo</v>
      </c>
      <c r="I160">
        <v>0</v>
      </c>
      <c r="J160" t="str">
        <f t="shared" si="57"/>
        <v>Saludables</v>
      </c>
      <c r="K160">
        <v>3</v>
      </c>
      <c r="L160">
        <f t="shared" si="58"/>
        <v>1</v>
      </c>
      <c r="M160" t="str">
        <f t="shared" si="59"/>
        <v>Suele comer</v>
      </c>
      <c r="N160">
        <v>3</v>
      </c>
      <c r="O160">
        <f t="shared" si="60"/>
        <v>2</v>
      </c>
      <c r="P160" t="str">
        <f t="shared" si="61"/>
        <v>Mas de 3</v>
      </c>
      <c r="Q160">
        <v>1</v>
      </c>
      <c r="R160" t="str">
        <f t="shared" si="62"/>
        <v>A veces</v>
      </c>
      <c r="S160">
        <v>0</v>
      </c>
      <c r="T160" t="str">
        <f t="shared" si="63"/>
        <v>No fuma</v>
      </c>
      <c r="U160">
        <v>3</v>
      </c>
      <c r="V160">
        <f t="shared" si="64"/>
        <v>2</v>
      </c>
      <c r="W160" t="str">
        <f t="shared" si="65"/>
        <v>Siempre</v>
      </c>
      <c r="X160">
        <v>0</v>
      </c>
      <c r="Y160" t="str">
        <f t="shared" si="66"/>
        <v>No controla</v>
      </c>
      <c r="Z160">
        <v>0</v>
      </c>
      <c r="AA160">
        <f t="shared" si="67"/>
        <v>0</v>
      </c>
      <c r="AB160" t="str">
        <f t="shared" si="68"/>
        <v>Nunca</v>
      </c>
      <c r="AC160">
        <v>0</v>
      </c>
      <c r="AD160">
        <f t="shared" si="69"/>
        <v>0</v>
      </c>
      <c r="AE160" t="str">
        <f t="shared" si="70"/>
        <v>Nunca</v>
      </c>
      <c r="AF160">
        <v>1</v>
      </c>
      <c r="AG160" t="str">
        <f t="shared" si="71"/>
        <v>A veces</v>
      </c>
      <c r="AH160">
        <v>1</v>
      </c>
      <c r="AI160" t="str">
        <f t="shared" si="72"/>
        <v>Usa auto</v>
      </c>
      <c r="AJ160">
        <v>0</v>
      </c>
      <c r="AK160" t="str">
        <f t="shared" si="73"/>
        <v>No usa</v>
      </c>
      <c r="AL160">
        <v>0</v>
      </c>
      <c r="AM160" t="str">
        <f t="shared" si="74"/>
        <v>No usa</v>
      </c>
      <c r="AN160">
        <v>0</v>
      </c>
      <c r="AO160" t="str">
        <f t="shared" si="75"/>
        <v>No usa</v>
      </c>
      <c r="AP160">
        <v>0</v>
      </c>
      <c r="AQ160" t="str">
        <f t="shared" si="76"/>
        <v>No camina</v>
      </c>
      <c r="AR160">
        <v>0</v>
      </c>
      <c r="AS160" t="str">
        <f t="shared" si="77"/>
        <v>No es obeso</v>
      </c>
    </row>
    <row r="161" spans="1:45" x14ac:dyDescent="0.25">
      <c r="A161">
        <v>1</v>
      </c>
      <c r="B161" t="str">
        <f t="shared" si="52"/>
        <v>M</v>
      </c>
      <c r="C161">
        <v>27</v>
      </c>
      <c r="D161">
        <f t="shared" si="53"/>
        <v>27</v>
      </c>
      <c r="E161">
        <f t="shared" si="54"/>
        <v>27</v>
      </c>
      <c r="F161" t="str">
        <f t="shared" si="55"/>
        <v>25-50</v>
      </c>
      <c r="G161">
        <v>1</v>
      </c>
      <c r="H161" t="str">
        <f t="shared" si="56"/>
        <v>Pariente gordo</v>
      </c>
      <c r="I161">
        <v>1</v>
      </c>
      <c r="J161" t="str">
        <f t="shared" si="57"/>
        <v>Hipercaloricos</v>
      </c>
      <c r="K161">
        <v>2</v>
      </c>
      <c r="L161">
        <f t="shared" si="58"/>
        <v>1</v>
      </c>
      <c r="M161" t="str">
        <f t="shared" si="59"/>
        <v>Suele comer</v>
      </c>
      <c r="N161">
        <v>1</v>
      </c>
      <c r="O161">
        <f t="shared" si="60"/>
        <v>1</v>
      </c>
      <c r="P161">
        <f t="shared" si="61"/>
        <v>3</v>
      </c>
      <c r="Q161">
        <v>1</v>
      </c>
      <c r="R161" t="str">
        <f t="shared" si="62"/>
        <v>A veces</v>
      </c>
      <c r="S161">
        <v>0</v>
      </c>
      <c r="T161" t="str">
        <f t="shared" si="63"/>
        <v>No fuma</v>
      </c>
      <c r="U161">
        <v>2</v>
      </c>
      <c r="V161">
        <f t="shared" si="64"/>
        <v>2</v>
      </c>
      <c r="W161" t="str">
        <f t="shared" si="65"/>
        <v>Siempre</v>
      </c>
      <c r="X161">
        <v>0</v>
      </c>
      <c r="Y161" t="str">
        <f t="shared" si="66"/>
        <v>No controla</v>
      </c>
      <c r="Z161">
        <v>0</v>
      </c>
      <c r="AA161">
        <f t="shared" si="67"/>
        <v>0</v>
      </c>
      <c r="AB161" t="str">
        <f t="shared" si="68"/>
        <v>Nunca</v>
      </c>
      <c r="AC161">
        <v>0</v>
      </c>
      <c r="AD161">
        <f t="shared" si="69"/>
        <v>0</v>
      </c>
      <c r="AE161" t="str">
        <f t="shared" si="70"/>
        <v>Nunca</v>
      </c>
      <c r="AF161">
        <v>2</v>
      </c>
      <c r="AG161" t="str">
        <f t="shared" si="71"/>
        <v>Usualmente</v>
      </c>
      <c r="AH161">
        <v>1</v>
      </c>
      <c r="AI161" t="str">
        <f t="shared" si="72"/>
        <v>Usa auto</v>
      </c>
      <c r="AJ161">
        <v>0</v>
      </c>
      <c r="AK161" t="str">
        <f t="shared" si="73"/>
        <v>No usa</v>
      </c>
      <c r="AL161">
        <v>0</v>
      </c>
      <c r="AM161" t="str">
        <f t="shared" si="74"/>
        <v>No usa</v>
      </c>
      <c r="AN161">
        <v>0</v>
      </c>
      <c r="AO161" t="str">
        <f t="shared" si="75"/>
        <v>No usa</v>
      </c>
      <c r="AP161">
        <v>0</v>
      </c>
      <c r="AQ161" t="str">
        <f t="shared" si="76"/>
        <v>No camina</v>
      </c>
      <c r="AR161">
        <v>0</v>
      </c>
      <c r="AS161" t="str">
        <f t="shared" si="77"/>
        <v>No es obeso</v>
      </c>
    </row>
    <row r="162" spans="1:45" x14ac:dyDescent="0.25">
      <c r="A162">
        <v>1</v>
      </c>
      <c r="B162" t="str">
        <f t="shared" si="52"/>
        <v>M</v>
      </c>
      <c r="C162">
        <v>20</v>
      </c>
      <c r="D162">
        <f t="shared" si="53"/>
        <v>20</v>
      </c>
      <c r="E162">
        <f t="shared" si="54"/>
        <v>20</v>
      </c>
      <c r="F162" t="str">
        <f t="shared" si="55"/>
        <v>1-25</v>
      </c>
      <c r="G162">
        <v>1</v>
      </c>
      <c r="H162" t="str">
        <f t="shared" si="56"/>
        <v>Pariente gordo</v>
      </c>
      <c r="I162">
        <v>0</v>
      </c>
      <c r="J162" t="str">
        <f t="shared" si="57"/>
        <v>Saludables</v>
      </c>
      <c r="K162">
        <v>3</v>
      </c>
      <c r="L162">
        <f t="shared" si="58"/>
        <v>1</v>
      </c>
      <c r="M162" t="str">
        <f t="shared" si="59"/>
        <v>Suele comer</v>
      </c>
      <c r="N162">
        <v>3</v>
      </c>
      <c r="O162">
        <f t="shared" si="60"/>
        <v>2</v>
      </c>
      <c r="P162" t="str">
        <f t="shared" si="61"/>
        <v>Mas de 3</v>
      </c>
      <c r="Q162">
        <v>1</v>
      </c>
      <c r="R162" t="str">
        <f t="shared" si="62"/>
        <v>A veces</v>
      </c>
      <c r="S162">
        <v>1</v>
      </c>
      <c r="T162" t="str">
        <f t="shared" si="63"/>
        <v>Fuma</v>
      </c>
      <c r="U162">
        <v>1</v>
      </c>
      <c r="V162">
        <f t="shared" si="64"/>
        <v>1</v>
      </c>
      <c r="W162" t="str">
        <f t="shared" si="65"/>
        <v>Usualmente</v>
      </c>
      <c r="X162">
        <v>0</v>
      </c>
      <c r="Y162" t="str">
        <f t="shared" si="66"/>
        <v>No controla</v>
      </c>
      <c r="Z162">
        <v>2</v>
      </c>
      <c r="AA162">
        <f t="shared" si="67"/>
        <v>2</v>
      </c>
      <c r="AB162" t="str">
        <f t="shared" si="68"/>
        <v>Usualmente</v>
      </c>
      <c r="AC162">
        <v>1</v>
      </c>
      <c r="AD162">
        <f t="shared" si="69"/>
        <v>1</v>
      </c>
      <c r="AE162" t="str">
        <f t="shared" si="70"/>
        <v>Usualmente</v>
      </c>
      <c r="AF162">
        <v>1</v>
      </c>
      <c r="AG162" t="str">
        <f t="shared" si="71"/>
        <v>A veces</v>
      </c>
      <c r="AH162">
        <v>0</v>
      </c>
      <c r="AI162" t="str">
        <f t="shared" si="72"/>
        <v>No usa</v>
      </c>
      <c r="AJ162">
        <v>0</v>
      </c>
      <c r="AK162" t="str">
        <f t="shared" si="73"/>
        <v>No usa</v>
      </c>
      <c r="AL162">
        <v>0</v>
      </c>
      <c r="AM162" t="str">
        <f t="shared" si="74"/>
        <v>No usa</v>
      </c>
      <c r="AN162">
        <v>1</v>
      </c>
      <c r="AO162" t="str">
        <f t="shared" si="75"/>
        <v>Usa Transporte</v>
      </c>
      <c r="AP162">
        <v>0</v>
      </c>
      <c r="AQ162" t="str">
        <f t="shared" si="76"/>
        <v>No camina</v>
      </c>
      <c r="AR162">
        <v>0</v>
      </c>
      <c r="AS162" t="str">
        <f t="shared" si="77"/>
        <v>No es obeso</v>
      </c>
    </row>
    <row r="163" spans="1:45" x14ac:dyDescent="0.25">
      <c r="A163">
        <v>1</v>
      </c>
      <c r="B163" t="str">
        <f t="shared" si="52"/>
        <v>M</v>
      </c>
      <c r="C163">
        <v>55</v>
      </c>
      <c r="D163">
        <f t="shared" si="53"/>
        <v>55</v>
      </c>
      <c r="E163">
        <f t="shared" si="54"/>
        <v>55</v>
      </c>
      <c r="F163" t="str">
        <f t="shared" si="55"/>
        <v>50-75</v>
      </c>
      <c r="G163">
        <v>0</v>
      </c>
      <c r="H163" t="str">
        <f t="shared" si="56"/>
        <v>Pariente normal</v>
      </c>
      <c r="I163">
        <v>1</v>
      </c>
      <c r="J163" t="str">
        <f t="shared" si="57"/>
        <v>Hipercaloricos</v>
      </c>
      <c r="K163">
        <v>2</v>
      </c>
      <c r="L163">
        <f t="shared" si="58"/>
        <v>1</v>
      </c>
      <c r="M163" t="str">
        <f t="shared" si="59"/>
        <v>Suele comer</v>
      </c>
      <c r="N163">
        <v>3</v>
      </c>
      <c r="O163">
        <f t="shared" si="60"/>
        <v>2</v>
      </c>
      <c r="P163" t="str">
        <f t="shared" si="61"/>
        <v>Mas de 3</v>
      </c>
      <c r="Q163">
        <v>1</v>
      </c>
      <c r="R163" t="str">
        <f t="shared" si="62"/>
        <v>A veces</v>
      </c>
      <c r="S163">
        <v>0</v>
      </c>
      <c r="T163" t="str">
        <f t="shared" si="63"/>
        <v>No fuma</v>
      </c>
      <c r="U163">
        <v>2</v>
      </c>
      <c r="V163">
        <f t="shared" si="64"/>
        <v>2</v>
      </c>
      <c r="W163" t="str">
        <f t="shared" si="65"/>
        <v>Siempre</v>
      </c>
      <c r="X163">
        <v>0</v>
      </c>
      <c r="Y163" t="str">
        <f t="shared" si="66"/>
        <v>No controla</v>
      </c>
      <c r="Z163">
        <v>1</v>
      </c>
      <c r="AA163">
        <f t="shared" si="67"/>
        <v>1</v>
      </c>
      <c r="AB163" t="str">
        <f t="shared" si="68"/>
        <v>A veces</v>
      </c>
      <c r="AC163">
        <v>0</v>
      </c>
      <c r="AD163">
        <f t="shared" si="69"/>
        <v>0</v>
      </c>
      <c r="AE163" t="str">
        <f t="shared" si="70"/>
        <v>Nunca</v>
      </c>
      <c r="AF163">
        <v>0</v>
      </c>
      <c r="AG163" t="str">
        <f t="shared" si="71"/>
        <v>Nunca</v>
      </c>
      <c r="AH163">
        <v>1</v>
      </c>
      <c r="AI163" t="str">
        <f t="shared" si="72"/>
        <v>Usa auto</v>
      </c>
      <c r="AJ163">
        <v>0</v>
      </c>
      <c r="AK163" t="str">
        <f t="shared" si="73"/>
        <v>No usa</v>
      </c>
      <c r="AL163">
        <v>0</v>
      </c>
      <c r="AM163" t="str">
        <f t="shared" si="74"/>
        <v>No usa</v>
      </c>
      <c r="AN163">
        <v>0</v>
      </c>
      <c r="AO163" t="str">
        <f t="shared" si="75"/>
        <v>No usa</v>
      </c>
      <c r="AP163">
        <v>0</v>
      </c>
      <c r="AQ163" t="str">
        <f t="shared" si="76"/>
        <v>No camina</v>
      </c>
      <c r="AR163">
        <v>0</v>
      </c>
      <c r="AS163" t="str">
        <f t="shared" si="77"/>
        <v>No es obeso</v>
      </c>
    </row>
    <row r="164" spans="1:45" x14ac:dyDescent="0.25">
      <c r="A164">
        <v>0</v>
      </c>
      <c r="B164" t="str">
        <f t="shared" si="52"/>
        <v>F</v>
      </c>
      <c r="C164">
        <v>21</v>
      </c>
      <c r="D164">
        <f t="shared" si="53"/>
        <v>21</v>
      </c>
      <c r="E164">
        <f t="shared" si="54"/>
        <v>21</v>
      </c>
      <c r="F164" t="str">
        <f t="shared" si="55"/>
        <v>1-25</v>
      </c>
      <c r="G164">
        <v>1</v>
      </c>
      <c r="H164" t="str">
        <f t="shared" si="56"/>
        <v>Pariente gordo</v>
      </c>
      <c r="I164">
        <v>1</v>
      </c>
      <c r="J164" t="str">
        <f t="shared" si="57"/>
        <v>Hipercaloricos</v>
      </c>
      <c r="K164">
        <v>3</v>
      </c>
      <c r="L164">
        <f t="shared" si="58"/>
        <v>1</v>
      </c>
      <c r="M164" t="str">
        <f t="shared" si="59"/>
        <v>Suele comer</v>
      </c>
      <c r="N164">
        <v>3</v>
      </c>
      <c r="O164">
        <f t="shared" si="60"/>
        <v>2</v>
      </c>
      <c r="P164" t="str">
        <f t="shared" si="61"/>
        <v>Mas de 3</v>
      </c>
      <c r="Q164">
        <v>3</v>
      </c>
      <c r="R164" t="str">
        <f t="shared" si="62"/>
        <v>Siempre</v>
      </c>
      <c r="S164">
        <v>1</v>
      </c>
      <c r="T164" t="str">
        <f t="shared" si="63"/>
        <v>Fuma</v>
      </c>
      <c r="U164">
        <v>2</v>
      </c>
      <c r="V164">
        <f t="shared" si="64"/>
        <v>2</v>
      </c>
      <c r="W164" t="str">
        <f t="shared" si="65"/>
        <v>Siempre</v>
      </c>
      <c r="X164">
        <v>0</v>
      </c>
      <c r="Y164" t="str">
        <f t="shared" si="66"/>
        <v>No controla</v>
      </c>
      <c r="Z164">
        <v>2</v>
      </c>
      <c r="AA164">
        <f t="shared" si="67"/>
        <v>2</v>
      </c>
      <c r="AB164" t="str">
        <f t="shared" si="68"/>
        <v>Usualmente</v>
      </c>
      <c r="AC164">
        <v>0</v>
      </c>
      <c r="AD164">
        <f t="shared" si="69"/>
        <v>0</v>
      </c>
      <c r="AE164" t="str">
        <f t="shared" si="70"/>
        <v>Nunca</v>
      </c>
      <c r="AF164">
        <v>1</v>
      </c>
      <c r="AG164" t="str">
        <f t="shared" si="71"/>
        <v>A veces</v>
      </c>
      <c r="AH164">
        <v>0</v>
      </c>
      <c r="AI164" t="str">
        <f t="shared" si="72"/>
        <v>No usa</v>
      </c>
      <c r="AJ164">
        <v>0</v>
      </c>
      <c r="AK164" t="str">
        <f t="shared" si="73"/>
        <v>No usa</v>
      </c>
      <c r="AL164">
        <v>0</v>
      </c>
      <c r="AM164" t="str">
        <f t="shared" si="74"/>
        <v>No usa</v>
      </c>
      <c r="AN164">
        <v>1</v>
      </c>
      <c r="AO164" t="str">
        <f t="shared" si="75"/>
        <v>Usa Transporte</v>
      </c>
      <c r="AP164">
        <v>0</v>
      </c>
      <c r="AQ164" t="str">
        <f t="shared" si="76"/>
        <v>No camina</v>
      </c>
      <c r="AR164">
        <v>0</v>
      </c>
      <c r="AS164" t="str">
        <f t="shared" si="77"/>
        <v>No es obeso</v>
      </c>
    </row>
    <row r="165" spans="1:45" x14ac:dyDescent="0.25">
      <c r="A165">
        <v>1</v>
      </c>
      <c r="B165" t="str">
        <f t="shared" si="52"/>
        <v>M</v>
      </c>
      <c r="C165">
        <v>25</v>
      </c>
      <c r="D165">
        <f t="shared" si="53"/>
        <v>25</v>
      </c>
      <c r="E165">
        <f t="shared" si="54"/>
        <v>25</v>
      </c>
      <c r="F165" t="str">
        <f t="shared" si="55"/>
        <v>1-25</v>
      </c>
      <c r="G165">
        <v>0</v>
      </c>
      <c r="H165" t="str">
        <f t="shared" si="56"/>
        <v>Pariente normal</v>
      </c>
      <c r="I165">
        <v>0</v>
      </c>
      <c r="J165" t="str">
        <f t="shared" si="57"/>
        <v>Saludables</v>
      </c>
      <c r="K165">
        <v>3</v>
      </c>
      <c r="L165">
        <f t="shared" si="58"/>
        <v>1</v>
      </c>
      <c r="M165" t="str">
        <f t="shared" si="59"/>
        <v>Suele comer</v>
      </c>
      <c r="N165">
        <v>3</v>
      </c>
      <c r="O165">
        <f t="shared" si="60"/>
        <v>2</v>
      </c>
      <c r="P165" t="str">
        <f t="shared" si="61"/>
        <v>Mas de 3</v>
      </c>
      <c r="Q165">
        <v>2</v>
      </c>
      <c r="R165" t="str">
        <f t="shared" si="62"/>
        <v>Usualmente</v>
      </c>
      <c r="S165">
        <v>0</v>
      </c>
      <c r="T165" t="str">
        <f t="shared" si="63"/>
        <v>No fuma</v>
      </c>
      <c r="U165">
        <v>2</v>
      </c>
      <c r="V165">
        <f t="shared" si="64"/>
        <v>2</v>
      </c>
      <c r="W165" t="str">
        <f t="shared" si="65"/>
        <v>Siempre</v>
      </c>
      <c r="X165">
        <v>1</v>
      </c>
      <c r="Y165" t="str">
        <f t="shared" si="66"/>
        <v>Controla</v>
      </c>
      <c r="Z165">
        <v>3</v>
      </c>
      <c r="AA165">
        <f t="shared" si="67"/>
        <v>3</v>
      </c>
      <c r="AB165" t="str">
        <f t="shared" si="68"/>
        <v>Siempre</v>
      </c>
      <c r="AC165">
        <v>0</v>
      </c>
      <c r="AD165">
        <f t="shared" si="69"/>
        <v>0</v>
      </c>
      <c r="AE165" t="str">
        <f t="shared" si="70"/>
        <v>Nunca</v>
      </c>
      <c r="AF165">
        <v>0</v>
      </c>
      <c r="AG165" t="str">
        <f t="shared" si="71"/>
        <v>Nunca</v>
      </c>
      <c r="AH165">
        <v>0</v>
      </c>
      <c r="AI165" t="str">
        <f t="shared" si="72"/>
        <v>No usa</v>
      </c>
      <c r="AJ165">
        <v>0</v>
      </c>
      <c r="AK165" t="str">
        <f t="shared" si="73"/>
        <v>No usa</v>
      </c>
      <c r="AL165">
        <v>0</v>
      </c>
      <c r="AM165" t="str">
        <f t="shared" si="74"/>
        <v>No usa</v>
      </c>
      <c r="AN165">
        <v>1</v>
      </c>
      <c r="AO165" t="str">
        <f t="shared" si="75"/>
        <v>Usa Transporte</v>
      </c>
      <c r="AP165">
        <v>0</v>
      </c>
      <c r="AQ165" t="str">
        <f t="shared" si="76"/>
        <v>No camina</v>
      </c>
      <c r="AR165">
        <v>0</v>
      </c>
      <c r="AS165" t="str">
        <f t="shared" si="77"/>
        <v>No es obeso</v>
      </c>
    </row>
    <row r="166" spans="1:45" x14ac:dyDescent="0.25">
      <c r="A166">
        <v>1</v>
      </c>
      <c r="B166" t="str">
        <f t="shared" si="52"/>
        <v>M</v>
      </c>
      <c r="C166">
        <v>35</v>
      </c>
      <c r="D166">
        <f t="shared" si="53"/>
        <v>35</v>
      </c>
      <c r="E166">
        <f t="shared" si="54"/>
        <v>35</v>
      </c>
      <c r="F166" t="str">
        <f t="shared" si="55"/>
        <v>25-50</v>
      </c>
      <c r="G166">
        <v>1</v>
      </c>
      <c r="H166" t="str">
        <f t="shared" si="56"/>
        <v>Pariente gordo</v>
      </c>
      <c r="I166">
        <v>0</v>
      </c>
      <c r="J166" t="str">
        <f t="shared" si="57"/>
        <v>Saludables</v>
      </c>
      <c r="K166">
        <v>3</v>
      </c>
      <c r="L166">
        <f t="shared" si="58"/>
        <v>1</v>
      </c>
      <c r="M166" t="str">
        <f t="shared" si="59"/>
        <v>Suele comer</v>
      </c>
      <c r="N166">
        <v>3</v>
      </c>
      <c r="O166">
        <f t="shared" si="60"/>
        <v>2</v>
      </c>
      <c r="P166" t="str">
        <f t="shared" si="61"/>
        <v>Mas de 3</v>
      </c>
      <c r="Q166">
        <v>2</v>
      </c>
      <c r="R166" t="str">
        <f t="shared" si="62"/>
        <v>Usualmente</v>
      </c>
      <c r="S166">
        <v>0</v>
      </c>
      <c r="T166" t="str">
        <f t="shared" si="63"/>
        <v>No fuma</v>
      </c>
      <c r="U166">
        <v>3</v>
      </c>
      <c r="V166">
        <f t="shared" si="64"/>
        <v>2</v>
      </c>
      <c r="W166" t="str">
        <f t="shared" si="65"/>
        <v>Siempre</v>
      </c>
      <c r="X166">
        <v>0</v>
      </c>
      <c r="Y166" t="str">
        <f t="shared" si="66"/>
        <v>No controla</v>
      </c>
      <c r="Z166">
        <v>2</v>
      </c>
      <c r="AA166">
        <f t="shared" si="67"/>
        <v>2</v>
      </c>
      <c r="AB166" t="str">
        <f t="shared" si="68"/>
        <v>Usualmente</v>
      </c>
      <c r="AC166">
        <v>1</v>
      </c>
      <c r="AD166">
        <f t="shared" si="69"/>
        <v>1</v>
      </c>
      <c r="AE166" t="str">
        <f t="shared" si="70"/>
        <v>Usualmente</v>
      </c>
      <c r="AF166">
        <v>1</v>
      </c>
      <c r="AG166" t="str">
        <f t="shared" si="71"/>
        <v>A veces</v>
      </c>
      <c r="AH166">
        <v>1</v>
      </c>
      <c r="AI166" t="str">
        <f t="shared" si="72"/>
        <v>Usa auto</v>
      </c>
      <c r="AJ166">
        <v>0</v>
      </c>
      <c r="AK166" t="str">
        <f t="shared" si="73"/>
        <v>No usa</v>
      </c>
      <c r="AL166">
        <v>0</v>
      </c>
      <c r="AM166" t="str">
        <f t="shared" si="74"/>
        <v>No usa</v>
      </c>
      <c r="AN166">
        <v>0</v>
      </c>
      <c r="AO166" t="str">
        <f t="shared" si="75"/>
        <v>No usa</v>
      </c>
      <c r="AP166">
        <v>0</v>
      </c>
      <c r="AQ166" t="str">
        <f t="shared" si="76"/>
        <v>No camina</v>
      </c>
      <c r="AR166">
        <v>0</v>
      </c>
      <c r="AS166" t="str">
        <f t="shared" si="77"/>
        <v>No es obeso</v>
      </c>
    </row>
    <row r="167" spans="1:45" x14ac:dyDescent="0.25">
      <c r="A167">
        <v>1</v>
      </c>
      <c r="B167" t="str">
        <f t="shared" si="52"/>
        <v>M</v>
      </c>
      <c r="C167">
        <v>30</v>
      </c>
      <c r="D167">
        <f t="shared" si="53"/>
        <v>30</v>
      </c>
      <c r="E167">
        <f t="shared" si="54"/>
        <v>30</v>
      </c>
      <c r="F167" t="str">
        <f t="shared" si="55"/>
        <v>25-50</v>
      </c>
      <c r="G167">
        <v>1</v>
      </c>
      <c r="H167" t="str">
        <f t="shared" si="56"/>
        <v>Pariente gordo</v>
      </c>
      <c r="I167">
        <v>0</v>
      </c>
      <c r="J167" t="str">
        <f t="shared" si="57"/>
        <v>Saludables</v>
      </c>
      <c r="K167">
        <v>2</v>
      </c>
      <c r="L167">
        <f t="shared" si="58"/>
        <v>1</v>
      </c>
      <c r="M167" t="str">
        <f t="shared" si="59"/>
        <v>Suele comer</v>
      </c>
      <c r="N167">
        <v>3</v>
      </c>
      <c r="O167">
        <f t="shared" si="60"/>
        <v>2</v>
      </c>
      <c r="P167" t="str">
        <f t="shared" si="61"/>
        <v>Mas de 3</v>
      </c>
      <c r="Q167">
        <v>1</v>
      </c>
      <c r="R167" t="str">
        <f t="shared" si="62"/>
        <v>A veces</v>
      </c>
      <c r="S167">
        <v>1</v>
      </c>
      <c r="T167" t="str">
        <f t="shared" si="63"/>
        <v>Fuma</v>
      </c>
      <c r="U167">
        <v>1</v>
      </c>
      <c r="V167">
        <f t="shared" si="64"/>
        <v>1</v>
      </c>
      <c r="W167" t="str">
        <f t="shared" si="65"/>
        <v>Usualmente</v>
      </c>
      <c r="X167">
        <v>0</v>
      </c>
      <c r="Y167" t="str">
        <f t="shared" si="66"/>
        <v>No controla</v>
      </c>
      <c r="Z167">
        <v>1</v>
      </c>
      <c r="AA167">
        <f t="shared" si="67"/>
        <v>1</v>
      </c>
      <c r="AB167" t="str">
        <f t="shared" si="68"/>
        <v>A veces</v>
      </c>
      <c r="AC167">
        <v>0</v>
      </c>
      <c r="AD167">
        <f t="shared" si="69"/>
        <v>0</v>
      </c>
      <c r="AE167" t="str">
        <f t="shared" si="70"/>
        <v>Nunca</v>
      </c>
      <c r="AF167">
        <v>1</v>
      </c>
      <c r="AG167" t="str">
        <f t="shared" si="71"/>
        <v>A veces</v>
      </c>
      <c r="AH167">
        <v>0</v>
      </c>
      <c r="AI167" t="str">
        <f t="shared" si="72"/>
        <v>No usa</v>
      </c>
      <c r="AJ167">
        <v>0</v>
      </c>
      <c r="AK167" t="str">
        <f t="shared" si="73"/>
        <v>No usa</v>
      </c>
      <c r="AL167">
        <v>0</v>
      </c>
      <c r="AM167" t="str">
        <f t="shared" si="74"/>
        <v>No usa</v>
      </c>
      <c r="AN167">
        <v>1</v>
      </c>
      <c r="AO167" t="str">
        <f t="shared" si="75"/>
        <v>Usa Transporte</v>
      </c>
      <c r="AP167">
        <v>0</v>
      </c>
      <c r="AQ167" t="str">
        <f t="shared" si="76"/>
        <v>No camina</v>
      </c>
      <c r="AR167">
        <v>1</v>
      </c>
      <c r="AS167" t="str">
        <f t="shared" si="77"/>
        <v>Es Obeso</v>
      </c>
    </row>
    <row r="168" spans="1:45" x14ac:dyDescent="0.25">
      <c r="A168">
        <v>0</v>
      </c>
      <c r="B168" t="str">
        <f t="shared" si="52"/>
        <v>F</v>
      </c>
      <c r="C168">
        <v>29</v>
      </c>
      <c r="D168">
        <f t="shared" si="53"/>
        <v>29</v>
      </c>
      <c r="E168">
        <f t="shared" si="54"/>
        <v>29</v>
      </c>
      <c r="F168" t="str">
        <f t="shared" si="55"/>
        <v>25-50</v>
      </c>
      <c r="G168">
        <v>1</v>
      </c>
      <c r="H168" t="str">
        <f t="shared" si="56"/>
        <v>Pariente gordo</v>
      </c>
      <c r="I168">
        <v>0</v>
      </c>
      <c r="J168" t="str">
        <f t="shared" si="57"/>
        <v>Saludables</v>
      </c>
      <c r="K168">
        <v>3</v>
      </c>
      <c r="L168">
        <f t="shared" si="58"/>
        <v>1</v>
      </c>
      <c r="M168" t="str">
        <f t="shared" si="59"/>
        <v>Suele comer</v>
      </c>
      <c r="N168">
        <v>3</v>
      </c>
      <c r="O168">
        <f t="shared" si="60"/>
        <v>2</v>
      </c>
      <c r="P168" t="str">
        <f t="shared" si="61"/>
        <v>Mas de 3</v>
      </c>
      <c r="Q168">
        <v>3</v>
      </c>
      <c r="R168" t="str">
        <f t="shared" si="62"/>
        <v>Siempre</v>
      </c>
      <c r="S168">
        <v>0</v>
      </c>
      <c r="T168" t="str">
        <f t="shared" si="63"/>
        <v>No fuma</v>
      </c>
      <c r="U168">
        <v>2</v>
      </c>
      <c r="V168">
        <f t="shared" si="64"/>
        <v>2</v>
      </c>
      <c r="W168" t="str">
        <f t="shared" si="65"/>
        <v>Siempre</v>
      </c>
      <c r="X168">
        <v>0</v>
      </c>
      <c r="Y168" t="str">
        <f t="shared" si="66"/>
        <v>No controla</v>
      </c>
      <c r="Z168">
        <v>0</v>
      </c>
      <c r="AA168">
        <f t="shared" si="67"/>
        <v>0</v>
      </c>
      <c r="AB168" t="str">
        <f t="shared" si="68"/>
        <v>Nunca</v>
      </c>
      <c r="AC168">
        <v>0</v>
      </c>
      <c r="AD168">
        <f t="shared" si="69"/>
        <v>0</v>
      </c>
      <c r="AE168" t="str">
        <f t="shared" si="70"/>
        <v>Nunca</v>
      </c>
      <c r="AF168">
        <v>1</v>
      </c>
      <c r="AG168" t="str">
        <f t="shared" si="71"/>
        <v>A veces</v>
      </c>
      <c r="AH168">
        <v>1</v>
      </c>
      <c r="AI168" t="str">
        <f t="shared" si="72"/>
        <v>Usa auto</v>
      </c>
      <c r="AJ168">
        <v>0</v>
      </c>
      <c r="AK168" t="str">
        <f t="shared" si="73"/>
        <v>No usa</v>
      </c>
      <c r="AL168">
        <v>0</v>
      </c>
      <c r="AM168" t="str">
        <f t="shared" si="74"/>
        <v>No usa</v>
      </c>
      <c r="AN168">
        <v>0</v>
      </c>
      <c r="AO168" t="str">
        <f t="shared" si="75"/>
        <v>No usa</v>
      </c>
      <c r="AP168">
        <v>0</v>
      </c>
      <c r="AQ168" t="str">
        <f t="shared" si="76"/>
        <v>No camina</v>
      </c>
      <c r="AR168">
        <v>0</v>
      </c>
      <c r="AS168" t="str">
        <f t="shared" si="77"/>
        <v>No es obeso</v>
      </c>
    </row>
    <row r="169" spans="1:45" x14ac:dyDescent="0.25">
      <c r="A169">
        <v>1</v>
      </c>
      <c r="B169" t="str">
        <f t="shared" si="52"/>
        <v>M</v>
      </c>
      <c r="C169">
        <v>20</v>
      </c>
      <c r="D169">
        <f t="shared" si="53"/>
        <v>20</v>
      </c>
      <c r="E169">
        <f t="shared" si="54"/>
        <v>20</v>
      </c>
      <c r="F169" t="str">
        <f t="shared" si="55"/>
        <v>1-25</v>
      </c>
      <c r="G169">
        <v>1</v>
      </c>
      <c r="H169" t="str">
        <f t="shared" si="56"/>
        <v>Pariente gordo</v>
      </c>
      <c r="I169">
        <v>0</v>
      </c>
      <c r="J169" t="str">
        <f t="shared" si="57"/>
        <v>Saludables</v>
      </c>
      <c r="K169">
        <v>2</v>
      </c>
      <c r="L169">
        <f t="shared" si="58"/>
        <v>1</v>
      </c>
      <c r="M169" t="str">
        <f t="shared" si="59"/>
        <v>Suele comer</v>
      </c>
      <c r="N169">
        <v>3</v>
      </c>
      <c r="O169">
        <f t="shared" si="60"/>
        <v>2</v>
      </c>
      <c r="P169" t="str">
        <f t="shared" si="61"/>
        <v>Mas de 3</v>
      </c>
      <c r="Q169">
        <v>1</v>
      </c>
      <c r="R169" t="str">
        <f t="shared" si="62"/>
        <v>A veces</v>
      </c>
      <c r="S169">
        <v>0</v>
      </c>
      <c r="T169" t="str">
        <f t="shared" si="63"/>
        <v>No fuma</v>
      </c>
      <c r="U169">
        <v>2</v>
      </c>
      <c r="V169">
        <f t="shared" si="64"/>
        <v>2</v>
      </c>
      <c r="W169" t="str">
        <f t="shared" si="65"/>
        <v>Siempre</v>
      </c>
      <c r="X169">
        <v>0</v>
      </c>
      <c r="Y169" t="str">
        <f t="shared" si="66"/>
        <v>No controla</v>
      </c>
      <c r="Z169">
        <v>1</v>
      </c>
      <c r="AA169">
        <f t="shared" si="67"/>
        <v>1</v>
      </c>
      <c r="AB169" t="str">
        <f t="shared" si="68"/>
        <v>A veces</v>
      </c>
      <c r="AC169">
        <v>2</v>
      </c>
      <c r="AD169">
        <f t="shared" si="69"/>
        <v>2</v>
      </c>
      <c r="AE169" t="str">
        <f t="shared" si="70"/>
        <v>Siempre</v>
      </c>
      <c r="AF169">
        <v>0</v>
      </c>
      <c r="AG169" t="str">
        <f t="shared" si="71"/>
        <v>Nunca</v>
      </c>
      <c r="AH169">
        <v>0</v>
      </c>
      <c r="AI169" t="str">
        <f t="shared" si="72"/>
        <v>No usa</v>
      </c>
      <c r="AJ169">
        <v>0</v>
      </c>
      <c r="AK169" t="str">
        <f t="shared" si="73"/>
        <v>No usa</v>
      </c>
      <c r="AL169">
        <v>0</v>
      </c>
      <c r="AM169" t="str">
        <f t="shared" si="74"/>
        <v>No usa</v>
      </c>
      <c r="AN169">
        <v>0</v>
      </c>
      <c r="AO169" t="str">
        <f t="shared" si="75"/>
        <v>No usa</v>
      </c>
      <c r="AP169">
        <v>1</v>
      </c>
      <c r="AQ169" t="str">
        <f t="shared" si="76"/>
        <v>Camina</v>
      </c>
      <c r="AR169">
        <v>0</v>
      </c>
      <c r="AS169" t="str">
        <f t="shared" si="77"/>
        <v>No es obeso</v>
      </c>
    </row>
    <row r="170" spans="1:45" x14ac:dyDescent="0.25">
      <c r="A170">
        <v>0</v>
      </c>
      <c r="B170" t="str">
        <f t="shared" si="52"/>
        <v>F</v>
      </c>
      <c r="C170">
        <v>22</v>
      </c>
      <c r="D170">
        <f t="shared" si="53"/>
        <v>22</v>
      </c>
      <c r="E170">
        <f t="shared" si="54"/>
        <v>22</v>
      </c>
      <c r="F170" t="str">
        <f t="shared" si="55"/>
        <v>1-25</v>
      </c>
      <c r="G170">
        <v>1</v>
      </c>
      <c r="H170" t="str">
        <f t="shared" si="56"/>
        <v>Pariente gordo</v>
      </c>
      <c r="I170">
        <v>1</v>
      </c>
      <c r="J170" t="str">
        <f t="shared" si="57"/>
        <v>Hipercaloricos</v>
      </c>
      <c r="K170">
        <v>2</v>
      </c>
      <c r="L170">
        <f t="shared" si="58"/>
        <v>1</v>
      </c>
      <c r="M170" t="str">
        <f t="shared" si="59"/>
        <v>Suele comer</v>
      </c>
      <c r="N170">
        <v>1</v>
      </c>
      <c r="O170">
        <f t="shared" si="60"/>
        <v>1</v>
      </c>
      <c r="P170">
        <f t="shared" si="61"/>
        <v>3</v>
      </c>
      <c r="Q170">
        <v>1</v>
      </c>
      <c r="R170" t="str">
        <f t="shared" si="62"/>
        <v>A veces</v>
      </c>
      <c r="S170">
        <v>0</v>
      </c>
      <c r="T170" t="str">
        <f t="shared" si="63"/>
        <v>No fuma</v>
      </c>
      <c r="U170">
        <v>2</v>
      </c>
      <c r="V170">
        <f t="shared" si="64"/>
        <v>2</v>
      </c>
      <c r="W170" t="str">
        <f t="shared" si="65"/>
        <v>Siempre</v>
      </c>
      <c r="X170">
        <v>0</v>
      </c>
      <c r="Y170" t="str">
        <f t="shared" si="66"/>
        <v>No controla</v>
      </c>
      <c r="Z170">
        <v>1</v>
      </c>
      <c r="AA170">
        <f t="shared" si="67"/>
        <v>1</v>
      </c>
      <c r="AB170" t="str">
        <f t="shared" si="68"/>
        <v>A veces</v>
      </c>
      <c r="AC170">
        <v>0</v>
      </c>
      <c r="AD170">
        <f t="shared" si="69"/>
        <v>0</v>
      </c>
      <c r="AE170" t="str">
        <f t="shared" si="70"/>
        <v>Nunca</v>
      </c>
      <c r="AF170">
        <v>1</v>
      </c>
      <c r="AG170" t="str">
        <f t="shared" si="71"/>
        <v>A veces</v>
      </c>
      <c r="AH170">
        <v>0</v>
      </c>
      <c r="AI170" t="str">
        <f t="shared" si="72"/>
        <v>No usa</v>
      </c>
      <c r="AJ170">
        <v>0</v>
      </c>
      <c r="AK170" t="str">
        <f t="shared" si="73"/>
        <v>No usa</v>
      </c>
      <c r="AL170">
        <v>0</v>
      </c>
      <c r="AM170" t="str">
        <f t="shared" si="74"/>
        <v>No usa</v>
      </c>
      <c r="AN170">
        <v>1</v>
      </c>
      <c r="AO170" t="str">
        <f t="shared" si="75"/>
        <v>Usa Transporte</v>
      </c>
      <c r="AP170">
        <v>0</v>
      </c>
      <c r="AQ170" t="str">
        <f t="shared" si="76"/>
        <v>No camina</v>
      </c>
      <c r="AR170">
        <v>0</v>
      </c>
      <c r="AS170" t="str">
        <f t="shared" si="77"/>
        <v>No es obeso</v>
      </c>
    </row>
    <row r="171" spans="1:45" x14ac:dyDescent="0.25">
      <c r="A171">
        <v>0</v>
      </c>
      <c r="B171" t="str">
        <f t="shared" si="52"/>
        <v>F</v>
      </c>
      <c r="C171">
        <v>45</v>
      </c>
      <c r="D171">
        <f t="shared" si="53"/>
        <v>45</v>
      </c>
      <c r="E171">
        <f t="shared" si="54"/>
        <v>45</v>
      </c>
      <c r="F171" t="str">
        <f t="shared" si="55"/>
        <v>25-50</v>
      </c>
      <c r="G171">
        <v>1</v>
      </c>
      <c r="H171" t="str">
        <f t="shared" si="56"/>
        <v>Pariente gordo</v>
      </c>
      <c r="I171">
        <v>1</v>
      </c>
      <c r="J171" t="str">
        <f t="shared" si="57"/>
        <v>Hipercaloricos</v>
      </c>
      <c r="K171">
        <v>2</v>
      </c>
      <c r="L171">
        <f t="shared" si="58"/>
        <v>1</v>
      </c>
      <c r="M171" t="str">
        <f t="shared" si="59"/>
        <v>Suele comer</v>
      </c>
      <c r="N171">
        <v>3</v>
      </c>
      <c r="O171">
        <f t="shared" si="60"/>
        <v>2</v>
      </c>
      <c r="P171" t="str">
        <f t="shared" si="61"/>
        <v>Mas de 3</v>
      </c>
      <c r="Q171">
        <v>2</v>
      </c>
      <c r="R171" t="str">
        <f t="shared" si="62"/>
        <v>Usualmente</v>
      </c>
      <c r="S171">
        <v>0</v>
      </c>
      <c r="T171" t="str">
        <f t="shared" si="63"/>
        <v>No fuma</v>
      </c>
      <c r="U171">
        <v>1</v>
      </c>
      <c r="V171">
        <f t="shared" si="64"/>
        <v>1</v>
      </c>
      <c r="W171" t="str">
        <f t="shared" si="65"/>
        <v>Usualmente</v>
      </c>
      <c r="X171">
        <v>0</v>
      </c>
      <c r="Y171" t="str">
        <f t="shared" si="66"/>
        <v>No controla</v>
      </c>
      <c r="Z171">
        <v>0</v>
      </c>
      <c r="AA171">
        <f t="shared" si="67"/>
        <v>0</v>
      </c>
      <c r="AB171" t="str">
        <f t="shared" si="68"/>
        <v>Nunca</v>
      </c>
      <c r="AC171">
        <v>0</v>
      </c>
      <c r="AD171">
        <f t="shared" si="69"/>
        <v>0</v>
      </c>
      <c r="AE171" t="str">
        <f t="shared" si="70"/>
        <v>Nunca</v>
      </c>
      <c r="AF171">
        <v>0</v>
      </c>
      <c r="AG171" t="str">
        <f t="shared" si="71"/>
        <v>Nunca</v>
      </c>
      <c r="AH171">
        <v>1</v>
      </c>
      <c r="AI171" t="str">
        <f t="shared" si="72"/>
        <v>Usa auto</v>
      </c>
      <c r="AJ171">
        <v>0</v>
      </c>
      <c r="AK171" t="str">
        <f t="shared" si="73"/>
        <v>No usa</v>
      </c>
      <c r="AL171">
        <v>0</v>
      </c>
      <c r="AM171" t="str">
        <f t="shared" si="74"/>
        <v>No usa</v>
      </c>
      <c r="AN171">
        <v>0</v>
      </c>
      <c r="AO171" t="str">
        <f t="shared" si="75"/>
        <v>No usa</v>
      </c>
      <c r="AP171">
        <v>0</v>
      </c>
      <c r="AQ171" t="str">
        <f t="shared" si="76"/>
        <v>No camina</v>
      </c>
      <c r="AR171">
        <v>0</v>
      </c>
      <c r="AS171" t="str">
        <f t="shared" si="77"/>
        <v>No es obeso</v>
      </c>
    </row>
    <row r="172" spans="1:45" x14ac:dyDescent="0.25">
      <c r="A172">
        <v>1</v>
      </c>
      <c r="B172" t="str">
        <f t="shared" si="52"/>
        <v>M</v>
      </c>
      <c r="C172">
        <v>22</v>
      </c>
      <c r="D172">
        <f t="shared" si="53"/>
        <v>22</v>
      </c>
      <c r="E172">
        <f t="shared" si="54"/>
        <v>22</v>
      </c>
      <c r="F172" t="str">
        <f t="shared" si="55"/>
        <v>1-25</v>
      </c>
      <c r="G172">
        <v>0</v>
      </c>
      <c r="H172" t="str">
        <f t="shared" si="56"/>
        <v>Pariente normal</v>
      </c>
      <c r="I172">
        <v>1</v>
      </c>
      <c r="J172" t="str">
        <f t="shared" si="57"/>
        <v>Hipercaloricos</v>
      </c>
      <c r="K172">
        <v>2</v>
      </c>
      <c r="L172">
        <f t="shared" si="58"/>
        <v>1</v>
      </c>
      <c r="M172" t="str">
        <f t="shared" si="59"/>
        <v>Suele comer</v>
      </c>
      <c r="N172">
        <v>1</v>
      </c>
      <c r="O172">
        <f t="shared" si="60"/>
        <v>1</v>
      </c>
      <c r="P172">
        <f t="shared" si="61"/>
        <v>3</v>
      </c>
      <c r="Q172">
        <v>1</v>
      </c>
      <c r="R172" t="str">
        <f t="shared" si="62"/>
        <v>A veces</v>
      </c>
      <c r="S172">
        <v>0</v>
      </c>
      <c r="T172" t="str">
        <f t="shared" si="63"/>
        <v>No fuma</v>
      </c>
      <c r="U172">
        <v>2</v>
      </c>
      <c r="V172">
        <f t="shared" si="64"/>
        <v>2</v>
      </c>
      <c r="W172" t="str">
        <f t="shared" si="65"/>
        <v>Siempre</v>
      </c>
      <c r="X172">
        <v>0</v>
      </c>
      <c r="Y172" t="str">
        <f t="shared" si="66"/>
        <v>No controla</v>
      </c>
      <c r="Z172">
        <v>2</v>
      </c>
      <c r="AA172">
        <f t="shared" si="67"/>
        <v>2</v>
      </c>
      <c r="AB172" t="str">
        <f t="shared" si="68"/>
        <v>Usualmente</v>
      </c>
      <c r="AC172">
        <v>1</v>
      </c>
      <c r="AD172">
        <f t="shared" si="69"/>
        <v>1</v>
      </c>
      <c r="AE172" t="str">
        <f t="shared" si="70"/>
        <v>Usualmente</v>
      </c>
      <c r="AF172">
        <v>1</v>
      </c>
      <c r="AG172" t="str">
        <f t="shared" si="71"/>
        <v>A veces</v>
      </c>
      <c r="AH172">
        <v>0</v>
      </c>
      <c r="AI172" t="str">
        <f t="shared" si="72"/>
        <v>No usa</v>
      </c>
      <c r="AJ172">
        <v>0</v>
      </c>
      <c r="AK172" t="str">
        <f t="shared" si="73"/>
        <v>No usa</v>
      </c>
      <c r="AL172">
        <v>0</v>
      </c>
      <c r="AM172" t="str">
        <f t="shared" si="74"/>
        <v>No usa</v>
      </c>
      <c r="AN172">
        <v>1</v>
      </c>
      <c r="AO172" t="str">
        <f t="shared" si="75"/>
        <v>Usa Transporte</v>
      </c>
      <c r="AP172">
        <v>0</v>
      </c>
      <c r="AQ172" t="str">
        <f t="shared" si="76"/>
        <v>No camina</v>
      </c>
      <c r="AR172">
        <v>0</v>
      </c>
      <c r="AS172" t="str">
        <f t="shared" si="77"/>
        <v>No es obeso</v>
      </c>
    </row>
    <row r="173" spans="1:45" x14ac:dyDescent="0.25">
      <c r="A173">
        <v>1</v>
      </c>
      <c r="B173" t="str">
        <f t="shared" si="52"/>
        <v>M</v>
      </c>
      <c r="C173">
        <v>18</v>
      </c>
      <c r="D173">
        <f t="shared" si="53"/>
        <v>18</v>
      </c>
      <c r="E173">
        <f t="shared" si="54"/>
        <v>18</v>
      </c>
      <c r="F173" t="str">
        <f t="shared" si="55"/>
        <v>1-25</v>
      </c>
      <c r="G173">
        <v>1</v>
      </c>
      <c r="H173" t="str">
        <f t="shared" si="56"/>
        <v>Pariente gordo</v>
      </c>
      <c r="I173">
        <v>1</v>
      </c>
      <c r="J173" t="str">
        <f t="shared" si="57"/>
        <v>Hipercaloricos</v>
      </c>
      <c r="K173">
        <v>2</v>
      </c>
      <c r="L173">
        <f t="shared" si="58"/>
        <v>1</v>
      </c>
      <c r="M173" t="str">
        <f t="shared" si="59"/>
        <v>Suele comer</v>
      </c>
      <c r="N173">
        <v>3</v>
      </c>
      <c r="O173">
        <f t="shared" si="60"/>
        <v>2</v>
      </c>
      <c r="P173" t="str">
        <f t="shared" si="61"/>
        <v>Mas de 3</v>
      </c>
      <c r="Q173">
        <v>2</v>
      </c>
      <c r="R173" t="str">
        <f t="shared" si="62"/>
        <v>Usualmente</v>
      </c>
      <c r="S173">
        <v>0</v>
      </c>
      <c r="T173" t="str">
        <f t="shared" si="63"/>
        <v>No fuma</v>
      </c>
      <c r="U173">
        <v>2</v>
      </c>
      <c r="V173">
        <f t="shared" si="64"/>
        <v>2</v>
      </c>
      <c r="W173" t="str">
        <f t="shared" si="65"/>
        <v>Siempre</v>
      </c>
      <c r="X173">
        <v>0</v>
      </c>
      <c r="Y173" t="str">
        <f t="shared" si="66"/>
        <v>No controla</v>
      </c>
      <c r="Z173">
        <v>1</v>
      </c>
      <c r="AA173">
        <f t="shared" si="67"/>
        <v>1</v>
      </c>
      <c r="AB173" t="str">
        <f t="shared" si="68"/>
        <v>A veces</v>
      </c>
      <c r="AC173">
        <v>0</v>
      </c>
      <c r="AD173">
        <f t="shared" si="69"/>
        <v>0</v>
      </c>
      <c r="AE173" t="str">
        <f t="shared" si="70"/>
        <v>Nunca</v>
      </c>
      <c r="AF173">
        <v>1</v>
      </c>
      <c r="AG173" t="str">
        <f t="shared" si="71"/>
        <v>A veces</v>
      </c>
      <c r="AH173">
        <v>0</v>
      </c>
      <c r="AI173" t="str">
        <f t="shared" si="72"/>
        <v>No usa</v>
      </c>
      <c r="AJ173">
        <v>0</v>
      </c>
      <c r="AK173" t="str">
        <f t="shared" si="73"/>
        <v>No usa</v>
      </c>
      <c r="AL173">
        <v>0</v>
      </c>
      <c r="AM173" t="str">
        <f t="shared" si="74"/>
        <v>No usa</v>
      </c>
      <c r="AN173">
        <v>1</v>
      </c>
      <c r="AO173" t="str">
        <f t="shared" si="75"/>
        <v>Usa Transporte</v>
      </c>
      <c r="AP173">
        <v>0</v>
      </c>
      <c r="AQ173" t="str">
        <f t="shared" si="76"/>
        <v>No camina</v>
      </c>
      <c r="AR173">
        <v>0</v>
      </c>
      <c r="AS173" t="str">
        <f t="shared" si="77"/>
        <v>No es obeso</v>
      </c>
    </row>
    <row r="174" spans="1:45" x14ac:dyDescent="0.25">
      <c r="A174">
        <v>0</v>
      </c>
      <c r="B174" t="str">
        <f t="shared" si="52"/>
        <v>F</v>
      </c>
      <c r="C174">
        <v>23</v>
      </c>
      <c r="D174">
        <f t="shared" si="53"/>
        <v>23</v>
      </c>
      <c r="E174">
        <f t="shared" si="54"/>
        <v>23</v>
      </c>
      <c r="F174" t="str">
        <f t="shared" si="55"/>
        <v>1-25</v>
      </c>
      <c r="G174">
        <v>0</v>
      </c>
      <c r="H174" t="str">
        <f t="shared" si="56"/>
        <v>Pariente normal</v>
      </c>
      <c r="I174">
        <v>0</v>
      </c>
      <c r="J174" t="str">
        <f t="shared" si="57"/>
        <v>Saludables</v>
      </c>
      <c r="K174">
        <v>3</v>
      </c>
      <c r="L174">
        <f t="shared" si="58"/>
        <v>1</v>
      </c>
      <c r="M174" t="str">
        <f t="shared" si="59"/>
        <v>Suele comer</v>
      </c>
      <c r="N174">
        <v>1</v>
      </c>
      <c r="O174">
        <f t="shared" si="60"/>
        <v>1</v>
      </c>
      <c r="P174">
        <f t="shared" si="61"/>
        <v>3</v>
      </c>
      <c r="Q174">
        <v>1</v>
      </c>
      <c r="R174" t="str">
        <f t="shared" si="62"/>
        <v>A veces</v>
      </c>
      <c r="S174">
        <v>0</v>
      </c>
      <c r="T174" t="str">
        <f t="shared" si="63"/>
        <v>No fuma</v>
      </c>
      <c r="U174">
        <v>2</v>
      </c>
      <c r="V174">
        <f t="shared" si="64"/>
        <v>2</v>
      </c>
      <c r="W174" t="str">
        <f t="shared" si="65"/>
        <v>Siempre</v>
      </c>
      <c r="X174">
        <v>0</v>
      </c>
      <c r="Y174" t="str">
        <f t="shared" si="66"/>
        <v>No controla</v>
      </c>
      <c r="Z174">
        <v>1</v>
      </c>
      <c r="AA174">
        <f t="shared" si="67"/>
        <v>1</v>
      </c>
      <c r="AB174" t="str">
        <f t="shared" si="68"/>
        <v>A veces</v>
      </c>
      <c r="AC174">
        <v>2</v>
      </c>
      <c r="AD174">
        <f t="shared" si="69"/>
        <v>2</v>
      </c>
      <c r="AE174" t="str">
        <f t="shared" si="70"/>
        <v>Siempre</v>
      </c>
      <c r="AF174">
        <v>1</v>
      </c>
      <c r="AG174" t="str">
        <f t="shared" si="71"/>
        <v>A veces</v>
      </c>
      <c r="AH174">
        <v>0</v>
      </c>
      <c r="AI174" t="str">
        <f t="shared" si="72"/>
        <v>No usa</v>
      </c>
      <c r="AJ174">
        <v>0</v>
      </c>
      <c r="AK174" t="str">
        <f t="shared" si="73"/>
        <v>No usa</v>
      </c>
      <c r="AL174">
        <v>0</v>
      </c>
      <c r="AM174" t="str">
        <f t="shared" si="74"/>
        <v>No usa</v>
      </c>
      <c r="AN174">
        <v>1</v>
      </c>
      <c r="AO174" t="str">
        <f t="shared" si="75"/>
        <v>Usa Transporte</v>
      </c>
      <c r="AP174">
        <v>0</v>
      </c>
      <c r="AQ174" t="str">
        <f t="shared" si="76"/>
        <v>No camina</v>
      </c>
      <c r="AR174">
        <v>0</v>
      </c>
      <c r="AS174" t="str">
        <f t="shared" si="77"/>
        <v>No es obeso</v>
      </c>
    </row>
    <row r="175" spans="1:45" x14ac:dyDescent="0.25">
      <c r="A175">
        <v>1</v>
      </c>
      <c r="B175" t="str">
        <f t="shared" si="52"/>
        <v>M</v>
      </c>
      <c r="C175">
        <v>18</v>
      </c>
      <c r="D175">
        <f t="shared" si="53"/>
        <v>18</v>
      </c>
      <c r="E175">
        <f t="shared" si="54"/>
        <v>18</v>
      </c>
      <c r="F175" t="str">
        <f t="shared" si="55"/>
        <v>1-25</v>
      </c>
      <c r="G175">
        <v>0</v>
      </c>
      <c r="H175" t="str">
        <f t="shared" si="56"/>
        <v>Pariente normal</v>
      </c>
      <c r="I175">
        <v>0</v>
      </c>
      <c r="J175" t="str">
        <f t="shared" si="57"/>
        <v>Saludables</v>
      </c>
      <c r="K175">
        <v>3</v>
      </c>
      <c r="L175">
        <f t="shared" si="58"/>
        <v>1</v>
      </c>
      <c r="M175" t="str">
        <f t="shared" si="59"/>
        <v>Suele comer</v>
      </c>
      <c r="N175">
        <v>3</v>
      </c>
      <c r="O175">
        <f t="shared" si="60"/>
        <v>2</v>
      </c>
      <c r="P175" t="str">
        <f t="shared" si="61"/>
        <v>Mas de 3</v>
      </c>
      <c r="Q175">
        <v>1</v>
      </c>
      <c r="R175" t="str">
        <f t="shared" si="62"/>
        <v>A veces</v>
      </c>
      <c r="S175">
        <v>0</v>
      </c>
      <c r="T175" t="str">
        <f t="shared" si="63"/>
        <v>No fuma</v>
      </c>
      <c r="U175">
        <v>2</v>
      </c>
      <c r="V175">
        <f t="shared" si="64"/>
        <v>2</v>
      </c>
      <c r="W175" t="str">
        <f t="shared" si="65"/>
        <v>Siempre</v>
      </c>
      <c r="X175">
        <v>1</v>
      </c>
      <c r="Y175" t="str">
        <f t="shared" si="66"/>
        <v>Controla</v>
      </c>
      <c r="Z175">
        <v>0</v>
      </c>
      <c r="AA175">
        <f t="shared" si="67"/>
        <v>0</v>
      </c>
      <c r="AB175" t="str">
        <f t="shared" si="68"/>
        <v>Nunca</v>
      </c>
      <c r="AC175">
        <v>1</v>
      </c>
      <c r="AD175">
        <f t="shared" si="69"/>
        <v>1</v>
      </c>
      <c r="AE175" t="str">
        <f t="shared" si="70"/>
        <v>Usualmente</v>
      </c>
      <c r="AF175">
        <v>0</v>
      </c>
      <c r="AG175" t="str">
        <f t="shared" si="71"/>
        <v>Nunca</v>
      </c>
      <c r="AH175">
        <v>0</v>
      </c>
      <c r="AI175" t="str">
        <f t="shared" si="72"/>
        <v>No usa</v>
      </c>
      <c r="AJ175">
        <v>0</v>
      </c>
      <c r="AK175" t="str">
        <f t="shared" si="73"/>
        <v>No usa</v>
      </c>
      <c r="AL175">
        <v>0</v>
      </c>
      <c r="AM175" t="str">
        <f t="shared" si="74"/>
        <v>No usa</v>
      </c>
      <c r="AN175">
        <v>1</v>
      </c>
      <c r="AO175" t="str">
        <f t="shared" si="75"/>
        <v>Usa Transporte</v>
      </c>
      <c r="AP175">
        <v>0</v>
      </c>
      <c r="AQ175" t="str">
        <f t="shared" si="76"/>
        <v>No camina</v>
      </c>
      <c r="AR175">
        <v>0</v>
      </c>
      <c r="AS175" t="str">
        <f t="shared" si="77"/>
        <v>No es obeso</v>
      </c>
    </row>
    <row r="176" spans="1:45" x14ac:dyDescent="0.25">
      <c r="A176">
        <v>1</v>
      </c>
      <c r="B176" t="str">
        <f t="shared" si="52"/>
        <v>M</v>
      </c>
      <c r="C176">
        <v>21</v>
      </c>
      <c r="D176">
        <f t="shared" si="53"/>
        <v>21</v>
      </c>
      <c r="E176">
        <f t="shared" si="54"/>
        <v>21</v>
      </c>
      <c r="F176" t="str">
        <f t="shared" si="55"/>
        <v>1-25</v>
      </c>
      <c r="G176">
        <v>0</v>
      </c>
      <c r="H176" t="str">
        <f t="shared" si="56"/>
        <v>Pariente normal</v>
      </c>
      <c r="I176">
        <v>1</v>
      </c>
      <c r="J176" t="str">
        <f t="shared" si="57"/>
        <v>Hipercaloricos</v>
      </c>
      <c r="K176">
        <v>2</v>
      </c>
      <c r="L176">
        <f t="shared" si="58"/>
        <v>1</v>
      </c>
      <c r="M176" t="str">
        <f t="shared" si="59"/>
        <v>Suele comer</v>
      </c>
      <c r="N176">
        <v>1</v>
      </c>
      <c r="O176">
        <f t="shared" si="60"/>
        <v>1</v>
      </c>
      <c r="P176">
        <f t="shared" si="61"/>
        <v>3</v>
      </c>
      <c r="Q176">
        <v>0</v>
      </c>
      <c r="R176" t="str">
        <f t="shared" si="62"/>
        <v>Nunca</v>
      </c>
      <c r="S176">
        <v>0</v>
      </c>
      <c r="T176" t="str">
        <f t="shared" si="63"/>
        <v>No fuma</v>
      </c>
      <c r="U176">
        <v>3</v>
      </c>
      <c r="V176">
        <f t="shared" si="64"/>
        <v>2</v>
      </c>
      <c r="W176" t="str">
        <f t="shared" si="65"/>
        <v>Siempre</v>
      </c>
      <c r="X176">
        <v>0</v>
      </c>
      <c r="Y176" t="str">
        <f t="shared" si="66"/>
        <v>No controla</v>
      </c>
      <c r="Z176">
        <v>1</v>
      </c>
      <c r="AA176">
        <f t="shared" si="67"/>
        <v>1</v>
      </c>
      <c r="AB176" t="str">
        <f t="shared" si="68"/>
        <v>A veces</v>
      </c>
      <c r="AC176">
        <v>0</v>
      </c>
      <c r="AD176">
        <f t="shared" si="69"/>
        <v>0</v>
      </c>
      <c r="AE176" t="str">
        <f t="shared" si="70"/>
        <v>Nunca</v>
      </c>
      <c r="AF176">
        <v>1</v>
      </c>
      <c r="AG176" t="str">
        <f t="shared" si="71"/>
        <v>A veces</v>
      </c>
      <c r="AH176">
        <v>0</v>
      </c>
      <c r="AI176" t="str">
        <f t="shared" si="72"/>
        <v>No usa</v>
      </c>
      <c r="AJ176">
        <v>0</v>
      </c>
      <c r="AK176" t="str">
        <f t="shared" si="73"/>
        <v>No usa</v>
      </c>
      <c r="AL176">
        <v>0</v>
      </c>
      <c r="AM176" t="str">
        <f t="shared" si="74"/>
        <v>No usa</v>
      </c>
      <c r="AN176">
        <v>1</v>
      </c>
      <c r="AO176" t="str">
        <f t="shared" si="75"/>
        <v>Usa Transporte</v>
      </c>
      <c r="AP176">
        <v>0</v>
      </c>
      <c r="AQ176" t="str">
        <f t="shared" si="76"/>
        <v>No camina</v>
      </c>
      <c r="AR176">
        <v>0</v>
      </c>
      <c r="AS176" t="str">
        <f t="shared" si="77"/>
        <v>No es obeso</v>
      </c>
    </row>
    <row r="177" spans="1:45" x14ac:dyDescent="0.25">
      <c r="A177">
        <v>0</v>
      </c>
      <c r="B177" t="str">
        <f t="shared" si="52"/>
        <v>F</v>
      </c>
      <c r="C177">
        <v>38</v>
      </c>
      <c r="D177">
        <f t="shared" si="53"/>
        <v>38</v>
      </c>
      <c r="E177">
        <f t="shared" si="54"/>
        <v>38</v>
      </c>
      <c r="F177" t="str">
        <f t="shared" si="55"/>
        <v>25-50</v>
      </c>
      <c r="G177">
        <v>1</v>
      </c>
      <c r="H177" t="str">
        <f t="shared" si="56"/>
        <v>Pariente gordo</v>
      </c>
      <c r="I177">
        <v>1</v>
      </c>
      <c r="J177" t="str">
        <f t="shared" si="57"/>
        <v>Hipercaloricos</v>
      </c>
      <c r="K177">
        <v>2</v>
      </c>
      <c r="L177">
        <f t="shared" si="58"/>
        <v>1</v>
      </c>
      <c r="M177" t="str">
        <f t="shared" si="59"/>
        <v>Suele comer</v>
      </c>
      <c r="N177">
        <v>3</v>
      </c>
      <c r="O177">
        <f t="shared" si="60"/>
        <v>2</v>
      </c>
      <c r="P177" t="str">
        <f t="shared" si="61"/>
        <v>Mas de 3</v>
      </c>
      <c r="Q177">
        <v>1</v>
      </c>
      <c r="R177" t="str">
        <f t="shared" si="62"/>
        <v>A veces</v>
      </c>
      <c r="S177">
        <v>0</v>
      </c>
      <c r="T177" t="str">
        <f t="shared" si="63"/>
        <v>No fuma</v>
      </c>
      <c r="U177">
        <v>2</v>
      </c>
      <c r="V177">
        <f t="shared" si="64"/>
        <v>2</v>
      </c>
      <c r="W177" t="str">
        <f t="shared" si="65"/>
        <v>Siempre</v>
      </c>
      <c r="X177">
        <v>0</v>
      </c>
      <c r="Y177" t="str">
        <f t="shared" si="66"/>
        <v>No controla</v>
      </c>
      <c r="Z177">
        <v>2</v>
      </c>
      <c r="AA177">
        <f t="shared" si="67"/>
        <v>2</v>
      </c>
      <c r="AB177" t="str">
        <f t="shared" si="68"/>
        <v>Usualmente</v>
      </c>
      <c r="AC177">
        <v>0</v>
      </c>
      <c r="AD177">
        <f t="shared" si="69"/>
        <v>0</v>
      </c>
      <c r="AE177" t="str">
        <f t="shared" si="70"/>
        <v>Nunca</v>
      </c>
      <c r="AF177">
        <v>0</v>
      </c>
      <c r="AG177" t="str">
        <f t="shared" si="71"/>
        <v>Nunca</v>
      </c>
      <c r="AH177">
        <v>0</v>
      </c>
      <c r="AI177" t="str">
        <f t="shared" si="72"/>
        <v>No usa</v>
      </c>
      <c r="AJ177">
        <v>0</v>
      </c>
      <c r="AK177" t="str">
        <f t="shared" si="73"/>
        <v>No usa</v>
      </c>
      <c r="AL177">
        <v>0</v>
      </c>
      <c r="AM177" t="str">
        <f t="shared" si="74"/>
        <v>No usa</v>
      </c>
      <c r="AN177">
        <v>1</v>
      </c>
      <c r="AO177" t="str">
        <f t="shared" si="75"/>
        <v>Usa Transporte</v>
      </c>
      <c r="AP177">
        <v>0</v>
      </c>
      <c r="AQ177" t="str">
        <f t="shared" si="76"/>
        <v>No camina</v>
      </c>
      <c r="AR177">
        <v>0</v>
      </c>
      <c r="AS177" t="str">
        <f t="shared" si="77"/>
        <v>No es obeso</v>
      </c>
    </row>
    <row r="178" spans="1:45" x14ac:dyDescent="0.25">
      <c r="A178">
        <v>0</v>
      </c>
      <c r="B178" t="str">
        <f t="shared" si="52"/>
        <v>F</v>
      </c>
      <c r="C178">
        <v>18</v>
      </c>
      <c r="D178">
        <f t="shared" si="53"/>
        <v>18</v>
      </c>
      <c r="E178">
        <f t="shared" si="54"/>
        <v>18</v>
      </c>
      <c r="F178" t="str">
        <f t="shared" si="55"/>
        <v>1-25</v>
      </c>
      <c r="G178">
        <v>1</v>
      </c>
      <c r="H178" t="str">
        <f t="shared" si="56"/>
        <v>Pariente gordo</v>
      </c>
      <c r="I178">
        <v>1</v>
      </c>
      <c r="J178" t="str">
        <f t="shared" si="57"/>
        <v>Hipercaloricos</v>
      </c>
      <c r="K178">
        <v>3</v>
      </c>
      <c r="L178">
        <f t="shared" si="58"/>
        <v>1</v>
      </c>
      <c r="M178" t="str">
        <f t="shared" si="59"/>
        <v>Suele comer</v>
      </c>
      <c r="N178">
        <v>1</v>
      </c>
      <c r="O178">
        <f t="shared" si="60"/>
        <v>1</v>
      </c>
      <c r="P178">
        <f t="shared" si="61"/>
        <v>3</v>
      </c>
      <c r="Q178">
        <v>3</v>
      </c>
      <c r="R178" t="str">
        <f t="shared" si="62"/>
        <v>Siempre</v>
      </c>
      <c r="S178">
        <v>0</v>
      </c>
      <c r="T178" t="str">
        <f t="shared" si="63"/>
        <v>No fuma</v>
      </c>
      <c r="U178">
        <v>1</v>
      </c>
      <c r="V178">
        <f t="shared" si="64"/>
        <v>1</v>
      </c>
      <c r="W178" t="str">
        <f t="shared" si="65"/>
        <v>Usualmente</v>
      </c>
      <c r="X178">
        <v>0</v>
      </c>
      <c r="Y178" t="str">
        <f t="shared" si="66"/>
        <v>No controla</v>
      </c>
      <c r="Z178">
        <v>1</v>
      </c>
      <c r="AA178">
        <f t="shared" si="67"/>
        <v>1</v>
      </c>
      <c r="AB178" t="str">
        <f t="shared" si="68"/>
        <v>A veces</v>
      </c>
      <c r="AC178">
        <v>0</v>
      </c>
      <c r="AD178">
        <f t="shared" si="69"/>
        <v>0</v>
      </c>
      <c r="AE178" t="str">
        <f t="shared" si="70"/>
        <v>Nunca</v>
      </c>
      <c r="AF178">
        <v>0</v>
      </c>
      <c r="AG178" t="str">
        <f t="shared" si="71"/>
        <v>Nunca</v>
      </c>
      <c r="AH178">
        <v>0</v>
      </c>
      <c r="AI178" t="str">
        <f t="shared" si="72"/>
        <v>No usa</v>
      </c>
      <c r="AJ178">
        <v>0</v>
      </c>
      <c r="AK178" t="str">
        <f t="shared" si="73"/>
        <v>No usa</v>
      </c>
      <c r="AL178">
        <v>0</v>
      </c>
      <c r="AM178" t="str">
        <f t="shared" si="74"/>
        <v>No usa</v>
      </c>
      <c r="AN178">
        <v>1</v>
      </c>
      <c r="AO178" t="str">
        <f t="shared" si="75"/>
        <v>Usa Transporte</v>
      </c>
      <c r="AP178">
        <v>0</v>
      </c>
      <c r="AQ178" t="str">
        <f t="shared" si="76"/>
        <v>No camina</v>
      </c>
      <c r="AR178">
        <v>0</v>
      </c>
      <c r="AS178" t="str">
        <f t="shared" si="77"/>
        <v>No es obeso</v>
      </c>
    </row>
    <row r="179" spans="1:45" x14ac:dyDescent="0.25">
      <c r="A179">
        <v>1</v>
      </c>
      <c r="B179" t="str">
        <f t="shared" si="52"/>
        <v>M</v>
      </c>
      <c r="C179">
        <v>22</v>
      </c>
      <c r="D179">
        <f t="shared" si="53"/>
        <v>22</v>
      </c>
      <c r="E179">
        <f t="shared" si="54"/>
        <v>22</v>
      </c>
      <c r="F179" t="str">
        <f t="shared" si="55"/>
        <v>1-25</v>
      </c>
      <c r="G179">
        <v>1</v>
      </c>
      <c r="H179" t="str">
        <f t="shared" si="56"/>
        <v>Pariente gordo</v>
      </c>
      <c r="I179">
        <v>1</v>
      </c>
      <c r="J179" t="str">
        <f t="shared" si="57"/>
        <v>Hipercaloricos</v>
      </c>
      <c r="K179">
        <v>3</v>
      </c>
      <c r="L179">
        <f t="shared" si="58"/>
        <v>1</v>
      </c>
      <c r="M179" t="str">
        <f t="shared" si="59"/>
        <v>Suele comer</v>
      </c>
      <c r="N179">
        <v>3</v>
      </c>
      <c r="O179">
        <f t="shared" si="60"/>
        <v>2</v>
      </c>
      <c r="P179" t="str">
        <f t="shared" si="61"/>
        <v>Mas de 3</v>
      </c>
      <c r="Q179">
        <v>2</v>
      </c>
      <c r="R179" t="str">
        <f t="shared" si="62"/>
        <v>Usualmente</v>
      </c>
      <c r="S179">
        <v>0</v>
      </c>
      <c r="T179" t="str">
        <f t="shared" si="63"/>
        <v>No fuma</v>
      </c>
      <c r="U179">
        <v>2</v>
      </c>
      <c r="V179">
        <f t="shared" si="64"/>
        <v>2</v>
      </c>
      <c r="W179" t="str">
        <f t="shared" si="65"/>
        <v>Siempre</v>
      </c>
      <c r="X179">
        <v>1</v>
      </c>
      <c r="Y179" t="str">
        <f t="shared" si="66"/>
        <v>Controla</v>
      </c>
      <c r="Z179">
        <v>3</v>
      </c>
      <c r="AA179">
        <f t="shared" si="67"/>
        <v>3</v>
      </c>
      <c r="AB179" t="str">
        <f t="shared" si="68"/>
        <v>Siempre</v>
      </c>
      <c r="AC179">
        <v>0</v>
      </c>
      <c r="AD179">
        <f t="shared" si="69"/>
        <v>0</v>
      </c>
      <c r="AE179" t="str">
        <f t="shared" si="70"/>
        <v>Nunca</v>
      </c>
      <c r="AF179">
        <v>1</v>
      </c>
      <c r="AG179" t="str">
        <f t="shared" si="71"/>
        <v>A veces</v>
      </c>
      <c r="AH179">
        <v>0</v>
      </c>
      <c r="AI179" t="str">
        <f t="shared" si="72"/>
        <v>No usa</v>
      </c>
      <c r="AJ179">
        <v>0</v>
      </c>
      <c r="AK179" t="str">
        <f t="shared" si="73"/>
        <v>No usa</v>
      </c>
      <c r="AL179">
        <v>0</v>
      </c>
      <c r="AM179" t="str">
        <f t="shared" si="74"/>
        <v>No usa</v>
      </c>
      <c r="AN179">
        <v>1</v>
      </c>
      <c r="AO179" t="str">
        <f t="shared" si="75"/>
        <v>Usa Transporte</v>
      </c>
      <c r="AP179">
        <v>0</v>
      </c>
      <c r="AQ179" t="str">
        <f t="shared" si="76"/>
        <v>No camina</v>
      </c>
      <c r="AR179">
        <v>0</v>
      </c>
      <c r="AS179" t="str">
        <f t="shared" si="77"/>
        <v>No es obeso</v>
      </c>
    </row>
    <row r="180" spans="1:45" x14ac:dyDescent="0.25">
      <c r="A180">
        <v>1</v>
      </c>
      <c r="B180" t="str">
        <f t="shared" si="52"/>
        <v>M</v>
      </c>
      <c r="C180">
        <v>26</v>
      </c>
      <c r="D180">
        <f t="shared" si="53"/>
        <v>26</v>
      </c>
      <c r="E180">
        <f t="shared" si="54"/>
        <v>26</v>
      </c>
      <c r="F180" t="str">
        <f t="shared" si="55"/>
        <v>25-50</v>
      </c>
      <c r="G180">
        <v>1</v>
      </c>
      <c r="H180" t="str">
        <f t="shared" si="56"/>
        <v>Pariente gordo</v>
      </c>
      <c r="I180">
        <v>1</v>
      </c>
      <c r="J180" t="str">
        <f t="shared" si="57"/>
        <v>Hipercaloricos</v>
      </c>
      <c r="K180">
        <v>3</v>
      </c>
      <c r="L180">
        <f t="shared" si="58"/>
        <v>1</v>
      </c>
      <c r="M180" t="str">
        <f t="shared" si="59"/>
        <v>Suele comer</v>
      </c>
      <c r="N180">
        <v>3</v>
      </c>
      <c r="O180">
        <f t="shared" si="60"/>
        <v>2</v>
      </c>
      <c r="P180" t="str">
        <f t="shared" si="61"/>
        <v>Mas de 3</v>
      </c>
      <c r="Q180">
        <v>2</v>
      </c>
      <c r="R180" t="str">
        <f t="shared" si="62"/>
        <v>Usualmente</v>
      </c>
      <c r="S180">
        <v>1</v>
      </c>
      <c r="T180" t="str">
        <f t="shared" si="63"/>
        <v>Fuma</v>
      </c>
      <c r="U180">
        <v>2</v>
      </c>
      <c r="V180">
        <f t="shared" si="64"/>
        <v>2</v>
      </c>
      <c r="W180" t="str">
        <f t="shared" si="65"/>
        <v>Siempre</v>
      </c>
      <c r="X180">
        <v>0</v>
      </c>
      <c r="Y180" t="str">
        <f t="shared" si="66"/>
        <v>No controla</v>
      </c>
      <c r="Z180">
        <v>2</v>
      </c>
      <c r="AA180">
        <f t="shared" si="67"/>
        <v>2</v>
      </c>
      <c r="AB180" t="str">
        <f t="shared" si="68"/>
        <v>Usualmente</v>
      </c>
      <c r="AC180">
        <v>2</v>
      </c>
      <c r="AD180">
        <f t="shared" si="69"/>
        <v>2</v>
      </c>
      <c r="AE180" t="str">
        <f t="shared" si="70"/>
        <v>Siempre</v>
      </c>
      <c r="AF180">
        <v>2</v>
      </c>
      <c r="AG180" t="str">
        <f t="shared" si="71"/>
        <v>Usualmente</v>
      </c>
      <c r="AH180">
        <v>0</v>
      </c>
      <c r="AI180" t="str">
        <f t="shared" si="72"/>
        <v>No usa</v>
      </c>
      <c r="AJ180">
        <v>0</v>
      </c>
      <c r="AK180" t="str">
        <f t="shared" si="73"/>
        <v>No usa</v>
      </c>
      <c r="AL180">
        <v>0</v>
      </c>
      <c r="AM180" t="str">
        <f t="shared" si="74"/>
        <v>No usa</v>
      </c>
      <c r="AN180">
        <v>1</v>
      </c>
      <c r="AO180" t="str">
        <f t="shared" si="75"/>
        <v>Usa Transporte</v>
      </c>
      <c r="AP180">
        <v>0</v>
      </c>
      <c r="AQ180" t="str">
        <f t="shared" si="76"/>
        <v>No camina</v>
      </c>
      <c r="AR180">
        <v>0</v>
      </c>
      <c r="AS180" t="str">
        <f t="shared" si="77"/>
        <v>No es obeso</v>
      </c>
    </row>
    <row r="181" spans="1:45" x14ac:dyDescent="0.25">
      <c r="A181">
        <v>1</v>
      </c>
      <c r="B181" t="str">
        <f t="shared" si="52"/>
        <v>M</v>
      </c>
      <c r="C181">
        <v>21</v>
      </c>
      <c r="D181">
        <f t="shared" si="53"/>
        <v>21</v>
      </c>
      <c r="E181">
        <f t="shared" si="54"/>
        <v>21</v>
      </c>
      <c r="F181" t="str">
        <f t="shared" si="55"/>
        <v>1-25</v>
      </c>
      <c r="G181">
        <v>0</v>
      </c>
      <c r="H181" t="str">
        <f t="shared" si="56"/>
        <v>Pariente normal</v>
      </c>
      <c r="I181">
        <v>1</v>
      </c>
      <c r="J181" t="str">
        <f t="shared" si="57"/>
        <v>Hipercaloricos</v>
      </c>
      <c r="K181">
        <v>2</v>
      </c>
      <c r="L181">
        <f t="shared" si="58"/>
        <v>1</v>
      </c>
      <c r="M181" t="str">
        <f t="shared" si="59"/>
        <v>Suele comer</v>
      </c>
      <c r="N181">
        <v>1</v>
      </c>
      <c r="O181">
        <f t="shared" si="60"/>
        <v>1</v>
      </c>
      <c r="P181">
        <f t="shared" si="61"/>
        <v>3</v>
      </c>
      <c r="Q181">
        <v>0</v>
      </c>
      <c r="R181" t="str">
        <f t="shared" si="62"/>
        <v>Nunca</v>
      </c>
      <c r="S181">
        <v>0</v>
      </c>
      <c r="T181" t="str">
        <f t="shared" si="63"/>
        <v>No fuma</v>
      </c>
      <c r="U181">
        <v>3</v>
      </c>
      <c r="V181">
        <f t="shared" si="64"/>
        <v>2</v>
      </c>
      <c r="W181" t="str">
        <f t="shared" si="65"/>
        <v>Siempre</v>
      </c>
      <c r="X181">
        <v>0</v>
      </c>
      <c r="Y181" t="str">
        <f t="shared" si="66"/>
        <v>No controla</v>
      </c>
      <c r="Z181">
        <v>1</v>
      </c>
      <c r="AA181">
        <f t="shared" si="67"/>
        <v>1</v>
      </c>
      <c r="AB181" t="str">
        <f t="shared" si="68"/>
        <v>A veces</v>
      </c>
      <c r="AC181">
        <v>0</v>
      </c>
      <c r="AD181">
        <f t="shared" si="69"/>
        <v>0</v>
      </c>
      <c r="AE181" t="str">
        <f t="shared" si="70"/>
        <v>Nunca</v>
      </c>
      <c r="AF181">
        <v>1</v>
      </c>
      <c r="AG181" t="str">
        <f t="shared" si="71"/>
        <v>A veces</v>
      </c>
      <c r="AH181">
        <v>0</v>
      </c>
      <c r="AI181" t="str">
        <f t="shared" si="72"/>
        <v>No usa</v>
      </c>
      <c r="AJ181">
        <v>0</v>
      </c>
      <c r="AK181" t="str">
        <f t="shared" si="73"/>
        <v>No usa</v>
      </c>
      <c r="AL181">
        <v>0</v>
      </c>
      <c r="AM181" t="str">
        <f t="shared" si="74"/>
        <v>No usa</v>
      </c>
      <c r="AN181">
        <v>1</v>
      </c>
      <c r="AO181" t="str">
        <f t="shared" si="75"/>
        <v>Usa Transporte</v>
      </c>
      <c r="AP181">
        <v>0</v>
      </c>
      <c r="AQ181" t="str">
        <f t="shared" si="76"/>
        <v>No camina</v>
      </c>
      <c r="AR181">
        <v>0</v>
      </c>
      <c r="AS181" t="str">
        <f t="shared" si="77"/>
        <v>No es obeso</v>
      </c>
    </row>
    <row r="182" spans="1:45" x14ac:dyDescent="0.25">
      <c r="A182">
        <v>0</v>
      </c>
      <c r="B182" t="str">
        <f t="shared" si="52"/>
        <v>F</v>
      </c>
      <c r="C182">
        <v>18</v>
      </c>
      <c r="D182">
        <f t="shared" si="53"/>
        <v>18</v>
      </c>
      <c r="E182">
        <f t="shared" si="54"/>
        <v>18</v>
      </c>
      <c r="F182" t="str">
        <f t="shared" si="55"/>
        <v>1-25</v>
      </c>
      <c r="G182">
        <v>0</v>
      </c>
      <c r="H182" t="str">
        <f t="shared" si="56"/>
        <v>Pariente normal</v>
      </c>
      <c r="I182">
        <v>1</v>
      </c>
      <c r="J182" t="str">
        <f t="shared" si="57"/>
        <v>Hipercaloricos</v>
      </c>
      <c r="K182">
        <v>2</v>
      </c>
      <c r="L182">
        <f t="shared" si="58"/>
        <v>1</v>
      </c>
      <c r="M182" t="str">
        <f t="shared" si="59"/>
        <v>Suele comer</v>
      </c>
      <c r="N182">
        <v>3</v>
      </c>
      <c r="O182">
        <f t="shared" si="60"/>
        <v>2</v>
      </c>
      <c r="P182" t="str">
        <f t="shared" si="61"/>
        <v>Mas de 3</v>
      </c>
      <c r="Q182">
        <v>1</v>
      </c>
      <c r="R182" t="str">
        <f t="shared" si="62"/>
        <v>A veces</v>
      </c>
      <c r="S182">
        <v>0</v>
      </c>
      <c r="T182" t="str">
        <f t="shared" si="63"/>
        <v>No fuma</v>
      </c>
      <c r="U182">
        <v>2</v>
      </c>
      <c r="V182">
        <f t="shared" si="64"/>
        <v>2</v>
      </c>
      <c r="W182" t="str">
        <f t="shared" si="65"/>
        <v>Siempre</v>
      </c>
      <c r="X182">
        <v>0</v>
      </c>
      <c r="Y182" t="str">
        <f t="shared" si="66"/>
        <v>No controla</v>
      </c>
      <c r="Z182">
        <v>1</v>
      </c>
      <c r="AA182">
        <f t="shared" si="67"/>
        <v>1</v>
      </c>
      <c r="AB182" t="str">
        <f t="shared" si="68"/>
        <v>A veces</v>
      </c>
      <c r="AC182">
        <v>0</v>
      </c>
      <c r="AD182">
        <f t="shared" si="69"/>
        <v>0</v>
      </c>
      <c r="AE182" t="str">
        <f t="shared" si="70"/>
        <v>Nunca</v>
      </c>
      <c r="AF182">
        <v>0</v>
      </c>
      <c r="AG182" t="str">
        <f t="shared" si="71"/>
        <v>Nunca</v>
      </c>
      <c r="AH182">
        <v>0</v>
      </c>
      <c r="AI182" t="str">
        <f t="shared" si="72"/>
        <v>No usa</v>
      </c>
      <c r="AJ182">
        <v>0</v>
      </c>
      <c r="AK182" t="str">
        <f t="shared" si="73"/>
        <v>No usa</v>
      </c>
      <c r="AL182">
        <v>0</v>
      </c>
      <c r="AM182" t="str">
        <f t="shared" si="74"/>
        <v>No usa</v>
      </c>
      <c r="AN182">
        <v>1</v>
      </c>
      <c r="AO182" t="str">
        <f t="shared" si="75"/>
        <v>Usa Transporte</v>
      </c>
      <c r="AP182">
        <v>0</v>
      </c>
      <c r="AQ182" t="str">
        <f t="shared" si="76"/>
        <v>No camina</v>
      </c>
      <c r="AR182">
        <v>0</v>
      </c>
      <c r="AS182" t="str">
        <f t="shared" si="77"/>
        <v>No es obeso</v>
      </c>
    </row>
    <row r="183" spans="1:45" x14ac:dyDescent="0.25">
      <c r="A183">
        <v>0</v>
      </c>
      <c r="B183" t="str">
        <f t="shared" si="52"/>
        <v>F</v>
      </c>
      <c r="C183">
        <v>23</v>
      </c>
      <c r="D183">
        <f t="shared" si="53"/>
        <v>23</v>
      </c>
      <c r="E183">
        <f t="shared" si="54"/>
        <v>23</v>
      </c>
      <c r="F183" t="str">
        <f t="shared" si="55"/>
        <v>1-25</v>
      </c>
      <c r="G183">
        <v>1</v>
      </c>
      <c r="H183" t="str">
        <f t="shared" si="56"/>
        <v>Pariente gordo</v>
      </c>
      <c r="I183">
        <v>1</v>
      </c>
      <c r="J183" t="str">
        <f t="shared" si="57"/>
        <v>Hipercaloricos</v>
      </c>
      <c r="K183">
        <v>2</v>
      </c>
      <c r="L183">
        <f t="shared" si="58"/>
        <v>1</v>
      </c>
      <c r="M183" t="str">
        <f t="shared" si="59"/>
        <v>Suele comer</v>
      </c>
      <c r="N183">
        <v>3</v>
      </c>
      <c r="O183">
        <f t="shared" si="60"/>
        <v>2</v>
      </c>
      <c r="P183" t="str">
        <f t="shared" si="61"/>
        <v>Mas de 3</v>
      </c>
      <c r="Q183">
        <v>2</v>
      </c>
      <c r="R183" t="str">
        <f t="shared" si="62"/>
        <v>Usualmente</v>
      </c>
      <c r="S183">
        <v>0</v>
      </c>
      <c r="T183" t="str">
        <f t="shared" si="63"/>
        <v>No fuma</v>
      </c>
      <c r="U183">
        <v>1</v>
      </c>
      <c r="V183">
        <f t="shared" si="64"/>
        <v>1</v>
      </c>
      <c r="W183" t="str">
        <f t="shared" si="65"/>
        <v>Usualmente</v>
      </c>
      <c r="X183">
        <v>0</v>
      </c>
      <c r="Y183" t="str">
        <f t="shared" si="66"/>
        <v>No controla</v>
      </c>
      <c r="Z183">
        <v>0</v>
      </c>
      <c r="AA183">
        <f t="shared" si="67"/>
        <v>0</v>
      </c>
      <c r="AB183" t="str">
        <f t="shared" si="68"/>
        <v>Nunca</v>
      </c>
      <c r="AC183">
        <v>0</v>
      </c>
      <c r="AD183">
        <f t="shared" si="69"/>
        <v>0</v>
      </c>
      <c r="AE183" t="str">
        <f t="shared" si="70"/>
        <v>Nunca</v>
      </c>
      <c r="AF183">
        <v>1</v>
      </c>
      <c r="AG183" t="str">
        <f t="shared" si="71"/>
        <v>A veces</v>
      </c>
      <c r="AH183">
        <v>0</v>
      </c>
      <c r="AI183" t="str">
        <f t="shared" si="72"/>
        <v>No usa</v>
      </c>
      <c r="AJ183">
        <v>0</v>
      </c>
      <c r="AK183" t="str">
        <f t="shared" si="73"/>
        <v>No usa</v>
      </c>
      <c r="AL183">
        <v>0</v>
      </c>
      <c r="AM183" t="str">
        <f t="shared" si="74"/>
        <v>No usa</v>
      </c>
      <c r="AN183">
        <v>1</v>
      </c>
      <c r="AO183" t="str">
        <f t="shared" si="75"/>
        <v>Usa Transporte</v>
      </c>
      <c r="AP183">
        <v>0</v>
      </c>
      <c r="AQ183" t="str">
        <f t="shared" si="76"/>
        <v>No camina</v>
      </c>
      <c r="AR183">
        <v>0</v>
      </c>
      <c r="AS183" t="str">
        <f t="shared" si="77"/>
        <v>No es obeso</v>
      </c>
    </row>
    <row r="184" spans="1:45" x14ac:dyDescent="0.25">
      <c r="A184">
        <v>0</v>
      </c>
      <c r="B184" t="str">
        <f t="shared" si="52"/>
        <v>F</v>
      </c>
      <c r="C184">
        <v>22</v>
      </c>
      <c r="D184">
        <f t="shared" si="53"/>
        <v>22</v>
      </c>
      <c r="E184">
        <f t="shared" si="54"/>
        <v>22</v>
      </c>
      <c r="F184" t="str">
        <f t="shared" si="55"/>
        <v>1-25</v>
      </c>
      <c r="G184">
        <v>0</v>
      </c>
      <c r="H184" t="str">
        <f t="shared" si="56"/>
        <v>Pariente normal</v>
      </c>
      <c r="I184">
        <v>1</v>
      </c>
      <c r="J184" t="str">
        <f t="shared" si="57"/>
        <v>Hipercaloricos</v>
      </c>
      <c r="K184">
        <v>3</v>
      </c>
      <c r="L184">
        <f t="shared" si="58"/>
        <v>1</v>
      </c>
      <c r="M184" t="str">
        <f t="shared" si="59"/>
        <v>Suele comer</v>
      </c>
      <c r="N184">
        <v>3</v>
      </c>
      <c r="O184">
        <f t="shared" si="60"/>
        <v>2</v>
      </c>
      <c r="P184" t="str">
        <f t="shared" si="61"/>
        <v>Mas de 3</v>
      </c>
      <c r="Q184">
        <v>2</v>
      </c>
      <c r="R184" t="str">
        <f t="shared" si="62"/>
        <v>Usualmente</v>
      </c>
      <c r="S184">
        <v>0</v>
      </c>
      <c r="T184" t="str">
        <f t="shared" si="63"/>
        <v>No fuma</v>
      </c>
      <c r="U184">
        <v>2</v>
      </c>
      <c r="V184">
        <f t="shared" si="64"/>
        <v>2</v>
      </c>
      <c r="W184" t="str">
        <f t="shared" si="65"/>
        <v>Siempre</v>
      </c>
      <c r="X184">
        <v>0</v>
      </c>
      <c r="Y184" t="str">
        <f t="shared" si="66"/>
        <v>No controla</v>
      </c>
      <c r="Z184">
        <v>0</v>
      </c>
      <c r="AA184">
        <f t="shared" si="67"/>
        <v>0</v>
      </c>
      <c r="AB184" t="str">
        <f t="shared" si="68"/>
        <v>Nunca</v>
      </c>
      <c r="AC184">
        <v>1</v>
      </c>
      <c r="AD184">
        <f t="shared" si="69"/>
        <v>1</v>
      </c>
      <c r="AE184" t="str">
        <f t="shared" si="70"/>
        <v>Usualmente</v>
      </c>
      <c r="AF184">
        <v>0</v>
      </c>
      <c r="AG184" t="str">
        <f t="shared" si="71"/>
        <v>Nunca</v>
      </c>
      <c r="AH184">
        <v>0</v>
      </c>
      <c r="AI184" t="str">
        <f t="shared" si="72"/>
        <v>No usa</v>
      </c>
      <c r="AJ184">
        <v>0</v>
      </c>
      <c r="AK184" t="str">
        <f t="shared" si="73"/>
        <v>No usa</v>
      </c>
      <c r="AL184">
        <v>0</v>
      </c>
      <c r="AM184" t="str">
        <f t="shared" si="74"/>
        <v>No usa</v>
      </c>
      <c r="AN184">
        <v>1</v>
      </c>
      <c r="AO184" t="str">
        <f t="shared" si="75"/>
        <v>Usa Transporte</v>
      </c>
      <c r="AP184">
        <v>0</v>
      </c>
      <c r="AQ184" t="str">
        <f t="shared" si="76"/>
        <v>No camina</v>
      </c>
      <c r="AR184">
        <v>0</v>
      </c>
      <c r="AS184" t="str">
        <f t="shared" si="77"/>
        <v>No es obeso</v>
      </c>
    </row>
    <row r="185" spans="1:45" x14ac:dyDescent="0.25">
      <c r="A185">
        <v>0</v>
      </c>
      <c r="B185" t="str">
        <f t="shared" si="52"/>
        <v>F</v>
      </c>
      <c r="C185">
        <v>23</v>
      </c>
      <c r="D185">
        <f t="shared" si="53"/>
        <v>23</v>
      </c>
      <c r="E185">
        <f t="shared" si="54"/>
        <v>23</v>
      </c>
      <c r="F185" t="str">
        <f t="shared" si="55"/>
        <v>1-25</v>
      </c>
      <c r="G185">
        <v>1</v>
      </c>
      <c r="H185" t="str">
        <f t="shared" si="56"/>
        <v>Pariente gordo</v>
      </c>
      <c r="I185">
        <v>1</v>
      </c>
      <c r="J185" t="str">
        <f t="shared" si="57"/>
        <v>Hipercaloricos</v>
      </c>
      <c r="K185">
        <v>2</v>
      </c>
      <c r="L185">
        <f t="shared" si="58"/>
        <v>1</v>
      </c>
      <c r="M185" t="str">
        <f t="shared" si="59"/>
        <v>Suele comer</v>
      </c>
      <c r="N185">
        <v>1</v>
      </c>
      <c r="O185">
        <f t="shared" si="60"/>
        <v>1</v>
      </c>
      <c r="P185">
        <f t="shared" si="61"/>
        <v>3</v>
      </c>
      <c r="Q185">
        <v>1</v>
      </c>
      <c r="R185" t="str">
        <f t="shared" si="62"/>
        <v>A veces</v>
      </c>
      <c r="S185">
        <v>1</v>
      </c>
      <c r="T185" t="str">
        <f t="shared" si="63"/>
        <v>Fuma</v>
      </c>
      <c r="U185">
        <v>1</v>
      </c>
      <c r="V185">
        <f t="shared" si="64"/>
        <v>1</v>
      </c>
      <c r="W185" t="str">
        <f t="shared" si="65"/>
        <v>Usualmente</v>
      </c>
      <c r="X185">
        <v>0</v>
      </c>
      <c r="Y185" t="str">
        <f t="shared" si="66"/>
        <v>No controla</v>
      </c>
      <c r="Z185">
        <v>0</v>
      </c>
      <c r="AA185">
        <f t="shared" si="67"/>
        <v>0</v>
      </c>
      <c r="AB185" t="str">
        <f t="shared" si="68"/>
        <v>Nunca</v>
      </c>
      <c r="AC185">
        <v>0</v>
      </c>
      <c r="AD185">
        <f t="shared" si="69"/>
        <v>0</v>
      </c>
      <c r="AE185" t="str">
        <f t="shared" si="70"/>
        <v>Nunca</v>
      </c>
      <c r="AF185">
        <v>1</v>
      </c>
      <c r="AG185" t="str">
        <f t="shared" si="71"/>
        <v>A veces</v>
      </c>
      <c r="AH185">
        <v>0</v>
      </c>
      <c r="AI185" t="str">
        <f t="shared" si="72"/>
        <v>No usa</v>
      </c>
      <c r="AJ185">
        <v>0</v>
      </c>
      <c r="AK185" t="str">
        <f t="shared" si="73"/>
        <v>No usa</v>
      </c>
      <c r="AL185">
        <v>0</v>
      </c>
      <c r="AM185" t="str">
        <f t="shared" si="74"/>
        <v>No usa</v>
      </c>
      <c r="AN185">
        <v>1</v>
      </c>
      <c r="AO185" t="str">
        <f t="shared" si="75"/>
        <v>Usa Transporte</v>
      </c>
      <c r="AP185">
        <v>0</v>
      </c>
      <c r="AQ185" t="str">
        <f t="shared" si="76"/>
        <v>No camina</v>
      </c>
      <c r="AR185">
        <v>0</v>
      </c>
      <c r="AS185" t="str">
        <f t="shared" si="77"/>
        <v>No es obeso</v>
      </c>
    </row>
    <row r="186" spans="1:45" x14ac:dyDescent="0.25">
      <c r="A186">
        <v>1</v>
      </c>
      <c r="B186" t="str">
        <f t="shared" si="52"/>
        <v>M</v>
      </c>
      <c r="C186">
        <v>21</v>
      </c>
      <c r="D186">
        <f t="shared" si="53"/>
        <v>21</v>
      </c>
      <c r="E186">
        <f t="shared" si="54"/>
        <v>21</v>
      </c>
      <c r="F186" t="str">
        <f t="shared" si="55"/>
        <v>1-25</v>
      </c>
      <c r="G186">
        <v>0</v>
      </c>
      <c r="H186" t="str">
        <f t="shared" si="56"/>
        <v>Pariente normal</v>
      </c>
      <c r="I186">
        <v>1</v>
      </c>
      <c r="J186" t="str">
        <f t="shared" si="57"/>
        <v>Hipercaloricos</v>
      </c>
      <c r="K186">
        <v>2</v>
      </c>
      <c r="L186">
        <f t="shared" si="58"/>
        <v>1</v>
      </c>
      <c r="M186" t="str">
        <f t="shared" si="59"/>
        <v>Suele comer</v>
      </c>
      <c r="N186">
        <v>1</v>
      </c>
      <c r="O186">
        <f t="shared" si="60"/>
        <v>1</v>
      </c>
      <c r="P186">
        <f t="shared" si="61"/>
        <v>3</v>
      </c>
      <c r="Q186">
        <v>0</v>
      </c>
      <c r="R186" t="str">
        <f t="shared" si="62"/>
        <v>Nunca</v>
      </c>
      <c r="S186">
        <v>0</v>
      </c>
      <c r="T186" t="str">
        <f t="shared" si="63"/>
        <v>No fuma</v>
      </c>
      <c r="U186">
        <v>3</v>
      </c>
      <c r="V186">
        <f t="shared" si="64"/>
        <v>2</v>
      </c>
      <c r="W186" t="str">
        <f t="shared" si="65"/>
        <v>Siempre</v>
      </c>
      <c r="X186">
        <v>0</v>
      </c>
      <c r="Y186" t="str">
        <f t="shared" si="66"/>
        <v>No controla</v>
      </c>
      <c r="Z186">
        <v>1</v>
      </c>
      <c r="AA186">
        <f t="shared" si="67"/>
        <v>1</v>
      </c>
      <c r="AB186" t="str">
        <f t="shared" si="68"/>
        <v>A veces</v>
      </c>
      <c r="AC186">
        <v>0</v>
      </c>
      <c r="AD186">
        <f t="shared" si="69"/>
        <v>0</v>
      </c>
      <c r="AE186" t="str">
        <f t="shared" si="70"/>
        <v>Nunca</v>
      </c>
      <c r="AF186">
        <v>1</v>
      </c>
      <c r="AG186" t="str">
        <f t="shared" si="71"/>
        <v>A veces</v>
      </c>
      <c r="AH186">
        <v>0</v>
      </c>
      <c r="AI186" t="str">
        <f t="shared" si="72"/>
        <v>No usa</v>
      </c>
      <c r="AJ186">
        <v>0</v>
      </c>
      <c r="AK186" t="str">
        <f t="shared" si="73"/>
        <v>No usa</v>
      </c>
      <c r="AL186">
        <v>0</v>
      </c>
      <c r="AM186" t="str">
        <f t="shared" si="74"/>
        <v>No usa</v>
      </c>
      <c r="AN186">
        <v>1</v>
      </c>
      <c r="AO186" t="str">
        <f t="shared" si="75"/>
        <v>Usa Transporte</v>
      </c>
      <c r="AP186">
        <v>0</v>
      </c>
      <c r="AQ186" t="str">
        <f t="shared" si="76"/>
        <v>No camina</v>
      </c>
      <c r="AR186">
        <v>0</v>
      </c>
      <c r="AS186" t="str">
        <f t="shared" si="77"/>
        <v>No es obeso</v>
      </c>
    </row>
    <row r="187" spans="1:45" x14ac:dyDescent="0.25">
      <c r="A187">
        <v>0</v>
      </c>
      <c r="B187" t="str">
        <f t="shared" si="52"/>
        <v>F</v>
      </c>
      <c r="C187">
        <v>31</v>
      </c>
      <c r="D187">
        <f t="shared" si="53"/>
        <v>31</v>
      </c>
      <c r="E187">
        <f t="shared" si="54"/>
        <v>31</v>
      </c>
      <c r="F187" t="str">
        <f t="shared" si="55"/>
        <v>25-50</v>
      </c>
      <c r="G187">
        <v>0</v>
      </c>
      <c r="H187" t="str">
        <f t="shared" si="56"/>
        <v>Pariente normal</v>
      </c>
      <c r="I187">
        <v>0</v>
      </c>
      <c r="J187" t="str">
        <f t="shared" si="57"/>
        <v>Saludables</v>
      </c>
      <c r="K187">
        <v>3</v>
      </c>
      <c r="L187">
        <f t="shared" si="58"/>
        <v>1</v>
      </c>
      <c r="M187" t="str">
        <f t="shared" si="59"/>
        <v>Suele comer</v>
      </c>
      <c r="N187">
        <v>3</v>
      </c>
      <c r="O187">
        <f t="shared" si="60"/>
        <v>2</v>
      </c>
      <c r="P187" t="str">
        <f t="shared" si="61"/>
        <v>Mas de 3</v>
      </c>
      <c r="Q187">
        <v>1</v>
      </c>
      <c r="R187" t="str">
        <f t="shared" si="62"/>
        <v>A veces</v>
      </c>
      <c r="S187">
        <v>0</v>
      </c>
      <c r="T187" t="str">
        <f t="shared" si="63"/>
        <v>No fuma</v>
      </c>
      <c r="U187">
        <v>2</v>
      </c>
      <c r="V187">
        <f t="shared" si="64"/>
        <v>2</v>
      </c>
      <c r="W187" t="str">
        <f t="shared" si="65"/>
        <v>Siempre</v>
      </c>
      <c r="X187">
        <v>0</v>
      </c>
      <c r="Y187" t="str">
        <f t="shared" si="66"/>
        <v>No controla</v>
      </c>
      <c r="Z187">
        <v>1</v>
      </c>
      <c r="AA187">
        <f t="shared" si="67"/>
        <v>1</v>
      </c>
      <c r="AB187" t="str">
        <f t="shared" si="68"/>
        <v>A veces</v>
      </c>
      <c r="AC187">
        <v>0</v>
      </c>
      <c r="AD187">
        <f t="shared" si="69"/>
        <v>0</v>
      </c>
      <c r="AE187" t="str">
        <f t="shared" si="70"/>
        <v>Nunca</v>
      </c>
      <c r="AF187">
        <v>1</v>
      </c>
      <c r="AG187" t="str">
        <f t="shared" si="71"/>
        <v>A veces</v>
      </c>
      <c r="AH187">
        <v>1</v>
      </c>
      <c r="AI187" t="str">
        <f t="shared" si="72"/>
        <v>Usa auto</v>
      </c>
      <c r="AJ187">
        <v>0</v>
      </c>
      <c r="AK187" t="str">
        <f t="shared" si="73"/>
        <v>No usa</v>
      </c>
      <c r="AL187">
        <v>0</v>
      </c>
      <c r="AM187" t="str">
        <f t="shared" si="74"/>
        <v>No usa</v>
      </c>
      <c r="AN187">
        <v>0</v>
      </c>
      <c r="AO187" t="str">
        <f t="shared" si="75"/>
        <v>No usa</v>
      </c>
      <c r="AP187">
        <v>0</v>
      </c>
      <c r="AQ187" t="str">
        <f t="shared" si="76"/>
        <v>No camina</v>
      </c>
      <c r="AR187">
        <v>0</v>
      </c>
      <c r="AS187" t="str">
        <f t="shared" si="77"/>
        <v>No es obeso</v>
      </c>
    </row>
    <row r="188" spans="1:45" x14ac:dyDescent="0.25">
      <c r="A188">
        <v>1</v>
      </c>
      <c r="B188" t="str">
        <f t="shared" si="52"/>
        <v>M</v>
      </c>
      <c r="C188">
        <v>39</v>
      </c>
      <c r="D188">
        <f t="shared" si="53"/>
        <v>39</v>
      </c>
      <c r="E188">
        <f t="shared" si="54"/>
        <v>39</v>
      </c>
      <c r="F188" t="str">
        <f t="shared" si="55"/>
        <v>25-50</v>
      </c>
      <c r="G188">
        <v>1</v>
      </c>
      <c r="H188" t="str">
        <f t="shared" si="56"/>
        <v>Pariente gordo</v>
      </c>
      <c r="I188">
        <v>0</v>
      </c>
      <c r="J188" t="str">
        <f t="shared" si="57"/>
        <v>Saludables</v>
      </c>
      <c r="K188">
        <v>2</v>
      </c>
      <c r="L188">
        <f t="shared" si="58"/>
        <v>1</v>
      </c>
      <c r="M188" t="str">
        <f t="shared" si="59"/>
        <v>Suele comer</v>
      </c>
      <c r="N188">
        <v>3</v>
      </c>
      <c r="O188">
        <f t="shared" si="60"/>
        <v>2</v>
      </c>
      <c r="P188" t="str">
        <f t="shared" si="61"/>
        <v>Mas de 3</v>
      </c>
      <c r="Q188">
        <v>1</v>
      </c>
      <c r="R188" t="str">
        <f t="shared" si="62"/>
        <v>A veces</v>
      </c>
      <c r="S188">
        <v>0</v>
      </c>
      <c r="T188" t="str">
        <f t="shared" si="63"/>
        <v>No fuma</v>
      </c>
      <c r="U188">
        <v>3</v>
      </c>
      <c r="V188">
        <f t="shared" si="64"/>
        <v>2</v>
      </c>
      <c r="W188" t="str">
        <f t="shared" si="65"/>
        <v>Siempre</v>
      </c>
      <c r="X188">
        <v>0</v>
      </c>
      <c r="Y188" t="str">
        <f t="shared" si="66"/>
        <v>No controla</v>
      </c>
      <c r="Z188">
        <v>1</v>
      </c>
      <c r="AA188">
        <f t="shared" si="67"/>
        <v>1</v>
      </c>
      <c r="AB188" t="str">
        <f t="shared" si="68"/>
        <v>A veces</v>
      </c>
      <c r="AC188">
        <v>0</v>
      </c>
      <c r="AD188">
        <f t="shared" si="69"/>
        <v>0</v>
      </c>
      <c r="AE188" t="str">
        <f t="shared" si="70"/>
        <v>Nunca</v>
      </c>
      <c r="AF188">
        <v>2</v>
      </c>
      <c r="AG188" t="str">
        <f t="shared" si="71"/>
        <v>Usualmente</v>
      </c>
      <c r="AH188">
        <v>1</v>
      </c>
      <c r="AI188" t="str">
        <f t="shared" si="72"/>
        <v>Usa auto</v>
      </c>
      <c r="AJ188">
        <v>0</v>
      </c>
      <c r="AK188" t="str">
        <f t="shared" si="73"/>
        <v>No usa</v>
      </c>
      <c r="AL188">
        <v>0</v>
      </c>
      <c r="AM188" t="str">
        <f t="shared" si="74"/>
        <v>No usa</v>
      </c>
      <c r="AN188">
        <v>0</v>
      </c>
      <c r="AO188" t="str">
        <f t="shared" si="75"/>
        <v>No usa</v>
      </c>
      <c r="AP188">
        <v>0</v>
      </c>
      <c r="AQ188" t="str">
        <f t="shared" si="76"/>
        <v>No camina</v>
      </c>
      <c r="AR188">
        <v>1</v>
      </c>
      <c r="AS188" t="str">
        <f t="shared" si="77"/>
        <v>Es Obeso</v>
      </c>
    </row>
    <row r="189" spans="1:45" x14ac:dyDescent="0.25">
      <c r="A189">
        <v>1</v>
      </c>
      <c r="B189" t="str">
        <f t="shared" si="52"/>
        <v>M</v>
      </c>
      <c r="C189">
        <v>25</v>
      </c>
      <c r="D189">
        <f t="shared" si="53"/>
        <v>25</v>
      </c>
      <c r="E189">
        <f t="shared" si="54"/>
        <v>25</v>
      </c>
      <c r="F189" t="str">
        <f t="shared" si="55"/>
        <v>1-25</v>
      </c>
      <c r="G189">
        <v>1</v>
      </c>
      <c r="H189" t="str">
        <f t="shared" si="56"/>
        <v>Pariente gordo</v>
      </c>
      <c r="I189">
        <v>0</v>
      </c>
      <c r="J189" t="str">
        <f t="shared" si="57"/>
        <v>Saludables</v>
      </c>
      <c r="K189">
        <v>2</v>
      </c>
      <c r="L189">
        <f t="shared" si="58"/>
        <v>1</v>
      </c>
      <c r="M189" t="str">
        <f t="shared" si="59"/>
        <v>Suele comer</v>
      </c>
      <c r="N189">
        <v>3</v>
      </c>
      <c r="O189">
        <f t="shared" si="60"/>
        <v>2</v>
      </c>
      <c r="P189" t="str">
        <f t="shared" si="61"/>
        <v>Mas de 3</v>
      </c>
      <c r="Q189">
        <v>1</v>
      </c>
      <c r="R189" t="str">
        <f t="shared" si="62"/>
        <v>A veces</v>
      </c>
      <c r="S189">
        <v>0</v>
      </c>
      <c r="T189" t="str">
        <f t="shared" si="63"/>
        <v>No fuma</v>
      </c>
      <c r="U189">
        <v>3</v>
      </c>
      <c r="V189">
        <f t="shared" si="64"/>
        <v>2</v>
      </c>
      <c r="W189" t="str">
        <f t="shared" si="65"/>
        <v>Siempre</v>
      </c>
      <c r="X189">
        <v>0</v>
      </c>
      <c r="Y189" t="str">
        <f t="shared" si="66"/>
        <v>No controla</v>
      </c>
      <c r="Z189">
        <v>3</v>
      </c>
      <c r="AA189">
        <f t="shared" si="67"/>
        <v>3</v>
      </c>
      <c r="AB189" t="str">
        <f t="shared" si="68"/>
        <v>Siempre</v>
      </c>
      <c r="AC189">
        <v>2</v>
      </c>
      <c r="AD189">
        <f t="shared" si="69"/>
        <v>2</v>
      </c>
      <c r="AE189" t="str">
        <f t="shared" si="70"/>
        <v>Siempre</v>
      </c>
      <c r="AF189">
        <v>0</v>
      </c>
      <c r="AG189" t="str">
        <f t="shared" si="71"/>
        <v>Nunca</v>
      </c>
      <c r="AH189">
        <v>0</v>
      </c>
      <c r="AI189" t="str">
        <f t="shared" si="72"/>
        <v>No usa</v>
      </c>
      <c r="AJ189">
        <v>0</v>
      </c>
      <c r="AK189" t="str">
        <f t="shared" si="73"/>
        <v>No usa</v>
      </c>
      <c r="AL189">
        <v>0</v>
      </c>
      <c r="AM189" t="str">
        <f t="shared" si="74"/>
        <v>No usa</v>
      </c>
      <c r="AN189">
        <v>1</v>
      </c>
      <c r="AO189" t="str">
        <f t="shared" si="75"/>
        <v>Usa Transporte</v>
      </c>
      <c r="AP189">
        <v>0</v>
      </c>
      <c r="AQ189" t="str">
        <f t="shared" si="76"/>
        <v>No camina</v>
      </c>
      <c r="AR189">
        <v>1</v>
      </c>
      <c r="AS189" t="str">
        <f t="shared" si="77"/>
        <v>Es Obeso</v>
      </c>
    </row>
    <row r="190" spans="1:45" x14ac:dyDescent="0.25">
      <c r="A190">
        <v>1</v>
      </c>
      <c r="B190" t="str">
        <f t="shared" si="52"/>
        <v>M</v>
      </c>
      <c r="C190">
        <v>35</v>
      </c>
      <c r="D190">
        <f t="shared" si="53"/>
        <v>35</v>
      </c>
      <c r="E190">
        <f t="shared" si="54"/>
        <v>35</v>
      </c>
      <c r="F190" t="str">
        <f t="shared" si="55"/>
        <v>25-50</v>
      </c>
      <c r="G190">
        <v>1</v>
      </c>
      <c r="H190" t="str">
        <f t="shared" si="56"/>
        <v>Pariente gordo</v>
      </c>
      <c r="I190">
        <v>1</v>
      </c>
      <c r="J190" t="str">
        <f t="shared" si="57"/>
        <v>Hipercaloricos</v>
      </c>
      <c r="K190">
        <v>3</v>
      </c>
      <c r="L190">
        <f t="shared" si="58"/>
        <v>1</v>
      </c>
      <c r="M190" t="str">
        <f t="shared" si="59"/>
        <v>Suele comer</v>
      </c>
      <c r="N190">
        <v>1</v>
      </c>
      <c r="O190">
        <f t="shared" si="60"/>
        <v>1</v>
      </c>
      <c r="P190">
        <f t="shared" si="61"/>
        <v>3</v>
      </c>
      <c r="Q190">
        <v>0</v>
      </c>
      <c r="R190" t="str">
        <f t="shared" si="62"/>
        <v>Nunca</v>
      </c>
      <c r="S190">
        <v>0</v>
      </c>
      <c r="T190" t="str">
        <f t="shared" si="63"/>
        <v>No fuma</v>
      </c>
      <c r="U190">
        <v>3</v>
      </c>
      <c r="V190">
        <f t="shared" si="64"/>
        <v>2</v>
      </c>
      <c r="W190" t="str">
        <f t="shared" si="65"/>
        <v>Siempre</v>
      </c>
      <c r="X190">
        <v>0</v>
      </c>
      <c r="Y190" t="str">
        <f t="shared" si="66"/>
        <v>No controla</v>
      </c>
      <c r="Z190">
        <v>3</v>
      </c>
      <c r="AA190">
        <f t="shared" si="67"/>
        <v>3</v>
      </c>
      <c r="AB190" t="str">
        <f t="shared" si="68"/>
        <v>Siempre</v>
      </c>
      <c r="AC190">
        <v>1</v>
      </c>
      <c r="AD190">
        <f t="shared" si="69"/>
        <v>1</v>
      </c>
      <c r="AE190" t="str">
        <f t="shared" si="70"/>
        <v>Usualmente</v>
      </c>
      <c r="AF190">
        <v>2</v>
      </c>
      <c r="AG190" t="str">
        <f t="shared" si="71"/>
        <v>Usualmente</v>
      </c>
      <c r="AH190">
        <v>1</v>
      </c>
      <c r="AI190" t="str">
        <f t="shared" si="72"/>
        <v>Usa auto</v>
      </c>
      <c r="AJ190">
        <v>0</v>
      </c>
      <c r="AK190" t="str">
        <f t="shared" si="73"/>
        <v>No usa</v>
      </c>
      <c r="AL190">
        <v>0</v>
      </c>
      <c r="AM190" t="str">
        <f t="shared" si="74"/>
        <v>No usa</v>
      </c>
      <c r="AN190">
        <v>0</v>
      </c>
      <c r="AO190" t="str">
        <f t="shared" si="75"/>
        <v>No usa</v>
      </c>
      <c r="AP190">
        <v>0</v>
      </c>
      <c r="AQ190" t="str">
        <f t="shared" si="76"/>
        <v>No camina</v>
      </c>
      <c r="AR190">
        <v>1</v>
      </c>
      <c r="AS190" t="str">
        <f t="shared" si="77"/>
        <v>Es Obeso</v>
      </c>
    </row>
    <row r="191" spans="1:45" x14ac:dyDescent="0.25">
      <c r="A191">
        <v>0</v>
      </c>
      <c r="B191" t="str">
        <f t="shared" si="52"/>
        <v>F</v>
      </c>
      <c r="C191">
        <v>33</v>
      </c>
      <c r="D191">
        <f t="shared" si="53"/>
        <v>33</v>
      </c>
      <c r="E191">
        <f t="shared" si="54"/>
        <v>33</v>
      </c>
      <c r="F191" t="str">
        <f t="shared" si="55"/>
        <v>25-50</v>
      </c>
      <c r="G191">
        <v>1</v>
      </c>
      <c r="H191" t="str">
        <f t="shared" si="56"/>
        <v>Pariente gordo</v>
      </c>
      <c r="I191">
        <v>1</v>
      </c>
      <c r="J191" t="str">
        <f t="shared" si="57"/>
        <v>Hipercaloricos</v>
      </c>
      <c r="K191">
        <v>2</v>
      </c>
      <c r="L191">
        <f t="shared" si="58"/>
        <v>1</v>
      </c>
      <c r="M191" t="str">
        <f t="shared" si="59"/>
        <v>Suele comer</v>
      </c>
      <c r="N191">
        <v>3</v>
      </c>
      <c r="O191">
        <f t="shared" si="60"/>
        <v>2</v>
      </c>
      <c r="P191" t="str">
        <f t="shared" si="61"/>
        <v>Mas de 3</v>
      </c>
      <c r="Q191">
        <v>1</v>
      </c>
      <c r="R191" t="str">
        <f t="shared" si="62"/>
        <v>A veces</v>
      </c>
      <c r="S191">
        <v>0</v>
      </c>
      <c r="T191" t="str">
        <f t="shared" si="63"/>
        <v>No fuma</v>
      </c>
      <c r="U191">
        <v>2</v>
      </c>
      <c r="V191">
        <f t="shared" si="64"/>
        <v>2</v>
      </c>
      <c r="W191" t="str">
        <f t="shared" si="65"/>
        <v>Siempre</v>
      </c>
      <c r="X191">
        <v>0</v>
      </c>
      <c r="Y191" t="str">
        <f t="shared" si="66"/>
        <v>No controla</v>
      </c>
      <c r="Z191">
        <v>1</v>
      </c>
      <c r="AA191">
        <f t="shared" si="67"/>
        <v>1</v>
      </c>
      <c r="AB191" t="str">
        <f t="shared" si="68"/>
        <v>A veces</v>
      </c>
      <c r="AC191">
        <v>1</v>
      </c>
      <c r="AD191">
        <f t="shared" si="69"/>
        <v>1</v>
      </c>
      <c r="AE191" t="str">
        <f t="shared" si="70"/>
        <v>Usualmente</v>
      </c>
      <c r="AF191">
        <v>0</v>
      </c>
      <c r="AG191" t="str">
        <f t="shared" si="71"/>
        <v>Nunca</v>
      </c>
      <c r="AH191">
        <v>0</v>
      </c>
      <c r="AI191" t="str">
        <f t="shared" si="72"/>
        <v>No usa</v>
      </c>
      <c r="AJ191">
        <v>0</v>
      </c>
      <c r="AK191" t="str">
        <f t="shared" si="73"/>
        <v>No usa</v>
      </c>
      <c r="AL191">
        <v>0</v>
      </c>
      <c r="AM191" t="str">
        <f t="shared" si="74"/>
        <v>No usa</v>
      </c>
      <c r="AN191">
        <v>1</v>
      </c>
      <c r="AO191" t="str">
        <f t="shared" si="75"/>
        <v>Usa Transporte</v>
      </c>
      <c r="AP191">
        <v>0</v>
      </c>
      <c r="AQ191" t="str">
        <f t="shared" si="76"/>
        <v>No camina</v>
      </c>
      <c r="AR191">
        <v>0</v>
      </c>
      <c r="AS191" t="str">
        <f t="shared" si="77"/>
        <v>No es obeso</v>
      </c>
    </row>
    <row r="192" spans="1:45" x14ac:dyDescent="0.25">
      <c r="A192">
        <v>1</v>
      </c>
      <c r="B192" t="str">
        <f t="shared" si="52"/>
        <v>M</v>
      </c>
      <c r="C192">
        <v>20</v>
      </c>
      <c r="D192">
        <f t="shared" si="53"/>
        <v>20</v>
      </c>
      <c r="E192">
        <f t="shared" si="54"/>
        <v>20</v>
      </c>
      <c r="F192" t="str">
        <f t="shared" si="55"/>
        <v>1-25</v>
      </c>
      <c r="G192">
        <v>0</v>
      </c>
      <c r="H192" t="str">
        <f t="shared" si="56"/>
        <v>Pariente normal</v>
      </c>
      <c r="I192">
        <v>1</v>
      </c>
      <c r="J192" t="str">
        <f t="shared" si="57"/>
        <v>Hipercaloricos</v>
      </c>
      <c r="K192">
        <v>2</v>
      </c>
      <c r="L192">
        <f t="shared" si="58"/>
        <v>1</v>
      </c>
      <c r="M192" t="str">
        <f t="shared" si="59"/>
        <v>Suele comer</v>
      </c>
      <c r="N192">
        <v>3</v>
      </c>
      <c r="O192">
        <f t="shared" si="60"/>
        <v>2</v>
      </c>
      <c r="P192" t="str">
        <f t="shared" si="61"/>
        <v>Mas de 3</v>
      </c>
      <c r="Q192">
        <v>1</v>
      </c>
      <c r="R192" t="str">
        <f t="shared" si="62"/>
        <v>A veces</v>
      </c>
      <c r="S192">
        <v>0</v>
      </c>
      <c r="T192" t="str">
        <f t="shared" si="63"/>
        <v>No fuma</v>
      </c>
      <c r="U192">
        <v>2</v>
      </c>
      <c r="V192">
        <f t="shared" si="64"/>
        <v>2</v>
      </c>
      <c r="W192" t="str">
        <f t="shared" si="65"/>
        <v>Siempre</v>
      </c>
      <c r="X192">
        <v>0</v>
      </c>
      <c r="Y192" t="str">
        <f t="shared" si="66"/>
        <v>No controla</v>
      </c>
      <c r="Z192">
        <v>1</v>
      </c>
      <c r="AA192">
        <f t="shared" si="67"/>
        <v>1</v>
      </c>
      <c r="AB192" t="str">
        <f t="shared" si="68"/>
        <v>A veces</v>
      </c>
      <c r="AC192">
        <v>0</v>
      </c>
      <c r="AD192">
        <f t="shared" si="69"/>
        <v>0</v>
      </c>
      <c r="AE192" t="str">
        <f t="shared" si="70"/>
        <v>Nunca</v>
      </c>
      <c r="AF192">
        <v>1</v>
      </c>
      <c r="AG192" t="str">
        <f t="shared" si="71"/>
        <v>A veces</v>
      </c>
      <c r="AH192">
        <v>0</v>
      </c>
      <c r="AI192" t="str">
        <f t="shared" si="72"/>
        <v>No usa</v>
      </c>
      <c r="AJ192">
        <v>0</v>
      </c>
      <c r="AK192" t="str">
        <f t="shared" si="73"/>
        <v>No usa</v>
      </c>
      <c r="AL192">
        <v>0</v>
      </c>
      <c r="AM192" t="str">
        <f t="shared" si="74"/>
        <v>No usa</v>
      </c>
      <c r="AN192">
        <v>1</v>
      </c>
      <c r="AO192" t="str">
        <f t="shared" si="75"/>
        <v>Usa Transporte</v>
      </c>
      <c r="AP192">
        <v>0</v>
      </c>
      <c r="AQ192" t="str">
        <f t="shared" si="76"/>
        <v>No camina</v>
      </c>
      <c r="AR192">
        <v>0</v>
      </c>
      <c r="AS192" t="str">
        <f t="shared" si="77"/>
        <v>No es obeso</v>
      </c>
    </row>
    <row r="193" spans="1:45" x14ac:dyDescent="0.25">
      <c r="A193">
        <v>1</v>
      </c>
      <c r="B193" t="str">
        <f t="shared" si="52"/>
        <v>M</v>
      </c>
      <c r="C193">
        <v>26</v>
      </c>
      <c r="D193">
        <f t="shared" si="53"/>
        <v>26</v>
      </c>
      <c r="E193">
        <f t="shared" si="54"/>
        <v>26</v>
      </c>
      <c r="F193" t="str">
        <f t="shared" si="55"/>
        <v>25-50</v>
      </c>
      <c r="G193">
        <v>1</v>
      </c>
      <c r="H193" t="str">
        <f t="shared" si="56"/>
        <v>Pariente gordo</v>
      </c>
      <c r="I193">
        <v>1</v>
      </c>
      <c r="J193" t="str">
        <f t="shared" si="57"/>
        <v>Hipercaloricos</v>
      </c>
      <c r="K193">
        <v>3</v>
      </c>
      <c r="L193">
        <f t="shared" si="58"/>
        <v>1</v>
      </c>
      <c r="M193" t="str">
        <f t="shared" si="59"/>
        <v>Suele comer</v>
      </c>
      <c r="N193">
        <v>1</v>
      </c>
      <c r="O193">
        <f t="shared" si="60"/>
        <v>1</v>
      </c>
      <c r="P193">
        <f t="shared" si="61"/>
        <v>3</v>
      </c>
      <c r="Q193">
        <v>2</v>
      </c>
      <c r="R193" t="str">
        <f t="shared" si="62"/>
        <v>Usualmente</v>
      </c>
      <c r="S193">
        <v>1</v>
      </c>
      <c r="T193" t="str">
        <f t="shared" si="63"/>
        <v>Fuma</v>
      </c>
      <c r="U193">
        <v>2</v>
      </c>
      <c r="V193">
        <f t="shared" si="64"/>
        <v>2</v>
      </c>
      <c r="W193" t="str">
        <f t="shared" si="65"/>
        <v>Siempre</v>
      </c>
      <c r="X193">
        <v>1</v>
      </c>
      <c r="Y193" t="str">
        <f t="shared" si="66"/>
        <v>Controla</v>
      </c>
      <c r="Z193">
        <v>2</v>
      </c>
      <c r="AA193">
        <f t="shared" si="67"/>
        <v>2</v>
      </c>
      <c r="AB193" t="str">
        <f t="shared" si="68"/>
        <v>Usualmente</v>
      </c>
      <c r="AC193">
        <v>0</v>
      </c>
      <c r="AD193">
        <f t="shared" si="69"/>
        <v>0</v>
      </c>
      <c r="AE193" t="str">
        <f t="shared" si="70"/>
        <v>Nunca</v>
      </c>
      <c r="AF193">
        <v>1</v>
      </c>
      <c r="AG193" t="str">
        <f t="shared" si="71"/>
        <v>A veces</v>
      </c>
      <c r="AH193">
        <v>0</v>
      </c>
      <c r="AI193" t="str">
        <f t="shared" si="72"/>
        <v>No usa</v>
      </c>
      <c r="AJ193">
        <v>0</v>
      </c>
      <c r="AK193" t="str">
        <f t="shared" si="73"/>
        <v>No usa</v>
      </c>
      <c r="AL193">
        <v>0</v>
      </c>
      <c r="AM193" t="str">
        <f t="shared" si="74"/>
        <v>No usa</v>
      </c>
      <c r="AN193">
        <v>1</v>
      </c>
      <c r="AO193" t="str">
        <f t="shared" si="75"/>
        <v>Usa Transporte</v>
      </c>
      <c r="AP193">
        <v>0</v>
      </c>
      <c r="AQ193" t="str">
        <f t="shared" si="76"/>
        <v>No camina</v>
      </c>
      <c r="AR193">
        <v>0</v>
      </c>
      <c r="AS193" t="str">
        <f t="shared" si="77"/>
        <v>No es obeso</v>
      </c>
    </row>
    <row r="194" spans="1:45" x14ac:dyDescent="0.25">
      <c r="A194">
        <v>1</v>
      </c>
      <c r="B194" t="str">
        <f t="shared" si="52"/>
        <v>M</v>
      </c>
      <c r="C194">
        <v>20</v>
      </c>
      <c r="D194">
        <f t="shared" si="53"/>
        <v>20</v>
      </c>
      <c r="E194">
        <f t="shared" si="54"/>
        <v>20</v>
      </c>
      <c r="F194" t="str">
        <f t="shared" si="55"/>
        <v>1-25</v>
      </c>
      <c r="G194">
        <v>1</v>
      </c>
      <c r="H194" t="str">
        <f t="shared" si="56"/>
        <v>Pariente gordo</v>
      </c>
      <c r="I194">
        <v>0</v>
      </c>
      <c r="J194" t="str">
        <f t="shared" si="57"/>
        <v>Saludables</v>
      </c>
      <c r="K194">
        <v>3</v>
      </c>
      <c r="L194">
        <f t="shared" si="58"/>
        <v>1</v>
      </c>
      <c r="M194" t="str">
        <f t="shared" si="59"/>
        <v>Suele comer</v>
      </c>
      <c r="N194">
        <v>3</v>
      </c>
      <c r="O194">
        <f t="shared" si="60"/>
        <v>2</v>
      </c>
      <c r="P194" t="str">
        <f t="shared" si="61"/>
        <v>Mas de 3</v>
      </c>
      <c r="Q194">
        <v>1</v>
      </c>
      <c r="R194" t="str">
        <f t="shared" si="62"/>
        <v>A veces</v>
      </c>
      <c r="S194">
        <v>0</v>
      </c>
      <c r="T194" t="str">
        <f t="shared" si="63"/>
        <v>No fuma</v>
      </c>
      <c r="U194">
        <v>3</v>
      </c>
      <c r="V194">
        <f t="shared" si="64"/>
        <v>2</v>
      </c>
      <c r="W194" t="str">
        <f t="shared" si="65"/>
        <v>Siempre</v>
      </c>
      <c r="X194">
        <v>1</v>
      </c>
      <c r="Y194" t="str">
        <f t="shared" si="66"/>
        <v>Controla</v>
      </c>
      <c r="Z194">
        <v>3</v>
      </c>
      <c r="AA194">
        <f t="shared" si="67"/>
        <v>3</v>
      </c>
      <c r="AB194" t="str">
        <f t="shared" si="68"/>
        <v>Siempre</v>
      </c>
      <c r="AC194">
        <v>0</v>
      </c>
      <c r="AD194">
        <f t="shared" si="69"/>
        <v>0</v>
      </c>
      <c r="AE194" t="str">
        <f t="shared" si="70"/>
        <v>Nunca</v>
      </c>
      <c r="AF194">
        <v>1</v>
      </c>
      <c r="AG194" t="str">
        <f t="shared" si="71"/>
        <v>A veces</v>
      </c>
      <c r="AH194">
        <v>1</v>
      </c>
      <c r="AI194" t="str">
        <f t="shared" si="72"/>
        <v>Usa auto</v>
      </c>
      <c r="AJ194">
        <v>0</v>
      </c>
      <c r="AK194" t="str">
        <f t="shared" si="73"/>
        <v>No usa</v>
      </c>
      <c r="AL194">
        <v>0</v>
      </c>
      <c r="AM194" t="str">
        <f t="shared" si="74"/>
        <v>No usa</v>
      </c>
      <c r="AN194">
        <v>0</v>
      </c>
      <c r="AO194" t="str">
        <f t="shared" si="75"/>
        <v>No usa</v>
      </c>
      <c r="AP194">
        <v>0</v>
      </c>
      <c r="AQ194" t="str">
        <f t="shared" si="76"/>
        <v>No camina</v>
      </c>
      <c r="AR194">
        <v>0</v>
      </c>
      <c r="AS194" t="str">
        <f t="shared" si="77"/>
        <v>No es obeso</v>
      </c>
    </row>
    <row r="195" spans="1:45" x14ac:dyDescent="0.25">
      <c r="A195">
        <v>1</v>
      </c>
      <c r="B195" t="str">
        <f t="shared" ref="B195:B258" si="78">IF(A195=1,"M","F")</f>
        <v>M</v>
      </c>
      <c r="C195">
        <v>20</v>
      </c>
      <c r="D195">
        <f t="shared" ref="D195:D258" si="79">IF(C195&lt;100,C195,ROUNDDOWN((C195/1000)/365,0))</f>
        <v>20</v>
      </c>
      <c r="E195">
        <f t="shared" ref="E195:E258" si="80">IF(AND(D195&gt;1,D195&lt;=100),D195,IF(D195&gt;100,100,5))</f>
        <v>20</v>
      </c>
      <c r="F195" t="str">
        <f t="shared" ref="F195:F258" si="81">IF(AND(E195&gt;=1,E195&lt;=25),"1-25",IF(AND(E195&gt;25,E195&lt;=50),"25-50",IF(AND(E195&gt;50,E195&lt;=75),"50-75","75-100")))</f>
        <v>1-25</v>
      </c>
      <c r="G195">
        <v>0</v>
      </c>
      <c r="H195" t="str">
        <f t="shared" ref="H195:H258" si="82">IF(G195=1,"Pariente gordo","Pariente normal")</f>
        <v>Pariente normal</v>
      </c>
      <c r="I195">
        <v>0</v>
      </c>
      <c r="J195" t="str">
        <f t="shared" ref="J195:J258" si="83">IF(I195=1,"Hipercaloricos","Saludables")</f>
        <v>Saludables</v>
      </c>
      <c r="K195">
        <v>2</v>
      </c>
      <c r="L195">
        <f t="shared" ref="L195:L258" si="84">IF(AND(K195&gt;=1,K195&lt;=3),1,IF(AND(K195&gt;3,K195&lt;3000000),1))</f>
        <v>1</v>
      </c>
      <c r="M195" t="str">
        <f t="shared" ref="M195:M258" si="85">IF(L195=1,"Suele comer","No come")</f>
        <v>Suele comer</v>
      </c>
      <c r="N195">
        <v>1</v>
      </c>
      <c r="O195">
        <f t="shared" ref="O195:O258" si="86">IF(N195=1,N195,IF(AND(N195&gt;=2,N195&lt;4000000),2))</f>
        <v>1</v>
      </c>
      <c r="P195">
        <f t="shared" ref="P195:P258" si="87">IF(O195=0,"1-2",IF(O195=1,3,"Mas de 3"))</f>
        <v>3</v>
      </c>
      <c r="Q195">
        <v>2</v>
      </c>
      <c r="R195" t="str">
        <f t="shared" ref="R195:R258" si="88">IF(Q195=0,"Nunca",IF(Q195=1,"A veces",IF(Q195=2,"Usualmente","Siempre")))</f>
        <v>Usualmente</v>
      </c>
      <c r="S195">
        <v>0</v>
      </c>
      <c r="T195" t="str">
        <f t="shared" ref="T195:T258" si="89">IF(S195=1,"Fuma","No fuma")</f>
        <v>No fuma</v>
      </c>
      <c r="U195">
        <v>3</v>
      </c>
      <c r="V195">
        <f t="shared" ref="V195:V258" si="90">IF(U195=1,U195,IF(U195=2,U195,IF(AND(U195&gt;=3,U195&lt;3000000),2)))</f>
        <v>2</v>
      </c>
      <c r="W195" t="str">
        <f t="shared" ref="W195:W258" si="91">IF(V195=0,"Nunca",IF(V195=1,"Usualmente","Siempre"))</f>
        <v>Siempre</v>
      </c>
      <c r="X195">
        <v>1</v>
      </c>
      <c r="Y195" t="str">
        <f t="shared" ref="Y195:Y258" si="92">IF(X195=1,"Controla","No controla")</f>
        <v>Controla</v>
      </c>
      <c r="Z195">
        <v>2</v>
      </c>
      <c r="AA195">
        <f t="shared" ref="AA195:AA258" si="93">IF(Z195=0,Z195,IF(Z195=1,Z195,IF(Z195=2,Z195,IF(Z195=3,Z195,IF(AND(Z195&gt;3,Z195&lt;300000),2,IF(AND(Z195&gt;300000,Z195&lt;3000000),3,IF(AND(Z195&gt;0,Z195&lt;1),0)))))))</f>
        <v>2</v>
      </c>
      <c r="AB195" t="str">
        <f t="shared" ref="AB195:AB258" si="94">IF(AA195=0,"Nunca",IF(AA195=1,"A veces",IF(AA195=2,"Usualmente","Siempre")))</f>
        <v>Usualmente</v>
      </c>
      <c r="AC195">
        <v>1</v>
      </c>
      <c r="AD195">
        <f t="shared" ref="AD195:AD258" si="95">IF(AC195= 0,AC195,IF(AC195=1,AC195,IF(AC195=2,AC195,IF(AND(AC195&gt;2,AC195&lt;200000),1,IF(AND(AC195&gt;200000,AC195&lt;2000000),2,IF(AND(AC195&gt;0,AC195&lt;1),0))))))</f>
        <v>1</v>
      </c>
      <c r="AE195" t="str">
        <f t="shared" ref="AE195:AE258" si="96">IF(AD195=0,"Nunca",IF(AD195=1,"Usualmente","Siempre"))</f>
        <v>Usualmente</v>
      </c>
      <c r="AF195">
        <v>0</v>
      </c>
      <c r="AG195" t="str">
        <f t="shared" ref="AG195:AG258" si="97">IF(AF195=0,"Nunca",IF(AF195=1,"A veces",IF(AF195=2,"Usualmente","Siempre")))</f>
        <v>Nunca</v>
      </c>
      <c r="AH195">
        <v>0</v>
      </c>
      <c r="AI195" t="str">
        <f t="shared" ref="AI195:AI258" si="98">IF(AH195=1,"Usa auto","No usa")</f>
        <v>No usa</v>
      </c>
      <c r="AJ195">
        <v>0</v>
      </c>
      <c r="AK195" t="str">
        <f t="shared" ref="AK195:AK258" si="99">IF(AJ195=1,"Usa Bici","No usa")</f>
        <v>No usa</v>
      </c>
      <c r="AL195">
        <v>0</v>
      </c>
      <c r="AM195" t="str">
        <f t="shared" ref="AM195:AM258" si="100">IF(AL195=1,"Usa Moto","No usa")</f>
        <v>No usa</v>
      </c>
      <c r="AN195">
        <v>1</v>
      </c>
      <c r="AO195" t="str">
        <f t="shared" ref="AO195:AO258" si="101">IF(AN195=1,"Usa Transporte","No usa")</f>
        <v>Usa Transporte</v>
      </c>
      <c r="AP195">
        <v>0</v>
      </c>
      <c r="AQ195" t="str">
        <f t="shared" ref="AQ195:AQ258" si="102">IF(AP195=1,"Camina","No camina")</f>
        <v>No camina</v>
      </c>
      <c r="AR195">
        <v>0</v>
      </c>
      <c r="AS195" t="str">
        <f t="shared" ref="AS195:AS258" si="103">IF(AR195=1,"Es Obeso","No es obeso")</f>
        <v>No es obeso</v>
      </c>
    </row>
    <row r="196" spans="1:45" x14ac:dyDescent="0.25">
      <c r="A196">
        <v>0</v>
      </c>
      <c r="B196" t="str">
        <f t="shared" si="78"/>
        <v>F</v>
      </c>
      <c r="C196">
        <v>23</v>
      </c>
      <c r="D196">
        <f t="shared" si="79"/>
        <v>23</v>
      </c>
      <c r="E196">
        <f t="shared" si="80"/>
        <v>23</v>
      </c>
      <c r="F196" t="str">
        <f t="shared" si="81"/>
        <v>1-25</v>
      </c>
      <c r="G196">
        <v>1</v>
      </c>
      <c r="H196" t="str">
        <f t="shared" si="82"/>
        <v>Pariente gordo</v>
      </c>
      <c r="I196">
        <v>1</v>
      </c>
      <c r="J196" t="str">
        <f t="shared" si="83"/>
        <v>Hipercaloricos</v>
      </c>
      <c r="K196">
        <v>3</v>
      </c>
      <c r="L196">
        <f t="shared" si="84"/>
        <v>1</v>
      </c>
      <c r="M196" t="str">
        <f t="shared" si="85"/>
        <v>Suele comer</v>
      </c>
      <c r="N196">
        <v>3</v>
      </c>
      <c r="O196">
        <f t="shared" si="86"/>
        <v>2</v>
      </c>
      <c r="P196" t="str">
        <f t="shared" si="87"/>
        <v>Mas de 3</v>
      </c>
      <c r="Q196">
        <v>2</v>
      </c>
      <c r="R196" t="str">
        <f t="shared" si="88"/>
        <v>Usualmente</v>
      </c>
      <c r="S196">
        <v>0</v>
      </c>
      <c r="T196" t="str">
        <f t="shared" si="89"/>
        <v>No fuma</v>
      </c>
      <c r="U196">
        <v>3</v>
      </c>
      <c r="V196">
        <f t="shared" si="90"/>
        <v>2</v>
      </c>
      <c r="W196" t="str">
        <f t="shared" si="91"/>
        <v>Siempre</v>
      </c>
      <c r="X196">
        <v>0</v>
      </c>
      <c r="Y196" t="str">
        <f t="shared" si="92"/>
        <v>No controla</v>
      </c>
      <c r="Z196">
        <v>3</v>
      </c>
      <c r="AA196">
        <f t="shared" si="93"/>
        <v>3</v>
      </c>
      <c r="AB196" t="str">
        <f t="shared" si="94"/>
        <v>Siempre</v>
      </c>
      <c r="AC196">
        <v>0</v>
      </c>
      <c r="AD196">
        <f t="shared" si="95"/>
        <v>0</v>
      </c>
      <c r="AE196" t="str">
        <f t="shared" si="96"/>
        <v>Nunca</v>
      </c>
      <c r="AF196">
        <v>0</v>
      </c>
      <c r="AG196" t="str">
        <f t="shared" si="97"/>
        <v>Nunca</v>
      </c>
      <c r="AH196">
        <v>0</v>
      </c>
      <c r="AI196" t="str">
        <f t="shared" si="98"/>
        <v>No usa</v>
      </c>
      <c r="AJ196">
        <v>0</v>
      </c>
      <c r="AK196" t="str">
        <f t="shared" si="99"/>
        <v>No usa</v>
      </c>
      <c r="AL196">
        <v>0</v>
      </c>
      <c r="AM196" t="str">
        <f t="shared" si="100"/>
        <v>No usa</v>
      </c>
      <c r="AN196">
        <v>1</v>
      </c>
      <c r="AO196" t="str">
        <f t="shared" si="101"/>
        <v>Usa Transporte</v>
      </c>
      <c r="AP196">
        <v>0</v>
      </c>
      <c r="AQ196" t="str">
        <f t="shared" si="102"/>
        <v>No camina</v>
      </c>
      <c r="AR196">
        <v>1</v>
      </c>
      <c r="AS196" t="str">
        <f t="shared" si="103"/>
        <v>Es Obeso</v>
      </c>
    </row>
    <row r="197" spans="1:45" x14ac:dyDescent="0.25">
      <c r="A197">
        <v>1</v>
      </c>
      <c r="B197" t="str">
        <f t="shared" si="78"/>
        <v>M</v>
      </c>
      <c r="C197">
        <v>19</v>
      </c>
      <c r="D197">
        <f t="shared" si="79"/>
        <v>19</v>
      </c>
      <c r="E197">
        <f t="shared" si="80"/>
        <v>19</v>
      </c>
      <c r="F197" t="str">
        <f t="shared" si="81"/>
        <v>1-25</v>
      </c>
      <c r="G197">
        <v>1</v>
      </c>
      <c r="H197" t="str">
        <f t="shared" si="82"/>
        <v>Pariente gordo</v>
      </c>
      <c r="I197">
        <v>1</v>
      </c>
      <c r="J197" t="str">
        <f t="shared" si="83"/>
        <v>Hipercaloricos</v>
      </c>
      <c r="K197">
        <v>3</v>
      </c>
      <c r="L197">
        <f t="shared" si="84"/>
        <v>1</v>
      </c>
      <c r="M197" t="str">
        <f t="shared" si="85"/>
        <v>Suele comer</v>
      </c>
      <c r="N197">
        <v>3</v>
      </c>
      <c r="O197">
        <f t="shared" si="86"/>
        <v>2</v>
      </c>
      <c r="P197" t="str">
        <f t="shared" si="87"/>
        <v>Mas de 3</v>
      </c>
      <c r="Q197">
        <v>1</v>
      </c>
      <c r="R197" t="str">
        <f t="shared" si="88"/>
        <v>A veces</v>
      </c>
      <c r="S197">
        <v>0</v>
      </c>
      <c r="T197" t="str">
        <f t="shared" si="89"/>
        <v>No fuma</v>
      </c>
      <c r="U197">
        <v>2</v>
      </c>
      <c r="V197">
        <f t="shared" si="90"/>
        <v>2</v>
      </c>
      <c r="W197" t="str">
        <f t="shared" si="91"/>
        <v>Siempre</v>
      </c>
      <c r="X197">
        <v>0</v>
      </c>
      <c r="Y197" t="str">
        <f t="shared" si="92"/>
        <v>No controla</v>
      </c>
      <c r="Z197">
        <v>1</v>
      </c>
      <c r="AA197">
        <f t="shared" si="93"/>
        <v>1</v>
      </c>
      <c r="AB197" t="str">
        <f t="shared" si="94"/>
        <v>A veces</v>
      </c>
      <c r="AC197">
        <v>1</v>
      </c>
      <c r="AD197">
        <f t="shared" si="95"/>
        <v>1</v>
      </c>
      <c r="AE197" t="str">
        <f t="shared" si="96"/>
        <v>Usualmente</v>
      </c>
      <c r="AF197">
        <v>1</v>
      </c>
      <c r="AG197" t="str">
        <f t="shared" si="97"/>
        <v>A veces</v>
      </c>
      <c r="AH197">
        <v>0</v>
      </c>
      <c r="AI197" t="str">
        <f t="shared" si="98"/>
        <v>No usa</v>
      </c>
      <c r="AJ197">
        <v>0</v>
      </c>
      <c r="AK197" t="str">
        <f t="shared" si="99"/>
        <v>No usa</v>
      </c>
      <c r="AL197">
        <v>0</v>
      </c>
      <c r="AM197" t="str">
        <f t="shared" si="100"/>
        <v>No usa</v>
      </c>
      <c r="AN197">
        <v>0</v>
      </c>
      <c r="AO197" t="str">
        <f t="shared" si="101"/>
        <v>No usa</v>
      </c>
      <c r="AP197">
        <v>1</v>
      </c>
      <c r="AQ197" t="str">
        <f t="shared" si="102"/>
        <v>Camina</v>
      </c>
      <c r="AR197">
        <v>0</v>
      </c>
      <c r="AS197" t="str">
        <f t="shared" si="103"/>
        <v>No es obeso</v>
      </c>
    </row>
    <row r="198" spans="1:45" x14ac:dyDescent="0.25">
      <c r="A198">
        <v>1</v>
      </c>
      <c r="B198" t="str">
        <f t="shared" si="78"/>
        <v>M</v>
      </c>
      <c r="C198">
        <v>22</v>
      </c>
      <c r="D198">
        <f t="shared" si="79"/>
        <v>22</v>
      </c>
      <c r="E198">
        <f t="shared" si="80"/>
        <v>22</v>
      </c>
      <c r="F198" t="str">
        <f t="shared" si="81"/>
        <v>1-25</v>
      </c>
      <c r="G198">
        <v>1</v>
      </c>
      <c r="H198" t="str">
        <f t="shared" si="82"/>
        <v>Pariente gordo</v>
      </c>
      <c r="I198">
        <v>0</v>
      </c>
      <c r="J198" t="str">
        <f t="shared" si="83"/>
        <v>Saludables</v>
      </c>
      <c r="K198">
        <v>2</v>
      </c>
      <c r="L198">
        <f t="shared" si="84"/>
        <v>1</v>
      </c>
      <c r="M198" t="str">
        <f t="shared" si="85"/>
        <v>Suele comer</v>
      </c>
      <c r="N198">
        <v>3</v>
      </c>
      <c r="O198">
        <f t="shared" si="86"/>
        <v>2</v>
      </c>
      <c r="P198" t="str">
        <f t="shared" si="87"/>
        <v>Mas de 3</v>
      </c>
      <c r="Q198">
        <v>1</v>
      </c>
      <c r="R198" t="str">
        <f t="shared" si="88"/>
        <v>A veces</v>
      </c>
      <c r="S198">
        <v>0</v>
      </c>
      <c r="T198" t="str">
        <f t="shared" si="89"/>
        <v>No fuma</v>
      </c>
      <c r="U198">
        <v>2</v>
      </c>
      <c r="V198">
        <f t="shared" si="90"/>
        <v>2</v>
      </c>
      <c r="W198" t="str">
        <f t="shared" si="91"/>
        <v>Siempre</v>
      </c>
      <c r="X198">
        <v>0</v>
      </c>
      <c r="Y198" t="str">
        <f t="shared" si="92"/>
        <v>No controla</v>
      </c>
      <c r="Z198">
        <v>1</v>
      </c>
      <c r="AA198">
        <f t="shared" si="93"/>
        <v>1</v>
      </c>
      <c r="AB198" t="str">
        <f t="shared" si="94"/>
        <v>A veces</v>
      </c>
      <c r="AC198">
        <v>2</v>
      </c>
      <c r="AD198">
        <f t="shared" si="95"/>
        <v>2</v>
      </c>
      <c r="AE198" t="str">
        <f t="shared" si="96"/>
        <v>Siempre</v>
      </c>
      <c r="AF198">
        <v>1</v>
      </c>
      <c r="AG198" t="str">
        <f t="shared" si="97"/>
        <v>A veces</v>
      </c>
      <c r="AH198">
        <v>0</v>
      </c>
      <c r="AI198" t="str">
        <f t="shared" si="98"/>
        <v>No usa</v>
      </c>
      <c r="AJ198">
        <v>1</v>
      </c>
      <c r="AK198" t="str">
        <f t="shared" si="99"/>
        <v>Usa Bici</v>
      </c>
      <c r="AL198">
        <v>0</v>
      </c>
      <c r="AM198" t="str">
        <f t="shared" si="100"/>
        <v>No usa</v>
      </c>
      <c r="AN198">
        <v>0</v>
      </c>
      <c r="AO198" t="str">
        <f t="shared" si="101"/>
        <v>No usa</v>
      </c>
      <c r="AP198">
        <v>0</v>
      </c>
      <c r="AQ198" t="str">
        <f t="shared" si="102"/>
        <v>No camina</v>
      </c>
      <c r="AR198">
        <v>0</v>
      </c>
      <c r="AS198" t="str">
        <f t="shared" si="103"/>
        <v>No es obeso</v>
      </c>
    </row>
    <row r="199" spans="1:45" x14ac:dyDescent="0.25">
      <c r="A199">
        <v>1</v>
      </c>
      <c r="B199" t="str">
        <f t="shared" si="78"/>
        <v>M</v>
      </c>
      <c r="C199">
        <v>41</v>
      </c>
      <c r="D199">
        <f t="shared" si="79"/>
        <v>41</v>
      </c>
      <c r="E199">
        <f t="shared" si="80"/>
        <v>41</v>
      </c>
      <c r="F199" t="str">
        <f t="shared" si="81"/>
        <v>25-50</v>
      </c>
      <c r="G199">
        <v>1</v>
      </c>
      <c r="H199" t="str">
        <f t="shared" si="82"/>
        <v>Pariente gordo</v>
      </c>
      <c r="I199">
        <v>1</v>
      </c>
      <c r="J199" t="str">
        <f t="shared" si="83"/>
        <v>Hipercaloricos</v>
      </c>
      <c r="K199">
        <v>2</v>
      </c>
      <c r="L199">
        <f t="shared" si="84"/>
        <v>1</v>
      </c>
      <c r="M199" t="str">
        <f t="shared" si="85"/>
        <v>Suele comer</v>
      </c>
      <c r="N199">
        <v>3</v>
      </c>
      <c r="O199">
        <f t="shared" si="86"/>
        <v>2</v>
      </c>
      <c r="P199" t="str">
        <f t="shared" si="87"/>
        <v>Mas de 3</v>
      </c>
      <c r="Q199">
        <v>1</v>
      </c>
      <c r="R199" t="str">
        <f t="shared" si="88"/>
        <v>A veces</v>
      </c>
      <c r="S199">
        <v>0</v>
      </c>
      <c r="T199" t="str">
        <f t="shared" si="89"/>
        <v>No fuma</v>
      </c>
      <c r="U199">
        <v>2</v>
      </c>
      <c r="V199">
        <f t="shared" si="90"/>
        <v>2</v>
      </c>
      <c r="W199" t="str">
        <f t="shared" si="91"/>
        <v>Siempre</v>
      </c>
      <c r="X199">
        <v>0</v>
      </c>
      <c r="Y199" t="str">
        <f t="shared" si="92"/>
        <v>No controla</v>
      </c>
      <c r="Z199">
        <v>0</v>
      </c>
      <c r="AA199">
        <f t="shared" si="93"/>
        <v>0</v>
      </c>
      <c r="AB199" t="str">
        <f t="shared" si="94"/>
        <v>Nunca</v>
      </c>
      <c r="AC199">
        <v>0</v>
      </c>
      <c r="AD199">
        <f t="shared" si="95"/>
        <v>0</v>
      </c>
      <c r="AE199" t="str">
        <f t="shared" si="96"/>
        <v>Nunca</v>
      </c>
      <c r="AF199">
        <v>1</v>
      </c>
      <c r="AG199" t="str">
        <f t="shared" si="97"/>
        <v>A veces</v>
      </c>
      <c r="AH199">
        <v>0</v>
      </c>
      <c r="AI199" t="str">
        <f t="shared" si="98"/>
        <v>No usa</v>
      </c>
      <c r="AJ199">
        <v>1</v>
      </c>
      <c r="AK199" t="str">
        <f t="shared" si="99"/>
        <v>Usa Bici</v>
      </c>
      <c r="AL199">
        <v>0</v>
      </c>
      <c r="AM199" t="str">
        <f t="shared" si="100"/>
        <v>No usa</v>
      </c>
      <c r="AN199">
        <v>0</v>
      </c>
      <c r="AO199" t="str">
        <f t="shared" si="101"/>
        <v>No usa</v>
      </c>
      <c r="AP199">
        <v>0</v>
      </c>
      <c r="AQ199" t="str">
        <f t="shared" si="102"/>
        <v>No camina</v>
      </c>
      <c r="AR199">
        <v>1</v>
      </c>
      <c r="AS199" t="str">
        <f t="shared" si="103"/>
        <v>Es Obeso</v>
      </c>
    </row>
    <row r="200" spans="1:45" x14ac:dyDescent="0.25">
      <c r="A200">
        <v>0</v>
      </c>
      <c r="B200" t="str">
        <f t="shared" si="78"/>
        <v>F</v>
      </c>
      <c r="C200">
        <v>18</v>
      </c>
      <c r="D200">
        <f t="shared" si="79"/>
        <v>18</v>
      </c>
      <c r="E200">
        <f t="shared" si="80"/>
        <v>18</v>
      </c>
      <c r="F200" t="str">
        <f t="shared" si="81"/>
        <v>1-25</v>
      </c>
      <c r="G200">
        <v>1</v>
      </c>
      <c r="H200" t="str">
        <f t="shared" si="82"/>
        <v>Pariente gordo</v>
      </c>
      <c r="I200">
        <v>1</v>
      </c>
      <c r="J200" t="str">
        <f t="shared" si="83"/>
        <v>Hipercaloricos</v>
      </c>
      <c r="K200">
        <v>2</v>
      </c>
      <c r="L200">
        <f t="shared" si="84"/>
        <v>1</v>
      </c>
      <c r="M200" t="str">
        <f t="shared" si="85"/>
        <v>Suele comer</v>
      </c>
      <c r="N200">
        <v>1</v>
      </c>
      <c r="O200">
        <f t="shared" si="86"/>
        <v>1</v>
      </c>
      <c r="P200">
        <f t="shared" si="87"/>
        <v>3</v>
      </c>
      <c r="Q200">
        <v>2</v>
      </c>
      <c r="R200" t="str">
        <f t="shared" si="88"/>
        <v>Usualmente</v>
      </c>
      <c r="S200">
        <v>0</v>
      </c>
      <c r="T200" t="str">
        <f t="shared" si="89"/>
        <v>No fuma</v>
      </c>
      <c r="U200">
        <v>1</v>
      </c>
      <c r="V200">
        <f t="shared" si="90"/>
        <v>1</v>
      </c>
      <c r="W200" t="str">
        <f t="shared" si="91"/>
        <v>Usualmente</v>
      </c>
      <c r="X200">
        <v>0</v>
      </c>
      <c r="Y200" t="str">
        <f t="shared" si="92"/>
        <v>No controla</v>
      </c>
      <c r="Z200">
        <v>0</v>
      </c>
      <c r="AA200">
        <f t="shared" si="93"/>
        <v>0</v>
      </c>
      <c r="AB200" t="str">
        <f t="shared" si="94"/>
        <v>Nunca</v>
      </c>
      <c r="AC200">
        <v>2</v>
      </c>
      <c r="AD200">
        <f t="shared" si="95"/>
        <v>2</v>
      </c>
      <c r="AE200" t="str">
        <f t="shared" si="96"/>
        <v>Siempre</v>
      </c>
      <c r="AF200">
        <v>0</v>
      </c>
      <c r="AG200" t="str">
        <f t="shared" si="97"/>
        <v>Nunca</v>
      </c>
      <c r="AH200">
        <v>0</v>
      </c>
      <c r="AI200" t="str">
        <f t="shared" si="98"/>
        <v>No usa</v>
      </c>
      <c r="AJ200">
        <v>0</v>
      </c>
      <c r="AK200" t="str">
        <f t="shared" si="99"/>
        <v>No usa</v>
      </c>
      <c r="AL200">
        <v>0</v>
      </c>
      <c r="AM200" t="str">
        <f t="shared" si="100"/>
        <v>No usa</v>
      </c>
      <c r="AN200">
        <v>1</v>
      </c>
      <c r="AO200" t="str">
        <f t="shared" si="101"/>
        <v>Usa Transporte</v>
      </c>
      <c r="AP200">
        <v>0</v>
      </c>
      <c r="AQ200" t="str">
        <f t="shared" si="102"/>
        <v>No camina</v>
      </c>
      <c r="AR200">
        <v>0</v>
      </c>
      <c r="AS200" t="str">
        <f t="shared" si="103"/>
        <v>No es obeso</v>
      </c>
    </row>
    <row r="201" spans="1:45" x14ac:dyDescent="0.25">
      <c r="A201">
        <v>0</v>
      </c>
      <c r="B201" t="str">
        <f t="shared" si="78"/>
        <v>F</v>
      </c>
      <c r="C201">
        <v>23</v>
      </c>
      <c r="D201">
        <f t="shared" si="79"/>
        <v>23</v>
      </c>
      <c r="E201">
        <f t="shared" si="80"/>
        <v>23</v>
      </c>
      <c r="F201" t="str">
        <f t="shared" si="81"/>
        <v>1-25</v>
      </c>
      <c r="G201">
        <v>1</v>
      </c>
      <c r="H201" t="str">
        <f t="shared" si="82"/>
        <v>Pariente gordo</v>
      </c>
      <c r="I201">
        <v>1</v>
      </c>
      <c r="J201" t="str">
        <f t="shared" si="83"/>
        <v>Hipercaloricos</v>
      </c>
      <c r="K201">
        <v>2</v>
      </c>
      <c r="L201">
        <f t="shared" si="84"/>
        <v>1</v>
      </c>
      <c r="M201" t="str">
        <f t="shared" si="85"/>
        <v>Suele comer</v>
      </c>
      <c r="N201">
        <v>1</v>
      </c>
      <c r="O201">
        <f t="shared" si="86"/>
        <v>1</v>
      </c>
      <c r="P201">
        <f t="shared" si="87"/>
        <v>3</v>
      </c>
      <c r="Q201">
        <v>1</v>
      </c>
      <c r="R201" t="str">
        <f t="shared" si="88"/>
        <v>A veces</v>
      </c>
      <c r="S201">
        <v>0</v>
      </c>
      <c r="T201" t="str">
        <f t="shared" si="89"/>
        <v>No fuma</v>
      </c>
      <c r="U201">
        <v>1</v>
      </c>
      <c r="V201">
        <f t="shared" si="90"/>
        <v>1</v>
      </c>
      <c r="W201" t="str">
        <f t="shared" si="91"/>
        <v>Usualmente</v>
      </c>
      <c r="X201">
        <v>0</v>
      </c>
      <c r="Y201" t="str">
        <f t="shared" si="92"/>
        <v>No controla</v>
      </c>
      <c r="Z201">
        <v>1</v>
      </c>
      <c r="AA201">
        <f t="shared" si="93"/>
        <v>1</v>
      </c>
      <c r="AB201" t="str">
        <f t="shared" si="94"/>
        <v>A veces</v>
      </c>
      <c r="AC201">
        <v>1</v>
      </c>
      <c r="AD201">
        <f t="shared" si="95"/>
        <v>1</v>
      </c>
      <c r="AE201" t="str">
        <f t="shared" si="96"/>
        <v>Usualmente</v>
      </c>
      <c r="AF201">
        <v>1</v>
      </c>
      <c r="AG201" t="str">
        <f t="shared" si="97"/>
        <v>A veces</v>
      </c>
      <c r="AH201">
        <v>0</v>
      </c>
      <c r="AI201" t="str">
        <f t="shared" si="98"/>
        <v>No usa</v>
      </c>
      <c r="AJ201">
        <v>0</v>
      </c>
      <c r="AK201" t="str">
        <f t="shared" si="99"/>
        <v>No usa</v>
      </c>
      <c r="AL201">
        <v>0</v>
      </c>
      <c r="AM201" t="str">
        <f t="shared" si="100"/>
        <v>No usa</v>
      </c>
      <c r="AN201">
        <v>1</v>
      </c>
      <c r="AO201" t="str">
        <f t="shared" si="101"/>
        <v>Usa Transporte</v>
      </c>
      <c r="AP201">
        <v>0</v>
      </c>
      <c r="AQ201" t="str">
        <f t="shared" si="102"/>
        <v>No camina</v>
      </c>
      <c r="AR201">
        <v>0</v>
      </c>
      <c r="AS201" t="str">
        <f t="shared" si="103"/>
        <v>No es obeso</v>
      </c>
    </row>
    <row r="202" spans="1:45" x14ac:dyDescent="0.25">
      <c r="A202">
        <v>0</v>
      </c>
      <c r="B202" t="str">
        <f t="shared" si="78"/>
        <v>F</v>
      </c>
      <c r="C202">
        <v>23</v>
      </c>
      <c r="D202">
        <f t="shared" si="79"/>
        <v>23</v>
      </c>
      <c r="E202">
        <f t="shared" si="80"/>
        <v>23</v>
      </c>
      <c r="F202" t="str">
        <f t="shared" si="81"/>
        <v>1-25</v>
      </c>
      <c r="G202">
        <v>1</v>
      </c>
      <c r="H202" t="str">
        <f t="shared" si="82"/>
        <v>Pariente gordo</v>
      </c>
      <c r="I202">
        <v>0</v>
      </c>
      <c r="J202" t="str">
        <f t="shared" si="83"/>
        <v>Saludables</v>
      </c>
      <c r="K202">
        <v>3</v>
      </c>
      <c r="L202">
        <f t="shared" si="84"/>
        <v>1</v>
      </c>
      <c r="M202" t="str">
        <f t="shared" si="85"/>
        <v>Suele comer</v>
      </c>
      <c r="N202">
        <v>1</v>
      </c>
      <c r="O202">
        <f t="shared" si="86"/>
        <v>1</v>
      </c>
      <c r="P202">
        <f t="shared" si="87"/>
        <v>3</v>
      </c>
      <c r="Q202">
        <v>1</v>
      </c>
      <c r="R202" t="str">
        <f t="shared" si="88"/>
        <v>A veces</v>
      </c>
      <c r="S202">
        <v>1</v>
      </c>
      <c r="T202" t="str">
        <f t="shared" si="89"/>
        <v>Fuma</v>
      </c>
      <c r="U202">
        <v>3</v>
      </c>
      <c r="V202">
        <f t="shared" si="90"/>
        <v>2</v>
      </c>
      <c r="W202" t="str">
        <f t="shared" si="91"/>
        <v>Siempre</v>
      </c>
      <c r="X202">
        <v>0</v>
      </c>
      <c r="Y202" t="str">
        <f t="shared" si="92"/>
        <v>No controla</v>
      </c>
      <c r="Z202">
        <v>1</v>
      </c>
      <c r="AA202">
        <f t="shared" si="93"/>
        <v>1</v>
      </c>
      <c r="AB202" t="str">
        <f t="shared" si="94"/>
        <v>A veces</v>
      </c>
      <c r="AC202">
        <v>2</v>
      </c>
      <c r="AD202">
        <f t="shared" si="95"/>
        <v>2</v>
      </c>
      <c r="AE202" t="str">
        <f t="shared" si="96"/>
        <v>Siempre</v>
      </c>
      <c r="AF202">
        <v>1</v>
      </c>
      <c r="AG202" t="str">
        <f t="shared" si="97"/>
        <v>A veces</v>
      </c>
      <c r="AH202">
        <v>0</v>
      </c>
      <c r="AI202" t="str">
        <f t="shared" si="98"/>
        <v>No usa</v>
      </c>
      <c r="AJ202">
        <v>0</v>
      </c>
      <c r="AK202" t="str">
        <f t="shared" si="99"/>
        <v>No usa</v>
      </c>
      <c r="AL202">
        <v>0</v>
      </c>
      <c r="AM202" t="str">
        <f t="shared" si="100"/>
        <v>No usa</v>
      </c>
      <c r="AN202">
        <v>1</v>
      </c>
      <c r="AO202" t="str">
        <f t="shared" si="101"/>
        <v>Usa Transporte</v>
      </c>
      <c r="AP202">
        <v>0</v>
      </c>
      <c r="AQ202" t="str">
        <f t="shared" si="102"/>
        <v>No camina</v>
      </c>
      <c r="AR202">
        <v>1</v>
      </c>
      <c r="AS202" t="str">
        <f t="shared" si="103"/>
        <v>Es Obeso</v>
      </c>
    </row>
    <row r="203" spans="1:45" x14ac:dyDescent="0.25">
      <c r="A203">
        <v>0</v>
      </c>
      <c r="B203" t="str">
        <f t="shared" si="78"/>
        <v>F</v>
      </c>
      <c r="C203">
        <v>41</v>
      </c>
      <c r="D203">
        <f t="shared" si="79"/>
        <v>41</v>
      </c>
      <c r="E203">
        <f t="shared" si="80"/>
        <v>41</v>
      </c>
      <c r="F203" t="str">
        <f t="shared" si="81"/>
        <v>25-50</v>
      </c>
      <c r="G203">
        <v>1</v>
      </c>
      <c r="H203" t="str">
        <f t="shared" si="82"/>
        <v>Pariente gordo</v>
      </c>
      <c r="I203">
        <v>1</v>
      </c>
      <c r="J203" t="str">
        <f t="shared" si="83"/>
        <v>Hipercaloricos</v>
      </c>
      <c r="K203">
        <v>2</v>
      </c>
      <c r="L203">
        <f t="shared" si="84"/>
        <v>1</v>
      </c>
      <c r="M203" t="str">
        <f t="shared" si="85"/>
        <v>Suele comer</v>
      </c>
      <c r="N203">
        <v>3</v>
      </c>
      <c r="O203">
        <f t="shared" si="86"/>
        <v>2</v>
      </c>
      <c r="P203" t="str">
        <f t="shared" si="87"/>
        <v>Mas de 3</v>
      </c>
      <c r="Q203">
        <v>3</v>
      </c>
      <c r="R203" t="str">
        <f t="shared" si="88"/>
        <v>Siempre</v>
      </c>
      <c r="S203">
        <v>0</v>
      </c>
      <c r="T203" t="str">
        <f t="shared" si="89"/>
        <v>No fuma</v>
      </c>
      <c r="U203">
        <v>1</v>
      </c>
      <c r="V203">
        <f t="shared" si="90"/>
        <v>1</v>
      </c>
      <c r="W203" t="str">
        <f t="shared" si="91"/>
        <v>Usualmente</v>
      </c>
      <c r="X203">
        <v>0</v>
      </c>
      <c r="Y203" t="str">
        <f t="shared" si="92"/>
        <v>No controla</v>
      </c>
      <c r="Z203">
        <v>0</v>
      </c>
      <c r="AA203">
        <f t="shared" si="93"/>
        <v>0</v>
      </c>
      <c r="AB203" t="str">
        <f t="shared" si="94"/>
        <v>Nunca</v>
      </c>
      <c r="AC203">
        <v>0</v>
      </c>
      <c r="AD203">
        <f t="shared" si="95"/>
        <v>0</v>
      </c>
      <c r="AE203" t="str">
        <f t="shared" si="96"/>
        <v>Nunca</v>
      </c>
      <c r="AF203">
        <v>1</v>
      </c>
      <c r="AG203" t="str">
        <f t="shared" si="97"/>
        <v>A veces</v>
      </c>
      <c r="AH203">
        <v>1</v>
      </c>
      <c r="AI203" t="str">
        <f t="shared" si="98"/>
        <v>Usa auto</v>
      </c>
      <c r="AJ203">
        <v>0</v>
      </c>
      <c r="AK203" t="str">
        <f t="shared" si="99"/>
        <v>No usa</v>
      </c>
      <c r="AL203">
        <v>0</v>
      </c>
      <c r="AM203" t="str">
        <f t="shared" si="100"/>
        <v>No usa</v>
      </c>
      <c r="AN203">
        <v>0</v>
      </c>
      <c r="AO203" t="str">
        <f t="shared" si="101"/>
        <v>No usa</v>
      </c>
      <c r="AP203">
        <v>0</v>
      </c>
      <c r="AQ203" t="str">
        <f t="shared" si="102"/>
        <v>No camina</v>
      </c>
      <c r="AR203">
        <v>1</v>
      </c>
      <c r="AS203" t="str">
        <f t="shared" si="103"/>
        <v>Es Obeso</v>
      </c>
    </row>
    <row r="204" spans="1:45" x14ac:dyDescent="0.25">
      <c r="A204">
        <v>0</v>
      </c>
      <c r="B204" t="str">
        <f t="shared" si="78"/>
        <v>F</v>
      </c>
      <c r="C204">
        <v>26</v>
      </c>
      <c r="D204">
        <f t="shared" si="79"/>
        <v>26</v>
      </c>
      <c r="E204">
        <f t="shared" si="80"/>
        <v>26</v>
      </c>
      <c r="F204" t="str">
        <f t="shared" si="81"/>
        <v>25-50</v>
      </c>
      <c r="G204">
        <v>1</v>
      </c>
      <c r="H204" t="str">
        <f t="shared" si="82"/>
        <v>Pariente gordo</v>
      </c>
      <c r="I204">
        <v>1</v>
      </c>
      <c r="J204" t="str">
        <f t="shared" si="83"/>
        <v>Hipercaloricos</v>
      </c>
      <c r="K204">
        <v>3</v>
      </c>
      <c r="L204">
        <f t="shared" si="84"/>
        <v>1</v>
      </c>
      <c r="M204" t="str">
        <f t="shared" si="85"/>
        <v>Suele comer</v>
      </c>
      <c r="N204">
        <v>3</v>
      </c>
      <c r="O204">
        <f t="shared" si="86"/>
        <v>2</v>
      </c>
      <c r="P204" t="str">
        <f t="shared" si="87"/>
        <v>Mas de 3</v>
      </c>
      <c r="Q204">
        <v>1</v>
      </c>
      <c r="R204" t="str">
        <f t="shared" si="88"/>
        <v>A veces</v>
      </c>
      <c r="S204">
        <v>1</v>
      </c>
      <c r="T204" t="str">
        <f t="shared" si="89"/>
        <v>Fuma</v>
      </c>
      <c r="U204">
        <v>1</v>
      </c>
      <c r="V204">
        <f t="shared" si="90"/>
        <v>1</v>
      </c>
      <c r="W204" t="str">
        <f t="shared" si="91"/>
        <v>Usualmente</v>
      </c>
      <c r="X204">
        <v>0</v>
      </c>
      <c r="Y204" t="str">
        <f t="shared" si="92"/>
        <v>No controla</v>
      </c>
      <c r="Z204">
        <v>0</v>
      </c>
      <c r="AA204">
        <f t="shared" si="93"/>
        <v>0</v>
      </c>
      <c r="AB204" t="str">
        <f t="shared" si="94"/>
        <v>Nunca</v>
      </c>
      <c r="AC204">
        <v>1</v>
      </c>
      <c r="AD204">
        <f t="shared" si="95"/>
        <v>1</v>
      </c>
      <c r="AE204" t="str">
        <f t="shared" si="96"/>
        <v>Usualmente</v>
      </c>
      <c r="AF204">
        <v>1</v>
      </c>
      <c r="AG204" t="str">
        <f t="shared" si="97"/>
        <v>A veces</v>
      </c>
      <c r="AH204">
        <v>0</v>
      </c>
      <c r="AI204" t="str">
        <f t="shared" si="98"/>
        <v>No usa</v>
      </c>
      <c r="AJ204">
        <v>0</v>
      </c>
      <c r="AK204" t="str">
        <f t="shared" si="99"/>
        <v>No usa</v>
      </c>
      <c r="AL204">
        <v>0</v>
      </c>
      <c r="AM204" t="str">
        <f t="shared" si="100"/>
        <v>No usa</v>
      </c>
      <c r="AN204">
        <v>1</v>
      </c>
      <c r="AO204" t="str">
        <f t="shared" si="101"/>
        <v>Usa Transporte</v>
      </c>
      <c r="AP204">
        <v>0</v>
      </c>
      <c r="AQ204" t="str">
        <f t="shared" si="102"/>
        <v>No camina</v>
      </c>
      <c r="AR204">
        <v>1</v>
      </c>
      <c r="AS204" t="str">
        <f t="shared" si="103"/>
        <v>Es Obeso</v>
      </c>
    </row>
    <row r="205" spans="1:45" x14ac:dyDescent="0.25">
      <c r="A205">
        <v>1</v>
      </c>
      <c r="B205" t="str">
        <f t="shared" si="78"/>
        <v>M</v>
      </c>
      <c r="C205">
        <v>29</v>
      </c>
      <c r="D205">
        <f t="shared" si="79"/>
        <v>29</v>
      </c>
      <c r="E205">
        <f t="shared" si="80"/>
        <v>29</v>
      </c>
      <c r="F205" t="str">
        <f t="shared" si="81"/>
        <v>25-50</v>
      </c>
      <c r="G205">
        <v>1</v>
      </c>
      <c r="H205" t="str">
        <f t="shared" si="82"/>
        <v>Pariente gordo</v>
      </c>
      <c r="I205">
        <v>0</v>
      </c>
      <c r="J205" t="str">
        <f t="shared" si="83"/>
        <v>Saludables</v>
      </c>
      <c r="K205">
        <v>2</v>
      </c>
      <c r="L205">
        <f t="shared" si="84"/>
        <v>1</v>
      </c>
      <c r="M205" t="str">
        <f t="shared" si="85"/>
        <v>Suele comer</v>
      </c>
      <c r="N205">
        <v>3</v>
      </c>
      <c r="O205">
        <f t="shared" si="86"/>
        <v>2</v>
      </c>
      <c r="P205" t="str">
        <f t="shared" si="87"/>
        <v>Mas de 3</v>
      </c>
      <c r="Q205">
        <v>1</v>
      </c>
      <c r="R205" t="str">
        <f t="shared" si="88"/>
        <v>A veces</v>
      </c>
      <c r="S205">
        <v>0</v>
      </c>
      <c r="T205" t="str">
        <f t="shared" si="89"/>
        <v>No fuma</v>
      </c>
      <c r="U205">
        <v>3</v>
      </c>
      <c r="V205">
        <f t="shared" si="90"/>
        <v>2</v>
      </c>
      <c r="W205" t="str">
        <f t="shared" si="91"/>
        <v>Siempre</v>
      </c>
      <c r="X205">
        <v>0</v>
      </c>
      <c r="Y205" t="str">
        <f t="shared" si="92"/>
        <v>No controla</v>
      </c>
      <c r="Z205">
        <v>1</v>
      </c>
      <c r="AA205">
        <f t="shared" si="93"/>
        <v>1</v>
      </c>
      <c r="AB205" t="str">
        <f t="shared" si="94"/>
        <v>A veces</v>
      </c>
      <c r="AC205">
        <v>0</v>
      </c>
      <c r="AD205">
        <f t="shared" si="95"/>
        <v>0</v>
      </c>
      <c r="AE205" t="str">
        <f t="shared" si="96"/>
        <v>Nunca</v>
      </c>
      <c r="AF205">
        <v>1</v>
      </c>
      <c r="AG205" t="str">
        <f t="shared" si="97"/>
        <v>A veces</v>
      </c>
      <c r="AH205">
        <v>1</v>
      </c>
      <c r="AI205" t="str">
        <f t="shared" si="98"/>
        <v>Usa auto</v>
      </c>
      <c r="AJ205">
        <v>0</v>
      </c>
      <c r="AK205" t="str">
        <f t="shared" si="99"/>
        <v>No usa</v>
      </c>
      <c r="AL205">
        <v>0</v>
      </c>
      <c r="AM205" t="str">
        <f t="shared" si="100"/>
        <v>No usa</v>
      </c>
      <c r="AN205">
        <v>0</v>
      </c>
      <c r="AO205" t="str">
        <f t="shared" si="101"/>
        <v>No usa</v>
      </c>
      <c r="AP205">
        <v>0</v>
      </c>
      <c r="AQ205" t="str">
        <f t="shared" si="102"/>
        <v>No camina</v>
      </c>
      <c r="AR205">
        <v>1</v>
      </c>
      <c r="AS205" t="str">
        <f t="shared" si="103"/>
        <v>Es Obeso</v>
      </c>
    </row>
    <row r="206" spans="1:45" x14ac:dyDescent="0.25">
      <c r="A206">
        <v>1</v>
      </c>
      <c r="B206" t="str">
        <f t="shared" si="78"/>
        <v>M</v>
      </c>
      <c r="C206">
        <v>27</v>
      </c>
      <c r="D206">
        <f t="shared" si="79"/>
        <v>27</v>
      </c>
      <c r="E206">
        <f t="shared" si="80"/>
        <v>27</v>
      </c>
      <c r="F206" t="str">
        <f t="shared" si="81"/>
        <v>25-50</v>
      </c>
      <c r="G206">
        <v>1</v>
      </c>
      <c r="H206" t="str">
        <f t="shared" si="82"/>
        <v>Pariente gordo</v>
      </c>
      <c r="I206">
        <v>1</v>
      </c>
      <c r="J206" t="str">
        <f t="shared" si="83"/>
        <v>Hipercaloricos</v>
      </c>
      <c r="K206">
        <v>2</v>
      </c>
      <c r="L206">
        <f t="shared" si="84"/>
        <v>1</v>
      </c>
      <c r="M206" t="str">
        <f t="shared" si="85"/>
        <v>Suele comer</v>
      </c>
      <c r="N206">
        <v>3</v>
      </c>
      <c r="O206">
        <f t="shared" si="86"/>
        <v>2</v>
      </c>
      <c r="P206" t="str">
        <f t="shared" si="87"/>
        <v>Mas de 3</v>
      </c>
      <c r="Q206">
        <v>1</v>
      </c>
      <c r="R206" t="str">
        <f t="shared" si="88"/>
        <v>A veces</v>
      </c>
      <c r="S206">
        <v>0</v>
      </c>
      <c r="T206" t="str">
        <f t="shared" si="89"/>
        <v>No fuma</v>
      </c>
      <c r="U206">
        <v>2</v>
      </c>
      <c r="V206">
        <f t="shared" si="90"/>
        <v>2</v>
      </c>
      <c r="W206" t="str">
        <f t="shared" si="91"/>
        <v>Siempre</v>
      </c>
      <c r="X206">
        <v>0</v>
      </c>
      <c r="Y206" t="str">
        <f t="shared" si="92"/>
        <v>No controla</v>
      </c>
      <c r="Z206">
        <v>3</v>
      </c>
      <c r="AA206">
        <f t="shared" si="93"/>
        <v>3</v>
      </c>
      <c r="AB206" t="str">
        <f t="shared" si="94"/>
        <v>Siempre</v>
      </c>
      <c r="AC206">
        <v>2</v>
      </c>
      <c r="AD206">
        <f t="shared" si="95"/>
        <v>2</v>
      </c>
      <c r="AE206" t="str">
        <f t="shared" si="96"/>
        <v>Siempre</v>
      </c>
      <c r="AF206">
        <v>0</v>
      </c>
      <c r="AG206" t="str">
        <f t="shared" si="97"/>
        <v>Nunca</v>
      </c>
      <c r="AH206">
        <v>1</v>
      </c>
      <c r="AI206" t="str">
        <f t="shared" si="98"/>
        <v>Usa auto</v>
      </c>
      <c r="AJ206">
        <v>0</v>
      </c>
      <c r="AK206" t="str">
        <f t="shared" si="99"/>
        <v>No usa</v>
      </c>
      <c r="AL206">
        <v>0</v>
      </c>
      <c r="AM206" t="str">
        <f t="shared" si="100"/>
        <v>No usa</v>
      </c>
      <c r="AN206">
        <v>0</v>
      </c>
      <c r="AO206" t="str">
        <f t="shared" si="101"/>
        <v>No usa</v>
      </c>
      <c r="AP206">
        <v>0</v>
      </c>
      <c r="AQ206" t="str">
        <f t="shared" si="102"/>
        <v>No camina</v>
      </c>
      <c r="AR206">
        <v>0</v>
      </c>
      <c r="AS206" t="str">
        <f t="shared" si="103"/>
        <v>No es obeso</v>
      </c>
    </row>
    <row r="207" spans="1:45" x14ac:dyDescent="0.25">
      <c r="A207">
        <v>0</v>
      </c>
      <c r="B207" t="str">
        <f t="shared" si="78"/>
        <v>F</v>
      </c>
      <c r="C207">
        <v>23</v>
      </c>
      <c r="D207">
        <f t="shared" si="79"/>
        <v>23</v>
      </c>
      <c r="E207">
        <f t="shared" si="80"/>
        <v>23</v>
      </c>
      <c r="F207" t="str">
        <f t="shared" si="81"/>
        <v>1-25</v>
      </c>
      <c r="G207">
        <v>1</v>
      </c>
      <c r="H207" t="str">
        <f t="shared" si="82"/>
        <v>Pariente gordo</v>
      </c>
      <c r="I207">
        <v>1</v>
      </c>
      <c r="J207" t="str">
        <f t="shared" si="83"/>
        <v>Hipercaloricos</v>
      </c>
      <c r="K207">
        <v>2</v>
      </c>
      <c r="L207">
        <f t="shared" si="84"/>
        <v>1</v>
      </c>
      <c r="M207" t="str">
        <f t="shared" si="85"/>
        <v>Suele comer</v>
      </c>
      <c r="N207">
        <v>1</v>
      </c>
      <c r="O207">
        <f t="shared" si="86"/>
        <v>1</v>
      </c>
      <c r="P207">
        <f t="shared" si="87"/>
        <v>3</v>
      </c>
      <c r="Q207">
        <v>1</v>
      </c>
      <c r="R207" t="str">
        <f t="shared" si="88"/>
        <v>A veces</v>
      </c>
      <c r="S207">
        <v>1</v>
      </c>
      <c r="T207" t="str">
        <f t="shared" si="89"/>
        <v>Fuma</v>
      </c>
      <c r="U207">
        <v>2</v>
      </c>
      <c r="V207">
        <f t="shared" si="90"/>
        <v>2</v>
      </c>
      <c r="W207" t="str">
        <f t="shared" si="91"/>
        <v>Siempre</v>
      </c>
      <c r="X207">
        <v>0</v>
      </c>
      <c r="Y207" t="str">
        <f t="shared" si="92"/>
        <v>No controla</v>
      </c>
      <c r="Z207">
        <v>1</v>
      </c>
      <c r="AA207">
        <f t="shared" si="93"/>
        <v>1</v>
      </c>
      <c r="AB207" t="str">
        <f t="shared" si="94"/>
        <v>A veces</v>
      </c>
      <c r="AC207">
        <v>0</v>
      </c>
      <c r="AD207">
        <f t="shared" si="95"/>
        <v>0</v>
      </c>
      <c r="AE207" t="str">
        <f t="shared" si="96"/>
        <v>Nunca</v>
      </c>
      <c r="AF207">
        <v>2</v>
      </c>
      <c r="AG207" t="str">
        <f t="shared" si="97"/>
        <v>Usualmente</v>
      </c>
      <c r="AH207">
        <v>0</v>
      </c>
      <c r="AI207" t="str">
        <f t="shared" si="98"/>
        <v>No usa</v>
      </c>
      <c r="AJ207">
        <v>0</v>
      </c>
      <c r="AK207" t="str">
        <f t="shared" si="99"/>
        <v>No usa</v>
      </c>
      <c r="AL207">
        <v>0</v>
      </c>
      <c r="AM207" t="str">
        <f t="shared" si="100"/>
        <v>No usa</v>
      </c>
      <c r="AN207">
        <v>1</v>
      </c>
      <c r="AO207" t="str">
        <f t="shared" si="101"/>
        <v>Usa Transporte</v>
      </c>
      <c r="AP207">
        <v>0</v>
      </c>
      <c r="AQ207" t="str">
        <f t="shared" si="102"/>
        <v>No camina</v>
      </c>
      <c r="AR207">
        <v>1</v>
      </c>
      <c r="AS207" t="str">
        <f t="shared" si="103"/>
        <v>Es Obeso</v>
      </c>
    </row>
    <row r="208" spans="1:45" x14ac:dyDescent="0.25">
      <c r="A208">
        <v>1</v>
      </c>
      <c r="B208" t="str">
        <f t="shared" si="78"/>
        <v>M</v>
      </c>
      <c r="C208">
        <v>19</v>
      </c>
      <c r="D208">
        <f t="shared" si="79"/>
        <v>19</v>
      </c>
      <c r="E208">
        <f t="shared" si="80"/>
        <v>19</v>
      </c>
      <c r="F208" t="str">
        <f t="shared" si="81"/>
        <v>1-25</v>
      </c>
      <c r="G208">
        <v>1</v>
      </c>
      <c r="H208" t="str">
        <f t="shared" si="82"/>
        <v>Pariente gordo</v>
      </c>
      <c r="I208">
        <v>1</v>
      </c>
      <c r="J208" t="str">
        <f t="shared" si="83"/>
        <v>Hipercaloricos</v>
      </c>
      <c r="K208">
        <v>2</v>
      </c>
      <c r="L208">
        <f t="shared" si="84"/>
        <v>1</v>
      </c>
      <c r="M208" t="str">
        <f t="shared" si="85"/>
        <v>Suele comer</v>
      </c>
      <c r="N208">
        <v>3</v>
      </c>
      <c r="O208">
        <f t="shared" si="86"/>
        <v>2</v>
      </c>
      <c r="P208" t="str">
        <f t="shared" si="87"/>
        <v>Mas de 3</v>
      </c>
      <c r="Q208">
        <v>2</v>
      </c>
      <c r="R208" t="str">
        <f t="shared" si="88"/>
        <v>Usualmente</v>
      </c>
      <c r="S208">
        <v>0</v>
      </c>
      <c r="T208" t="str">
        <f t="shared" si="89"/>
        <v>No fuma</v>
      </c>
      <c r="U208">
        <v>2</v>
      </c>
      <c r="V208">
        <f t="shared" si="90"/>
        <v>2</v>
      </c>
      <c r="W208" t="str">
        <f t="shared" si="91"/>
        <v>Siempre</v>
      </c>
      <c r="X208">
        <v>0</v>
      </c>
      <c r="Y208" t="str">
        <f t="shared" si="92"/>
        <v>No controla</v>
      </c>
      <c r="Z208">
        <v>2</v>
      </c>
      <c r="AA208">
        <f t="shared" si="93"/>
        <v>2</v>
      </c>
      <c r="AB208" t="str">
        <f t="shared" si="94"/>
        <v>Usualmente</v>
      </c>
      <c r="AC208">
        <v>0</v>
      </c>
      <c r="AD208">
        <f t="shared" si="95"/>
        <v>0</v>
      </c>
      <c r="AE208" t="str">
        <f t="shared" si="96"/>
        <v>Nunca</v>
      </c>
      <c r="AF208">
        <v>0</v>
      </c>
      <c r="AG208" t="str">
        <f t="shared" si="97"/>
        <v>Nunca</v>
      </c>
      <c r="AH208">
        <v>0</v>
      </c>
      <c r="AI208" t="str">
        <f t="shared" si="98"/>
        <v>No usa</v>
      </c>
      <c r="AJ208">
        <v>0</v>
      </c>
      <c r="AK208" t="str">
        <f t="shared" si="99"/>
        <v>No usa</v>
      </c>
      <c r="AL208">
        <v>0</v>
      </c>
      <c r="AM208" t="str">
        <f t="shared" si="100"/>
        <v>No usa</v>
      </c>
      <c r="AN208">
        <v>1</v>
      </c>
      <c r="AO208" t="str">
        <f t="shared" si="101"/>
        <v>Usa Transporte</v>
      </c>
      <c r="AP208">
        <v>0</v>
      </c>
      <c r="AQ208" t="str">
        <f t="shared" si="102"/>
        <v>No camina</v>
      </c>
      <c r="AR208">
        <v>1</v>
      </c>
      <c r="AS208" t="str">
        <f t="shared" si="103"/>
        <v>Es Obeso</v>
      </c>
    </row>
    <row r="209" spans="1:45" x14ac:dyDescent="0.25">
      <c r="A209">
        <v>1</v>
      </c>
      <c r="B209" t="str">
        <f t="shared" si="78"/>
        <v>M</v>
      </c>
      <c r="C209">
        <v>30</v>
      </c>
      <c r="D209">
        <f t="shared" si="79"/>
        <v>30</v>
      </c>
      <c r="E209">
        <f t="shared" si="80"/>
        <v>30</v>
      </c>
      <c r="F209" t="str">
        <f t="shared" si="81"/>
        <v>25-50</v>
      </c>
      <c r="G209">
        <v>1</v>
      </c>
      <c r="H209" t="str">
        <f t="shared" si="82"/>
        <v>Pariente gordo</v>
      </c>
      <c r="I209">
        <v>0</v>
      </c>
      <c r="J209" t="str">
        <f t="shared" si="83"/>
        <v>Saludables</v>
      </c>
      <c r="K209">
        <v>2</v>
      </c>
      <c r="L209">
        <f t="shared" si="84"/>
        <v>1</v>
      </c>
      <c r="M209" t="str">
        <f t="shared" si="85"/>
        <v>Suele comer</v>
      </c>
      <c r="N209">
        <v>3</v>
      </c>
      <c r="O209">
        <f t="shared" si="86"/>
        <v>2</v>
      </c>
      <c r="P209" t="str">
        <f t="shared" si="87"/>
        <v>Mas de 3</v>
      </c>
      <c r="Q209">
        <v>0</v>
      </c>
      <c r="R209" t="str">
        <f t="shared" si="88"/>
        <v>Nunca</v>
      </c>
      <c r="S209">
        <v>0</v>
      </c>
      <c r="T209" t="str">
        <f t="shared" si="89"/>
        <v>No fuma</v>
      </c>
      <c r="U209">
        <v>2</v>
      </c>
      <c r="V209">
        <f t="shared" si="90"/>
        <v>2</v>
      </c>
      <c r="W209" t="str">
        <f t="shared" si="91"/>
        <v>Siempre</v>
      </c>
      <c r="X209">
        <v>1</v>
      </c>
      <c r="Y209" t="str">
        <f t="shared" si="92"/>
        <v>Controla</v>
      </c>
      <c r="Z209">
        <v>1</v>
      </c>
      <c r="AA209">
        <f t="shared" si="93"/>
        <v>1</v>
      </c>
      <c r="AB209" t="str">
        <f t="shared" si="94"/>
        <v>A veces</v>
      </c>
      <c r="AC209">
        <v>0</v>
      </c>
      <c r="AD209">
        <f t="shared" si="95"/>
        <v>0</v>
      </c>
      <c r="AE209" t="str">
        <f t="shared" si="96"/>
        <v>Nunca</v>
      </c>
      <c r="AF209">
        <v>1</v>
      </c>
      <c r="AG209" t="str">
        <f t="shared" si="97"/>
        <v>A veces</v>
      </c>
      <c r="AH209">
        <v>0</v>
      </c>
      <c r="AI209" t="str">
        <f t="shared" si="98"/>
        <v>No usa</v>
      </c>
      <c r="AJ209">
        <v>0</v>
      </c>
      <c r="AK209" t="str">
        <f t="shared" si="99"/>
        <v>No usa</v>
      </c>
      <c r="AL209">
        <v>0</v>
      </c>
      <c r="AM209" t="str">
        <f t="shared" si="100"/>
        <v>No usa</v>
      </c>
      <c r="AN209">
        <v>0</v>
      </c>
      <c r="AO209" t="str">
        <f t="shared" si="101"/>
        <v>No usa</v>
      </c>
      <c r="AP209">
        <v>1</v>
      </c>
      <c r="AQ209" t="str">
        <f t="shared" si="102"/>
        <v>Camina</v>
      </c>
      <c r="AR209">
        <v>0</v>
      </c>
      <c r="AS209" t="str">
        <f t="shared" si="103"/>
        <v>No es obeso</v>
      </c>
    </row>
    <row r="210" spans="1:45" x14ac:dyDescent="0.25">
      <c r="A210">
        <v>0</v>
      </c>
      <c r="B210" t="str">
        <f t="shared" si="78"/>
        <v>F</v>
      </c>
      <c r="C210">
        <v>22</v>
      </c>
      <c r="D210">
        <f t="shared" si="79"/>
        <v>22</v>
      </c>
      <c r="E210">
        <f t="shared" si="80"/>
        <v>22</v>
      </c>
      <c r="F210" t="str">
        <f t="shared" si="81"/>
        <v>1-25</v>
      </c>
      <c r="G210">
        <v>1</v>
      </c>
      <c r="H210" t="str">
        <f t="shared" si="82"/>
        <v>Pariente gordo</v>
      </c>
      <c r="I210">
        <v>1</v>
      </c>
      <c r="J210" t="str">
        <f t="shared" si="83"/>
        <v>Hipercaloricos</v>
      </c>
      <c r="K210">
        <v>2</v>
      </c>
      <c r="L210">
        <f t="shared" si="84"/>
        <v>1</v>
      </c>
      <c r="M210" t="str">
        <f t="shared" si="85"/>
        <v>Suele comer</v>
      </c>
      <c r="N210">
        <v>3</v>
      </c>
      <c r="O210">
        <f t="shared" si="86"/>
        <v>2</v>
      </c>
      <c r="P210" t="str">
        <f t="shared" si="87"/>
        <v>Mas de 3</v>
      </c>
      <c r="Q210">
        <v>1</v>
      </c>
      <c r="R210" t="str">
        <f t="shared" si="88"/>
        <v>A veces</v>
      </c>
      <c r="S210">
        <v>0</v>
      </c>
      <c r="T210" t="str">
        <f t="shared" si="89"/>
        <v>No fuma</v>
      </c>
      <c r="U210">
        <v>2</v>
      </c>
      <c r="V210">
        <f t="shared" si="90"/>
        <v>2</v>
      </c>
      <c r="W210" t="str">
        <f t="shared" si="91"/>
        <v>Siempre</v>
      </c>
      <c r="X210">
        <v>0</v>
      </c>
      <c r="Y210" t="str">
        <f t="shared" si="92"/>
        <v>No controla</v>
      </c>
      <c r="Z210">
        <v>1</v>
      </c>
      <c r="AA210">
        <f t="shared" si="93"/>
        <v>1</v>
      </c>
      <c r="AB210" t="str">
        <f t="shared" si="94"/>
        <v>A veces</v>
      </c>
      <c r="AC210">
        <v>1</v>
      </c>
      <c r="AD210">
        <f t="shared" si="95"/>
        <v>1</v>
      </c>
      <c r="AE210" t="str">
        <f t="shared" si="96"/>
        <v>Usualmente</v>
      </c>
      <c r="AF210">
        <v>1</v>
      </c>
      <c r="AG210" t="str">
        <f t="shared" si="97"/>
        <v>A veces</v>
      </c>
      <c r="AH210">
        <v>0</v>
      </c>
      <c r="AI210" t="str">
        <f t="shared" si="98"/>
        <v>No usa</v>
      </c>
      <c r="AJ210">
        <v>0</v>
      </c>
      <c r="AK210" t="str">
        <f t="shared" si="99"/>
        <v>No usa</v>
      </c>
      <c r="AL210">
        <v>0</v>
      </c>
      <c r="AM210" t="str">
        <f t="shared" si="100"/>
        <v>No usa</v>
      </c>
      <c r="AN210">
        <v>1</v>
      </c>
      <c r="AO210" t="str">
        <f t="shared" si="101"/>
        <v>Usa Transporte</v>
      </c>
      <c r="AP210">
        <v>0</v>
      </c>
      <c r="AQ210" t="str">
        <f t="shared" si="102"/>
        <v>No camina</v>
      </c>
      <c r="AR210">
        <v>0</v>
      </c>
      <c r="AS210" t="str">
        <f t="shared" si="103"/>
        <v>No es obeso</v>
      </c>
    </row>
    <row r="211" spans="1:45" x14ac:dyDescent="0.25">
      <c r="A211">
        <v>0</v>
      </c>
      <c r="B211" t="str">
        <f t="shared" si="78"/>
        <v>F</v>
      </c>
      <c r="C211">
        <v>22</v>
      </c>
      <c r="D211">
        <f t="shared" si="79"/>
        <v>22</v>
      </c>
      <c r="E211">
        <f t="shared" si="80"/>
        <v>22</v>
      </c>
      <c r="F211" t="str">
        <f t="shared" si="81"/>
        <v>1-25</v>
      </c>
      <c r="G211">
        <v>1</v>
      </c>
      <c r="H211" t="str">
        <f t="shared" si="82"/>
        <v>Pariente gordo</v>
      </c>
      <c r="I211">
        <v>1</v>
      </c>
      <c r="J211" t="str">
        <f t="shared" si="83"/>
        <v>Hipercaloricos</v>
      </c>
      <c r="K211">
        <v>2</v>
      </c>
      <c r="L211">
        <f t="shared" si="84"/>
        <v>1</v>
      </c>
      <c r="M211" t="str">
        <f t="shared" si="85"/>
        <v>Suele comer</v>
      </c>
      <c r="N211">
        <v>3</v>
      </c>
      <c r="O211">
        <f t="shared" si="86"/>
        <v>2</v>
      </c>
      <c r="P211" t="str">
        <f t="shared" si="87"/>
        <v>Mas de 3</v>
      </c>
      <c r="Q211">
        <v>1</v>
      </c>
      <c r="R211" t="str">
        <f t="shared" si="88"/>
        <v>A veces</v>
      </c>
      <c r="S211">
        <v>0</v>
      </c>
      <c r="T211" t="str">
        <f t="shared" si="89"/>
        <v>No fuma</v>
      </c>
      <c r="U211">
        <v>2</v>
      </c>
      <c r="V211">
        <f t="shared" si="90"/>
        <v>2</v>
      </c>
      <c r="W211" t="str">
        <f t="shared" si="91"/>
        <v>Siempre</v>
      </c>
      <c r="X211">
        <v>0</v>
      </c>
      <c r="Y211" t="str">
        <f t="shared" si="92"/>
        <v>No controla</v>
      </c>
      <c r="Z211">
        <v>1</v>
      </c>
      <c r="AA211">
        <f t="shared" si="93"/>
        <v>1</v>
      </c>
      <c r="AB211" t="str">
        <f t="shared" si="94"/>
        <v>A veces</v>
      </c>
      <c r="AC211">
        <v>1</v>
      </c>
      <c r="AD211">
        <f t="shared" si="95"/>
        <v>1</v>
      </c>
      <c r="AE211" t="str">
        <f t="shared" si="96"/>
        <v>Usualmente</v>
      </c>
      <c r="AF211">
        <v>1</v>
      </c>
      <c r="AG211" t="str">
        <f t="shared" si="97"/>
        <v>A veces</v>
      </c>
      <c r="AH211">
        <v>0</v>
      </c>
      <c r="AI211" t="str">
        <f t="shared" si="98"/>
        <v>No usa</v>
      </c>
      <c r="AJ211">
        <v>0</v>
      </c>
      <c r="AK211" t="str">
        <f t="shared" si="99"/>
        <v>No usa</v>
      </c>
      <c r="AL211">
        <v>0</v>
      </c>
      <c r="AM211" t="str">
        <f t="shared" si="100"/>
        <v>No usa</v>
      </c>
      <c r="AN211">
        <v>1</v>
      </c>
      <c r="AO211" t="str">
        <f t="shared" si="101"/>
        <v>Usa Transporte</v>
      </c>
      <c r="AP211">
        <v>0</v>
      </c>
      <c r="AQ211" t="str">
        <f t="shared" si="102"/>
        <v>No camina</v>
      </c>
      <c r="AR211">
        <v>0</v>
      </c>
      <c r="AS211" t="str">
        <f t="shared" si="103"/>
        <v>No es obeso</v>
      </c>
    </row>
    <row r="212" spans="1:45" x14ac:dyDescent="0.25">
      <c r="A212">
        <v>1</v>
      </c>
      <c r="B212" t="str">
        <f t="shared" si="78"/>
        <v>M</v>
      </c>
      <c r="C212">
        <v>20</v>
      </c>
      <c r="D212">
        <f t="shared" si="79"/>
        <v>20</v>
      </c>
      <c r="E212">
        <f t="shared" si="80"/>
        <v>20</v>
      </c>
      <c r="F212" t="str">
        <f t="shared" si="81"/>
        <v>1-25</v>
      </c>
      <c r="G212">
        <v>1</v>
      </c>
      <c r="H212" t="str">
        <f t="shared" si="82"/>
        <v>Pariente gordo</v>
      </c>
      <c r="I212">
        <v>1</v>
      </c>
      <c r="J212" t="str">
        <f t="shared" si="83"/>
        <v>Hipercaloricos</v>
      </c>
      <c r="K212">
        <v>2</v>
      </c>
      <c r="L212">
        <f t="shared" si="84"/>
        <v>1</v>
      </c>
      <c r="M212" t="str">
        <f t="shared" si="85"/>
        <v>Suele comer</v>
      </c>
      <c r="N212">
        <v>3</v>
      </c>
      <c r="O212">
        <f t="shared" si="86"/>
        <v>2</v>
      </c>
      <c r="P212" t="str">
        <f t="shared" si="87"/>
        <v>Mas de 3</v>
      </c>
      <c r="Q212">
        <v>2</v>
      </c>
      <c r="R212" t="str">
        <f t="shared" si="88"/>
        <v>Usualmente</v>
      </c>
      <c r="S212">
        <v>0</v>
      </c>
      <c r="T212" t="str">
        <f t="shared" si="89"/>
        <v>No fuma</v>
      </c>
      <c r="U212">
        <v>2</v>
      </c>
      <c r="V212">
        <f t="shared" si="90"/>
        <v>2</v>
      </c>
      <c r="W212" t="str">
        <f t="shared" si="91"/>
        <v>Siempre</v>
      </c>
      <c r="X212">
        <v>0</v>
      </c>
      <c r="Y212" t="str">
        <f t="shared" si="92"/>
        <v>No controla</v>
      </c>
      <c r="Z212">
        <v>0</v>
      </c>
      <c r="AA212">
        <f t="shared" si="93"/>
        <v>0</v>
      </c>
      <c r="AB212" t="str">
        <f t="shared" si="94"/>
        <v>Nunca</v>
      </c>
      <c r="AC212">
        <v>1</v>
      </c>
      <c r="AD212">
        <f t="shared" si="95"/>
        <v>1</v>
      </c>
      <c r="AE212" t="str">
        <f t="shared" si="96"/>
        <v>Usualmente</v>
      </c>
      <c r="AF212">
        <v>0</v>
      </c>
      <c r="AG212" t="str">
        <f t="shared" si="97"/>
        <v>Nunca</v>
      </c>
      <c r="AH212">
        <v>0</v>
      </c>
      <c r="AI212" t="str">
        <f t="shared" si="98"/>
        <v>No usa</v>
      </c>
      <c r="AJ212">
        <v>0</v>
      </c>
      <c r="AK212" t="str">
        <f t="shared" si="99"/>
        <v>No usa</v>
      </c>
      <c r="AL212">
        <v>0</v>
      </c>
      <c r="AM212" t="str">
        <f t="shared" si="100"/>
        <v>No usa</v>
      </c>
      <c r="AN212">
        <v>1</v>
      </c>
      <c r="AO212" t="str">
        <f t="shared" si="101"/>
        <v>Usa Transporte</v>
      </c>
      <c r="AP212">
        <v>0</v>
      </c>
      <c r="AQ212" t="str">
        <f t="shared" si="102"/>
        <v>No camina</v>
      </c>
      <c r="AR212">
        <v>1</v>
      </c>
      <c r="AS212" t="str">
        <f t="shared" si="103"/>
        <v>Es Obeso</v>
      </c>
    </row>
    <row r="213" spans="1:45" x14ac:dyDescent="0.25">
      <c r="A213">
        <v>0</v>
      </c>
      <c r="B213" t="str">
        <f t="shared" si="78"/>
        <v>F</v>
      </c>
      <c r="C213">
        <v>21</v>
      </c>
      <c r="D213">
        <f t="shared" si="79"/>
        <v>21</v>
      </c>
      <c r="E213">
        <f t="shared" si="80"/>
        <v>21</v>
      </c>
      <c r="F213" t="str">
        <f t="shared" si="81"/>
        <v>1-25</v>
      </c>
      <c r="G213">
        <v>0</v>
      </c>
      <c r="H213" t="str">
        <f t="shared" si="82"/>
        <v>Pariente normal</v>
      </c>
      <c r="I213">
        <v>1</v>
      </c>
      <c r="J213" t="str">
        <f t="shared" si="83"/>
        <v>Hipercaloricos</v>
      </c>
      <c r="K213">
        <v>2</v>
      </c>
      <c r="L213">
        <f t="shared" si="84"/>
        <v>1</v>
      </c>
      <c r="M213" t="str">
        <f t="shared" si="85"/>
        <v>Suele comer</v>
      </c>
      <c r="N213">
        <v>1</v>
      </c>
      <c r="O213">
        <f t="shared" si="86"/>
        <v>1</v>
      </c>
      <c r="P213">
        <f t="shared" si="87"/>
        <v>3</v>
      </c>
      <c r="Q213">
        <v>1</v>
      </c>
      <c r="R213" t="str">
        <f t="shared" si="88"/>
        <v>A veces</v>
      </c>
      <c r="S213">
        <v>0</v>
      </c>
      <c r="T213" t="str">
        <f t="shared" si="89"/>
        <v>No fuma</v>
      </c>
      <c r="U213">
        <v>1</v>
      </c>
      <c r="V213">
        <f t="shared" si="90"/>
        <v>1</v>
      </c>
      <c r="W213" t="str">
        <f t="shared" si="91"/>
        <v>Usualmente</v>
      </c>
      <c r="X213">
        <v>0</v>
      </c>
      <c r="Y213" t="str">
        <f t="shared" si="92"/>
        <v>No controla</v>
      </c>
      <c r="Z213">
        <v>1</v>
      </c>
      <c r="AA213">
        <f t="shared" si="93"/>
        <v>1</v>
      </c>
      <c r="AB213" t="str">
        <f t="shared" si="94"/>
        <v>A veces</v>
      </c>
      <c r="AC213">
        <v>1</v>
      </c>
      <c r="AD213">
        <f t="shared" si="95"/>
        <v>1</v>
      </c>
      <c r="AE213" t="str">
        <f t="shared" si="96"/>
        <v>Usualmente</v>
      </c>
      <c r="AF213">
        <v>0</v>
      </c>
      <c r="AG213" t="str">
        <f t="shared" si="97"/>
        <v>Nunca</v>
      </c>
      <c r="AH213">
        <v>0</v>
      </c>
      <c r="AI213" t="str">
        <f t="shared" si="98"/>
        <v>No usa</v>
      </c>
      <c r="AJ213">
        <v>0</v>
      </c>
      <c r="AK213" t="str">
        <f t="shared" si="99"/>
        <v>No usa</v>
      </c>
      <c r="AL213">
        <v>0</v>
      </c>
      <c r="AM213" t="str">
        <f t="shared" si="100"/>
        <v>No usa</v>
      </c>
      <c r="AN213">
        <v>1</v>
      </c>
      <c r="AO213" t="str">
        <f t="shared" si="101"/>
        <v>Usa Transporte</v>
      </c>
      <c r="AP213">
        <v>0</v>
      </c>
      <c r="AQ213" t="str">
        <f t="shared" si="102"/>
        <v>No camina</v>
      </c>
      <c r="AR213">
        <v>0</v>
      </c>
      <c r="AS213" t="str">
        <f t="shared" si="103"/>
        <v>No es obeso</v>
      </c>
    </row>
    <row r="214" spans="1:45" x14ac:dyDescent="0.25">
      <c r="A214">
        <v>0</v>
      </c>
      <c r="B214" t="str">
        <f t="shared" si="78"/>
        <v>F</v>
      </c>
      <c r="C214">
        <v>24</v>
      </c>
      <c r="D214">
        <f t="shared" si="79"/>
        <v>24</v>
      </c>
      <c r="E214">
        <f t="shared" si="80"/>
        <v>24</v>
      </c>
      <c r="F214" t="str">
        <f t="shared" si="81"/>
        <v>1-25</v>
      </c>
      <c r="G214">
        <v>1</v>
      </c>
      <c r="H214" t="str">
        <f t="shared" si="82"/>
        <v>Pariente gordo</v>
      </c>
      <c r="I214">
        <v>0</v>
      </c>
      <c r="J214" t="str">
        <f t="shared" si="83"/>
        <v>Saludables</v>
      </c>
      <c r="K214">
        <v>2</v>
      </c>
      <c r="L214">
        <f t="shared" si="84"/>
        <v>1</v>
      </c>
      <c r="M214" t="str">
        <f t="shared" si="85"/>
        <v>Suele comer</v>
      </c>
      <c r="N214">
        <v>1</v>
      </c>
      <c r="O214">
        <f t="shared" si="86"/>
        <v>1</v>
      </c>
      <c r="P214">
        <f t="shared" si="87"/>
        <v>3</v>
      </c>
      <c r="Q214">
        <v>1</v>
      </c>
      <c r="R214" t="str">
        <f t="shared" si="88"/>
        <v>A veces</v>
      </c>
      <c r="S214">
        <v>0</v>
      </c>
      <c r="T214" t="str">
        <f t="shared" si="89"/>
        <v>No fuma</v>
      </c>
      <c r="U214">
        <v>2</v>
      </c>
      <c r="V214">
        <f t="shared" si="90"/>
        <v>2</v>
      </c>
      <c r="W214" t="str">
        <f t="shared" si="91"/>
        <v>Siempre</v>
      </c>
      <c r="X214">
        <v>0</v>
      </c>
      <c r="Y214" t="str">
        <f t="shared" si="92"/>
        <v>No controla</v>
      </c>
      <c r="Z214">
        <v>0</v>
      </c>
      <c r="AA214">
        <f t="shared" si="93"/>
        <v>0</v>
      </c>
      <c r="AB214" t="str">
        <f t="shared" si="94"/>
        <v>Nunca</v>
      </c>
      <c r="AC214">
        <v>0</v>
      </c>
      <c r="AD214">
        <f t="shared" si="95"/>
        <v>0</v>
      </c>
      <c r="AE214" t="str">
        <f t="shared" si="96"/>
        <v>Nunca</v>
      </c>
      <c r="AF214">
        <v>0</v>
      </c>
      <c r="AG214" t="str">
        <f t="shared" si="97"/>
        <v>Nunca</v>
      </c>
      <c r="AH214">
        <v>0</v>
      </c>
      <c r="AI214" t="str">
        <f t="shared" si="98"/>
        <v>No usa</v>
      </c>
      <c r="AJ214">
        <v>0</v>
      </c>
      <c r="AK214" t="str">
        <f t="shared" si="99"/>
        <v>No usa</v>
      </c>
      <c r="AL214">
        <v>0</v>
      </c>
      <c r="AM214" t="str">
        <f t="shared" si="100"/>
        <v>No usa</v>
      </c>
      <c r="AN214">
        <v>1</v>
      </c>
      <c r="AO214" t="str">
        <f t="shared" si="101"/>
        <v>Usa Transporte</v>
      </c>
      <c r="AP214">
        <v>0</v>
      </c>
      <c r="AQ214" t="str">
        <f t="shared" si="102"/>
        <v>No camina</v>
      </c>
      <c r="AR214">
        <v>0</v>
      </c>
      <c r="AS214" t="str">
        <f t="shared" si="103"/>
        <v>No es obeso</v>
      </c>
    </row>
    <row r="215" spans="1:45" x14ac:dyDescent="0.25">
      <c r="A215">
        <v>1</v>
      </c>
      <c r="B215" t="str">
        <f t="shared" si="78"/>
        <v>M</v>
      </c>
      <c r="C215">
        <v>21</v>
      </c>
      <c r="D215">
        <f t="shared" si="79"/>
        <v>21</v>
      </c>
      <c r="E215">
        <f t="shared" si="80"/>
        <v>21</v>
      </c>
      <c r="F215" t="str">
        <f t="shared" si="81"/>
        <v>1-25</v>
      </c>
      <c r="G215">
        <v>1</v>
      </c>
      <c r="H215" t="str">
        <f t="shared" si="82"/>
        <v>Pariente gordo</v>
      </c>
      <c r="I215">
        <v>1</v>
      </c>
      <c r="J215" t="str">
        <f t="shared" si="83"/>
        <v>Hipercaloricos</v>
      </c>
      <c r="K215">
        <v>3</v>
      </c>
      <c r="L215">
        <f t="shared" si="84"/>
        <v>1</v>
      </c>
      <c r="M215" t="str">
        <f t="shared" si="85"/>
        <v>Suele comer</v>
      </c>
      <c r="N215">
        <v>3</v>
      </c>
      <c r="O215">
        <f t="shared" si="86"/>
        <v>2</v>
      </c>
      <c r="P215" t="str">
        <f t="shared" si="87"/>
        <v>Mas de 3</v>
      </c>
      <c r="Q215">
        <v>1</v>
      </c>
      <c r="R215" t="str">
        <f t="shared" si="88"/>
        <v>A veces</v>
      </c>
      <c r="S215">
        <v>0</v>
      </c>
      <c r="T215" t="str">
        <f t="shared" si="89"/>
        <v>No fuma</v>
      </c>
      <c r="U215">
        <v>2</v>
      </c>
      <c r="V215">
        <f t="shared" si="90"/>
        <v>2</v>
      </c>
      <c r="W215" t="str">
        <f t="shared" si="91"/>
        <v>Siempre</v>
      </c>
      <c r="X215">
        <v>0</v>
      </c>
      <c r="Y215" t="str">
        <f t="shared" si="92"/>
        <v>No controla</v>
      </c>
      <c r="Z215">
        <v>1</v>
      </c>
      <c r="AA215">
        <f t="shared" si="93"/>
        <v>1</v>
      </c>
      <c r="AB215" t="str">
        <f t="shared" si="94"/>
        <v>A veces</v>
      </c>
      <c r="AC215">
        <v>0</v>
      </c>
      <c r="AD215">
        <f t="shared" si="95"/>
        <v>0</v>
      </c>
      <c r="AE215" t="str">
        <f t="shared" si="96"/>
        <v>Nunca</v>
      </c>
      <c r="AF215">
        <v>0</v>
      </c>
      <c r="AG215" t="str">
        <f t="shared" si="97"/>
        <v>Nunca</v>
      </c>
      <c r="AH215">
        <v>0</v>
      </c>
      <c r="AI215" t="str">
        <f t="shared" si="98"/>
        <v>No usa</v>
      </c>
      <c r="AJ215">
        <v>0</v>
      </c>
      <c r="AK215" t="str">
        <f t="shared" si="99"/>
        <v>No usa</v>
      </c>
      <c r="AL215">
        <v>0</v>
      </c>
      <c r="AM215" t="str">
        <f t="shared" si="100"/>
        <v>No usa</v>
      </c>
      <c r="AN215">
        <v>1</v>
      </c>
      <c r="AO215" t="str">
        <f t="shared" si="101"/>
        <v>Usa Transporte</v>
      </c>
      <c r="AP215">
        <v>0</v>
      </c>
      <c r="AQ215" t="str">
        <f t="shared" si="102"/>
        <v>No camina</v>
      </c>
      <c r="AR215">
        <v>0</v>
      </c>
      <c r="AS215" t="str">
        <f t="shared" si="103"/>
        <v>No es obeso</v>
      </c>
    </row>
    <row r="216" spans="1:45" x14ac:dyDescent="0.25">
      <c r="A216">
        <v>1</v>
      </c>
      <c r="B216" t="str">
        <f t="shared" si="78"/>
        <v>M</v>
      </c>
      <c r="C216">
        <v>21</v>
      </c>
      <c r="D216">
        <f t="shared" si="79"/>
        <v>21</v>
      </c>
      <c r="E216">
        <f t="shared" si="80"/>
        <v>21</v>
      </c>
      <c r="F216" t="str">
        <f t="shared" si="81"/>
        <v>1-25</v>
      </c>
      <c r="G216">
        <v>1</v>
      </c>
      <c r="H216" t="str">
        <f t="shared" si="82"/>
        <v>Pariente gordo</v>
      </c>
      <c r="I216">
        <v>1</v>
      </c>
      <c r="J216" t="str">
        <f t="shared" si="83"/>
        <v>Hipercaloricos</v>
      </c>
      <c r="K216">
        <v>2</v>
      </c>
      <c r="L216">
        <f t="shared" si="84"/>
        <v>1</v>
      </c>
      <c r="M216" t="str">
        <f t="shared" si="85"/>
        <v>Suele comer</v>
      </c>
      <c r="N216">
        <v>3</v>
      </c>
      <c r="O216">
        <f t="shared" si="86"/>
        <v>2</v>
      </c>
      <c r="P216" t="str">
        <f t="shared" si="87"/>
        <v>Mas de 3</v>
      </c>
      <c r="Q216">
        <v>1</v>
      </c>
      <c r="R216" t="str">
        <f t="shared" si="88"/>
        <v>A veces</v>
      </c>
      <c r="S216">
        <v>0</v>
      </c>
      <c r="T216" t="str">
        <f t="shared" si="89"/>
        <v>No fuma</v>
      </c>
      <c r="U216">
        <v>2</v>
      </c>
      <c r="V216">
        <f t="shared" si="90"/>
        <v>2</v>
      </c>
      <c r="W216" t="str">
        <f t="shared" si="91"/>
        <v>Siempre</v>
      </c>
      <c r="X216">
        <v>0</v>
      </c>
      <c r="Y216" t="str">
        <f t="shared" si="92"/>
        <v>No controla</v>
      </c>
      <c r="Z216">
        <v>1</v>
      </c>
      <c r="AA216">
        <f t="shared" si="93"/>
        <v>1</v>
      </c>
      <c r="AB216" t="str">
        <f t="shared" si="94"/>
        <v>A veces</v>
      </c>
      <c r="AC216">
        <v>0</v>
      </c>
      <c r="AD216">
        <f t="shared" si="95"/>
        <v>0</v>
      </c>
      <c r="AE216" t="str">
        <f t="shared" si="96"/>
        <v>Nunca</v>
      </c>
      <c r="AF216">
        <v>1</v>
      </c>
      <c r="AG216" t="str">
        <f t="shared" si="97"/>
        <v>A veces</v>
      </c>
      <c r="AH216">
        <v>0</v>
      </c>
      <c r="AI216" t="str">
        <f t="shared" si="98"/>
        <v>No usa</v>
      </c>
      <c r="AJ216">
        <v>0</v>
      </c>
      <c r="AK216" t="str">
        <f t="shared" si="99"/>
        <v>No usa</v>
      </c>
      <c r="AL216">
        <v>0</v>
      </c>
      <c r="AM216" t="str">
        <f t="shared" si="100"/>
        <v>No usa</v>
      </c>
      <c r="AN216">
        <v>1</v>
      </c>
      <c r="AO216" t="str">
        <f t="shared" si="101"/>
        <v>Usa Transporte</v>
      </c>
      <c r="AP216">
        <v>0</v>
      </c>
      <c r="AQ216" t="str">
        <f t="shared" si="102"/>
        <v>No camina</v>
      </c>
      <c r="AR216">
        <v>0</v>
      </c>
      <c r="AS216" t="str">
        <f t="shared" si="103"/>
        <v>No es obeso</v>
      </c>
    </row>
    <row r="217" spans="1:45" x14ac:dyDescent="0.25">
      <c r="A217">
        <v>1</v>
      </c>
      <c r="B217" t="str">
        <f t="shared" si="78"/>
        <v>M</v>
      </c>
      <c r="C217">
        <v>21</v>
      </c>
      <c r="D217">
        <f t="shared" si="79"/>
        <v>21</v>
      </c>
      <c r="E217">
        <f t="shared" si="80"/>
        <v>21</v>
      </c>
      <c r="F217" t="str">
        <f t="shared" si="81"/>
        <v>1-25</v>
      </c>
      <c r="G217">
        <v>1</v>
      </c>
      <c r="H217" t="str">
        <f t="shared" si="82"/>
        <v>Pariente gordo</v>
      </c>
      <c r="I217">
        <v>1</v>
      </c>
      <c r="J217" t="str">
        <f t="shared" si="83"/>
        <v>Hipercaloricos</v>
      </c>
      <c r="K217">
        <v>3</v>
      </c>
      <c r="L217">
        <f t="shared" si="84"/>
        <v>1</v>
      </c>
      <c r="M217" t="str">
        <f t="shared" si="85"/>
        <v>Suele comer</v>
      </c>
      <c r="N217">
        <v>3</v>
      </c>
      <c r="O217">
        <f t="shared" si="86"/>
        <v>2</v>
      </c>
      <c r="P217" t="str">
        <f t="shared" si="87"/>
        <v>Mas de 3</v>
      </c>
      <c r="Q217">
        <v>1</v>
      </c>
      <c r="R217" t="str">
        <f t="shared" si="88"/>
        <v>A veces</v>
      </c>
      <c r="S217">
        <v>0</v>
      </c>
      <c r="T217" t="str">
        <f t="shared" si="89"/>
        <v>No fuma</v>
      </c>
      <c r="U217">
        <v>3</v>
      </c>
      <c r="V217">
        <f t="shared" si="90"/>
        <v>2</v>
      </c>
      <c r="W217" t="str">
        <f t="shared" si="91"/>
        <v>Siempre</v>
      </c>
      <c r="X217">
        <v>0</v>
      </c>
      <c r="Y217" t="str">
        <f t="shared" si="92"/>
        <v>No controla</v>
      </c>
      <c r="Z217">
        <v>0</v>
      </c>
      <c r="AA217">
        <f t="shared" si="93"/>
        <v>0</v>
      </c>
      <c r="AB217" t="str">
        <f t="shared" si="94"/>
        <v>Nunca</v>
      </c>
      <c r="AC217">
        <v>2</v>
      </c>
      <c r="AD217">
        <f t="shared" si="95"/>
        <v>2</v>
      </c>
      <c r="AE217" t="str">
        <f t="shared" si="96"/>
        <v>Siempre</v>
      </c>
      <c r="AF217">
        <v>1</v>
      </c>
      <c r="AG217" t="str">
        <f t="shared" si="97"/>
        <v>A veces</v>
      </c>
      <c r="AH217">
        <v>0</v>
      </c>
      <c r="AI217" t="str">
        <f t="shared" si="98"/>
        <v>No usa</v>
      </c>
      <c r="AJ217">
        <v>0</v>
      </c>
      <c r="AK217" t="str">
        <f t="shared" si="99"/>
        <v>No usa</v>
      </c>
      <c r="AL217">
        <v>0</v>
      </c>
      <c r="AM217" t="str">
        <f t="shared" si="100"/>
        <v>No usa</v>
      </c>
      <c r="AN217">
        <v>1</v>
      </c>
      <c r="AO217" t="str">
        <f t="shared" si="101"/>
        <v>Usa Transporte</v>
      </c>
      <c r="AP217">
        <v>0</v>
      </c>
      <c r="AQ217" t="str">
        <f t="shared" si="102"/>
        <v>No camina</v>
      </c>
      <c r="AR217">
        <v>0</v>
      </c>
      <c r="AS217" t="str">
        <f t="shared" si="103"/>
        <v>No es obeso</v>
      </c>
    </row>
    <row r="218" spans="1:45" x14ac:dyDescent="0.25">
      <c r="A218">
        <v>0</v>
      </c>
      <c r="B218" t="str">
        <f t="shared" si="78"/>
        <v>F</v>
      </c>
      <c r="C218">
        <v>23</v>
      </c>
      <c r="D218">
        <f t="shared" si="79"/>
        <v>23</v>
      </c>
      <c r="E218">
        <f t="shared" si="80"/>
        <v>23</v>
      </c>
      <c r="F218" t="str">
        <f t="shared" si="81"/>
        <v>1-25</v>
      </c>
      <c r="G218">
        <v>1</v>
      </c>
      <c r="H218" t="str">
        <f t="shared" si="82"/>
        <v>Pariente gordo</v>
      </c>
      <c r="I218">
        <v>0</v>
      </c>
      <c r="J218" t="str">
        <f t="shared" si="83"/>
        <v>Saludables</v>
      </c>
      <c r="K218">
        <v>3</v>
      </c>
      <c r="L218">
        <f t="shared" si="84"/>
        <v>1</v>
      </c>
      <c r="M218" t="str">
        <f t="shared" si="85"/>
        <v>Suele comer</v>
      </c>
      <c r="N218">
        <v>3</v>
      </c>
      <c r="O218">
        <f t="shared" si="86"/>
        <v>2</v>
      </c>
      <c r="P218" t="str">
        <f t="shared" si="87"/>
        <v>Mas de 3</v>
      </c>
      <c r="Q218">
        <v>2</v>
      </c>
      <c r="R218" t="str">
        <f t="shared" si="88"/>
        <v>Usualmente</v>
      </c>
      <c r="S218">
        <v>0</v>
      </c>
      <c r="T218" t="str">
        <f t="shared" si="89"/>
        <v>No fuma</v>
      </c>
      <c r="U218">
        <v>2</v>
      </c>
      <c r="V218">
        <f t="shared" si="90"/>
        <v>2</v>
      </c>
      <c r="W218" t="str">
        <f t="shared" si="91"/>
        <v>Siempre</v>
      </c>
      <c r="X218">
        <v>0</v>
      </c>
      <c r="Y218" t="str">
        <f t="shared" si="92"/>
        <v>No controla</v>
      </c>
      <c r="Z218">
        <v>3</v>
      </c>
      <c r="AA218">
        <f t="shared" si="93"/>
        <v>3</v>
      </c>
      <c r="AB218" t="str">
        <f t="shared" si="94"/>
        <v>Siempre</v>
      </c>
      <c r="AC218">
        <v>0</v>
      </c>
      <c r="AD218">
        <f t="shared" si="95"/>
        <v>0</v>
      </c>
      <c r="AE218" t="str">
        <f t="shared" si="96"/>
        <v>Nunca</v>
      </c>
      <c r="AF218">
        <v>1</v>
      </c>
      <c r="AG218" t="str">
        <f t="shared" si="97"/>
        <v>A veces</v>
      </c>
      <c r="AH218">
        <v>0</v>
      </c>
      <c r="AI218" t="str">
        <f t="shared" si="98"/>
        <v>No usa</v>
      </c>
      <c r="AJ218">
        <v>0</v>
      </c>
      <c r="AK218" t="str">
        <f t="shared" si="99"/>
        <v>No usa</v>
      </c>
      <c r="AL218">
        <v>0</v>
      </c>
      <c r="AM218" t="str">
        <f t="shared" si="100"/>
        <v>No usa</v>
      </c>
      <c r="AN218">
        <v>0</v>
      </c>
      <c r="AO218" t="str">
        <f t="shared" si="101"/>
        <v>No usa</v>
      </c>
      <c r="AP218">
        <v>1</v>
      </c>
      <c r="AQ218" t="str">
        <f t="shared" si="102"/>
        <v>Camina</v>
      </c>
      <c r="AR218">
        <v>0</v>
      </c>
      <c r="AS218" t="str">
        <f t="shared" si="103"/>
        <v>No es obeso</v>
      </c>
    </row>
    <row r="219" spans="1:45" x14ac:dyDescent="0.25">
      <c r="A219">
        <v>1</v>
      </c>
      <c r="B219" t="str">
        <f t="shared" si="78"/>
        <v>M</v>
      </c>
      <c r="C219">
        <v>21</v>
      </c>
      <c r="D219">
        <f t="shared" si="79"/>
        <v>21</v>
      </c>
      <c r="E219">
        <f t="shared" si="80"/>
        <v>21</v>
      </c>
      <c r="F219" t="str">
        <f t="shared" si="81"/>
        <v>1-25</v>
      </c>
      <c r="G219">
        <v>0</v>
      </c>
      <c r="H219" t="str">
        <f t="shared" si="82"/>
        <v>Pariente normal</v>
      </c>
      <c r="I219">
        <v>0</v>
      </c>
      <c r="J219" t="str">
        <f t="shared" si="83"/>
        <v>Saludables</v>
      </c>
      <c r="K219">
        <v>2</v>
      </c>
      <c r="L219">
        <f t="shared" si="84"/>
        <v>1</v>
      </c>
      <c r="M219" t="str">
        <f t="shared" si="85"/>
        <v>Suele comer</v>
      </c>
      <c r="N219">
        <v>3</v>
      </c>
      <c r="O219">
        <f t="shared" si="86"/>
        <v>2</v>
      </c>
      <c r="P219" t="str">
        <f t="shared" si="87"/>
        <v>Mas de 3</v>
      </c>
      <c r="Q219">
        <v>2</v>
      </c>
      <c r="R219" t="str">
        <f t="shared" si="88"/>
        <v>Usualmente</v>
      </c>
      <c r="S219">
        <v>0</v>
      </c>
      <c r="T219" t="str">
        <f t="shared" si="89"/>
        <v>No fuma</v>
      </c>
      <c r="U219">
        <v>3</v>
      </c>
      <c r="V219">
        <f t="shared" si="90"/>
        <v>2</v>
      </c>
      <c r="W219" t="str">
        <f t="shared" si="91"/>
        <v>Siempre</v>
      </c>
      <c r="X219">
        <v>1</v>
      </c>
      <c r="Y219" t="str">
        <f t="shared" si="92"/>
        <v>Controla</v>
      </c>
      <c r="Z219">
        <v>3</v>
      </c>
      <c r="AA219">
        <f t="shared" si="93"/>
        <v>3</v>
      </c>
      <c r="AB219" t="str">
        <f t="shared" si="94"/>
        <v>Siempre</v>
      </c>
      <c r="AC219">
        <v>1</v>
      </c>
      <c r="AD219">
        <f t="shared" si="95"/>
        <v>1</v>
      </c>
      <c r="AE219" t="str">
        <f t="shared" si="96"/>
        <v>Usualmente</v>
      </c>
      <c r="AF219">
        <v>2</v>
      </c>
      <c r="AG219" t="str">
        <f t="shared" si="97"/>
        <v>Usualmente</v>
      </c>
      <c r="AH219">
        <v>1</v>
      </c>
      <c r="AI219" t="str">
        <f t="shared" si="98"/>
        <v>Usa auto</v>
      </c>
      <c r="AJ219">
        <v>0</v>
      </c>
      <c r="AK219" t="str">
        <f t="shared" si="99"/>
        <v>No usa</v>
      </c>
      <c r="AL219">
        <v>0</v>
      </c>
      <c r="AM219" t="str">
        <f t="shared" si="100"/>
        <v>No usa</v>
      </c>
      <c r="AN219">
        <v>0</v>
      </c>
      <c r="AO219" t="str">
        <f t="shared" si="101"/>
        <v>No usa</v>
      </c>
      <c r="AP219">
        <v>0</v>
      </c>
      <c r="AQ219" t="str">
        <f t="shared" si="102"/>
        <v>No camina</v>
      </c>
      <c r="AR219">
        <v>0</v>
      </c>
      <c r="AS219" t="str">
        <f t="shared" si="103"/>
        <v>No es obeso</v>
      </c>
    </row>
    <row r="220" spans="1:45" x14ac:dyDescent="0.25">
      <c r="A220">
        <v>0</v>
      </c>
      <c r="B220" t="str">
        <f t="shared" si="78"/>
        <v>F</v>
      </c>
      <c r="C220">
        <v>21</v>
      </c>
      <c r="D220">
        <f t="shared" si="79"/>
        <v>21</v>
      </c>
      <c r="E220">
        <f t="shared" si="80"/>
        <v>21</v>
      </c>
      <c r="F220" t="str">
        <f t="shared" si="81"/>
        <v>1-25</v>
      </c>
      <c r="G220">
        <v>1</v>
      </c>
      <c r="H220" t="str">
        <f t="shared" si="82"/>
        <v>Pariente gordo</v>
      </c>
      <c r="I220">
        <v>0</v>
      </c>
      <c r="J220" t="str">
        <f t="shared" si="83"/>
        <v>Saludables</v>
      </c>
      <c r="K220">
        <v>1</v>
      </c>
      <c r="L220">
        <f t="shared" si="84"/>
        <v>1</v>
      </c>
      <c r="M220" t="str">
        <f t="shared" si="85"/>
        <v>Suele comer</v>
      </c>
      <c r="N220">
        <v>1</v>
      </c>
      <c r="O220">
        <f t="shared" si="86"/>
        <v>1</v>
      </c>
      <c r="P220">
        <f t="shared" si="87"/>
        <v>3</v>
      </c>
      <c r="Q220">
        <v>1</v>
      </c>
      <c r="R220" t="str">
        <f t="shared" si="88"/>
        <v>A veces</v>
      </c>
      <c r="S220">
        <v>0</v>
      </c>
      <c r="T220" t="str">
        <f t="shared" si="89"/>
        <v>No fuma</v>
      </c>
      <c r="U220">
        <v>2</v>
      </c>
      <c r="V220">
        <f t="shared" si="90"/>
        <v>2</v>
      </c>
      <c r="W220" t="str">
        <f t="shared" si="91"/>
        <v>Siempre</v>
      </c>
      <c r="X220">
        <v>0</v>
      </c>
      <c r="Y220" t="str">
        <f t="shared" si="92"/>
        <v>No controla</v>
      </c>
      <c r="Z220">
        <v>3</v>
      </c>
      <c r="AA220">
        <f t="shared" si="93"/>
        <v>3</v>
      </c>
      <c r="AB220" t="str">
        <f t="shared" si="94"/>
        <v>Siempre</v>
      </c>
      <c r="AC220">
        <v>0</v>
      </c>
      <c r="AD220">
        <f t="shared" si="95"/>
        <v>0</v>
      </c>
      <c r="AE220" t="str">
        <f t="shared" si="96"/>
        <v>Nunca</v>
      </c>
      <c r="AF220">
        <v>0</v>
      </c>
      <c r="AG220" t="str">
        <f t="shared" si="97"/>
        <v>Nunca</v>
      </c>
      <c r="AH220">
        <v>0</v>
      </c>
      <c r="AI220" t="str">
        <f t="shared" si="98"/>
        <v>No usa</v>
      </c>
      <c r="AJ220">
        <v>0</v>
      </c>
      <c r="AK220" t="str">
        <f t="shared" si="99"/>
        <v>No usa</v>
      </c>
      <c r="AL220">
        <v>0</v>
      </c>
      <c r="AM220" t="str">
        <f t="shared" si="100"/>
        <v>No usa</v>
      </c>
      <c r="AN220">
        <v>1</v>
      </c>
      <c r="AO220" t="str">
        <f t="shared" si="101"/>
        <v>Usa Transporte</v>
      </c>
      <c r="AP220">
        <v>0</v>
      </c>
      <c r="AQ220" t="str">
        <f t="shared" si="102"/>
        <v>No camina</v>
      </c>
      <c r="AR220">
        <v>0</v>
      </c>
      <c r="AS220" t="str">
        <f t="shared" si="103"/>
        <v>No es obeso</v>
      </c>
    </row>
    <row r="221" spans="1:45" x14ac:dyDescent="0.25">
      <c r="A221">
        <v>0</v>
      </c>
      <c r="B221" t="str">
        <f t="shared" si="78"/>
        <v>F</v>
      </c>
      <c r="C221">
        <v>21</v>
      </c>
      <c r="D221">
        <f t="shared" si="79"/>
        <v>21</v>
      </c>
      <c r="E221">
        <f t="shared" si="80"/>
        <v>21</v>
      </c>
      <c r="F221" t="str">
        <f t="shared" si="81"/>
        <v>1-25</v>
      </c>
      <c r="G221">
        <v>1</v>
      </c>
      <c r="H221" t="str">
        <f t="shared" si="82"/>
        <v>Pariente gordo</v>
      </c>
      <c r="I221">
        <v>1</v>
      </c>
      <c r="J221" t="str">
        <f t="shared" si="83"/>
        <v>Hipercaloricos</v>
      </c>
      <c r="K221">
        <v>2</v>
      </c>
      <c r="L221">
        <f t="shared" si="84"/>
        <v>1</v>
      </c>
      <c r="M221" t="str">
        <f t="shared" si="85"/>
        <v>Suele comer</v>
      </c>
      <c r="N221">
        <v>3</v>
      </c>
      <c r="O221">
        <f t="shared" si="86"/>
        <v>2</v>
      </c>
      <c r="P221" t="str">
        <f t="shared" si="87"/>
        <v>Mas de 3</v>
      </c>
      <c r="Q221">
        <v>1</v>
      </c>
      <c r="R221" t="str">
        <f t="shared" si="88"/>
        <v>A veces</v>
      </c>
      <c r="S221">
        <v>0</v>
      </c>
      <c r="T221" t="str">
        <f t="shared" si="89"/>
        <v>No fuma</v>
      </c>
      <c r="U221">
        <v>3</v>
      </c>
      <c r="V221">
        <f t="shared" si="90"/>
        <v>2</v>
      </c>
      <c r="W221" t="str">
        <f t="shared" si="91"/>
        <v>Siempre</v>
      </c>
      <c r="X221">
        <v>0</v>
      </c>
      <c r="Y221" t="str">
        <f t="shared" si="92"/>
        <v>No controla</v>
      </c>
      <c r="Z221">
        <v>1</v>
      </c>
      <c r="AA221">
        <f t="shared" si="93"/>
        <v>1</v>
      </c>
      <c r="AB221" t="str">
        <f t="shared" si="94"/>
        <v>A veces</v>
      </c>
      <c r="AC221">
        <v>0</v>
      </c>
      <c r="AD221">
        <f t="shared" si="95"/>
        <v>0</v>
      </c>
      <c r="AE221" t="str">
        <f t="shared" si="96"/>
        <v>Nunca</v>
      </c>
      <c r="AF221">
        <v>1</v>
      </c>
      <c r="AG221" t="str">
        <f t="shared" si="97"/>
        <v>A veces</v>
      </c>
      <c r="AH221">
        <v>0</v>
      </c>
      <c r="AI221" t="str">
        <f t="shared" si="98"/>
        <v>No usa</v>
      </c>
      <c r="AJ221">
        <v>0</v>
      </c>
      <c r="AK221" t="str">
        <f t="shared" si="99"/>
        <v>No usa</v>
      </c>
      <c r="AL221">
        <v>0</v>
      </c>
      <c r="AM221" t="str">
        <f t="shared" si="100"/>
        <v>No usa</v>
      </c>
      <c r="AN221">
        <v>1</v>
      </c>
      <c r="AO221" t="str">
        <f t="shared" si="101"/>
        <v>Usa Transporte</v>
      </c>
      <c r="AP221">
        <v>0</v>
      </c>
      <c r="AQ221" t="str">
        <f t="shared" si="102"/>
        <v>No camina</v>
      </c>
      <c r="AR221">
        <v>0</v>
      </c>
      <c r="AS221" t="str">
        <f t="shared" si="103"/>
        <v>No es obeso</v>
      </c>
    </row>
    <row r="222" spans="1:45" x14ac:dyDescent="0.25">
      <c r="A222">
        <v>0</v>
      </c>
      <c r="B222" t="str">
        <f t="shared" si="78"/>
        <v>F</v>
      </c>
      <c r="C222">
        <v>21</v>
      </c>
      <c r="D222">
        <f t="shared" si="79"/>
        <v>21</v>
      </c>
      <c r="E222">
        <f t="shared" si="80"/>
        <v>21</v>
      </c>
      <c r="F222" t="str">
        <f t="shared" si="81"/>
        <v>1-25</v>
      </c>
      <c r="G222">
        <v>1</v>
      </c>
      <c r="H222" t="str">
        <f t="shared" si="82"/>
        <v>Pariente gordo</v>
      </c>
      <c r="I222">
        <v>0</v>
      </c>
      <c r="J222" t="str">
        <f t="shared" si="83"/>
        <v>Saludables</v>
      </c>
      <c r="K222">
        <v>2</v>
      </c>
      <c r="L222">
        <f t="shared" si="84"/>
        <v>1</v>
      </c>
      <c r="M222" t="str">
        <f t="shared" si="85"/>
        <v>Suele comer</v>
      </c>
      <c r="N222">
        <v>3</v>
      </c>
      <c r="O222">
        <f t="shared" si="86"/>
        <v>2</v>
      </c>
      <c r="P222" t="str">
        <f t="shared" si="87"/>
        <v>Mas de 3</v>
      </c>
      <c r="Q222">
        <v>2</v>
      </c>
      <c r="R222" t="str">
        <f t="shared" si="88"/>
        <v>Usualmente</v>
      </c>
      <c r="S222">
        <v>0</v>
      </c>
      <c r="T222" t="str">
        <f t="shared" si="89"/>
        <v>No fuma</v>
      </c>
      <c r="U222">
        <v>2</v>
      </c>
      <c r="V222">
        <f t="shared" si="90"/>
        <v>2</v>
      </c>
      <c r="W222" t="str">
        <f t="shared" si="91"/>
        <v>Siempre</v>
      </c>
      <c r="X222">
        <v>1</v>
      </c>
      <c r="Y222" t="str">
        <f t="shared" si="92"/>
        <v>Controla</v>
      </c>
      <c r="Z222">
        <v>0</v>
      </c>
      <c r="AA222">
        <f t="shared" si="93"/>
        <v>0</v>
      </c>
      <c r="AB222" t="str">
        <f t="shared" si="94"/>
        <v>Nunca</v>
      </c>
      <c r="AC222">
        <v>2</v>
      </c>
      <c r="AD222">
        <f t="shared" si="95"/>
        <v>2</v>
      </c>
      <c r="AE222" t="str">
        <f t="shared" si="96"/>
        <v>Siempre</v>
      </c>
      <c r="AF222">
        <v>2</v>
      </c>
      <c r="AG222" t="str">
        <f t="shared" si="97"/>
        <v>Usualmente</v>
      </c>
      <c r="AH222">
        <v>0</v>
      </c>
      <c r="AI222" t="str">
        <f t="shared" si="98"/>
        <v>No usa</v>
      </c>
      <c r="AJ222">
        <v>0</v>
      </c>
      <c r="AK222" t="str">
        <f t="shared" si="99"/>
        <v>No usa</v>
      </c>
      <c r="AL222">
        <v>0</v>
      </c>
      <c r="AM222" t="str">
        <f t="shared" si="100"/>
        <v>No usa</v>
      </c>
      <c r="AN222">
        <v>1</v>
      </c>
      <c r="AO222" t="str">
        <f t="shared" si="101"/>
        <v>Usa Transporte</v>
      </c>
      <c r="AP222">
        <v>0</v>
      </c>
      <c r="AQ222" t="str">
        <f t="shared" si="102"/>
        <v>No camina</v>
      </c>
      <c r="AR222">
        <v>0</v>
      </c>
      <c r="AS222" t="str">
        <f t="shared" si="103"/>
        <v>No es obeso</v>
      </c>
    </row>
    <row r="223" spans="1:45" x14ac:dyDescent="0.25">
      <c r="A223">
        <v>1</v>
      </c>
      <c r="B223" t="str">
        <f t="shared" si="78"/>
        <v>M</v>
      </c>
      <c r="C223">
        <v>23</v>
      </c>
      <c r="D223">
        <f t="shared" si="79"/>
        <v>23</v>
      </c>
      <c r="E223">
        <f t="shared" si="80"/>
        <v>23</v>
      </c>
      <c r="F223" t="str">
        <f t="shared" si="81"/>
        <v>1-25</v>
      </c>
      <c r="G223">
        <v>1</v>
      </c>
      <c r="H223" t="str">
        <f t="shared" si="82"/>
        <v>Pariente gordo</v>
      </c>
      <c r="I223">
        <v>1</v>
      </c>
      <c r="J223" t="str">
        <f t="shared" si="83"/>
        <v>Hipercaloricos</v>
      </c>
      <c r="K223">
        <v>2</v>
      </c>
      <c r="L223">
        <f t="shared" si="84"/>
        <v>1</v>
      </c>
      <c r="M223" t="str">
        <f t="shared" si="85"/>
        <v>Suele comer</v>
      </c>
      <c r="N223">
        <v>1</v>
      </c>
      <c r="O223">
        <f t="shared" si="86"/>
        <v>1</v>
      </c>
      <c r="P223">
        <f t="shared" si="87"/>
        <v>3</v>
      </c>
      <c r="Q223">
        <v>1</v>
      </c>
      <c r="R223" t="str">
        <f t="shared" si="88"/>
        <v>A veces</v>
      </c>
      <c r="S223">
        <v>0</v>
      </c>
      <c r="T223" t="str">
        <f t="shared" si="89"/>
        <v>No fuma</v>
      </c>
      <c r="U223">
        <v>1</v>
      </c>
      <c r="V223">
        <f t="shared" si="90"/>
        <v>1</v>
      </c>
      <c r="W223" t="str">
        <f t="shared" si="91"/>
        <v>Usualmente</v>
      </c>
      <c r="X223">
        <v>0</v>
      </c>
      <c r="Y223" t="str">
        <f t="shared" si="92"/>
        <v>No controla</v>
      </c>
      <c r="Z223">
        <v>1</v>
      </c>
      <c r="AA223">
        <f t="shared" si="93"/>
        <v>1</v>
      </c>
      <c r="AB223" t="str">
        <f t="shared" si="94"/>
        <v>A veces</v>
      </c>
      <c r="AC223">
        <v>1</v>
      </c>
      <c r="AD223">
        <f t="shared" si="95"/>
        <v>1</v>
      </c>
      <c r="AE223" t="str">
        <f t="shared" si="96"/>
        <v>Usualmente</v>
      </c>
      <c r="AF223">
        <v>1</v>
      </c>
      <c r="AG223" t="str">
        <f t="shared" si="97"/>
        <v>A veces</v>
      </c>
      <c r="AH223">
        <v>0</v>
      </c>
      <c r="AI223" t="str">
        <f t="shared" si="98"/>
        <v>No usa</v>
      </c>
      <c r="AJ223">
        <v>0</v>
      </c>
      <c r="AK223" t="str">
        <f t="shared" si="99"/>
        <v>No usa</v>
      </c>
      <c r="AL223">
        <v>0</v>
      </c>
      <c r="AM223" t="str">
        <f t="shared" si="100"/>
        <v>No usa</v>
      </c>
      <c r="AN223">
        <v>1</v>
      </c>
      <c r="AO223" t="str">
        <f t="shared" si="101"/>
        <v>Usa Transporte</v>
      </c>
      <c r="AP223">
        <v>0</v>
      </c>
      <c r="AQ223" t="str">
        <f t="shared" si="102"/>
        <v>No camina</v>
      </c>
      <c r="AR223">
        <v>0</v>
      </c>
      <c r="AS223" t="str">
        <f t="shared" si="103"/>
        <v>No es obeso</v>
      </c>
    </row>
    <row r="224" spans="1:45" x14ac:dyDescent="0.25">
      <c r="A224">
        <v>0</v>
      </c>
      <c r="B224" t="str">
        <f t="shared" si="78"/>
        <v>F</v>
      </c>
      <c r="C224">
        <v>21</v>
      </c>
      <c r="D224">
        <f t="shared" si="79"/>
        <v>21</v>
      </c>
      <c r="E224">
        <f t="shared" si="80"/>
        <v>21</v>
      </c>
      <c r="F224" t="str">
        <f t="shared" si="81"/>
        <v>1-25</v>
      </c>
      <c r="G224">
        <v>1</v>
      </c>
      <c r="H224" t="str">
        <f t="shared" si="82"/>
        <v>Pariente gordo</v>
      </c>
      <c r="I224">
        <v>1</v>
      </c>
      <c r="J224" t="str">
        <f t="shared" si="83"/>
        <v>Hipercaloricos</v>
      </c>
      <c r="K224">
        <v>3</v>
      </c>
      <c r="L224">
        <f t="shared" si="84"/>
        <v>1</v>
      </c>
      <c r="M224" t="str">
        <f t="shared" si="85"/>
        <v>Suele comer</v>
      </c>
      <c r="N224">
        <v>4</v>
      </c>
      <c r="O224">
        <f t="shared" si="86"/>
        <v>2</v>
      </c>
      <c r="P224" t="str">
        <f t="shared" si="87"/>
        <v>Mas de 3</v>
      </c>
      <c r="Q224">
        <v>3</v>
      </c>
      <c r="R224" t="str">
        <f t="shared" si="88"/>
        <v>Siempre</v>
      </c>
      <c r="S224">
        <v>0</v>
      </c>
      <c r="T224" t="str">
        <f t="shared" si="89"/>
        <v>No fuma</v>
      </c>
      <c r="U224">
        <v>3</v>
      </c>
      <c r="V224">
        <f t="shared" si="90"/>
        <v>2</v>
      </c>
      <c r="W224" t="str">
        <f t="shared" si="91"/>
        <v>Siempre</v>
      </c>
      <c r="X224">
        <v>0</v>
      </c>
      <c r="Y224" t="str">
        <f t="shared" si="92"/>
        <v>No controla</v>
      </c>
      <c r="Z224">
        <v>0</v>
      </c>
      <c r="AA224">
        <f t="shared" si="93"/>
        <v>0</v>
      </c>
      <c r="AB224" t="str">
        <f t="shared" si="94"/>
        <v>Nunca</v>
      </c>
      <c r="AC224">
        <v>2</v>
      </c>
      <c r="AD224">
        <f t="shared" si="95"/>
        <v>2</v>
      </c>
      <c r="AE224" t="str">
        <f t="shared" si="96"/>
        <v>Siempre</v>
      </c>
      <c r="AF224">
        <v>0</v>
      </c>
      <c r="AG224" t="str">
        <f t="shared" si="97"/>
        <v>Nunca</v>
      </c>
      <c r="AH224">
        <v>0</v>
      </c>
      <c r="AI224" t="str">
        <f t="shared" si="98"/>
        <v>No usa</v>
      </c>
      <c r="AJ224">
        <v>0</v>
      </c>
      <c r="AK224" t="str">
        <f t="shared" si="99"/>
        <v>No usa</v>
      </c>
      <c r="AL224">
        <v>0</v>
      </c>
      <c r="AM224" t="str">
        <f t="shared" si="100"/>
        <v>No usa</v>
      </c>
      <c r="AN224">
        <v>1</v>
      </c>
      <c r="AO224" t="str">
        <f t="shared" si="101"/>
        <v>Usa Transporte</v>
      </c>
      <c r="AP224">
        <v>0</v>
      </c>
      <c r="AQ224" t="str">
        <f t="shared" si="102"/>
        <v>No camina</v>
      </c>
      <c r="AR224">
        <v>0</v>
      </c>
      <c r="AS224" t="str">
        <f t="shared" si="103"/>
        <v>No es obeso</v>
      </c>
    </row>
    <row r="225" spans="1:45" x14ac:dyDescent="0.25">
      <c r="A225">
        <v>0</v>
      </c>
      <c r="B225" t="str">
        <f t="shared" si="78"/>
        <v>F</v>
      </c>
      <c r="C225">
        <v>22</v>
      </c>
      <c r="D225">
        <f t="shared" si="79"/>
        <v>22</v>
      </c>
      <c r="E225">
        <f t="shared" si="80"/>
        <v>22</v>
      </c>
      <c r="F225" t="str">
        <f t="shared" si="81"/>
        <v>1-25</v>
      </c>
      <c r="G225">
        <v>1</v>
      </c>
      <c r="H225" t="str">
        <f t="shared" si="82"/>
        <v>Pariente gordo</v>
      </c>
      <c r="I225">
        <v>1</v>
      </c>
      <c r="J225" t="str">
        <f t="shared" si="83"/>
        <v>Hipercaloricos</v>
      </c>
      <c r="K225">
        <v>3</v>
      </c>
      <c r="L225">
        <f t="shared" si="84"/>
        <v>1</v>
      </c>
      <c r="M225" t="str">
        <f t="shared" si="85"/>
        <v>Suele comer</v>
      </c>
      <c r="N225">
        <v>3</v>
      </c>
      <c r="O225">
        <f t="shared" si="86"/>
        <v>2</v>
      </c>
      <c r="P225" t="str">
        <f t="shared" si="87"/>
        <v>Mas de 3</v>
      </c>
      <c r="Q225">
        <v>2</v>
      </c>
      <c r="R225" t="str">
        <f t="shared" si="88"/>
        <v>Usualmente</v>
      </c>
      <c r="S225">
        <v>0</v>
      </c>
      <c r="T225" t="str">
        <f t="shared" si="89"/>
        <v>No fuma</v>
      </c>
      <c r="U225">
        <v>3</v>
      </c>
      <c r="V225">
        <f t="shared" si="90"/>
        <v>2</v>
      </c>
      <c r="W225" t="str">
        <f t="shared" si="91"/>
        <v>Siempre</v>
      </c>
      <c r="X225">
        <v>0</v>
      </c>
      <c r="Y225" t="str">
        <f t="shared" si="92"/>
        <v>No controla</v>
      </c>
      <c r="Z225">
        <v>1</v>
      </c>
      <c r="AA225">
        <f t="shared" si="93"/>
        <v>1</v>
      </c>
      <c r="AB225" t="str">
        <f t="shared" si="94"/>
        <v>A veces</v>
      </c>
      <c r="AC225">
        <v>0</v>
      </c>
      <c r="AD225">
        <f t="shared" si="95"/>
        <v>0</v>
      </c>
      <c r="AE225" t="str">
        <f t="shared" si="96"/>
        <v>Nunca</v>
      </c>
      <c r="AF225">
        <v>0</v>
      </c>
      <c r="AG225" t="str">
        <f t="shared" si="97"/>
        <v>Nunca</v>
      </c>
      <c r="AH225">
        <v>0</v>
      </c>
      <c r="AI225" t="str">
        <f t="shared" si="98"/>
        <v>No usa</v>
      </c>
      <c r="AJ225">
        <v>0</v>
      </c>
      <c r="AK225" t="str">
        <f t="shared" si="99"/>
        <v>No usa</v>
      </c>
      <c r="AL225">
        <v>0</v>
      </c>
      <c r="AM225" t="str">
        <f t="shared" si="100"/>
        <v>No usa</v>
      </c>
      <c r="AN225">
        <v>1</v>
      </c>
      <c r="AO225" t="str">
        <f t="shared" si="101"/>
        <v>Usa Transporte</v>
      </c>
      <c r="AP225">
        <v>0</v>
      </c>
      <c r="AQ225" t="str">
        <f t="shared" si="102"/>
        <v>No camina</v>
      </c>
      <c r="AR225">
        <v>0</v>
      </c>
      <c r="AS225" t="str">
        <f t="shared" si="103"/>
        <v>No es obeso</v>
      </c>
    </row>
    <row r="226" spans="1:45" x14ac:dyDescent="0.25">
      <c r="A226">
        <v>0</v>
      </c>
      <c r="B226" t="str">
        <f t="shared" si="78"/>
        <v>F</v>
      </c>
      <c r="C226">
        <v>23</v>
      </c>
      <c r="D226">
        <f t="shared" si="79"/>
        <v>23</v>
      </c>
      <c r="E226">
        <f t="shared" si="80"/>
        <v>23</v>
      </c>
      <c r="F226" t="str">
        <f t="shared" si="81"/>
        <v>1-25</v>
      </c>
      <c r="G226">
        <v>1</v>
      </c>
      <c r="H226" t="str">
        <f t="shared" si="82"/>
        <v>Pariente gordo</v>
      </c>
      <c r="I226">
        <v>1</v>
      </c>
      <c r="J226" t="str">
        <f t="shared" si="83"/>
        <v>Hipercaloricos</v>
      </c>
      <c r="K226">
        <v>2</v>
      </c>
      <c r="L226">
        <f t="shared" si="84"/>
        <v>1</v>
      </c>
      <c r="M226" t="str">
        <f t="shared" si="85"/>
        <v>Suele comer</v>
      </c>
      <c r="N226">
        <v>1</v>
      </c>
      <c r="O226">
        <f t="shared" si="86"/>
        <v>1</v>
      </c>
      <c r="P226">
        <f t="shared" si="87"/>
        <v>3</v>
      </c>
      <c r="Q226">
        <v>1</v>
      </c>
      <c r="R226" t="str">
        <f t="shared" si="88"/>
        <v>A veces</v>
      </c>
      <c r="S226">
        <v>0</v>
      </c>
      <c r="T226" t="str">
        <f t="shared" si="89"/>
        <v>No fuma</v>
      </c>
      <c r="U226">
        <v>2</v>
      </c>
      <c r="V226">
        <f t="shared" si="90"/>
        <v>2</v>
      </c>
      <c r="W226" t="str">
        <f t="shared" si="91"/>
        <v>Siempre</v>
      </c>
      <c r="X226">
        <v>0</v>
      </c>
      <c r="Y226" t="str">
        <f t="shared" si="92"/>
        <v>No controla</v>
      </c>
      <c r="Z226">
        <v>0</v>
      </c>
      <c r="AA226">
        <f t="shared" si="93"/>
        <v>0</v>
      </c>
      <c r="AB226" t="str">
        <f t="shared" si="94"/>
        <v>Nunca</v>
      </c>
      <c r="AC226">
        <v>0</v>
      </c>
      <c r="AD226">
        <f t="shared" si="95"/>
        <v>0</v>
      </c>
      <c r="AE226" t="str">
        <f t="shared" si="96"/>
        <v>Nunca</v>
      </c>
      <c r="AF226">
        <v>0</v>
      </c>
      <c r="AG226" t="str">
        <f t="shared" si="97"/>
        <v>Nunca</v>
      </c>
      <c r="AH226">
        <v>0</v>
      </c>
      <c r="AI226" t="str">
        <f t="shared" si="98"/>
        <v>No usa</v>
      </c>
      <c r="AJ226">
        <v>0</v>
      </c>
      <c r="AK226" t="str">
        <f t="shared" si="99"/>
        <v>No usa</v>
      </c>
      <c r="AL226">
        <v>0</v>
      </c>
      <c r="AM226" t="str">
        <f t="shared" si="100"/>
        <v>No usa</v>
      </c>
      <c r="AN226">
        <v>1</v>
      </c>
      <c r="AO226" t="str">
        <f t="shared" si="101"/>
        <v>Usa Transporte</v>
      </c>
      <c r="AP226">
        <v>0</v>
      </c>
      <c r="AQ226" t="str">
        <f t="shared" si="102"/>
        <v>No camina</v>
      </c>
      <c r="AR226">
        <v>1</v>
      </c>
      <c r="AS226" t="str">
        <f t="shared" si="103"/>
        <v>Es Obeso</v>
      </c>
    </row>
    <row r="227" spans="1:45" x14ac:dyDescent="0.25">
      <c r="A227">
        <v>1</v>
      </c>
      <c r="B227" t="str">
        <f t="shared" si="78"/>
        <v>M</v>
      </c>
      <c r="C227">
        <v>25</v>
      </c>
      <c r="D227">
        <f t="shared" si="79"/>
        <v>25</v>
      </c>
      <c r="E227">
        <f t="shared" si="80"/>
        <v>25</v>
      </c>
      <c r="F227" t="str">
        <f t="shared" si="81"/>
        <v>1-25</v>
      </c>
      <c r="G227">
        <v>1</v>
      </c>
      <c r="H227" t="str">
        <f t="shared" si="82"/>
        <v>Pariente gordo</v>
      </c>
      <c r="I227">
        <v>0</v>
      </c>
      <c r="J227" t="str">
        <f t="shared" si="83"/>
        <v>Saludables</v>
      </c>
      <c r="K227">
        <v>3</v>
      </c>
      <c r="L227">
        <f t="shared" si="84"/>
        <v>1</v>
      </c>
      <c r="M227" t="str">
        <f t="shared" si="85"/>
        <v>Suele comer</v>
      </c>
      <c r="N227">
        <v>3</v>
      </c>
      <c r="O227">
        <f t="shared" si="86"/>
        <v>2</v>
      </c>
      <c r="P227" t="str">
        <f t="shared" si="87"/>
        <v>Mas de 3</v>
      </c>
      <c r="Q227">
        <v>1</v>
      </c>
      <c r="R227" t="str">
        <f t="shared" si="88"/>
        <v>A veces</v>
      </c>
      <c r="S227">
        <v>0</v>
      </c>
      <c r="T227" t="str">
        <f t="shared" si="89"/>
        <v>No fuma</v>
      </c>
      <c r="U227">
        <v>3</v>
      </c>
      <c r="V227">
        <f t="shared" si="90"/>
        <v>2</v>
      </c>
      <c r="W227" t="str">
        <f t="shared" si="91"/>
        <v>Siempre</v>
      </c>
      <c r="X227">
        <v>0</v>
      </c>
      <c r="Y227" t="str">
        <f t="shared" si="92"/>
        <v>No controla</v>
      </c>
      <c r="Z227">
        <v>2</v>
      </c>
      <c r="AA227">
        <f t="shared" si="93"/>
        <v>2</v>
      </c>
      <c r="AB227" t="str">
        <f t="shared" si="94"/>
        <v>Usualmente</v>
      </c>
      <c r="AC227">
        <v>0</v>
      </c>
      <c r="AD227">
        <f t="shared" si="95"/>
        <v>0</v>
      </c>
      <c r="AE227" t="str">
        <f t="shared" si="96"/>
        <v>Nunca</v>
      </c>
      <c r="AF227">
        <v>1</v>
      </c>
      <c r="AG227" t="str">
        <f t="shared" si="97"/>
        <v>A veces</v>
      </c>
      <c r="AH227">
        <v>0</v>
      </c>
      <c r="AI227" t="str">
        <f t="shared" si="98"/>
        <v>No usa</v>
      </c>
      <c r="AJ227">
        <v>0</v>
      </c>
      <c r="AK227" t="str">
        <f t="shared" si="99"/>
        <v>No usa</v>
      </c>
      <c r="AL227">
        <v>0</v>
      </c>
      <c r="AM227" t="str">
        <f t="shared" si="100"/>
        <v>No usa</v>
      </c>
      <c r="AN227">
        <v>0</v>
      </c>
      <c r="AO227" t="str">
        <f t="shared" si="101"/>
        <v>No usa</v>
      </c>
      <c r="AP227">
        <v>1</v>
      </c>
      <c r="AQ227" t="str">
        <f t="shared" si="102"/>
        <v>Camina</v>
      </c>
      <c r="AR227">
        <v>1</v>
      </c>
      <c r="AS227" t="str">
        <f t="shared" si="103"/>
        <v>Es Obeso</v>
      </c>
    </row>
    <row r="228" spans="1:45" x14ac:dyDescent="0.25">
      <c r="A228">
        <v>0</v>
      </c>
      <c r="B228" t="str">
        <f t="shared" si="78"/>
        <v>F</v>
      </c>
      <c r="C228">
        <v>20</v>
      </c>
      <c r="D228">
        <f t="shared" si="79"/>
        <v>20</v>
      </c>
      <c r="E228">
        <f t="shared" si="80"/>
        <v>20</v>
      </c>
      <c r="F228" t="str">
        <f t="shared" si="81"/>
        <v>1-25</v>
      </c>
      <c r="G228">
        <v>0</v>
      </c>
      <c r="H228" t="str">
        <f t="shared" si="82"/>
        <v>Pariente normal</v>
      </c>
      <c r="I228">
        <v>1</v>
      </c>
      <c r="J228" t="str">
        <f t="shared" si="83"/>
        <v>Hipercaloricos</v>
      </c>
      <c r="K228">
        <v>2</v>
      </c>
      <c r="L228">
        <f t="shared" si="84"/>
        <v>1</v>
      </c>
      <c r="M228" t="str">
        <f t="shared" si="85"/>
        <v>Suele comer</v>
      </c>
      <c r="N228">
        <v>3</v>
      </c>
      <c r="O228">
        <f t="shared" si="86"/>
        <v>2</v>
      </c>
      <c r="P228" t="str">
        <f t="shared" si="87"/>
        <v>Mas de 3</v>
      </c>
      <c r="Q228">
        <v>1</v>
      </c>
      <c r="R228" t="str">
        <f t="shared" si="88"/>
        <v>A veces</v>
      </c>
      <c r="S228">
        <v>0</v>
      </c>
      <c r="T228" t="str">
        <f t="shared" si="89"/>
        <v>No fuma</v>
      </c>
      <c r="U228">
        <v>1</v>
      </c>
      <c r="V228">
        <f t="shared" si="90"/>
        <v>1</v>
      </c>
      <c r="W228" t="str">
        <f t="shared" si="91"/>
        <v>Usualmente</v>
      </c>
      <c r="X228">
        <v>0</v>
      </c>
      <c r="Y228" t="str">
        <f t="shared" si="92"/>
        <v>No controla</v>
      </c>
      <c r="Z228">
        <v>0</v>
      </c>
      <c r="AA228">
        <f t="shared" si="93"/>
        <v>0</v>
      </c>
      <c r="AB228" t="str">
        <f t="shared" si="94"/>
        <v>Nunca</v>
      </c>
      <c r="AC228">
        <v>1</v>
      </c>
      <c r="AD228">
        <f t="shared" si="95"/>
        <v>1</v>
      </c>
      <c r="AE228" t="str">
        <f t="shared" si="96"/>
        <v>Usualmente</v>
      </c>
      <c r="AF228">
        <v>0</v>
      </c>
      <c r="AG228" t="str">
        <f t="shared" si="97"/>
        <v>Nunca</v>
      </c>
      <c r="AH228">
        <v>1</v>
      </c>
      <c r="AI228" t="str">
        <f t="shared" si="98"/>
        <v>Usa auto</v>
      </c>
      <c r="AJ228">
        <v>0</v>
      </c>
      <c r="AK228" t="str">
        <f t="shared" si="99"/>
        <v>No usa</v>
      </c>
      <c r="AL228">
        <v>0</v>
      </c>
      <c r="AM228" t="str">
        <f t="shared" si="100"/>
        <v>No usa</v>
      </c>
      <c r="AN228">
        <v>0</v>
      </c>
      <c r="AO228" t="str">
        <f t="shared" si="101"/>
        <v>No usa</v>
      </c>
      <c r="AP228">
        <v>0</v>
      </c>
      <c r="AQ228" t="str">
        <f t="shared" si="102"/>
        <v>No camina</v>
      </c>
      <c r="AR228">
        <v>0</v>
      </c>
      <c r="AS228" t="str">
        <f t="shared" si="103"/>
        <v>No es obeso</v>
      </c>
    </row>
    <row r="229" spans="1:45" x14ac:dyDescent="0.25">
      <c r="A229">
        <v>0</v>
      </c>
      <c r="B229" t="str">
        <f t="shared" si="78"/>
        <v>F</v>
      </c>
      <c r="C229">
        <v>24</v>
      </c>
      <c r="D229">
        <f t="shared" si="79"/>
        <v>24</v>
      </c>
      <c r="E229">
        <f t="shared" si="80"/>
        <v>24</v>
      </c>
      <c r="F229" t="str">
        <f t="shared" si="81"/>
        <v>1-25</v>
      </c>
      <c r="G229">
        <v>0</v>
      </c>
      <c r="H229" t="str">
        <f t="shared" si="82"/>
        <v>Pariente normal</v>
      </c>
      <c r="I229">
        <v>1</v>
      </c>
      <c r="J229" t="str">
        <f t="shared" si="83"/>
        <v>Hipercaloricos</v>
      </c>
      <c r="K229">
        <v>3</v>
      </c>
      <c r="L229">
        <f t="shared" si="84"/>
        <v>1</v>
      </c>
      <c r="M229" t="str">
        <f t="shared" si="85"/>
        <v>Suele comer</v>
      </c>
      <c r="N229">
        <v>3</v>
      </c>
      <c r="O229">
        <f t="shared" si="86"/>
        <v>2</v>
      </c>
      <c r="P229" t="str">
        <f t="shared" si="87"/>
        <v>Mas de 3</v>
      </c>
      <c r="Q229">
        <v>1</v>
      </c>
      <c r="R229" t="str">
        <f t="shared" si="88"/>
        <v>A veces</v>
      </c>
      <c r="S229">
        <v>0</v>
      </c>
      <c r="T229" t="str">
        <f t="shared" si="89"/>
        <v>No fuma</v>
      </c>
      <c r="U229">
        <v>2</v>
      </c>
      <c r="V229">
        <f t="shared" si="90"/>
        <v>2</v>
      </c>
      <c r="W229" t="str">
        <f t="shared" si="91"/>
        <v>Siempre</v>
      </c>
      <c r="X229">
        <v>0</v>
      </c>
      <c r="Y229" t="str">
        <f t="shared" si="92"/>
        <v>No controla</v>
      </c>
      <c r="Z229">
        <v>1</v>
      </c>
      <c r="AA229">
        <f t="shared" si="93"/>
        <v>1</v>
      </c>
      <c r="AB229" t="str">
        <f t="shared" si="94"/>
        <v>A veces</v>
      </c>
      <c r="AC229">
        <v>1</v>
      </c>
      <c r="AD229">
        <f t="shared" si="95"/>
        <v>1</v>
      </c>
      <c r="AE229" t="str">
        <f t="shared" si="96"/>
        <v>Usualmente</v>
      </c>
      <c r="AF229">
        <v>1</v>
      </c>
      <c r="AG229" t="str">
        <f t="shared" si="97"/>
        <v>A veces</v>
      </c>
      <c r="AH229">
        <v>0</v>
      </c>
      <c r="AI229" t="str">
        <f t="shared" si="98"/>
        <v>No usa</v>
      </c>
      <c r="AJ229">
        <v>0</v>
      </c>
      <c r="AK229" t="str">
        <f t="shared" si="99"/>
        <v>No usa</v>
      </c>
      <c r="AL229">
        <v>0</v>
      </c>
      <c r="AM229" t="str">
        <f t="shared" si="100"/>
        <v>No usa</v>
      </c>
      <c r="AN229">
        <v>1</v>
      </c>
      <c r="AO229" t="str">
        <f t="shared" si="101"/>
        <v>Usa Transporte</v>
      </c>
      <c r="AP229">
        <v>0</v>
      </c>
      <c r="AQ229" t="str">
        <f t="shared" si="102"/>
        <v>No camina</v>
      </c>
      <c r="AR229">
        <v>0</v>
      </c>
      <c r="AS229" t="str">
        <f t="shared" si="103"/>
        <v>No es obeso</v>
      </c>
    </row>
    <row r="230" spans="1:45" x14ac:dyDescent="0.25">
      <c r="A230">
        <v>0</v>
      </c>
      <c r="B230" t="str">
        <f t="shared" si="78"/>
        <v>F</v>
      </c>
      <c r="C230">
        <v>40</v>
      </c>
      <c r="D230">
        <f t="shared" si="79"/>
        <v>40</v>
      </c>
      <c r="E230">
        <f t="shared" si="80"/>
        <v>40</v>
      </c>
      <c r="F230" t="str">
        <f t="shared" si="81"/>
        <v>25-50</v>
      </c>
      <c r="G230">
        <v>0</v>
      </c>
      <c r="H230" t="str">
        <f t="shared" si="82"/>
        <v>Pariente normal</v>
      </c>
      <c r="I230">
        <v>0</v>
      </c>
      <c r="J230" t="str">
        <f t="shared" si="83"/>
        <v>Saludables</v>
      </c>
      <c r="K230">
        <v>3</v>
      </c>
      <c r="L230">
        <f t="shared" si="84"/>
        <v>1</v>
      </c>
      <c r="M230" t="str">
        <f t="shared" si="85"/>
        <v>Suele comer</v>
      </c>
      <c r="N230">
        <v>3</v>
      </c>
      <c r="O230">
        <f t="shared" si="86"/>
        <v>2</v>
      </c>
      <c r="P230" t="str">
        <f t="shared" si="87"/>
        <v>Mas de 3</v>
      </c>
      <c r="Q230">
        <v>1</v>
      </c>
      <c r="R230" t="str">
        <f t="shared" si="88"/>
        <v>A veces</v>
      </c>
      <c r="S230">
        <v>0</v>
      </c>
      <c r="T230" t="str">
        <f t="shared" si="89"/>
        <v>No fuma</v>
      </c>
      <c r="U230">
        <v>3</v>
      </c>
      <c r="V230">
        <f t="shared" si="90"/>
        <v>2</v>
      </c>
      <c r="W230" t="str">
        <f t="shared" si="91"/>
        <v>Siempre</v>
      </c>
      <c r="X230">
        <v>0</v>
      </c>
      <c r="Y230" t="str">
        <f t="shared" si="92"/>
        <v>No controla</v>
      </c>
      <c r="Z230">
        <v>0</v>
      </c>
      <c r="AA230">
        <f t="shared" si="93"/>
        <v>0</v>
      </c>
      <c r="AB230" t="str">
        <f t="shared" si="94"/>
        <v>Nunca</v>
      </c>
      <c r="AC230">
        <v>0</v>
      </c>
      <c r="AD230">
        <f t="shared" si="95"/>
        <v>0</v>
      </c>
      <c r="AE230" t="str">
        <f t="shared" si="96"/>
        <v>Nunca</v>
      </c>
      <c r="AF230">
        <v>0</v>
      </c>
      <c r="AG230" t="str">
        <f t="shared" si="97"/>
        <v>Nunca</v>
      </c>
      <c r="AH230">
        <v>1</v>
      </c>
      <c r="AI230" t="str">
        <f t="shared" si="98"/>
        <v>Usa auto</v>
      </c>
      <c r="AJ230">
        <v>0</v>
      </c>
      <c r="AK230" t="str">
        <f t="shared" si="99"/>
        <v>No usa</v>
      </c>
      <c r="AL230">
        <v>0</v>
      </c>
      <c r="AM230" t="str">
        <f t="shared" si="100"/>
        <v>No usa</v>
      </c>
      <c r="AN230">
        <v>0</v>
      </c>
      <c r="AO230" t="str">
        <f t="shared" si="101"/>
        <v>No usa</v>
      </c>
      <c r="AP230">
        <v>0</v>
      </c>
      <c r="AQ230" t="str">
        <f t="shared" si="102"/>
        <v>No camina</v>
      </c>
      <c r="AR230">
        <v>0</v>
      </c>
      <c r="AS230" t="str">
        <f t="shared" si="103"/>
        <v>No es obeso</v>
      </c>
    </row>
    <row r="231" spans="1:45" x14ac:dyDescent="0.25">
      <c r="A231">
        <v>1</v>
      </c>
      <c r="B231" t="str">
        <f t="shared" si="78"/>
        <v>M</v>
      </c>
      <c r="C231">
        <v>32</v>
      </c>
      <c r="D231">
        <f t="shared" si="79"/>
        <v>32</v>
      </c>
      <c r="E231">
        <f t="shared" si="80"/>
        <v>32</v>
      </c>
      <c r="F231" t="str">
        <f t="shared" si="81"/>
        <v>25-50</v>
      </c>
      <c r="G231">
        <v>1</v>
      </c>
      <c r="H231" t="str">
        <f t="shared" si="82"/>
        <v>Pariente gordo</v>
      </c>
      <c r="I231">
        <v>0</v>
      </c>
      <c r="J231" t="str">
        <f t="shared" si="83"/>
        <v>Saludables</v>
      </c>
      <c r="K231">
        <v>3</v>
      </c>
      <c r="L231">
        <f t="shared" si="84"/>
        <v>1</v>
      </c>
      <c r="M231" t="str">
        <f t="shared" si="85"/>
        <v>Suele comer</v>
      </c>
      <c r="N231">
        <v>3</v>
      </c>
      <c r="O231">
        <f t="shared" si="86"/>
        <v>2</v>
      </c>
      <c r="P231" t="str">
        <f t="shared" si="87"/>
        <v>Mas de 3</v>
      </c>
      <c r="Q231">
        <v>1</v>
      </c>
      <c r="R231" t="str">
        <f t="shared" si="88"/>
        <v>A veces</v>
      </c>
      <c r="S231">
        <v>0</v>
      </c>
      <c r="T231" t="str">
        <f t="shared" si="89"/>
        <v>No fuma</v>
      </c>
      <c r="U231">
        <v>3</v>
      </c>
      <c r="V231">
        <f t="shared" si="90"/>
        <v>2</v>
      </c>
      <c r="W231" t="str">
        <f t="shared" si="91"/>
        <v>Siempre</v>
      </c>
      <c r="X231">
        <v>0</v>
      </c>
      <c r="Y231" t="str">
        <f t="shared" si="92"/>
        <v>No controla</v>
      </c>
      <c r="Z231">
        <v>0</v>
      </c>
      <c r="AA231">
        <f t="shared" si="93"/>
        <v>0</v>
      </c>
      <c r="AB231" t="str">
        <f t="shared" si="94"/>
        <v>Nunca</v>
      </c>
      <c r="AC231">
        <v>2</v>
      </c>
      <c r="AD231">
        <f t="shared" si="95"/>
        <v>2</v>
      </c>
      <c r="AE231" t="str">
        <f t="shared" si="96"/>
        <v>Siempre</v>
      </c>
      <c r="AF231">
        <v>0</v>
      </c>
      <c r="AG231" t="str">
        <f t="shared" si="97"/>
        <v>Nunca</v>
      </c>
      <c r="AH231">
        <v>1</v>
      </c>
      <c r="AI231" t="str">
        <f t="shared" si="98"/>
        <v>Usa auto</v>
      </c>
      <c r="AJ231">
        <v>0</v>
      </c>
      <c r="AK231" t="str">
        <f t="shared" si="99"/>
        <v>No usa</v>
      </c>
      <c r="AL231">
        <v>0</v>
      </c>
      <c r="AM231" t="str">
        <f t="shared" si="100"/>
        <v>No usa</v>
      </c>
      <c r="AN231">
        <v>0</v>
      </c>
      <c r="AO231" t="str">
        <f t="shared" si="101"/>
        <v>No usa</v>
      </c>
      <c r="AP231">
        <v>0</v>
      </c>
      <c r="AQ231" t="str">
        <f t="shared" si="102"/>
        <v>No camina</v>
      </c>
      <c r="AR231">
        <v>1</v>
      </c>
      <c r="AS231" t="str">
        <f t="shared" si="103"/>
        <v>Es Obeso</v>
      </c>
    </row>
    <row r="232" spans="1:45" x14ac:dyDescent="0.25">
      <c r="A232">
        <v>1</v>
      </c>
      <c r="B232" t="str">
        <f t="shared" si="78"/>
        <v>M</v>
      </c>
      <c r="C232">
        <v>20</v>
      </c>
      <c r="D232">
        <f t="shared" si="79"/>
        <v>20</v>
      </c>
      <c r="E232">
        <f t="shared" si="80"/>
        <v>20</v>
      </c>
      <c r="F232" t="str">
        <f t="shared" si="81"/>
        <v>1-25</v>
      </c>
      <c r="G232">
        <v>1</v>
      </c>
      <c r="H232" t="str">
        <f t="shared" si="82"/>
        <v>Pariente gordo</v>
      </c>
      <c r="I232">
        <v>1</v>
      </c>
      <c r="J232" t="str">
        <f t="shared" si="83"/>
        <v>Hipercaloricos</v>
      </c>
      <c r="K232">
        <v>3</v>
      </c>
      <c r="L232">
        <f t="shared" si="84"/>
        <v>1</v>
      </c>
      <c r="M232" t="str">
        <f t="shared" si="85"/>
        <v>Suele comer</v>
      </c>
      <c r="N232">
        <v>4</v>
      </c>
      <c r="O232">
        <f t="shared" si="86"/>
        <v>2</v>
      </c>
      <c r="P232" t="str">
        <f t="shared" si="87"/>
        <v>Mas de 3</v>
      </c>
      <c r="Q232">
        <v>1</v>
      </c>
      <c r="R232" t="str">
        <f t="shared" si="88"/>
        <v>A veces</v>
      </c>
      <c r="S232">
        <v>0</v>
      </c>
      <c r="T232" t="str">
        <f t="shared" si="89"/>
        <v>No fuma</v>
      </c>
      <c r="U232">
        <v>3</v>
      </c>
      <c r="V232">
        <f t="shared" si="90"/>
        <v>2</v>
      </c>
      <c r="W232" t="str">
        <f t="shared" si="91"/>
        <v>Siempre</v>
      </c>
      <c r="X232">
        <v>0</v>
      </c>
      <c r="Y232" t="str">
        <f t="shared" si="92"/>
        <v>No controla</v>
      </c>
      <c r="Z232">
        <v>2</v>
      </c>
      <c r="AA232">
        <f t="shared" si="93"/>
        <v>2</v>
      </c>
      <c r="AB232" t="str">
        <f t="shared" si="94"/>
        <v>Usualmente</v>
      </c>
      <c r="AC232">
        <v>0</v>
      </c>
      <c r="AD232">
        <f t="shared" si="95"/>
        <v>0</v>
      </c>
      <c r="AE232" t="str">
        <f t="shared" si="96"/>
        <v>Nunca</v>
      </c>
      <c r="AF232">
        <v>1</v>
      </c>
      <c r="AG232" t="str">
        <f t="shared" si="97"/>
        <v>A veces</v>
      </c>
      <c r="AH232">
        <v>0</v>
      </c>
      <c r="AI232" t="str">
        <f t="shared" si="98"/>
        <v>No usa</v>
      </c>
      <c r="AJ232">
        <v>0</v>
      </c>
      <c r="AK232" t="str">
        <f t="shared" si="99"/>
        <v>No usa</v>
      </c>
      <c r="AL232">
        <v>0</v>
      </c>
      <c r="AM232" t="str">
        <f t="shared" si="100"/>
        <v>No usa</v>
      </c>
      <c r="AN232">
        <v>0</v>
      </c>
      <c r="AO232" t="str">
        <f t="shared" si="101"/>
        <v>No usa</v>
      </c>
      <c r="AP232">
        <v>1</v>
      </c>
      <c r="AQ232" t="str">
        <f t="shared" si="102"/>
        <v>Camina</v>
      </c>
      <c r="AR232">
        <v>0</v>
      </c>
      <c r="AS232" t="str">
        <f t="shared" si="103"/>
        <v>No es obeso</v>
      </c>
    </row>
    <row r="233" spans="1:45" x14ac:dyDescent="0.25">
      <c r="A233">
        <v>0</v>
      </c>
      <c r="B233" t="str">
        <f t="shared" si="78"/>
        <v>F</v>
      </c>
      <c r="C233">
        <v>21</v>
      </c>
      <c r="D233">
        <f t="shared" si="79"/>
        <v>21</v>
      </c>
      <c r="E233">
        <f t="shared" si="80"/>
        <v>21</v>
      </c>
      <c r="F233" t="str">
        <f t="shared" si="81"/>
        <v>1-25</v>
      </c>
      <c r="G233">
        <v>1</v>
      </c>
      <c r="H233" t="str">
        <f t="shared" si="82"/>
        <v>Pariente gordo</v>
      </c>
      <c r="I233">
        <v>1</v>
      </c>
      <c r="J233" t="str">
        <f t="shared" si="83"/>
        <v>Hipercaloricos</v>
      </c>
      <c r="K233">
        <v>3</v>
      </c>
      <c r="L233">
        <f t="shared" si="84"/>
        <v>1</v>
      </c>
      <c r="M233" t="str">
        <f t="shared" si="85"/>
        <v>Suele comer</v>
      </c>
      <c r="N233">
        <v>1</v>
      </c>
      <c r="O233">
        <f t="shared" si="86"/>
        <v>1</v>
      </c>
      <c r="P233">
        <f t="shared" si="87"/>
        <v>3</v>
      </c>
      <c r="Q233">
        <v>1</v>
      </c>
      <c r="R233" t="str">
        <f t="shared" si="88"/>
        <v>A veces</v>
      </c>
      <c r="S233">
        <v>1</v>
      </c>
      <c r="T233" t="str">
        <f t="shared" si="89"/>
        <v>Fuma</v>
      </c>
      <c r="U233">
        <v>3</v>
      </c>
      <c r="V233">
        <f t="shared" si="90"/>
        <v>2</v>
      </c>
      <c r="W233" t="str">
        <f t="shared" si="91"/>
        <v>Siempre</v>
      </c>
      <c r="X233">
        <v>0</v>
      </c>
      <c r="Y233" t="str">
        <f t="shared" si="92"/>
        <v>No controla</v>
      </c>
      <c r="Z233">
        <v>0</v>
      </c>
      <c r="AA233">
        <f t="shared" si="93"/>
        <v>0</v>
      </c>
      <c r="AB233" t="str">
        <f t="shared" si="94"/>
        <v>Nunca</v>
      </c>
      <c r="AC233">
        <v>0</v>
      </c>
      <c r="AD233">
        <f t="shared" si="95"/>
        <v>0</v>
      </c>
      <c r="AE233" t="str">
        <f t="shared" si="96"/>
        <v>Nunca</v>
      </c>
      <c r="AF233">
        <v>1</v>
      </c>
      <c r="AG233" t="str">
        <f t="shared" si="97"/>
        <v>A veces</v>
      </c>
      <c r="AH233">
        <v>0</v>
      </c>
      <c r="AI233" t="str">
        <f t="shared" si="98"/>
        <v>No usa</v>
      </c>
      <c r="AJ233">
        <v>0</v>
      </c>
      <c r="AK233" t="str">
        <f t="shared" si="99"/>
        <v>No usa</v>
      </c>
      <c r="AL233">
        <v>0</v>
      </c>
      <c r="AM233" t="str">
        <f t="shared" si="100"/>
        <v>No usa</v>
      </c>
      <c r="AN233">
        <v>1</v>
      </c>
      <c r="AO233" t="str">
        <f t="shared" si="101"/>
        <v>Usa Transporte</v>
      </c>
      <c r="AP233">
        <v>0</v>
      </c>
      <c r="AQ233" t="str">
        <f t="shared" si="102"/>
        <v>No camina</v>
      </c>
      <c r="AR233">
        <v>0</v>
      </c>
      <c r="AS233" t="str">
        <f t="shared" si="103"/>
        <v>No es obeso</v>
      </c>
    </row>
    <row r="234" spans="1:45" x14ac:dyDescent="0.25">
      <c r="A234">
        <v>0</v>
      </c>
      <c r="B234" t="str">
        <f t="shared" si="78"/>
        <v>F</v>
      </c>
      <c r="C234">
        <v>51</v>
      </c>
      <c r="D234">
        <f t="shared" si="79"/>
        <v>51</v>
      </c>
      <c r="E234">
        <f t="shared" si="80"/>
        <v>51</v>
      </c>
      <c r="F234" t="str">
        <f t="shared" si="81"/>
        <v>50-75</v>
      </c>
      <c r="G234">
        <v>1</v>
      </c>
      <c r="H234" t="str">
        <f t="shared" si="82"/>
        <v>Pariente gordo</v>
      </c>
      <c r="I234">
        <v>0</v>
      </c>
      <c r="J234" t="str">
        <f t="shared" si="83"/>
        <v>Saludables</v>
      </c>
      <c r="K234">
        <v>3</v>
      </c>
      <c r="L234">
        <f t="shared" si="84"/>
        <v>1</v>
      </c>
      <c r="M234" t="str">
        <f t="shared" si="85"/>
        <v>Suele comer</v>
      </c>
      <c r="N234">
        <v>3</v>
      </c>
      <c r="O234">
        <f t="shared" si="86"/>
        <v>2</v>
      </c>
      <c r="P234" t="str">
        <f t="shared" si="87"/>
        <v>Mas de 3</v>
      </c>
      <c r="Q234">
        <v>1</v>
      </c>
      <c r="R234" t="str">
        <f t="shared" si="88"/>
        <v>A veces</v>
      </c>
      <c r="S234">
        <v>1</v>
      </c>
      <c r="T234" t="str">
        <f t="shared" si="89"/>
        <v>Fuma</v>
      </c>
      <c r="U234">
        <v>3</v>
      </c>
      <c r="V234">
        <f t="shared" si="90"/>
        <v>2</v>
      </c>
      <c r="W234" t="str">
        <f t="shared" si="91"/>
        <v>Siempre</v>
      </c>
      <c r="X234">
        <v>1</v>
      </c>
      <c r="Y234" t="str">
        <f t="shared" si="92"/>
        <v>Controla</v>
      </c>
      <c r="Z234">
        <v>2</v>
      </c>
      <c r="AA234">
        <f t="shared" si="93"/>
        <v>2</v>
      </c>
      <c r="AB234" t="str">
        <f t="shared" si="94"/>
        <v>Usualmente</v>
      </c>
      <c r="AC234">
        <v>0</v>
      </c>
      <c r="AD234">
        <f t="shared" si="95"/>
        <v>0</v>
      </c>
      <c r="AE234" t="str">
        <f t="shared" si="96"/>
        <v>Nunca</v>
      </c>
      <c r="AF234">
        <v>0</v>
      </c>
      <c r="AG234" t="str">
        <f t="shared" si="97"/>
        <v>Nunca</v>
      </c>
      <c r="AH234">
        <v>0</v>
      </c>
      <c r="AI234" t="str">
        <f t="shared" si="98"/>
        <v>No usa</v>
      </c>
      <c r="AJ234">
        <v>0</v>
      </c>
      <c r="AK234" t="str">
        <f t="shared" si="99"/>
        <v>No usa</v>
      </c>
      <c r="AL234">
        <v>0</v>
      </c>
      <c r="AM234" t="str">
        <f t="shared" si="100"/>
        <v>No usa</v>
      </c>
      <c r="AN234">
        <v>1</v>
      </c>
      <c r="AO234" t="str">
        <f t="shared" si="101"/>
        <v>Usa Transporte</v>
      </c>
      <c r="AP234">
        <v>0</v>
      </c>
      <c r="AQ234" t="str">
        <f t="shared" si="102"/>
        <v>No camina</v>
      </c>
      <c r="AR234">
        <v>0</v>
      </c>
      <c r="AS234" t="str">
        <f t="shared" si="103"/>
        <v>No es obeso</v>
      </c>
    </row>
    <row r="235" spans="1:45" x14ac:dyDescent="0.25">
      <c r="A235">
        <v>0</v>
      </c>
      <c r="B235" t="str">
        <f t="shared" si="78"/>
        <v>F</v>
      </c>
      <c r="C235">
        <v>34</v>
      </c>
      <c r="D235">
        <f t="shared" si="79"/>
        <v>34</v>
      </c>
      <c r="E235">
        <f t="shared" si="80"/>
        <v>34</v>
      </c>
      <c r="F235" t="str">
        <f t="shared" si="81"/>
        <v>25-50</v>
      </c>
      <c r="G235">
        <v>1</v>
      </c>
      <c r="H235" t="str">
        <f t="shared" si="82"/>
        <v>Pariente gordo</v>
      </c>
      <c r="I235">
        <v>0</v>
      </c>
      <c r="J235" t="str">
        <f t="shared" si="83"/>
        <v>Saludables</v>
      </c>
      <c r="K235">
        <v>3</v>
      </c>
      <c r="L235">
        <f t="shared" si="84"/>
        <v>1</v>
      </c>
      <c r="M235" t="str">
        <f t="shared" si="85"/>
        <v>Suele comer</v>
      </c>
      <c r="N235">
        <v>1</v>
      </c>
      <c r="O235">
        <f t="shared" si="86"/>
        <v>1</v>
      </c>
      <c r="P235">
        <f t="shared" si="87"/>
        <v>3</v>
      </c>
      <c r="Q235">
        <v>1</v>
      </c>
      <c r="R235" t="str">
        <f t="shared" si="88"/>
        <v>A veces</v>
      </c>
      <c r="S235">
        <v>0</v>
      </c>
      <c r="T235" t="str">
        <f t="shared" si="89"/>
        <v>No fuma</v>
      </c>
      <c r="U235">
        <v>2</v>
      </c>
      <c r="V235">
        <f t="shared" si="90"/>
        <v>2</v>
      </c>
      <c r="W235" t="str">
        <f t="shared" si="91"/>
        <v>Siempre</v>
      </c>
      <c r="X235">
        <v>0</v>
      </c>
      <c r="Y235" t="str">
        <f t="shared" si="92"/>
        <v>No controla</v>
      </c>
      <c r="Z235">
        <v>1</v>
      </c>
      <c r="AA235">
        <f t="shared" si="93"/>
        <v>1</v>
      </c>
      <c r="AB235" t="str">
        <f t="shared" si="94"/>
        <v>A veces</v>
      </c>
      <c r="AC235">
        <v>0</v>
      </c>
      <c r="AD235">
        <f t="shared" si="95"/>
        <v>0</v>
      </c>
      <c r="AE235" t="str">
        <f t="shared" si="96"/>
        <v>Nunca</v>
      </c>
      <c r="AF235">
        <v>1</v>
      </c>
      <c r="AG235" t="str">
        <f t="shared" si="97"/>
        <v>A veces</v>
      </c>
      <c r="AH235">
        <v>1</v>
      </c>
      <c r="AI235" t="str">
        <f t="shared" si="98"/>
        <v>Usa auto</v>
      </c>
      <c r="AJ235">
        <v>0</v>
      </c>
      <c r="AK235" t="str">
        <f t="shared" si="99"/>
        <v>No usa</v>
      </c>
      <c r="AL235">
        <v>0</v>
      </c>
      <c r="AM235" t="str">
        <f t="shared" si="100"/>
        <v>No usa</v>
      </c>
      <c r="AN235">
        <v>0</v>
      </c>
      <c r="AO235" t="str">
        <f t="shared" si="101"/>
        <v>No usa</v>
      </c>
      <c r="AP235">
        <v>0</v>
      </c>
      <c r="AQ235" t="str">
        <f t="shared" si="102"/>
        <v>No camina</v>
      </c>
      <c r="AR235">
        <v>0</v>
      </c>
      <c r="AS235" t="str">
        <f t="shared" si="103"/>
        <v>No es obeso</v>
      </c>
    </row>
    <row r="236" spans="1:45" x14ac:dyDescent="0.25">
      <c r="A236">
        <v>0</v>
      </c>
      <c r="B236" t="str">
        <f t="shared" si="78"/>
        <v>F</v>
      </c>
      <c r="C236">
        <v>19</v>
      </c>
      <c r="D236">
        <f t="shared" si="79"/>
        <v>19</v>
      </c>
      <c r="E236">
        <f t="shared" si="80"/>
        <v>19</v>
      </c>
      <c r="F236" t="str">
        <f t="shared" si="81"/>
        <v>1-25</v>
      </c>
      <c r="G236">
        <v>1</v>
      </c>
      <c r="H236" t="str">
        <f t="shared" si="82"/>
        <v>Pariente gordo</v>
      </c>
      <c r="I236">
        <v>1</v>
      </c>
      <c r="J236" t="str">
        <f t="shared" si="83"/>
        <v>Hipercaloricos</v>
      </c>
      <c r="K236">
        <v>2</v>
      </c>
      <c r="L236">
        <f t="shared" si="84"/>
        <v>1</v>
      </c>
      <c r="M236" t="str">
        <f t="shared" si="85"/>
        <v>Suele comer</v>
      </c>
      <c r="N236">
        <v>1</v>
      </c>
      <c r="O236">
        <f t="shared" si="86"/>
        <v>1</v>
      </c>
      <c r="P236">
        <f t="shared" si="87"/>
        <v>3</v>
      </c>
      <c r="Q236">
        <v>0</v>
      </c>
      <c r="R236" t="str">
        <f t="shared" si="88"/>
        <v>Nunca</v>
      </c>
      <c r="S236">
        <v>0</v>
      </c>
      <c r="T236" t="str">
        <f t="shared" si="89"/>
        <v>No fuma</v>
      </c>
      <c r="U236">
        <v>2</v>
      </c>
      <c r="V236">
        <f t="shared" si="90"/>
        <v>2</v>
      </c>
      <c r="W236" t="str">
        <f t="shared" si="91"/>
        <v>Siempre</v>
      </c>
      <c r="X236">
        <v>0</v>
      </c>
      <c r="Y236" t="str">
        <f t="shared" si="92"/>
        <v>No controla</v>
      </c>
      <c r="Z236">
        <v>2</v>
      </c>
      <c r="AA236">
        <f t="shared" si="93"/>
        <v>2</v>
      </c>
      <c r="AB236" t="str">
        <f t="shared" si="94"/>
        <v>Usualmente</v>
      </c>
      <c r="AC236">
        <v>0</v>
      </c>
      <c r="AD236">
        <f t="shared" si="95"/>
        <v>0</v>
      </c>
      <c r="AE236" t="str">
        <f t="shared" si="96"/>
        <v>Nunca</v>
      </c>
      <c r="AF236">
        <v>0</v>
      </c>
      <c r="AG236" t="str">
        <f t="shared" si="97"/>
        <v>Nunca</v>
      </c>
      <c r="AH236">
        <v>0</v>
      </c>
      <c r="AI236" t="str">
        <f t="shared" si="98"/>
        <v>No usa</v>
      </c>
      <c r="AJ236">
        <v>0</v>
      </c>
      <c r="AK236" t="str">
        <f t="shared" si="99"/>
        <v>No usa</v>
      </c>
      <c r="AL236">
        <v>0</v>
      </c>
      <c r="AM236" t="str">
        <f t="shared" si="100"/>
        <v>No usa</v>
      </c>
      <c r="AN236">
        <v>1</v>
      </c>
      <c r="AO236" t="str">
        <f t="shared" si="101"/>
        <v>Usa Transporte</v>
      </c>
      <c r="AP236">
        <v>0</v>
      </c>
      <c r="AQ236" t="str">
        <f t="shared" si="102"/>
        <v>No camina</v>
      </c>
      <c r="AR236">
        <v>0</v>
      </c>
      <c r="AS236" t="str">
        <f t="shared" si="103"/>
        <v>No es obeso</v>
      </c>
    </row>
    <row r="237" spans="1:45" x14ac:dyDescent="0.25">
      <c r="A237">
        <v>0</v>
      </c>
      <c r="B237" t="str">
        <f t="shared" si="78"/>
        <v>F</v>
      </c>
      <c r="C237">
        <v>19</v>
      </c>
      <c r="D237">
        <f t="shared" si="79"/>
        <v>19</v>
      </c>
      <c r="E237">
        <f t="shared" si="80"/>
        <v>19</v>
      </c>
      <c r="F237" t="str">
        <f t="shared" si="81"/>
        <v>1-25</v>
      </c>
      <c r="G237">
        <v>1</v>
      </c>
      <c r="H237" t="str">
        <f t="shared" si="82"/>
        <v>Pariente gordo</v>
      </c>
      <c r="I237">
        <v>0</v>
      </c>
      <c r="J237" t="str">
        <f t="shared" si="83"/>
        <v>Saludables</v>
      </c>
      <c r="K237">
        <v>2</v>
      </c>
      <c r="L237">
        <f t="shared" si="84"/>
        <v>1</v>
      </c>
      <c r="M237" t="str">
        <f t="shared" si="85"/>
        <v>Suele comer</v>
      </c>
      <c r="N237">
        <v>1</v>
      </c>
      <c r="O237">
        <f t="shared" si="86"/>
        <v>1</v>
      </c>
      <c r="P237">
        <f t="shared" si="87"/>
        <v>3</v>
      </c>
      <c r="Q237">
        <v>0</v>
      </c>
      <c r="R237" t="str">
        <f t="shared" si="88"/>
        <v>Nunca</v>
      </c>
      <c r="S237">
        <v>0</v>
      </c>
      <c r="T237" t="str">
        <f t="shared" si="89"/>
        <v>No fuma</v>
      </c>
      <c r="U237">
        <v>2</v>
      </c>
      <c r="V237">
        <f t="shared" si="90"/>
        <v>2</v>
      </c>
      <c r="W237" t="str">
        <f t="shared" si="91"/>
        <v>Siempre</v>
      </c>
      <c r="X237">
        <v>0</v>
      </c>
      <c r="Y237" t="str">
        <f t="shared" si="92"/>
        <v>No controla</v>
      </c>
      <c r="Z237">
        <v>2</v>
      </c>
      <c r="AA237">
        <f t="shared" si="93"/>
        <v>2</v>
      </c>
      <c r="AB237" t="str">
        <f t="shared" si="94"/>
        <v>Usualmente</v>
      </c>
      <c r="AC237">
        <v>0</v>
      </c>
      <c r="AD237">
        <f t="shared" si="95"/>
        <v>0</v>
      </c>
      <c r="AE237" t="str">
        <f t="shared" si="96"/>
        <v>Nunca</v>
      </c>
      <c r="AF237">
        <v>0</v>
      </c>
      <c r="AG237" t="str">
        <f t="shared" si="97"/>
        <v>Nunca</v>
      </c>
      <c r="AH237">
        <v>0</v>
      </c>
      <c r="AI237" t="str">
        <f t="shared" si="98"/>
        <v>No usa</v>
      </c>
      <c r="AJ237">
        <v>0</v>
      </c>
      <c r="AK237" t="str">
        <f t="shared" si="99"/>
        <v>No usa</v>
      </c>
      <c r="AL237">
        <v>0</v>
      </c>
      <c r="AM237" t="str">
        <f t="shared" si="100"/>
        <v>No usa</v>
      </c>
      <c r="AN237">
        <v>1</v>
      </c>
      <c r="AO237" t="str">
        <f t="shared" si="101"/>
        <v>Usa Transporte</v>
      </c>
      <c r="AP237">
        <v>0</v>
      </c>
      <c r="AQ237" t="str">
        <f t="shared" si="102"/>
        <v>No camina</v>
      </c>
      <c r="AR237">
        <v>0</v>
      </c>
      <c r="AS237" t="str">
        <f t="shared" si="103"/>
        <v>No es obeso</v>
      </c>
    </row>
    <row r="238" spans="1:45" x14ac:dyDescent="0.25">
      <c r="A238">
        <v>0</v>
      </c>
      <c r="B238" t="str">
        <f t="shared" si="78"/>
        <v>F</v>
      </c>
      <c r="C238">
        <v>21</v>
      </c>
      <c r="D238">
        <f t="shared" si="79"/>
        <v>21</v>
      </c>
      <c r="E238">
        <f t="shared" si="80"/>
        <v>21</v>
      </c>
      <c r="F238" t="str">
        <f t="shared" si="81"/>
        <v>1-25</v>
      </c>
      <c r="G238">
        <v>0</v>
      </c>
      <c r="H238" t="str">
        <f t="shared" si="82"/>
        <v>Pariente normal</v>
      </c>
      <c r="I238">
        <v>1</v>
      </c>
      <c r="J238" t="str">
        <f t="shared" si="83"/>
        <v>Hipercaloricos</v>
      </c>
      <c r="K238">
        <v>1</v>
      </c>
      <c r="L238">
        <f t="shared" si="84"/>
        <v>1</v>
      </c>
      <c r="M238" t="str">
        <f t="shared" si="85"/>
        <v>Suele comer</v>
      </c>
      <c r="N238">
        <v>3</v>
      </c>
      <c r="O238">
        <f t="shared" si="86"/>
        <v>2</v>
      </c>
      <c r="P238" t="str">
        <f t="shared" si="87"/>
        <v>Mas de 3</v>
      </c>
      <c r="Q238">
        <v>3</v>
      </c>
      <c r="R238" t="str">
        <f t="shared" si="88"/>
        <v>Siempre</v>
      </c>
      <c r="S238">
        <v>0</v>
      </c>
      <c r="T238" t="str">
        <f t="shared" si="89"/>
        <v>No fuma</v>
      </c>
      <c r="U238">
        <v>2</v>
      </c>
      <c r="V238">
        <f t="shared" si="90"/>
        <v>2</v>
      </c>
      <c r="W238" t="str">
        <f t="shared" si="91"/>
        <v>Siempre</v>
      </c>
      <c r="X238">
        <v>1</v>
      </c>
      <c r="Y238" t="str">
        <f t="shared" si="92"/>
        <v>Controla</v>
      </c>
      <c r="Z238">
        <v>3</v>
      </c>
      <c r="AA238">
        <f t="shared" si="93"/>
        <v>3</v>
      </c>
      <c r="AB238" t="str">
        <f t="shared" si="94"/>
        <v>Siempre</v>
      </c>
      <c r="AC238">
        <v>0</v>
      </c>
      <c r="AD238">
        <f t="shared" si="95"/>
        <v>0</v>
      </c>
      <c r="AE238" t="str">
        <f t="shared" si="96"/>
        <v>Nunca</v>
      </c>
      <c r="AF238">
        <v>0</v>
      </c>
      <c r="AG238" t="str">
        <f t="shared" si="97"/>
        <v>Nunca</v>
      </c>
      <c r="AH238">
        <v>1</v>
      </c>
      <c r="AI238" t="str">
        <f t="shared" si="98"/>
        <v>Usa auto</v>
      </c>
      <c r="AJ238">
        <v>0</v>
      </c>
      <c r="AK238" t="str">
        <f t="shared" si="99"/>
        <v>No usa</v>
      </c>
      <c r="AL238">
        <v>0</v>
      </c>
      <c r="AM238" t="str">
        <f t="shared" si="100"/>
        <v>No usa</v>
      </c>
      <c r="AN238">
        <v>0</v>
      </c>
      <c r="AO238" t="str">
        <f t="shared" si="101"/>
        <v>No usa</v>
      </c>
      <c r="AP238">
        <v>0</v>
      </c>
      <c r="AQ238" t="str">
        <f t="shared" si="102"/>
        <v>No camina</v>
      </c>
      <c r="AR238">
        <v>0</v>
      </c>
      <c r="AS238" t="str">
        <f t="shared" si="103"/>
        <v>No es obeso</v>
      </c>
    </row>
    <row r="239" spans="1:45" x14ac:dyDescent="0.25">
      <c r="A239">
        <v>0</v>
      </c>
      <c r="B239" t="str">
        <f t="shared" si="78"/>
        <v>F</v>
      </c>
      <c r="C239">
        <v>19</v>
      </c>
      <c r="D239">
        <f t="shared" si="79"/>
        <v>19</v>
      </c>
      <c r="E239">
        <f t="shared" si="80"/>
        <v>19</v>
      </c>
      <c r="F239" t="str">
        <f t="shared" si="81"/>
        <v>1-25</v>
      </c>
      <c r="G239">
        <v>1</v>
      </c>
      <c r="H239" t="str">
        <f t="shared" si="82"/>
        <v>Pariente gordo</v>
      </c>
      <c r="I239">
        <v>1</v>
      </c>
      <c r="J239" t="str">
        <f t="shared" si="83"/>
        <v>Hipercaloricos</v>
      </c>
      <c r="K239">
        <v>3</v>
      </c>
      <c r="L239">
        <f t="shared" si="84"/>
        <v>1</v>
      </c>
      <c r="M239" t="str">
        <f t="shared" si="85"/>
        <v>Suele comer</v>
      </c>
      <c r="N239">
        <v>3</v>
      </c>
      <c r="O239">
        <f t="shared" si="86"/>
        <v>2</v>
      </c>
      <c r="P239" t="str">
        <f t="shared" si="87"/>
        <v>Mas de 3</v>
      </c>
      <c r="Q239">
        <v>1</v>
      </c>
      <c r="R239" t="str">
        <f t="shared" si="88"/>
        <v>A veces</v>
      </c>
      <c r="S239">
        <v>0</v>
      </c>
      <c r="T239" t="str">
        <f t="shared" si="89"/>
        <v>No fuma</v>
      </c>
      <c r="U239">
        <v>1</v>
      </c>
      <c r="V239">
        <f t="shared" si="90"/>
        <v>1</v>
      </c>
      <c r="W239" t="str">
        <f t="shared" si="91"/>
        <v>Usualmente</v>
      </c>
      <c r="X239">
        <v>0</v>
      </c>
      <c r="Y239" t="str">
        <f t="shared" si="92"/>
        <v>No controla</v>
      </c>
      <c r="Z239">
        <v>1</v>
      </c>
      <c r="AA239">
        <f t="shared" si="93"/>
        <v>1</v>
      </c>
      <c r="AB239" t="str">
        <f t="shared" si="94"/>
        <v>A veces</v>
      </c>
      <c r="AC239">
        <v>1</v>
      </c>
      <c r="AD239">
        <f t="shared" si="95"/>
        <v>1</v>
      </c>
      <c r="AE239" t="str">
        <f t="shared" si="96"/>
        <v>Usualmente</v>
      </c>
      <c r="AF239">
        <v>0</v>
      </c>
      <c r="AG239" t="str">
        <f t="shared" si="97"/>
        <v>Nunca</v>
      </c>
      <c r="AH239">
        <v>0</v>
      </c>
      <c r="AI239" t="str">
        <f t="shared" si="98"/>
        <v>No usa</v>
      </c>
      <c r="AJ239">
        <v>0</v>
      </c>
      <c r="AK239" t="str">
        <f t="shared" si="99"/>
        <v>No usa</v>
      </c>
      <c r="AL239">
        <v>0</v>
      </c>
      <c r="AM239" t="str">
        <f t="shared" si="100"/>
        <v>No usa</v>
      </c>
      <c r="AN239">
        <v>1</v>
      </c>
      <c r="AO239" t="str">
        <f t="shared" si="101"/>
        <v>Usa Transporte</v>
      </c>
      <c r="AP239">
        <v>0</v>
      </c>
      <c r="AQ239" t="str">
        <f t="shared" si="102"/>
        <v>No camina</v>
      </c>
      <c r="AR239">
        <v>0</v>
      </c>
      <c r="AS239" t="str">
        <f t="shared" si="103"/>
        <v>No es obeso</v>
      </c>
    </row>
    <row r="240" spans="1:45" x14ac:dyDescent="0.25">
      <c r="A240">
        <v>0</v>
      </c>
      <c r="B240" t="str">
        <f t="shared" si="78"/>
        <v>F</v>
      </c>
      <c r="C240">
        <v>20</v>
      </c>
      <c r="D240">
        <f t="shared" si="79"/>
        <v>20</v>
      </c>
      <c r="E240">
        <f t="shared" si="80"/>
        <v>20</v>
      </c>
      <c r="F240" t="str">
        <f t="shared" si="81"/>
        <v>1-25</v>
      </c>
      <c r="G240">
        <v>0</v>
      </c>
      <c r="H240" t="str">
        <f t="shared" si="82"/>
        <v>Pariente normal</v>
      </c>
      <c r="I240">
        <v>1</v>
      </c>
      <c r="J240" t="str">
        <f t="shared" si="83"/>
        <v>Hipercaloricos</v>
      </c>
      <c r="K240">
        <v>3</v>
      </c>
      <c r="L240">
        <f t="shared" si="84"/>
        <v>1</v>
      </c>
      <c r="M240" t="str">
        <f t="shared" si="85"/>
        <v>Suele comer</v>
      </c>
      <c r="N240">
        <v>1</v>
      </c>
      <c r="O240">
        <f t="shared" si="86"/>
        <v>1</v>
      </c>
      <c r="P240">
        <f t="shared" si="87"/>
        <v>3</v>
      </c>
      <c r="Q240">
        <v>1</v>
      </c>
      <c r="R240" t="str">
        <f t="shared" si="88"/>
        <v>A veces</v>
      </c>
      <c r="S240">
        <v>0</v>
      </c>
      <c r="T240" t="str">
        <f t="shared" si="89"/>
        <v>No fuma</v>
      </c>
      <c r="U240">
        <v>3</v>
      </c>
      <c r="V240">
        <f t="shared" si="90"/>
        <v>2</v>
      </c>
      <c r="W240" t="str">
        <f t="shared" si="91"/>
        <v>Siempre</v>
      </c>
      <c r="X240">
        <v>0</v>
      </c>
      <c r="Y240" t="str">
        <f t="shared" si="92"/>
        <v>No controla</v>
      </c>
      <c r="Z240">
        <v>1</v>
      </c>
      <c r="AA240">
        <f t="shared" si="93"/>
        <v>1</v>
      </c>
      <c r="AB240" t="str">
        <f t="shared" si="94"/>
        <v>A veces</v>
      </c>
      <c r="AC240">
        <v>1</v>
      </c>
      <c r="AD240">
        <f t="shared" si="95"/>
        <v>1</v>
      </c>
      <c r="AE240" t="str">
        <f t="shared" si="96"/>
        <v>Usualmente</v>
      </c>
      <c r="AF240">
        <v>0</v>
      </c>
      <c r="AG240" t="str">
        <f t="shared" si="97"/>
        <v>Nunca</v>
      </c>
      <c r="AH240">
        <v>0</v>
      </c>
      <c r="AI240" t="str">
        <f t="shared" si="98"/>
        <v>No usa</v>
      </c>
      <c r="AJ240">
        <v>0</v>
      </c>
      <c r="AK240" t="str">
        <f t="shared" si="99"/>
        <v>No usa</v>
      </c>
      <c r="AL240">
        <v>0</v>
      </c>
      <c r="AM240" t="str">
        <f t="shared" si="100"/>
        <v>No usa</v>
      </c>
      <c r="AN240">
        <v>1</v>
      </c>
      <c r="AO240" t="str">
        <f t="shared" si="101"/>
        <v>Usa Transporte</v>
      </c>
      <c r="AP240">
        <v>0</v>
      </c>
      <c r="AQ240" t="str">
        <f t="shared" si="102"/>
        <v>No camina</v>
      </c>
      <c r="AR240">
        <v>0</v>
      </c>
      <c r="AS240" t="str">
        <f t="shared" si="103"/>
        <v>No es obeso</v>
      </c>
    </row>
    <row r="241" spans="1:45" x14ac:dyDescent="0.25">
      <c r="A241">
        <v>0</v>
      </c>
      <c r="B241" t="str">
        <f t="shared" si="78"/>
        <v>F</v>
      </c>
      <c r="C241">
        <v>19</v>
      </c>
      <c r="D241">
        <f t="shared" si="79"/>
        <v>19</v>
      </c>
      <c r="E241">
        <f t="shared" si="80"/>
        <v>19</v>
      </c>
      <c r="F241" t="str">
        <f t="shared" si="81"/>
        <v>1-25</v>
      </c>
      <c r="G241">
        <v>1</v>
      </c>
      <c r="H241" t="str">
        <f t="shared" si="82"/>
        <v>Pariente gordo</v>
      </c>
      <c r="I241">
        <v>1</v>
      </c>
      <c r="J241" t="str">
        <f t="shared" si="83"/>
        <v>Hipercaloricos</v>
      </c>
      <c r="K241">
        <v>3</v>
      </c>
      <c r="L241">
        <f t="shared" si="84"/>
        <v>1</v>
      </c>
      <c r="M241" t="str">
        <f t="shared" si="85"/>
        <v>Suele comer</v>
      </c>
      <c r="N241">
        <v>3</v>
      </c>
      <c r="O241">
        <f t="shared" si="86"/>
        <v>2</v>
      </c>
      <c r="P241" t="str">
        <f t="shared" si="87"/>
        <v>Mas de 3</v>
      </c>
      <c r="Q241">
        <v>0</v>
      </c>
      <c r="R241" t="str">
        <f t="shared" si="88"/>
        <v>Nunca</v>
      </c>
      <c r="S241">
        <v>0</v>
      </c>
      <c r="T241" t="str">
        <f t="shared" si="89"/>
        <v>No fuma</v>
      </c>
      <c r="U241">
        <v>3</v>
      </c>
      <c r="V241">
        <f t="shared" si="90"/>
        <v>2</v>
      </c>
      <c r="W241" t="str">
        <f t="shared" si="91"/>
        <v>Siempre</v>
      </c>
      <c r="X241">
        <v>1</v>
      </c>
      <c r="Y241" t="str">
        <f t="shared" si="92"/>
        <v>Controla</v>
      </c>
      <c r="Z241">
        <v>3</v>
      </c>
      <c r="AA241">
        <f t="shared" si="93"/>
        <v>3</v>
      </c>
      <c r="AB241" t="str">
        <f t="shared" si="94"/>
        <v>Siempre</v>
      </c>
      <c r="AC241">
        <v>1</v>
      </c>
      <c r="AD241">
        <f t="shared" si="95"/>
        <v>1</v>
      </c>
      <c r="AE241" t="str">
        <f t="shared" si="96"/>
        <v>Usualmente</v>
      </c>
      <c r="AF241">
        <v>0</v>
      </c>
      <c r="AG241" t="str">
        <f t="shared" si="97"/>
        <v>Nunca</v>
      </c>
      <c r="AH241">
        <v>0</v>
      </c>
      <c r="AI241" t="str">
        <f t="shared" si="98"/>
        <v>No usa</v>
      </c>
      <c r="AJ241">
        <v>0</v>
      </c>
      <c r="AK241" t="str">
        <f t="shared" si="99"/>
        <v>No usa</v>
      </c>
      <c r="AL241">
        <v>0</v>
      </c>
      <c r="AM241" t="str">
        <f t="shared" si="100"/>
        <v>No usa</v>
      </c>
      <c r="AN241">
        <v>1</v>
      </c>
      <c r="AO241" t="str">
        <f t="shared" si="101"/>
        <v>Usa Transporte</v>
      </c>
      <c r="AP241">
        <v>0</v>
      </c>
      <c r="AQ241" t="str">
        <f t="shared" si="102"/>
        <v>No camina</v>
      </c>
      <c r="AR241">
        <v>0</v>
      </c>
      <c r="AS241" t="str">
        <f t="shared" si="103"/>
        <v>No es obeso</v>
      </c>
    </row>
    <row r="242" spans="1:45" x14ac:dyDescent="0.25">
      <c r="A242">
        <v>0</v>
      </c>
      <c r="B242" t="str">
        <f t="shared" si="78"/>
        <v>F</v>
      </c>
      <c r="C242">
        <v>17</v>
      </c>
      <c r="D242">
        <f t="shared" si="79"/>
        <v>17</v>
      </c>
      <c r="E242">
        <f t="shared" si="80"/>
        <v>17</v>
      </c>
      <c r="F242" t="str">
        <f t="shared" si="81"/>
        <v>1-25</v>
      </c>
      <c r="G242">
        <v>0</v>
      </c>
      <c r="H242" t="str">
        <f t="shared" si="82"/>
        <v>Pariente normal</v>
      </c>
      <c r="I242">
        <v>1</v>
      </c>
      <c r="J242" t="str">
        <f t="shared" si="83"/>
        <v>Hipercaloricos</v>
      </c>
      <c r="K242">
        <v>2</v>
      </c>
      <c r="L242">
        <f t="shared" si="84"/>
        <v>1</v>
      </c>
      <c r="M242" t="str">
        <f t="shared" si="85"/>
        <v>Suele comer</v>
      </c>
      <c r="N242">
        <v>1</v>
      </c>
      <c r="O242">
        <f t="shared" si="86"/>
        <v>1</v>
      </c>
      <c r="P242">
        <f t="shared" si="87"/>
        <v>3</v>
      </c>
      <c r="Q242">
        <v>1</v>
      </c>
      <c r="R242" t="str">
        <f t="shared" si="88"/>
        <v>A veces</v>
      </c>
      <c r="S242">
        <v>0</v>
      </c>
      <c r="T242" t="str">
        <f t="shared" si="89"/>
        <v>No fuma</v>
      </c>
      <c r="U242">
        <v>3</v>
      </c>
      <c r="V242">
        <f t="shared" si="90"/>
        <v>2</v>
      </c>
      <c r="W242" t="str">
        <f t="shared" si="91"/>
        <v>Siempre</v>
      </c>
      <c r="X242">
        <v>0</v>
      </c>
      <c r="Y242" t="str">
        <f t="shared" si="92"/>
        <v>No controla</v>
      </c>
      <c r="Z242">
        <v>1</v>
      </c>
      <c r="AA242">
        <f t="shared" si="93"/>
        <v>1</v>
      </c>
      <c r="AB242" t="str">
        <f t="shared" si="94"/>
        <v>A veces</v>
      </c>
      <c r="AC242">
        <v>1</v>
      </c>
      <c r="AD242">
        <f t="shared" si="95"/>
        <v>1</v>
      </c>
      <c r="AE242" t="str">
        <f t="shared" si="96"/>
        <v>Usualmente</v>
      </c>
      <c r="AF242">
        <v>0</v>
      </c>
      <c r="AG242" t="str">
        <f t="shared" si="97"/>
        <v>Nunca</v>
      </c>
      <c r="AH242">
        <v>0</v>
      </c>
      <c r="AI242" t="str">
        <f t="shared" si="98"/>
        <v>No usa</v>
      </c>
      <c r="AJ242">
        <v>0</v>
      </c>
      <c r="AK242" t="str">
        <f t="shared" si="99"/>
        <v>No usa</v>
      </c>
      <c r="AL242">
        <v>0</v>
      </c>
      <c r="AM242" t="str">
        <f t="shared" si="100"/>
        <v>No usa</v>
      </c>
      <c r="AN242">
        <v>1</v>
      </c>
      <c r="AO242" t="str">
        <f t="shared" si="101"/>
        <v>Usa Transporte</v>
      </c>
      <c r="AP242">
        <v>0</v>
      </c>
      <c r="AQ242" t="str">
        <f t="shared" si="102"/>
        <v>No camina</v>
      </c>
      <c r="AR242">
        <v>0</v>
      </c>
      <c r="AS242" t="str">
        <f t="shared" si="103"/>
        <v>No es obeso</v>
      </c>
    </row>
    <row r="243" spans="1:45" x14ac:dyDescent="0.25">
      <c r="A243">
        <v>1</v>
      </c>
      <c r="B243" t="str">
        <f t="shared" si="78"/>
        <v>M</v>
      </c>
      <c r="C243">
        <v>22</v>
      </c>
      <c r="D243">
        <f t="shared" si="79"/>
        <v>22</v>
      </c>
      <c r="E243">
        <f t="shared" si="80"/>
        <v>22</v>
      </c>
      <c r="F243" t="str">
        <f t="shared" si="81"/>
        <v>1-25</v>
      </c>
      <c r="G243">
        <v>0</v>
      </c>
      <c r="H243" t="str">
        <f t="shared" si="82"/>
        <v>Pariente normal</v>
      </c>
      <c r="I243">
        <v>1</v>
      </c>
      <c r="J243" t="str">
        <f t="shared" si="83"/>
        <v>Hipercaloricos</v>
      </c>
      <c r="K243">
        <v>3</v>
      </c>
      <c r="L243">
        <f t="shared" si="84"/>
        <v>1</v>
      </c>
      <c r="M243" t="str">
        <f t="shared" si="85"/>
        <v>Suele comer</v>
      </c>
      <c r="N243">
        <v>3</v>
      </c>
      <c r="O243">
        <f t="shared" si="86"/>
        <v>2</v>
      </c>
      <c r="P243" t="str">
        <f t="shared" si="87"/>
        <v>Mas de 3</v>
      </c>
      <c r="Q243">
        <v>1</v>
      </c>
      <c r="R243" t="str">
        <f t="shared" si="88"/>
        <v>A veces</v>
      </c>
      <c r="S243">
        <v>0</v>
      </c>
      <c r="T243" t="str">
        <f t="shared" si="89"/>
        <v>No fuma</v>
      </c>
      <c r="U243">
        <v>2</v>
      </c>
      <c r="V243">
        <f t="shared" si="90"/>
        <v>2</v>
      </c>
      <c r="W243" t="str">
        <f t="shared" si="91"/>
        <v>Siempre</v>
      </c>
      <c r="X243">
        <v>0</v>
      </c>
      <c r="Y243" t="str">
        <f t="shared" si="92"/>
        <v>No controla</v>
      </c>
      <c r="Z243">
        <v>3</v>
      </c>
      <c r="AA243">
        <f t="shared" si="93"/>
        <v>3</v>
      </c>
      <c r="AB243" t="str">
        <f t="shared" si="94"/>
        <v>Siempre</v>
      </c>
      <c r="AC243">
        <v>0</v>
      </c>
      <c r="AD243">
        <f t="shared" si="95"/>
        <v>0</v>
      </c>
      <c r="AE243" t="str">
        <f t="shared" si="96"/>
        <v>Nunca</v>
      </c>
      <c r="AF243">
        <v>0</v>
      </c>
      <c r="AG243" t="str">
        <f t="shared" si="97"/>
        <v>Nunca</v>
      </c>
      <c r="AH243">
        <v>0</v>
      </c>
      <c r="AI243" t="str">
        <f t="shared" si="98"/>
        <v>No usa</v>
      </c>
      <c r="AJ243">
        <v>1</v>
      </c>
      <c r="AK243" t="str">
        <f t="shared" si="99"/>
        <v>Usa Bici</v>
      </c>
      <c r="AL243">
        <v>0</v>
      </c>
      <c r="AM243" t="str">
        <f t="shared" si="100"/>
        <v>No usa</v>
      </c>
      <c r="AN243">
        <v>0</v>
      </c>
      <c r="AO243" t="str">
        <f t="shared" si="101"/>
        <v>No usa</v>
      </c>
      <c r="AP243">
        <v>0</v>
      </c>
      <c r="AQ243" t="str">
        <f t="shared" si="102"/>
        <v>No camina</v>
      </c>
      <c r="AR243">
        <v>0</v>
      </c>
      <c r="AS243" t="str">
        <f t="shared" si="103"/>
        <v>No es obeso</v>
      </c>
    </row>
    <row r="244" spans="1:45" x14ac:dyDescent="0.25">
      <c r="A244">
        <v>0</v>
      </c>
      <c r="B244" t="str">
        <f t="shared" si="78"/>
        <v>F</v>
      </c>
      <c r="C244">
        <v>20</v>
      </c>
      <c r="D244">
        <f t="shared" si="79"/>
        <v>20</v>
      </c>
      <c r="E244">
        <f t="shared" si="80"/>
        <v>20</v>
      </c>
      <c r="F244" t="str">
        <f t="shared" si="81"/>
        <v>1-25</v>
      </c>
      <c r="G244">
        <v>1</v>
      </c>
      <c r="H244" t="str">
        <f t="shared" si="82"/>
        <v>Pariente gordo</v>
      </c>
      <c r="I244">
        <v>1</v>
      </c>
      <c r="J244" t="str">
        <f t="shared" si="83"/>
        <v>Hipercaloricos</v>
      </c>
      <c r="K244">
        <v>1</v>
      </c>
      <c r="L244">
        <f t="shared" si="84"/>
        <v>1</v>
      </c>
      <c r="M244" t="str">
        <f t="shared" si="85"/>
        <v>Suele comer</v>
      </c>
      <c r="N244">
        <v>3</v>
      </c>
      <c r="O244">
        <f t="shared" si="86"/>
        <v>2</v>
      </c>
      <c r="P244" t="str">
        <f t="shared" si="87"/>
        <v>Mas de 3</v>
      </c>
      <c r="Q244">
        <v>3</v>
      </c>
      <c r="R244" t="str">
        <f t="shared" si="88"/>
        <v>Siempre</v>
      </c>
      <c r="S244">
        <v>0</v>
      </c>
      <c r="T244" t="str">
        <f t="shared" si="89"/>
        <v>No fuma</v>
      </c>
      <c r="U244">
        <v>2</v>
      </c>
      <c r="V244">
        <f t="shared" si="90"/>
        <v>2</v>
      </c>
      <c r="W244" t="str">
        <f t="shared" si="91"/>
        <v>Siempre</v>
      </c>
      <c r="X244">
        <v>0</v>
      </c>
      <c r="Y244" t="str">
        <f t="shared" si="92"/>
        <v>No controla</v>
      </c>
      <c r="Z244">
        <v>0</v>
      </c>
      <c r="AA244">
        <f t="shared" si="93"/>
        <v>0</v>
      </c>
      <c r="AB244" t="str">
        <f t="shared" si="94"/>
        <v>Nunca</v>
      </c>
      <c r="AC244">
        <v>2</v>
      </c>
      <c r="AD244">
        <f t="shared" si="95"/>
        <v>2</v>
      </c>
      <c r="AE244" t="str">
        <f t="shared" si="96"/>
        <v>Siempre</v>
      </c>
      <c r="AF244">
        <v>0</v>
      </c>
      <c r="AG244" t="str">
        <f t="shared" si="97"/>
        <v>Nunca</v>
      </c>
      <c r="AH244">
        <v>1</v>
      </c>
      <c r="AI244" t="str">
        <f t="shared" si="98"/>
        <v>Usa auto</v>
      </c>
      <c r="AJ244">
        <v>0</v>
      </c>
      <c r="AK244" t="str">
        <f t="shared" si="99"/>
        <v>No usa</v>
      </c>
      <c r="AL244">
        <v>0</v>
      </c>
      <c r="AM244" t="str">
        <f t="shared" si="100"/>
        <v>No usa</v>
      </c>
      <c r="AN244">
        <v>0</v>
      </c>
      <c r="AO244" t="str">
        <f t="shared" si="101"/>
        <v>No usa</v>
      </c>
      <c r="AP244">
        <v>0</v>
      </c>
      <c r="AQ244" t="str">
        <f t="shared" si="102"/>
        <v>No camina</v>
      </c>
      <c r="AR244">
        <v>0</v>
      </c>
      <c r="AS244" t="str">
        <f t="shared" si="103"/>
        <v>No es obeso</v>
      </c>
    </row>
    <row r="245" spans="1:45" x14ac:dyDescent="0.25">
      <c r="A245">
        <v>1</v>
      </c>
      <c r="B245" t="str">
        <f t="shared" si="78"/>
        <v>M</v>
      </c>
      <c r="C245">
        <v>33</v>
      </c>
      <c r="D245">
        <f t="shared" si="79"/>
        <v>33</v>
      </c>
      <c r="E245">
        <f t="shared" si="80"/>
        <v>33</v>
      </c>
      <c r="F245" t="str">
        <f t="shared" si="81"/>
        <v>25-50</v>
      </c>
      <c r="G245">
        <v>1</v>
      </c>
      <c r="H245" t="str">
        <f t="shared" si="82"/>
        <v>Pariente gordo</v>
      </c>
      <c r="I245">
        <v>1</v>
      </c>
      <c r="J245" t="str">
        <f t="shared" si="83"/>
        <v>Hipercaloricos</v>
      </c>
      <c r="K245">
        <v>2</v>
      </c>
      <c r="L245">
        <f t="shared" si="84"/>
        <v>1</v>
      </c>
      <c r="M245" t="str">
        <f t="shared" si="85"/>
        <v>Suele comer</v>
      </c>
      <c r="N245">
        <v>3</v>
      </c>
      <c r="O245">
        <f t="shared" si="86"/>
        <v>2</v>
      </c>
      <c r="P245" t="str">
        <f t="shared" si="87"/>
        <v>Mas de 3</v>
      </c>
      <c r="Q245">
        <v>1</v>
      </c>
      <c r="R245" t="str">
        <f t="shared" si="88"/>
        <v>A veces</v>
      </c>
      <c r="S245">
        <v>1</v>
      </c>
      <c r="T245" t="str">
        <f t="shared" si="89"/>
        <v>Fuma</v>
      </c>
      <c r="U245">
        <v>3</v>
      </c>
      <c r="V245">
        <f t="shared" si="90"/>
        <v>2</v>
      </c>
      <c r="W245" t="str">
        <f t="shared" si="91"/>
        <v>Siempre</v>
      </c>
      <c r="X245">
        <v>0</v>
      </c>
      <c r="Y245" t="str">
        <f t="shared" si="92"/>
        <v>No controla</v>
      </c>
      <c r="Z245">
        <v>1</v>
      </c>
      <c r="AA245">
        <f t="shared" si="93"/>
        <v>1</v>
      </c>
      <c r="AB245" t="str">
        <f t="shared" si="94"/>
        <v>A veces</v>
      </c>
      <c r="AC245">
        <v>0</v>
      </c>
      <c r="AD245">
        <f t="shared" si="95"/>
        <v>0</v>
      </c>
      <c r="AE245" t="str">
        <f t="shared" si="96"/>
        <v>Nunca</v>
      </c>
      <c r="AF245">
        <v>1</v>
      </c>
      <c r="AG245" t="str">
        <f t="shared" si="97"/>
        <v>A veces</v>
      </c>
      <c r="AH245">
        <v>1</v>
      </c>
      <c r="AI245" t="str">
        <f t="shared" si="98"/>
        <v>Usa auto</v>
      </c>
      <c r="AJ245">
        <v>0</v>
      </c>
      <c r="AK245" t="str">
        <f t="shared" si="99"/>
        <v>No usa</v>
      </c>
      <c r="AL245">
        <v>0</v>
      </c>
      <c r="AM245" t="str">
        <f t="shared" si="100"/>
        <v>No usa</v>
      </c>
      <c r="AN245">
        <v>0</v>
      </c>
      <c r="AO245" t="str">
        <f t="shared" si="101"/>
        <v>No usa</v>
      </c>
      <c r="AP245">
        <v>0</v>
      </c>
      <c r="AQ245" t="str">
        <f t="shared" si="102"/>
        <v>No camina</v>
      </c>
      <c r="AR245">
        <v>0</v>
      </c>
      <c r="AS245" t="str">
        <f t="shared" si="103"/>
        <v>No es obeso</v>
      </c>
    </row>
    <row r="246" spans="1:45" x14ac:dyDescent="0.25">
      <c r="A246">
        <v>0</v>
      </c>
      <c r="B246" t="str">
        <f t="shared" si="78"/>
        <v>F</v>
      </c>
      <c r="C246">
        <v>21</v>
      </c>
      <c r="D246">
        <f t="shared" si="79"/>
        <v>21</v>
      </c>
      <c r="E246">
        <f t="shared" si="80"/>
        <v>21</v>
      </c>
      <c r="F246" t="str">
        <f t="shared" si="81"/>
        <v>1-25</v>
      </c>
      <c r="G246">
        <v>1</v>
      </c>
      <c r="H246" t="str">
        <f t="shared" si="82"/>
        <v>Pariente gordo</v>
      </c>
      <c r="I246">
        <v>0</v>
      </c>
      <c r="J246" t="str">
        <f t="shared" si="83"/>
        <v>Saludables</v>
      </c>
      <c r="K246">
        <v>2</v>
      </c>
      <c r="L246">
        <f t="shared" si="84"/>
        <v>1</v>
      </c>
      <c r="M246" t="str">
        <f t="shared" si="85"/>
        <v>Suele comer</v>
      </c>
      <c r="N246">
        <v>1</v>
      </c>
      <c r="O246">
        <f t="shared" si="86"/>
        <v>1</v>
      </c>
      <c r="P246">
        <f t="shared" si="87"/>
        <v>3</v>
      </c>
      <c r="Q246">
        <v>1</v>
      </c>
      <c r="R246" t="str">
        <f t="shared" si="88"/>
        <v>A veces</v>
      </c>
      <c r="S246">
        <v>0</v>
      </c>
      <c r="T246" t="str">
        <f t="shared" si="89"/>
        <v>No fuma</v>
      </c>
      <c r="U246">
        <v>2</v>
      </c>
      <c r="V246">
        <f t="shared" si="90"/>
        <v>2</v>
      </c>
      <c r="W246" t="str">
        <f t="shared" si="91"/>
        <v>Siempre</v>
      </c>
      <c r="X246">
        <v>1</v>
      </c>
      <c r="Y246" t="str">
        <f t="shared" si="92"/>
        <v>Controla</v>
      </c>
      <c r="Z246">
        <v>2</v>
      </c>
      <c r="AA246">
        <f t="shared" si="93"/>
        <v>2</v>
      </c>
      <c r="AB246" t="str">
        <f t="shared" si="94"/>
        <v>Usualmente</v>
      </c>
      <c r="AC246">
        <v>0</v>
      </c>
      <c r="AD246">
        <f t="shared" si="95"/>
        <v>0</v>
      </c>
      <c r="AE246" t="str">
        <f t="shared" si="96"/>
        <v>Nunca</v>
      </c>
      <c r="AF246">
        <v>1</v>
      </c>
      <c r="AG246" t="str">
        <f t="shared" si="97"/>
        <v>A veces</v>
      </c>
      <c r="AH246">
        <v>0</v>
      </c>
      <c r="AI246" t="str">
        <f t="shared" si="98"/>
        <v>No usa</v>
      </c>
      <c r="AJ246">
        <v>0</v>
      </c>
      <c r="AK246" t="str">
        <f t="shared" si="99"/>
        <v>No usa</v>
      </c>
      <c r="AL246">
        <v>0</v>
      </c>
      <c r="AM246" t="str">
        <f t="shared" si="100"/>
        <v>No usa</v>
      </c>
      <c r="AN246">
        <v>1</v>
      </c>
      <c r="AO246" t="str">
        <f t="shared" si="101"/>
        <v>Usa Transporte</v>
      </c>
      <c r="AP246">
        <v>0</v>
      </c>
      <c r="AQ246" t="str">
        <f t="shared" si="102"/>
        <v>No camina</v>
      </c>
      <c r="AR246">
        <v>0</v>
      </c>
      <c r="AS246" t="str">
        <f t="shared" si="103"/>
        <v>No es obeso</v>
      </c>
    </row>
    <row r="247" spans="1:45" x14ac:dyDescent="0.25">
      <c r="A247">
        <v>0</v>
      </c>
      <c r="B247" t="str">
        <f t="shared" si="78"/>
        <v>F</v>
      </c>
      <c r="C247">
        <v>20</v>
      </c>
      <c r="D247">
        <f t="shared" si="79"/>
        <v>20</v>
      </c>
      <c r="E247">
        <f t="shared" si="80"/>
        <v>20</v>
      </c>
      <c r="F247" t="str">
        <f t="shared" si="81"/>
        <v>1-25</v>
      </c>
      <c r="G247">
        <v>0</v>
      </c>
      <c r="H247" t="str">
        <f t="shared" si="82"/>
        <v>Pariente normal</v>
      </c>
      <c r="I247">
        <v>0</v>
      </c>
      <c r="J247" t="str">
        <f t="shared" si="83"/>
        <v>Saludables</v>
      </c>
      <c r="K247">
        <v>3</v>
      </c>
      <c r="L247">
        <f t="shared" si="84"/>
        <v>1</v>
      </c>
      <c r="M247" t="str">
        <f t="shared" si="85"/>
        <v>Suele comer</v>
      </c>
      <c r="N247">
        <v>3</v>
      </c>
      <c r="O247">
        <f t="shared" si="86"/>
        <v>2</v>
      </c>
      <c r="P247" t="str">
        <f t="shared" si="87"/>
        <v>Mas de 3</v>
      </c>
      <c r="Q247">
        <v>1</v>
      </c>
      <c r="R247" t="str">
        <f t="shared" si="88"/>
        <v>A veces</v>
      </c>
      <c r="S247">
        <v>1</v>
      </c>
      <c r="T247" t="str">
        <f t="shared" si="89"/>
        <v>Fuma</v>
      </c>
      <c r="U247">
        <v>2</v>
      </c>
      <c r="V247">
        <f t="shared" si="90"/>
        <v>2</v>
      </c>
      <c r="W247" t="str">
        <f t="shared" si="91"/>
        <v>Siempre</v>
      </c>
      <c r="X247">
        <v>0</v>
      </c>
      <c r="Y247" t="str">
        <f t="shared" si="92"/>
        <v>No controla</v>
      </c>
      <c r="Z247">
        <v>2</v>
      </c>
      <c r="AA247">
        <f t="shared" si="93"/>
        <v>2</v>
      </c>
      <c r="AB247" t="str">
        <f t="shared" si="94"/>
        <v>Usualmente</v>
      </c>
      <c r="AC247">
        <v>1</v>
      </c>
      <c r="AD247">
        <f t="shared" si="95"/>
        <v>1</v>
      </c>
      <c r="AE247" t="str">
        <f t="shared" si="96"/>
        <v>Usualmente</v>
      </c>
      <c r="AF247">
        <v>1</v>
      </c>
      <c r="AG247" t="str">
        <f t="shared" si="97"/>
        <v>A veces</v>
      </c>
      <c r="AH247">
        <v>1</v>
      </c>
      <c r="AI247" t="str">
        <f t="shared" si="98"/>
        <v>Usa auto</v>
      </c>
      <c r="AJ247">
        <v>0</v>
      </c>
      <c r="AK247" t="str">
        <f t="shared" si="99"/>
        <v>No usa</v>
      </c>
      <c r="AL247">
        <v>0</v>
      </c>
      <c r="AM247" t="str">
        <f t="shared" si="100"/>
        <v>No usa</v>
      </c>
      <c r="AN247">
        <v>0</v>
      </c>
      <c r="AO247" t="str">
        <f t="shared" si="101"/>
        <v>No usa</v>
      </c>
      <c r="AP247">
        <v>0</v>
      </c>
      <c r="AQ247" t="str">
        <f t="shared" si="102"/>
        <v>No camina</v>
      </c>
      <c r="AR247">
        <v>0</v>
      </c>
      <c r="AS247" t="str">
        <f t="shared" si="103"/>
        <v>No es obeso</v>
      </c>
    </row>
    <row r="248" spans="1:45" x14ac:dyDescent="0.25">
      <c r="A248">
        <v>0</v>
      </c>
      <c r="B248" t="str">
        <f t="shared" si="78"/>
        <v>F</v>
      </c>
      <c r="C248">
        <v>20</v>
      </c>
      <c r="D248">
        <f t="shared" si="79"/>
        <v>20</v>
      </c>
      <c r="E248">
        <f t="shared" si="80"/>
        <v>20</v>
      </c>
      <c r="F248" t="str">
        <f t="shared" si="81"/>
        <v>1-25</v>
      </c>
      <c r="G248">
        <v>0</v>
      </c>
      <c r="H248" t="str">
        <f t="shared" si="82"/>
        <v>Pariente normal</v>
      </c>
      <c r="I248">
        <v>1</v>
      </c>
      <c r="J248" t="str">
        <f t="shared" si="83"/>
        <v>Hipercaloricos</v>
      </c>
      <c r="K248">
        <v>3</v>
      </c>
      <c r="L248">
        <f t="shared" si="84"/>
        <v>1</v>
      </c>
      <c r="M248" t="str">
        <f t="shared" si="85"/>
        <v>Suele comer</v>
      </c>
      <c r="N248">
        <v>3</v>
      </c>
      <c r="O248">
        <f t="shared" si="86"/>
        <v>2</v>
      </c>
      <c r="P248" t="str">
        <f t="shared" si="87"/>
        <v>Mas de 3</v>
      </c>
      <c r="Q248">
        <v>1</v>
      </c>
      <c r="R248" t="str">
        <f t="shared" si="88"/>
        <v>A veces</v>
      </c>
      <c r="S248">
        <v>0</v>
      </c>
      <c r="T248" t="str">
        <f t="shared" si="89"/>
        <v>No fuma</v>
      </c>
      <c r="U248">
        <v>3</v>
      </c>
      <c r="V248">
        <f t="shared" si="90"/>
        <v>2</v>
      </c>
      <c r="W248" t="str">
        <f t="shared" si="91"/>
        <v>Siempre</v>
      </c>
      <c r="X248">
        <v>0</v>
      </c>
      <c r="Y248" t="str">
        <f t="shared" si="92"/>
        <v>No controla</v>
      </c>
      <c r="Z248">
        <v>0</v>
      </c>
      <c r="AA248">
        <f t="shared" si="93"/>
        <v>0</v>
      </c>
      <c r="AB248" t="str">
        <f t="shared" si="94"/>
        <v>Nunca</v>
      </c>
      <c r="AC248">
        <v>1</v>
      </c>
      <c r="AD248">
        <f t="shared" si="95"/>
        <v>1</v>
      </c>
      <c r="AE248" t="str">
        <f t="shared" si="96"/>
        <v>Usualmente</v>
      </c>
      <c r="AF248">
        <v>1</v>
      </c>
      <c r="AG248" t="str">
        <f t="shared" si="97"/>
        <v>A veces</v>
      </c>
      <c r="AH248">
        <v>0</v>
      </c>
      <c r="AI248" t="str">
        <f t="shared" si="98"/>
        <v>No usa</v>
      </c>
      <c r="AJ248">
        <v>0</v>
      </c>
      <c r="AK248" t="str">
        <f t="shared" si="99"/>
        <v>No usa</v>
      </c>
      <c r="AL248">
        <v>0</v>
      </c>
      <c r="AM248" t="str">
        <f t="shared" si="100"/>
        <v>No usa</v>
      </c>
      <c r="AN248">
        <v>1</v>
      </c>
      <c r="AO248" t="str">
        <f t="shared" si="101"/>
        <v>Usa Transporte</v>
      </c>
      <c r="AP248">
        <v>0</v>
      </c>
      <c r="AQ248" t="str">
        <f t="shared" si="102"/>
        <v>No camina</v>
      </c>
      <c r="AR248">
        <v>0</v>
      </c>
      <c r="AS248" t="str">
        <f t="shared" si="103"/>
        <v>No es obeso</v>
      </c>
    </row>
    <row r="249" spans="1:45" x14ac:dyDescent="0.25">
      <c r="A249">
        <v>0</v>
      </c>
      <c r="B249" t="str">
        <f t="shared" si="78"/>
        <v>F</v>
      </c>
      <c r="C249">
        <v>20</v>
      </c>
      <c r="D249">
        <f t="shared" si="79"/>
        <v>20</v>
      </c>
      <c r="E249">
        <f t="shared" si="80"/>
        <v>20</v>
      </c>
      <c r="F249" t="str">
        <f t="shared" si="81"/>
        <v>1-25</v>
      </c>
      <c r="G249">
        <v>0</v>
      </c>
      <c r="H249" t="str">
        <f t="shared" si="82"/>
        <v>Pariente normal</v>
      </c>
      <c r="I249">
        <v>1</v>
      </c>
      <c r="J249" t="str">
        <f t="shared" si="83"/>
        <v>Hipercaloricos</v>
      </c>
      <c r="K249">
        <v>3</v>
      </c>
      <c r="L249">
        <f t="shared" si="84"/>
        <v>1</v>
      </c>
      <c r="M249" t="str">
        <f t="shared" si="85"/>
        <v>Suele comer</v>
      </c>
      <c r="N249">
        <v>3</v>
      </c>
      <c r="O249">
        <f t="shared" si="86"/>
        <v>2</v>
      </c>
      <c r="P249" t="str">
        <f t="shared" si="87"/>
        <v>Mas de 3</v>
      </c>
      <c r="Q249">
        <v>2</v>
      </c>
      <c r="R249" t="str">
        <f t="shared" si="88"/>
        <v>Usualmente</v>
      </c>
      <c r="S249">
        <v>0</v>
      </c>
      <c r="T249" t="str">
        <f t="shared" si="89"/>
        <v>No fuma</v>
      </c>
      <c r="U249">
        <v>1</v>
      </c>
      <c r="V249">
        <f t="shared" si="90"/>
        <v>1</v>
      </c>
      <c r="W249" t="str">
        <f t="shared" si="91"/>
        <v>Usualmente</v>
      </c>
      <c r="X249">
        <v>0</v>
      </c>
      <c r="Y249" t="str">
        <f t="shared" si="92"/>
        <v>No controla</v>
      </c>
      <c r="Z249">
        <v>3</v>
      </c>
      <c r="AA249">
        <f t="shared" si="93"/>
        <v>3</v>
      </c>
      <c r="AB249" t="str">
        <f t="shared" si="94"/>
        <v>Siempre</v>
      </c>
      <c r="AC249">
        <v>1</v>
      </c>
      <c r="AD249">
        <f t="shared" si="95"/>
        <v>1</v>
      </c>
      <c r="AE249" t="str">
        <f t="shared" si="96"/>
        <v>Usualmente</v>
      </c>
      <c r="AF249">
        <v>0</v>
      </c>
      <c r="AG249" t="str">
        <f t="shared" si="97"/>
        <v>Nunca</v>
      </c>
      <c r="AH249">
        <v>1</v>
      </c>
      <c r="AI249" t="str">
        <f t="shared" si="98"/>
        <v>Usa auto</v>
      </c>
      <c r="AJ249">
        <v>0</v>
      </c>
      <c r="AK249" t="str">
        <f t="shared" si="99"/>
        <v>No usa</v>
      </c>
      <c r="AL249">
        <v>0</v>
      </c>
      <c r="AM249" t="str">
        <f t="shared" si="100"/>
        <v>No usa</v>
      </c>
      <c r="AN249">
        <v>0</v>
      </c>
      <c r="AO249" t="str">
        <f t="shared" si="101"/>
        <v>No usa</v>
      </c>
      <c r="AP249">
        <v>0</v>
      </c>
      <c r="AQ249" t="str">
        <f t="shared" si="102"/>
        <v>No camina</v>
      </c>
      <c r="AR249">
        <v>0</v>
      </c>
      <c r="AS249" t="str">
        <f t="shared" si="103"/>
        <v>No es obeso</v>
      </c>
    </row>
    <row r="250" spans="1:45" x14ac:dyDescent="0.25">
      <c r="A250">
        <v>1</v>
      </c>
      <c r="B250" t="str">
        <f t="shared" si="78"/>
        <v>M</v>
      </c>
      <c r="C250">
        <v>21</v>
      </c>
      <c r="D250">
        <f t="shared" si="79"/>
        <v>21</v>
      </c>
      <c r="E250">
        <f t="shared" si="80"/>
        <v>21</v>
      </c>
      <c r="F250" t="str">
        <f t="shared" si="81"/>
        <v>1-25</v>
      </c>
      <c r="G250">
        <v>1</v>
      </c>
      <c r="H250" t="str">
        <f t="shared" si="82"/>
        <v>Pariente gordo</v>
      </c>
      <c r="I250">
        <v>1</v>
      </c>
      <c r="J250" t="str">
        <f t="shared" si="83"/>
        <v>Hipercaloricos</v>
      </c>
      <c r="K250">
        <v>3</v>
      </c>
      <c r="L250">
        <f t="shared" si="84"/>
        <v>1</v>
      </c>
      <c r="M250" t="str">
        <f t="shared" si="85"/>
        <v>Suele comer</v>
      </c>
      <c r="N250">
        <v>3</v>
      </c>
      <c r="O250">
        <f t="shared" si="86"/>
        <v>2</v>
      </c>
      <c r="P250" t="str">
        <f t="shared" si="87"/>
        <v>Mas de 3</v>
      </c>
      <c r="Q250">
        <v>3</v>
      </c>
      <c r="R250" t="str">
        <f t="shared" si="88"/>
        <v>Siempre</v>
      </c>
      <c r="S250">
        <v>0</v>
      </c>
      <c r="T250" t="str">
        <f t="shared" si="89"/>
        <v>No fuma</v>
      </c>
      <c r="U250">
        <v>3</v>
      </c>
      <c r="V250">
        <f t="shared" si="90"/>
        <v>2</v>
      </c>
      <c r="W250" t="str">
        <f t="shared" si="91"/>
        <v>Siempre</v>
      </c>
      <c r="X250">
        <v>1</v>
      </c>
      <c r="Y250" t="str">
        <f t="shared" si="92"/>
        <v>Controla</v>
      </c>
      <c r="Z250">
        <v>3</v>
      </c>
      <c r="AA250">
        <f t="shared" si="93"/>
        <v>3</v>
      </c>
      <c r="AB250" t="str">
        <f t="shared" si="94"/>
        <v>Siempre</v>
      </c>
      <c r="AC250">
        <v>0</v>
      </c>
      <c r="AD250">
        <f t="shared" si="95"/>
        <v>0</v>
      </c>
      <c r="AE250" t="str">
        <f t="shared" si="96"/>
        <v>Nunca</v>
      </c>
      <c r="AF250">
        <v>1</v>
      </c>
      <c r="AG250" t="str">
        <f t="shared" si="97"/>
        <v>A veces</v>
      </c>
      <c r="AH250">
        <v>1</v>
      </c>
      <c r="AI250" t="str">
        <f t="shared" si="98"/>
        <v>Usa auto</v>
      </c>
      <c r="AJ250">
        <v>0</v>
      </c>
      <c r="AK250" t="str">
        <f t="shared" si="99"/>
        <v>No usa</v>
      </c>
      <c r="AL250">
        <v>0</v>
      </c>
      <c r="AM250" t="str">
        <f t="shared" si="100"/>
        <v>No usa</v>
      </c>
      <c r="AN250">
        <v>0</v>
      </c>
      <c r="AO250" t="str">
        <f t="shared" si="101"/>
        <v>No usa</v>
      </c>
      <c r="AP250">
        <v>0</v>
      </c>
      <c r="AQ250" t="str">
        <f t="shared" si="102"/>
        <v>No camina</v>
      </c>
      <c r="AR250">
        <v>0</v>
      </c>
      <c r="AS250" t="str">
        <f t="shared" si="103"/>
        <v>No es obeso</v>
      </c>
    </row>
    <row r="251" spans="1:45" x14ac:dyDescent="0.25">
      <c r="A251">
        <v>1</v>
      </c>
      <c r="B251" t="str">
        <f t="shared" si="78"/>
        <v>M</v>
      </c>
      <c r="C251">
        <v>21</v>
      </c>
      <c r="D251">
        <f t="shared" si="79"/>
        <v>21</v>
      </c>
      <c r="E251">
        <f t="shared" si="80"/>
        <v>21</v>
      </c>
      <c r="F251" t="str">
        <f t="shared" si="81"/>
        <v>1-25</v>
      </c>
      <c r="G251">
        <v>1</v>
      </c>
      <c r="H251" t="str">
        <f t="shared" si="82"/>
        <v>Pariente gordo</v>
      </c>
      <c r="I251">
        <v>1</v>
      </c>
      <c r="J251" t="str">
        <f t="shared" si="83"/>
        <v>Hipercaloricos</v>
      </c>
      <c r="K251">
        <v>3</v>
      </c>
      <c r="L251">
        <f t="shared" si="84"/>
        <v>1</v>
      </c>
      <c r="M251" t="str">
        <f t="shared" si="85"/>
        <v>Suele comer</v>
      </c>
      <c r="N251">
        <v>1</v>
      </c>
      <c r="O251">
        <f t="shared" si="86"/>
        <v>1</v>
      </c>
      <c r="P251">
        <f t="shared" si="87"/>
        <v>3</v>
      </c>
      <c r="Q251">
        <v>1</v>
      </c>
      <c r="R251" t="str">
        <f t="shared" si="88"/>
        <v>A veces</v>
      </c>
      <c r="S251">
        <v>0</v>
      </c>
      <c r="T251" t="str">
        <f t="shared" si="89"/>
        <v>No fuma</v>
      </c>
      <c r="U251">
        <v>2</v>
      </c>
      <c r="V251">
        <f t="shared" si="90"/>
        <v>2</v>
      </c>
      <c r="W251" t="str">
        <f t="shared" si="91"/>
        <v>Siempre</v>
      </c>
      <c r="X251">
        <v>0</v>
      </c>
      <c r="Y251" t="str">
        <f t="shared" si="92"/>
        <v>No controla</v>
      </c>
      <c r="Z251">
        <v>3</v>
      </c>
      <c r="AA251">
        <f t="shared" si="93"/>
        <v>3</v>
      </c>
      <c r="AB251" t="str">
        <f t="shared" si="94"/>
        <v>Siempre</v>
      </c>
      <c r="AC251">
        <v>0</v>
      </c>
      <c r="AD251">
        <f t="shared" si="95"/>
        <v>0</v>
      </c>
      <c r="AE251" t="str">
        <f t="shared" si="96"/>
        <v>Nunca</v>
      </c>
      <c r="AF251">
        <v>1</v>
      </c>
      <c r="AG251" t="str">
        <f t="shared" si="97"/>
        <v>A veces</v>
      </c>
      <c r="AH251">
        <v>0</v>
      </c>
      <c r="AI251" t="str">
        <f t="shared" si="98"/>
        <v>No usa</v>
      </c>
      <c r="AJ251">
        <v>0</v>
      </c>
      <c r="AK251" t="str">
        <f t="shared" si="99"/>
        <v>No usa</v>
      </c>
      <c r="AL251">
        <v>0</v>
      </c>
      <c r="AM251" t="str">
        <f t="shared" si="100"/>
        <v>No usa</v>
      </c>
      <c r="AN251">
        <v>0</v>
      </c>
      <c r="AO251" t="str">
        <f t="shared" si="101"/>
        <v>No usa</v>
      </c>
      <c r="AP251">
        <v>1</v>
      </c>
      <c r="AQ251" t="str">
        <f t="shared" si="102"/>
        <v>Camina</v>
      </c>
      <c r="AR251">
        <v>0</v>
      </c>
      <c r="AS251" t="str">
        <f t="shared" si="103"/>
        <v>No es obeso</v>
      </c>
    </row>
    <row r="252" spans="1:45" x14ac:dyDescent="0.25">
      <c r="A252">
        <v>0</v>
      </c>
      <c r="B252" t="str">
        <f t="shared" si="78"/>
        <v>F</v>
      </c>
      <c r="C252">
        <v>20</v>
      </c>
      <c r="D252">
        <f t="shared" si="79"/>
        <v>20</v>
      </c>
      <c r="E252">
        <f t="shared" si="80"/>
        <v>20</v>
      </c>
      <c r="F252" t="str">
        <f t="shared" si="81"/>
        <v>1-25</v>
      </c>
      <c r="G252">
        <v>1</v>
      </c>
      <c r="H252" t="str">
        <f t="shared" si="82"/>
        <v>Pariente gordo</v>
      </c>
      <c r="I252">
        <v>1</v>
      </c>
      <c r="J252" t="str">
        <f t="shared" si="83"/>
        <v>Hipercaloricos</v>
      </c>
      <c r="K252">
        <v>3</v>
      </c>
      <c r="L252">
        <f t="shared" si="84"/>
        <v>1</v>
      </c>
      <c r="M252" t="str">
        <f t="shared" si="85"/>
        <v>Suele comer</v>
      </c>
      <c r="N252">
        <v>1</v>
      </c>
      <c r="O252">
        <f t="shared" si="86"/>
        <v>1</v>
      </c>
      <c r="P252">
        <f t="shared" si="87"/>
        <v>3</v>
      </c>
      <c r="Q252">
        <v>1</v>
      </c>
      <c r="R252" t="str">
        <f t="shared" si="88"/>
        <v>A veces</v>
      </c>
      <c r="S252">
        <v>0</v>
      </c>
      <c r="T252" t="str">
        <f t="shared" si="89"/>
        <v>No fuma</v>
      </c>
      <c r="U252">
        <v>2</v>
      </c>
      <c r="V252">
        <f t="shared" si="90"/>
        <v>2</v>
      </c>
      <c r="W252" t="str">
        <f t="shared" si="91"/>
        <v>Siempre</v>
      </c>
      <c r="X252">
        <v>0</v>
      </c>
      <c r="Y252" t="str">
        <f t="shared" si="92"/>
        <v>No controla</v>
      </c>
      <c r="Z252">
        <v>1</v>
      </c>
      <c r="AA252">
        <f t="shared" si="93"/>
        <v>1</v>
      </c>
      <c r="AB252" t="str">
        <f t="shared" si="94"/>
        <v>A veces</v>
      </c>
      <c r="AC252">
        <v>1</v>
      </c>
      <c r="AD252">
        <f t="shared" si="95"/>
        <v>1</v>
      </c>
      <c r="AE252" t="str">
        <f t="shared" si="96"/>
        <v>Usualmente</v>
      </c>
      <c r="AF252">
        <v>0</v>
      </c>
      <c r="AG252" t="str">
        <f t="shared" si="97"/>
        <v>Nunca</v>
      </c>
      <c r="AH252">
        <v>0</v>
      </c>
      <c r="AI252" t="str">
        <f t="shared" si="98"/>
        <v>No usa</v>
      </c>
      <c r="AJ252">
        <v>0</v>
      </c>
      <c r="AK252" t="str">
        <f t="shared" si="99"/>
        <v>No usa</v>
      </c>
      <c r="AL252">
        <v>0</v>
      </c>
      <c r="AM252" t="str">
        <f t="shared" si="100"/>
        <v>No usa</v>
      </c>
      <c r="AN252">
        <v>1</v>
      </c>
      <c r="AO252" t="str">
        <f t="shared" si="101"/>
        <v>Usa Transporte</v>
      </c>
      <c r="AP252">
        <v>0</v>
      </c>
      <c r="AQ252" t="str">
        <f t="shared" si="102"/>
        <v>No camina</v>
      </c>
      <c r="AR252">
        <v>0</v>
      </c>
      <c r="AS252" t="str">
        <f t="shared" si="103"/>
        <v>No es obeso</v>
      </c>
    </row>
    <row r="253" spans="1:45" x14ac:dyDescent="0.25">
      <c r="A253">
        <v>1</v>
      </c>
      <c r="B253" t="str">
        <f t="shared" si="78"/>
        <v>M</v>
      </c>
      <c r="C253">
        <v>20</v>
      </c>
      <c r="D253">
        <f t="shared" si="79"/>
        <v>20</v>
      </c>
      <c r="E253">
        <f t="shared" si="80"/>
        <v>20</v>
      </c>
      <c r="F253" t="str">
        <f t="shared" si="81"/>
        <v>1-25</v>
      </c>
      <c r="G253">
        <v>1</v>
      </c>
      <c r="H253" t="str">
        <f t="shared" si="82"/>
        <v>Pariente gordo</v>
      </c>
      <c r="I253">
        <v>0</v>
      </c>
      <c r="J253" t="str">
        <f t="shared" si="83"/>
        <v>Saludables</v>
      </c>
      <c r="K253">
        <v>2</v>
      </c>
      <c r="L253">
        <f t="shared" si="84"/>
        <v>1</v>
      </c>
      <c r="M253" t="str">
        <f t="shared" si="85"/>
        <v>Suele comer</v>
      </c>
      <c r="N253">
        <v>1</v>
      </c>
      <c r="O253">
        <f t="shared" si="86"/>
        <v>1</v>
      </c>
      <c r="P253">
        <f t="shared" si="87"/>
        <v>3</v>
      </c>
      <c r="Q253">
        <v>1</v>
      </c>
      <c r="R253" t="str">
        <f t="shared" si="88"/>
        <v>A veces</v>
      </c>
      <c r="S253">
        <v>0</v>
      </c>
      <c r="T253" t="str">
        <f t="shared" si="89"/>
        <v>No fuma</v>
      </c>
      <c r="U253">
        <v>3</v>
      </c>
      <c r="V253">
        <f t="shared" si="90"/>
        <v>2</v>
      </c>
      <c r="W253" t="str">
        <f t="shared" si="91"/>
        <v>Siempre</v>
      </c>
      <c r="X253">
        <v>0</v>
      </c>
      <c r="Y253" t="str">
        <f t="shared" si="92"/>
        <v>No controla</v>
      </c>
      <c r="Z253">
        <v>0</v>
      </c>
      <c r="AA253">
        <f t="shared" si="93"/>
        <v>0</v>
      </c>
      <c r="AB253" t="str">
        <f t="shared" si="94"/>
        <v>Nunca</v>
      </c>
      <c r="AC253">
        <v>0</v>
      </c>
      <c r="AD253">
        <f t="shared" si="95"/>
        <v>0</v>
      </c>
      <c r="AE253" t="str">
        <f t="shared" si="96"/>
        <v>Nunca</v>
      </c>
      <c r="AF253">
        <v>2</v>
      </c>
      <c r="AG253" t="str">
        <f t="shared" si="97"/>
        <v>Usualmente</v>
      </c>
      <c r="AH253">
        <v>1</v>
      </c>
      <c r="AI253" t="str">
        <f t="shared" si="98"/>
        <v>Usa auto</v>
      </c>
      <c r="AJ253">
        <v>0</v>
      </c>
      <c r="AK253" t="str">
        <f t="shared" si="99"/>
        <v>No usa</v>
      </c>
      <c r="AL253">
        <v>0</v>
      </c>
      <c r="AM253" t="str">
        <f t="shared" si="100"/>
        <v>No usa</v>
      </c>
      <c r="AN253">
        <v>0</v>
      </c>
      <c r="AO253" t="str">
        <f t="shared" si="101"/>
        <v>No usa</v>
      </c>
      <c r="AP253">
        <v>0</v>
      </c>
      <c r="AQ253" t="str">
        <f t="shared" si="102"/>
        <v>No camina</v>
      </c>
      <c r="AR253">
        <v>0</v>
      </c>
      <c r="AS253" t="str">
        <f t="shared" si="103"/>
        <v>No es obeso</v>
      </c>
    </row>
    <row r="254" spans="1:45" x14ac:dyDescent="0.25">
      <c r="A254">
        <v>1</v>
      </c>
      <c r="B254" t="str">
        <f t="shared" si="78"/>
        <v>M</v>
      </c>
      <c r="C254">
        <v>56</v>
      </c>
      <c r="D254">
        <f t="shared" si="79"/>
        <v>56</v>
      </c>
      <c r="E254">
        <f t="shared" si="80"/>
        <v>56</v>
      </c>
      <c r="F254" t="str">
        <f t="shared" si="81"/>
        <v>50-75</v>
      </c>
      <c r="G254">
        <v>1</v>
      </c>
      <c r="H254" t="str">
        <f t="shared" si="82"/>
        <v>Pariente gordo</v>
      </c>
      <c r="I254">
        <v>0</v>
      </c>
      <c r="J254" t="str">
        <f t="shared" si="83"/>
        <v>Saludables</v>
      </c>
      <c r="K254">
        <v>2</v>
      </c>
      <c r="L254">
        <f t="shared" si="84"/>
        <v>1</v>
      </c>
      <c r="M254" t="str">
        <f t="shared" si="85"/>
        <v>Suele comer</v>
      </c>
      <c r="N254">
        <v>3</v>
      </c>
      <c r="O254">
        <f t="shared" si="86"/>
        <v>2</v>
      </c>
      <c r="P254" t="str">
        <f t="shared" si="87"/>
        <v>Mas de 3</v>
      </c>
      <c r="Q254">
        <v>1</v>
      </c>
      <c r="R254" t="str">
        <f t="shared" si="88"/>
        <v>A veces</v>
      </c>
      <c r="S254">
        <v>1</v>
      </c>
      <c r="T254" t="str">
        <f t="shared" si="89"/>
        <v>Fuma</v>
      </c>
      <c r="U254">
        <v>2</v>
      </c>
      <c r="V254">
        <f t="shared" si="90"/>
        <v>2</v>
      </c>
      <c r="W254" t="str">
        <f t="shared" si="91"/>
        <v>Siempre</v>
      </c>
      <c r="X254">
        <v>0</v>
      </c>
      <c r="Y254" t="str">
        <f t="shared" si="92"/>
        <v>No controla</v>
      </c>
      <c r="Z254">
        <v>1</v>
      </c>
      <c r="AA254">
        <f t="shared" si="93"/>
        <v>1</v>
      </c>
      <c r="AB254" t="str">
        <f t="shared" si="94"/>
        <v>A veces</v>
      </c>
      <c r="AC254">
        <v>0</v>
      </c>
      <c r="AD254">
        <f t="shared" si="95"/>
        <v>0</v>
      </c>
      <c r="AE254" t="str">
        <f t="shared" si="96"/>
        <v>Nunca</v>
      </c>
      <c r="AF254">
        <v>2</v>
      </c>
      <c r="AG254" t="str">
        <f t="shared" si="97"/>
        <v>Usualmente</v>
      </c>
      <c r="AH254">
        <v>1</v>
      </c>
      <c r="AI254" t="str">
        <f t="shared" si="98"/>
        <v>Usa auto</v>
      </c>
      <c r="AJ254">
        <v>0</v>
      </c>
      <c r="AK254" t="str">
        <f t="shared" si="99"/>
        <v>No usa</v>
      </c>
      <c r="AL254">
        <v>0</v>
      </c>
      <c r="AM254" t="str">
        <f t="shared" si="100"/>
        <v>No usa</v>
      </c>
      <c r="AN254">
        <v>0</v>
      </c>
      <c r="AO254" t="str">
        <f t="shared" si="101"/>
        <v>No usa</v>
      </c>
      <c r="AP254">
        <v>0</v>
      </c>
      <c r="AQ254" t="str">
        <f t="shared" si="102"/>
        <v>No camina</v>
      </c>
      <c r="AR254">
        <v>0</v>
      </c>
      <c r="AS254" t="str">
        <f t="shared" si="103"/>
        <v>No es obeso</v>
      </c>
    </row>
    <row r="255" spans="1:45" x14ac:dyDescent="0.25">
      <c r="A255">
        <v>0</v>
      </c>
      <c r="B255" t="str">
        <f t="shared" si="78"/>
        <v>F</v>
      </c>
      <c r="C255">
        <v>26</v>
      </c>
      <c r="D255">
        <f t="shared" si="79"/>
        <v>26</v>
      </c>
      <c r="E255">
        <f t="shared" si="80"/>
        <v>26</v>
      </c>
      <c r="F255" t="str">
        <f t="shared" si="81"/>
        <v>25-50</v>
      </c>
      <c r="G255">
        <v>1</v>
      </c>
      <c r="H255" t="str">
        <f t="shared" si="82"/>
        <v>Pariente gordo</v>
      </c>
      <c r="I255">
        <v>1</v>
      </c>
      <c r="J255" t="str">
        <f t="shared" si="83"/>
        <v>Hipercaloricos</v>
      </c>
      <c r="K255">
        <v>2</v>
      </c>
      <c r="L255">
        <f t="shared" si="84"/>
        <v>1</v>
      </c>
      <c r="M255" t="str">
        <f t="shared" si="85"/>
        <v>Suele comer</v>
      </c>
      <c r="N255">
        <v>1</v>
      </c>
      <c r="O255">
        <f t="shared" si="86"/>
        <v>1</v>
      </c>
      <c r="P255">
        <f t="shared" si="87"/>
        <v>3</v>
      </c>
      <c r="Q255">
        <v>1</v>
      </c>
      <c r="R255" t="str">
        <f t="shared" si="88"/>
        <v>A veces</v>
      </c>
      <c r="S255">
        <v>0</v>
      </c>
      <c r="T255" t="str">
        <f t="shared" si="89"/>
        <v>No fuma</v>
      </c>
      <c r="U255">
        <v>2</v>
      </c>
      <c r="V255">
        <f t="shared" si="90"/>
        <v>2</v>
      </c>
      <c r="W255" t="str">
        <f t="shared" si="91"/>
        <v>Siempre</v>
      </c>
      <c r="X255">
        <v>0</v>
      </c>
      <c r="Y255" t="str">
        <f t="shared" si="92"/>
        <v>No controla</v>
      </c>
      <c r="Z255">
        <v>0</v>
      </c>
      <c r="AA255">
        <f t="shared" si="93"/>
        <v>0</v>
      </c>
      <c r="AB255" t="str">
        <f t="shared" si="94"/>
        <v>Nunca</v>
      </c>
      <c r="AC255">
        <v>2</v>
      </c>
      <c r="AD255">
        <f t="shared" si="95"/>
        <v>2</v>
      </c>
      <c r="AE255" t="str">
        <f t="shared" si="96"/>
        <v>Siempre</v>
      </c>
      <c r="AF255">
        <v>1</v>
      </c>
      <c r="AG255" t="str">
        <f t="shared" si="97"/>
        <v>A veces</v>
      </c>
      <c r="AH255">
        <v>0</v>
      </c>
      <c r="AI255" t="str">
        <f t="shared" si="98"/>
        <v>No usa</v>
      </c>
      <c r="AJ255">
        <v>0</v>
      </c>
      <c r="AK255" t="str">
        <f t="shared" si="99"/>
        <v>No usa</v>
      </c>
      <c r="AL255">
        <v>0</v>
      </c>
      <c r="AM255" t="str">
        <f t="shared" si="100"/>
        <v>No usa</v>
      </c>
      <c r="AN255">
        <v>1</v>
      </c>
      <c r="AO255" t="str">
        <f t="shared" si="101"/>
        <v>Usa Transporte</v>
      </c>
      <c r="AP255">
        <v>0</v>
      </c>
      <c r="AQ255" t="str">
        <f t="shared" si="102"/>
        <v>No camina</v>
      </c>
      <c r="AR255">
        <v>0</v>
      </c>
      <c r="AS255" t="str">
        <f t="shared" si="103"/>
        <v>No es obeso</v>
      </c>
    </row>
    <row r="256" spans="1:45" x14ac:dyDescent="0.25">
      <c r="A256">
        <v>0</v>
      </c>
      <c r="B256" t="str">
        <f t="shared" si="78"/>
        <v>F</v>
      </c>
      <c r="C256">
        <v>22</v>
      </c>
      <c r="D256">
        <f t="shared" si="79"/>
        <v>22</v>
      </c>
      <c r="E256">
        <f t="shared" si="80"/>
        <v>22</v>
      </c>
      <c r="F256" t="str">
        <f t="shared" si="81"/>
        <v>1-25</v>
      </c>
      <c r="G256">
        <v>1</v>
      </c>
      <c r="H256" t="str">
        <f t="shared" si="82"/>
        <v>Pariente gordo</v>
      </c>
      <c r="I256">
        <v>0</v>
      </c>
      <c r="J256" t="str">
        <f t="shared" si="83"/>
        <v>Saludables</v>
      </c>
      <c r="K256">
        <v>3</v>
      </c>
      <c r="L256">
        <f t="shared" si="84"/>
        <v>1</v>
      </c>
      <c r="M256" t="str">
        <f t="shared" si="85"/>
        <v>Suele comer</v>
      </c>
      <c r="N256">
        <v>3</v>
      </c>
      <c r="O256">
        <f t="shared" si="86"/>
        <v>2</v>
      </c>
      <c r="P256" t="str">
        <f t="shared" si="87"/>
        <v>Mas de 3</v>
      </c>
      <c r="Q256">
        <v>1</v>
      </c>
      <c r="R256" t="str">
        <f t="shared" si="88"/>
        <v>A veces</v>
      </c>
      <c r="S256">
        <v>0</v>
      </c>
      <c r="T256" t="str">
        <f t="shared" si="89"/>
        <v>No fuma</v>
      </c>
      <c r="U256">
        <v>2</v>
      </c>
      <c r="V256">
        <f t="shared" si="90"/>
        <v>2</v>
      </c>
      <c r="W256" t="str">
        <f t="shared" si="91"/>
        <v>Siempre</v>
      </c>
      <c r="X256">
        <v>0</v>
      </c>
      <c r="Y256" t="str">
        <f t="shared" si="92"/>
        <v>No controla</v>
      </c>
      <c r="Z256">
        <v>0</v>
      </c>
      <c r="AA256">
        <f t="shared" si="93"/>
        <v>0</v>
      </c>
      <c r="AB256" t="str">
        <f t="shared" si="94"/>
        <v>Nunca</v>
      </c>
      <c r="AC256">
        <v>0</v>
      </c>
      <c r="AD256">
        <f t="shared" si="95"/>
        <v>0</v>
      </c>
      <c r="AE256" t="str">
        <f t="shared" si="96"/>
        <v>Nunca</v>
      </c>
      <c r="AF256">
        <v>0</v>
      </c>
      <c r="AG256" t="str">
        <f t="shared" si="97"/>
        <v>Nunca</v>
      </c>
      <c r="AH256">
        <v>0</v>
      </c>
      <c r="AI256" t="str">
        <f t="shared" si="98"/>
        <v>No usa</v>
      </c>
      <c r="AJ256">
        <v>0</v>
      </c>
      <c r="AK256" t="str">
        <f t="shared" si="99"/>
        <v>No usa</v>
      </c>
      <c r="AL256">
        <v>0</v>
      </c>
      <c r="AM256" t="str">
        <f t="shared" si="100"/>
        <v>No usa</v>
      </c>
      <c r="AN256">
        <v>1</v>
      </c>
      <c r="AO256" t="str">
        <f t="shared" si="101"/>
        <v>Usa Transporte</v>
      </c>
      <c r="AP256">
        <v>0</v>
      </c>
      <c r="AQ256" t="str">
        <f t="shared" si="102"/>
        <v>No camina</v>
      </c>
      <c r="AR256">
        <v>0</v>
      </c>
      <c r="AS256" t="str">
        <f t="shared" si="103"/>
        <v>No es obeso</v>
      </c>
    </row>
    <row r="257" spans="1:45" x14ac:dyDescent="0.25">
      <c r="A257">
        <v>1</v>
      </c>
      <c r="B257" t="str">
        <f t="shared" si="78"/>
        <v>M</v>
      </c>
      <c r="C257">
        <v>19</v>
      </c>
      <c r="D257">
        <f t="shared" si="79"/>
        <v>19</v>
      </c>
      <c r="E257">
        <f t="shared" si="80"/>
        <v>19</v>
      </c>
      <c r="F257" t="str">
        <f t="shared" si="81"/>
        <v>1-25</v>
      </c>
      <c r="G257">
        <v>1</v>
      </c>
      <c r="H257" t="str">
        <f t="shared" si="82"/>
        <v>Pariente gordo</v>
      </c>
      <c r="I257">
        <v>0</v>
      </c>
      <c r="J257" t="str">
        <f t="shared" si="83"/>
        <v>Saludables</v>
      </c>
      <c r="K257">
        <v>1</v>
      </c>
      <c r="L257">
        <f t="shared" si="84"/>
        <v>1</v>
      </c>
      <c r="M257" t="str">
        <f t="shared" si="85"/>
        <v>Suele comer</v>
      </c>
      <c r="N257">
        <v>3</v>
      </c>
      <c r="O257">
        <f t="shared" si="86"/>
        <v>2</v>
      </c>
      <c r="P257" t="str">
        <f t="shared" si="87"/>
        <v>Mas de 3</v>
      </c>
      <c r="Q257">
        <v>1</v>
      </c>
      <c r="R257" t="str">
        <f t="shared" si="88"/>
        <v>A veces</v>
      </c>
      <c r="S257">
        <v>0</v>
      </c>
      <c r="T257" t="str">
        <f t="shared" si="89"/>
        <v>No fuma</v>
      </c>
      <c r="U257">
        <v>2</v>
      </c>
      <c r="V257">
        <f t="shared" si="90"/>
        <v>2</v>
      </c>
      <c r="W257" t="str">
        <f t="shared" si="91"/>
        <v>Siempre</v>
      </c>
      <c r="X257">
        <v>0</v>
      </c>
      <c r="Y257" t="str">
        <f t="shared" si="92"/>
        <v>No controla</v>
      </c>
      <c r="Z257">
        <v>3</v>
      </c>
      <c r="AA257">
        <f t="shared" si="93"/>
        <v>3</v>
      </c>
      <c r="AB257" t="str">
        <f t="shared" si="94"/>
        <v>Siempre</v>
      </c>
      <c r="AC257">
        <v>0</v>
      </c>
      <c r="AD257">
        <f t="shared" si="95"/>
        <v>0</v>
      </c>
      <c r="AE257" t="str">
        <f t="shared" si="96"/>
        <v>Nunca</v>
      </c>
      <c r="AF257">
        <v>0</v>
      </c>
      <c r="AG257" t="str">
        <f t="shared" si="97"/>
        <v>Nunca</v>
      </c>
      <c r="AH257">
        <v>0</v>
      </c>
      <c r="AI257" t="str">
        <f t="shared" si="98"/>
        <v>No usa</v>
      </c>
      <c r="AJ257">
        <v>1</v>
      </c>
      <c r="AK257" t="str">
        <f t="shared" si="99"/>
        <v>Usa Bici</v>
      </c>
      <c r="AL257">
        <v>0</v>
      </c>
      <c r="AM257" t="str">
        <f t="shared" si="100"/>
        <v>No usa</v>
      </c>
      <c r="AN257">
        <v>0</v>
      </c>
      <c r="AO257" t="str">
        <f t="shared" si="101"/>
        <v>No usa</v>
      </c>
      <c r="AP257">
        <v>0</v>
      </c>
      <c r="AQ257" t="str">
        <f t="shared" si="102"/>
        <v>No camina</v>
      </c>
      <c r="AR257">
        <v>0</v>
      </c>
      <c r="AS257" t="str">
        <f t="shared" si="103"/>
        <v>No es obeso</v>
      </c>
    </row>
    <row r="258" spans="1:45" x14ac:dyDescent="0.25">
      <c r="A258">
        <v>1</v>
      </c>
      <c r="B258" t="str">
        <f t="shared" si="78"/>
        <v>M</v>
      </c>
      <c r="C258">
        <v>18</v>
      </c>
      <c r="D258">
        <f t="shared" si="79"/>
        <v>18</v>
      </c>
      <c r="E258">
        <f t="shared" si="80"/>
        <v>18</v>
      </c>
      <c r="F258" t="str">
        <f t="shared" si="81"/>
        <v>1-25</v>
      </c>
      <c r="G258">
        <v>1</v>
      </c>
      <c r="H258" t="str">
        <f t="shared" si="82"/>
        <v>Pariente gordo</v>
      </c>
      <c r="I258">
        <v>0</v>
      </c>
      <c r="J258" t="str">
        <f t="shared" si="83"/>
        <v>Saludables</v>
      </c>
      <c r="K258">
        <v>2</v>
      </c>
      <c r="L258">
        <f t="shared" si="84"/>
        <v>1</v>
      </c>
      <c r="M258" t="str">
        <f t="shared" si="85"/>
        <v>Suele comer</v>
      </c>
      <c r="N258">
        <v>3</v>
      </c>
      <c r="O258">
        <f t="shared" si="86"/>
        <v>2</v>
      </c>
      <c r="P258" t="str">
        <f t="shared" si="87"/>
        <v>Mas de 3</v>
      </c>
      <c r="Q258">
        <v>1</v>
      </c>
      <c r="R258" t="str">
        <f t="shared" si="88"/>
        <v>A veces</v>
      </c>
      <c r="S258">
        <v>0</v>
      </c>
      <c r="T258" t="str">
        <f t="shared" si="89"/>
        <v>No fuma</v>
      </c>
      <c r="U258">
        <v>3</v>
      </c>
      <c r="V258">
        <f t="shared" si="90"/>
        <v>2</v>
      </c>
      <c r="W258" t="str">
        <f t="shared" si="91"/>
        <v>Siempre</v>
      </c>
      <c r="X258">
        <v>0</v>
      </c>
      <c r="Y258" t="str">
        <f t="shared" si="92"/>
        <v>No controla</v>
      </c>
      <c r="Z258">
        <v>1</v>
      </c>
      <c r="AA258">
        <f t="shared" si="93"/>
        <v>1</v>
      </c>
      <c r="AB258" t="str">
        <f t="shared" si="94"/>
        <v>A veces</v>
      </c>
      <c r="AC258">
        <v>0</v>
      </c>
      <c r="AD258">
        <f t="shared" si="95"/>
        <v>0</v>
      </c>
      <c r="AE258" t="str">
        <f t="shared" si="96"/>
        <v>Nunca</v>
      </c>
      <c r="AF258">
        <v>1</v>
      </c>
      <c r="AG258" t="str">
        <f t="shared" si="97"/>
        <v>A veces</v>
      </c>
      <c r="AH258">
        <v>0</v>
      </c>
      <c r="AI258" t="str">
        <f t="shared" si="98"/>
        <v>No usa</v>
      </c>
      <c r="AJ258">
        <v>0</v>
      </c>
      <c r="AK258" t="str">
        <f t="shared" si="99"/>
        <v>No usa</v>
      </c>
      <c r="AL258">
        <v>0</v>
      </c>
      <c r="AM258" t="str">
        <f t="shared" si="100"/>
        <v>No usa</v>
      </c>
      <c r="AN258">
        <v>1</v>
      </c>
      <c r="AO258" t="str">
        <f t="shared" si="101"/>
        <v>Usa Transporte</v>
      </c>
      <c r="AP258">
        <v>0</v>
      </c>
      <c r="AQ258" t="str">
        <f t="shared" si="102"/>
        <v>No camina</v>
      </c>
      <c r="AR258">
        <v>0</v>
      </c>
      <c r="AS258" t="str">
        <f t="shared" si="103"/>
        <v>No es obeso</v>
      </c>
    </row>
    <row r="259" spans="1:45" x14ac:dyDescent="0.25">
      <c r="A259">
        <v>1</v>
      </c>
      <c r="B259" t="str">
        <f t="shared" ref="B259:B322" si="104">IF(A259=1,"M","F")</f>
        <v>M</v>
      </c>
      <c r="C259">
        <v>19</v>
      </c>
      <c r="D259">
        <f t="shared" ref="D259:D322" si="105">IF(C259&lt;100,C259,ROUNDDOWN((C259/1000)/365,0))</f>
        <v>19</v>
      </c>
      <c r="E259">
        <f t="shared" ref="E259:E322" si="106">IF(AND(D259&gt;1,D259&lt;=100),D259,IF(D259&gt;100,100,5))</f>
        <v>19</v>
      </c>
      <c r="F259" t="str">
        <f t="shared" ref="F259:F322" si="107">IF(AND(E259&gt;=1,E259&lt;=25),"1-25",IF(AND(E259&gt;25,E259&lt;=50),"25-50",IF(AND(E259&gt;50,E259&lt;=75),"50-75","75-100")))</f>
        <v>1-25</v>
      </c>
      <c r="G259">
        <v>0</v>
      </c>
      <c r="H259" t="str">
        <f t="shared" ref="H259:H322" si="108">IF(G259=1,"Pariente gordo","Pariente normal")</f>
        <v>Pariente normal</v>
      </c>
      <c r="I259">
        <v>0</v>
      </c>
      <c r="J259" t="str">
        <f t="shared" ref="J259:J322" si="109">IF(I259=1,"Hipercaloricos","Saludables")</f>
        <v>Saludables</v>
      </c>
      <c r="K259">
        <v>2</v>
      </c>
      <c r="L259">
        <f t="shared" ref="L259:L322" si="110">IF(AND(K259&gt;=1,K259&lt;=3),1,IF(AND(K259&gt;3,K259&lt;3000000),1))</f>
        <v>1</v>
      </c>
      <c r="M259" t="str">
        <f t="shared" ref="M259:M322" si="111">IF(L259=1,"Suele comer","No come")</f>
        <v>Suele comer</v>
      </c>
      <c r="N259">
        <v>3</v>
      </c>
      <c r="O259">
        <f t="shared" ref="O259:O322" si="112">IF(N259=1,N259,IF(AND(N259&gt;=2,N259&lt;4000000),2))</f>
        <v>2</v>
      </c>
      <c r="P259" t="str">
        <f t="shared" ref="P259:P322" si="113">IF(O259=0,"1-2",IF(O259=1,3,"Mas de 3"))</f>
        <v>Mas de 3</v>
      </c>
      <c r="Q259">
        <v>1</v>
      </c>
      <c r="R259" t="str">
        <f t="shared" ref="R259:R322" si="114">IF(Q259=0,"Nunca",IF(Q259=1,"A veces",IF(Q259=2,"Usualmente","Siempre")))</f>
        <v>A veces</v>
      </c>
      <c r="S259">
        <v>0</v>
      </c>
      <c r="T259" t="str">
        <f t="shared" ref="T259:T322" si="115">IF(S259=1,"Fuma","No fuma")</f>
        <v>No fuma</v>
      </c>
      <c r="U259">
        <v>3</v>
      </c>
      <c r="V259">
        <f t="shared" ref="V259:V322" si="116">IF(U259=1,U259,IF(U259=2,U259,IF(AND(U259&gt;=3,U259&lt;3000000),2)))</f>
        <v>2</v>
      </c>
      <c r="W259" t="str">
        <f t="shared" ref="W259:W322" si="117">IF(V259=0,"Nunca",IF(V259=1,"Usualmente","Siempre"))</f>
        <v>Siempre</v>
      </c>
      <c r="X259">
        <v>1</v>
      </c>
      <c r="Y259" t="str">
        <f t="shared" ref="Y259:Y322" si="118">IF(X259=1,"Controla","No controla")</f>
        <v>Controla</v>
      </c>
      <c r="Z259">
        <v>1</v>
      </c>
      <c r="AA259">
        <f t="shared" ref="AA259:AA322" si="119">IF(Z259=0,Z259,IF(Z259=1,Z259,IF(Z259=2,Z259,IF(Z259=3,Z259,IF(AND(Z259&gt;3,Z259&lt;300000),2,IF(AND(Z259&gt;300000,Z259&lt;3000000),3,IF(AND(Z259&gt;0,Z259&lt;1),0)))))))</f>
        <v>1</v>
      </c>
      <c r="AB259" t="str">
        <f t="shared" ref="AB259:AB322" si="120">IF(AA259=0,"Nunca",IF(AA259=1,"A veces",IF(AA259=2,"Usualmente","Siempre")))</f>
        <v>A veces</v>
      </c>
      <c r="AC259">
        <v>2</v>
      </c>
      <c r="AD259">
        <f t="shared" ref="AD259:AD322" si="121">IF(AC259= 0,AC259,IF(AC259=1,AC259,IF(AC259=2,AC259,IF(AND(AC259&gt;2,AC259&lt;200000),1,IF(AND(AC259&gt;200000,AC259&lt;2000000),2,IF(AND(AC259&gt;0,AC259&lt;1),0))))))</f>
        <v>2</v>
      </c>
      <c r="AE259" t="str">
        <f t="shared" ref="AE259:AE322" si="122">IF(AD259=0,"Nunca",IF(AD259=1,"Usualmente","Siempre"))</f>
        <v>Siempre</v>
      </c>
      <c r="AF259">
        <v>0</v>
      </c>
      <c r="AG259" t="str">
        <f t="shared" ref="AG259:AG322" si="123">IF(AF259=0,"Nunca",IF(AF259=1,"A veces",IF(AF259=2,"Usualmente","Siempre")))</f>
        <v>Nunca</v>
      </c>
      <c r="AH259">
        <v>0</v>
      </c>
      <c r="AI259" t="str">
        <f t="shared" ref="AI259:AI322" si="124">IF(AH259=1,"Usa auto","No usa")</f>
        <v>No usa</v>
      </c>
      <c r="AJ259">
        <v>0</v>
      </c>
      <c r="AK259" t="str">
        <f t="shared" ref="AK259:AK322" si="125">IF(AJ259=1,"Usa Bici","No usa")</f>
        <v>No usa</v>
      </c>
      <c r="AL259">
        <v>0</v>
      </c>
      <c r="AM259" t="str">
        <f t="shared" ref="AM259:AM322" si="126">IF(AL259=1,"Usa Moto","No usa")</f>
        <v>No usa</v>
      </c>
      <c r="AN259">
        <v>1</v>
      </c>
      <c r="AO259" t="str">
        <f t="shared" ref="AO259:AO322" si="127">IF(AN259=1,"Usa Transporte","No usa")</f>
        <v>Usa Transporte</v>
      </c>
      <c r="AP259">
        <v>0</v>
      </c>
      <c r="AQ259" t="str">
        <f t="shared" ref="AQ259:AQ322" si="128">IF(AP259=1,"Camina","No camina")</f>
        <v>No camina</v>
      </c>
      <c r="AR259">
        <v>1</v>
      </c>
      <c r="AS259" t="str">
        <f t="shared" ref="AS259:AS322" si="129">IF(AR259=1,"Es Obeso","No es obeso")</f>
        <v>Es Obeso</v>
      </c>
    </row>
    <row r="260" spans="1:45" x14ac:dyDescent="0.25">
      <c r="A260">
        <v>1</v>
      </c>
      <c r="B260" t="str">
        <f t="shared" si="104"/>
        <v>M</v>
      </c>
      <c r="C260">
        <v>18</v>
      </c>
      <c r="D260">
        <f t="shared" si="105"/>
        <v>18</v>
      </c>
      <c r="E260">
        <f t="shared" si="106"/>
        <v>18</v>
      </c>
      <c r="F260" t="str">
        <f t="shared" si="107"/>
        <v>1-25</v>
      </c>
      <c r="G260">
        <v>0</v>
      </c>
      <c r="H260" t="str">
        <f t="shared" si="108"/>
        <v>Pariente normal</v>
      </c>
      <c r="I260">
        <v>0</v>
      </c>
      <c r="J260" t="str">
        <f t="shared" si="109"/>
        <v>Saludables</v>
      </c>
      <c r="K260">
        <v>3</v>
      </c>
      <c r="L260">
        <f t="shared" si="110"/>
        <v>1</v>
      </c>
      <c r="M260" t="str">
        <f t="shared" si="111"/>
        <v>Suele comer</v>
      </c>
      <c r="N260">
        <v>1</v>
      </c>
      <c r="O260">
        <f t="shared" si="112"/>
        <v>1</v>
      </c>
      <c r="P260">
        <f t="shared" si="113"/>
        <v>3</v>
      </c>
      <c r="Q260">
        <v>1</v>
      </c>
      <c r="R260" t="str">
        <f t="shared" si="114"/>
        <v>A veces</v>
      </c>
      <c r="S260">
        <v>0</v>
      </c>
      <c r="T260" t="str">
        <f t="shared" si="115"/>
        <v>No fuma</v>
      </c>
      <c r="U260">
        <v>1</v>
      </c>
      <c r="V260">
        <f t="shared" si="116"/>
        <v>1</v>
      </c>
      <c r="W260" t="str">
        <f t="shared" si="117"/>
        <v>Usualmente</v>
      </c>
      <c r="X260">
        <v>0</v>
      </c>
      <c r="Y260" t="str">
        <f t="shared" si="118"/>
        <v>No controla</v>
      </c>
      <c r="Z260">
        <v>1</v>
      </c>
      <c r="AA260">
        <f t="shared" si="119"/>
        <v>1</v>
      </c>
      <c r="AB260" t="str">
        <f t="shared" si="120"/>
        <v>A veces</v>
      </c>
      <c r="AC260">
        <v>0</v>
      </c>
      <c r="AD260">
        <f t="shared" si="121"/>
        <v>0</v>
      </c>
      <c r="AE260" t="str">
        <f t="shared" si="122"/>
        <v>Nunca</v>
      </c>
      <c r="AF260">
        <v>0</v>
      </c>
      <c r="AG260" t="str">
        <f t="shared" si="123"/>
        <v>Nunca</v>
      </c>
      <c r="AH260">
        <v>0</v>
      </c>
      <c r="AI260" t="str">
        <f t="shared" si="124"/>
        <v>No usa</v>
      </c>
      <c r="AJ260">
        <v>0</v>
      </c>
      <c r="AK260" t="str">
        <f t="shared" si="125"/>
        <v>No usa</v>
      </c>
      <c r="AL260">
        <v>0</v>
      </c>
      <c r="AM260" t="str">
        <f t="shared" si="126"/>
        <v>No usa</v>
      </c>
      <c r="AN260">
        <v>1</v>
      </c>
      <c r="AO260" t="str">
        <f t="shared" si="127"/>
        <v>Usa Transporte</v>
      </c>
      <c r="AP260">
        <v>0</v>
      </c>
      <c r="AQ260" t="str">
        <f t="shared" si="128"/>
        <v>No camina</v>
      </c>
      <c r="AR260">
        <v>0</v>
      </c>
      <c r="AS260" t="str">
        <f t="shared" si="129"/>
        <v>No es obeso</v>
      </c>
    </row>
    <row r="261" spans="1:45" x14ac:dyDescent="0.25">
      <c r="A261">
        <v>0</v>
      </c>
      <c r="B261" t="str">
        <f t="shared" si="104"/>
        <v>F</v>
      </c>
      <c r="C261">
        <v>18</v>
      </c>
      <c r="D261">
        <f t="shared" si="105"/>
        <v>18</v>
      </c>
      <c r="E261">
        <f t="shared" si="106"/>
        <v>18</v>
      </c>
      <c r="F261" t="str">
        <f t="shared" si="107"/>
        <v>1-25</v>
      </c>
      <c r="G261">
        <v>1</v>
      </c>
      <c r="H261" t="str">
        <f t="shared" si="108"/>
        <v>Pariente gordo</v>
      </c>
      <c r="I261">
        <v>1</v>
      </c>
      <c r="J261" t="str">
        <f t="shared" si="109"/>
        <v>Hipercaloricos</v>
      </c>
      <c r="K261">
        <v>1</v>
      </c>
      <c r="L261">
        <f t="shared" si="110"/>
        <v>1</v>
      </c>
      <c r="M261" t="str">
        <f t="shared" si="111"/>
        <v>Suele comer</v>
      </c>
      <c r="N261">
        <v>3</v>
      </c>
      <c r="O261">
        <f t="shared" si="112"/>
        <v>2</v>
      </c>
      <c r="P261" t="str">
        <f t="shared" si="113"/>
        <v>Mas de 3</v>
      </c>
      <c r="Q261">
        <v>2</v>
      </c>
      <c r="R261" t="str">
        <f t="shared" si="114"/>
        <v>Usualmente</v>
      </c>
      <c r="S261">
        <v>0</v>
      </c>
      <c r="T261" t="str">
        <f t="shared" si="115"/>
        <v>No fuma</v>
      </c>
      <c r="U261">
        <v>1</v>
      </c>
      <c r="V261">
        <f t="shared" si="116"/>
        <v>1</v>
      </c>
      <c r="W261" t="str">
        <f t="shared" si="117"/>
        <v>Usualmente</v>
      </c>
      <c r="X261">
        <v>0</v>
      </c>
      <c r="Y261" t="str">
        <f t="shared" si="118"/>
        <v>No controla</v>
      </c>
      <c r="Z261">
        <v>0</v>
      </c>
      <c r="AA261">
        <f t="shared" si="119"/>
        <v>0</v>
      </c>
      <c r="AB261" t="str">
        <f t="shared" si="120"/>
        <v>Nunca</v>
      </c>
      <c r="AC261">
        <v>1</v>
      </c>
      <c r="AD261">
        <f t="shared" si="121"/>
        <v>1</v>
      </c>
      <c r="AE261" t="str">
        <f t="shared" si="122"/>
        <v>Usualmente</v>
      </c>
      <c r="AF261">
        <v>1</v>
      </c>
      <c r="AG261" t="str">
        <f t="shared" si="123"/>
        <v>A veces</v>
      </c>
      <c r="AH261">
        <v>0</v>
      </c>
      <c r="AI261" t="str">
        <f t="shared" si="124"/>
        <v>No usa</v>
      </c>
      <c r="AJ261">
        <v>0</v>
      </c>
      <c r="AK261" t="str">
        <f t="shared" si="125"/>
        <v>No usa</v>
      </c>
      <c r="AL261">
        <v>0</v>
      </c>
      <c r="AM261" t="str">
        <f t="shared" si="126"/>
        <v>No usa</v>
      </c>
      <c r="AN261">
        <v>1</v>
      </c>
      <c r="AO261" t="str">
        <f t="shared" si="127"/>
        <v>Usa Transporte</v>
      </c>
      <c r="AP261">
        <v>0</v>
      </c>
      <c r="AQ261" t="str">
        <f t="shared" si="128"/>
        <v>No camina</v>
      </c>
      <c r="AR261">
        <v>1</v>
      </c>
      <c r="AS261" t="str">
        <f t="shared" si="129"/>
        <v>Es Obeso</v>
      </c>
    </row>
    <row r="262" spans="1:45" x14ac:dyDescent="0.25">
      <c r="A262">
        <v>1</v>
      </c>
      <c r="B262" t="str">
        <f t="shared" si="104"/>
        <v>M</v>
      </c>
      <c r="C262">
        <v>21</v>
      </c>
      <c r="D262">
        <f t="shared" si="105"/>
        <v>21</v>
      </c>
      <c r="E262">
        <f t="shared" si="106"/>
        <v>21</v>
      </c>
      <c r="F262" t="str">
        <f t="shared" si="107"/>
        <v>1-25</v>
      </c>
      <c r="G262">
        <v>0</v>
      </c>
      <c r="H262" t="str">
        <f t="shared" si="108"/>
        <v>Pariente normal</v>
      </c>
      <c r="I262">
        <v>1</v>
      </c>
      <c r="J262" t="str">
        <f t="shared" si="109"/>
        <v>Hipercaloricos</v>
      </c>
      <c r="K262">
        <v>2</v>
      </c>
      <c r="L262">
        <f t="shared" si="110"/>
        <v>1</v>
      </c>
      <c r="M262" t="str">
        <f t="shared" si="111"/>
        <v>Suele comer</v>
      </c>
      <c r="N262">
        <v>3</v>
      </c>
      <c r="O262">
        <f t="shared" si="112"/>
        <v>2</v>
      </c>
      <c r="P262" t="str">
        <f t="shared" si="113"/>
        <v>Mas de 3</v>
      </c>
      <c r="Q262">
        <v>1</v>
      </c>
      <c r="R262" t="str">
        <f t="shared" si="114"/>
        <v>A veces</v>
      </c>
      <c r="S262">
        <v>0</v>
      </c>
      <c r="T262" t="str">
        <f t="shared" si="115"/>
        <v>No fuma</v>
      </c>
      <c r="U262">
        <v>1</v>
      </c>
      <c r="V262">
        <f t="shared" si="116"/>
        <v>1</v>
      </c>
      <c r="W262" t="str">
        <f t="shared" si="117"/>
        <v>Usualmente</v>
      </c>
      <c r="X262">
        <v>0</v>
      </c>
      <c r="Y262" t="str">
        <f t="shared" si="118"/>
        <v>No controla</v>
      </c>
      <c r="Z262">
        <v>1</v>
      </c>
      <c r="AA262">
        <f t="shared" si="119"/>
        <v>1</v>
      </c>
      <c r="AB262" t="str">
        <f t="shared" si="120"/>
        <v>A veces</v>
      </c>
      <c r="AC262">
        <v>0</v>
      </c>
      <c r="AD262">
        <f t="shared" si="121"/>
        <v>0</v>
      </c>
      <c r="AE262" t="str">
        <f t="shared" si="122"/>
        <v>Nunca</v>
      </c>
      <c r="AF262">
        <v>0</v>
      </c>
      <c r="AG262" t="str">
        <f t="shared" si="123"/>
        <v>Nunca</v>
      </c>
      <c r="AH262">
        <v>0</v>
      </c>
      <c r="AI262" t="str">
        <f t="shared" si="124"/>
        <v>No usa</v>
      </c>
      <c r="AJ262">
        <v>0</v>
      </c>
      <c r="AK262" t="str">
        <f t="shared" si="125"/>
        <v>No usa</v>
      </c>
      <c r="AL262">
        <v>0</v>
      </c>
      <c r="AM262" t="str">
        <f t="shared" si="126"/>
        <v>No usa</v>
      </c>
      <c r="AN262">
        <v>1</v>
      </c>
      <c r="AO262" t="str">
        <f t="shared" si="127"/>
        <v>Usa Transporte</v>
      </c>
      <c r="AP262">
        <v>0</v>
      </c>
      <c r="AQ262" t="str">
        <f t="shared" si="128"/>
        <v>No camina</v>
      </c>
      <c r="AR262">
        <v>0</v>
      </c>
      <c r="AS262" t="str">
        <f t="shared" si="129"/>
        <v>No es obeso</v>
      </c>
    </row>
    <row r="263" spans="1:45" x14ac:dyDescent="0.25">
      <c r="A263">
        <v>0</v>
      </c>
      <c r="B263" t="str">
        <f t="shared" si="104"/>
        <v>F</v>
      </c>
      <c r="C263">
        <v>28</v>
      </c>
      <c r="D263">
        <f t="shared" si="105"/>
        <v>28</v>
      </c>
      <c r="E263">
        <f t="shared" si="106"/>
        <v>28</v>
      </c>
      <c r="F263" t="str">
        <f t="shared" si="107"/>
        <v>25-50</v>
      </c>
      <c r="G263">
        <v>1</v>
      </c>
      <c r="H263" t="str">
        <f t="shared" si="108"/>
        <v>Pariente gordo</v>
      </c>
      <c r="I263">
        <v>0</v>
      </c>
      <c r="J263" t="str">
        <f t="shared" si="109"/>
        <v>Saludables</v>
      </c>
      <c r="K263">
        <v>2</v>
      </c>
      <c r="L263">
        <f t="shared" si="110"/>
        <v>1</v>
      </c>
      <c r="M263" t="str">
        <f t="shared" si="111"/>
        <v>Suele comer</v>
      </c>
      <c r="N263">
        <v>3</v>
      </c>
      <c r="O263">
        <f t="shared" si="112"/>
        <v>2</v>
      </c>
      <c r="P263" t="str">
        <f t="shared" si="113"/>
        <v>Mas de 3</v>
      </c>
      <c r="Q263">
        <v>2</v>
      </c>
      <c r="R263" t="str">
        <f t="shared" si="114"/>
        <v>Usualmente</v>
      </c>
      <c r="S263">
        <v>0</v>
      </c>
      <c r="T263" t="str">
        <f t="shared" si="115"/>
        <v>No fuma</v>
      </c>
      <c r="U263">
        <v>2</v>
      </c>
      <c r="V263">
        <f t="shared" si="116"/>
        <v>2</v>
      </c>
      <c r="W263" t="str">
        <f t="shared" si="117"/>
        <v>Siempre</v>
      </c>
      <c r="X263">
        <v>1</v>
      </c>
      <c r="Y263" t="str">
        <f t="shared" si="118"/>
        <v>Controla</v>
      </c>
      <c r="Z263">
        <v>2</v>
      </c>
      <c r="AA263">
        <f t="shared" si="119"/>
        <v>2</v>
      </c>
      <c r="AB263" t="str">
        <f t="shared" si="120"/>
        <v>Usualmente</v>
      </c>
      <c r="AC263">
        <v>0</v>
      </c>
      <c r="AD263">
        <f t="shared" si="121"/>
        <v>0</v>
      </c>
      <c r="AE263" t="str">
        <f t="shared" si="122"/>
        <v>Nunca</v>
      </c>
      <c r="AF263">
        <v>1</v>
      </c>
      <c r="AG263" t="str">
        <f t="shared" si="123"/>
        <v>A veces</v>
      </c>
      <c r="AH263">
        <v>0</v>
      </c>
      <c r="AI263" t="str">
        <f t="shared" si="124"/>
        <v>No usa</v>
      </c>
      <c r="AJ263">
        <v>0</v>
      </c>
      <c r="AK263" t="str">
        <f t="shared" si="125"/>
        <v>No usa</v>
      </c>
      <c r="AL263">
        <v>0</v>
      </c>
      <c r="AM263" t="str">
        <f t="shared" si="126"/>
        <v>No usa</v>
      </c>
      <c r="AN263">
        <v>0</v>
      </c>
      <c r="AO263" t="str">
        <f t="shared" si="127"/>
        <v>No usa</v>
      </c>
      <c r="AP263">
        <v>1</v>
      </c>
      <c r="AQ263" t="str">
        <f t="shared" si="128"/>
        <v>Camina</v>
      </c>
      <c r="AR263">
        <v>0</v>
      </c>
      <c r="AS263" t="str">
        <f t="shared" si="129"/>
        <v>No es obeso</v>
      </c>
    </row>
    <row r="264" spans="1:45" x14ac:dyDescent="0.25">
      <c r="A264">
        <v>1</v>
      </c>
      <c r="B264" t="str">
        <f t="shared" si="104"/>
        <v>M</v>
      </c>
      <c r="C264">
        <v>18</v>
      </c>
      <c r="D264">
        <f t="shared" si="105"/>
        <v>18</v>
      </c>
      <c r="E264">
        <f t="shared" si="106"/>
        <v>18</v>
      </c>
      <c r="F264" t="str">
        <f t="shared" si="107"/>
        <v>1-25</v>
      </c>
      <c r="G264">
        <v>0</v>
      </c>
      <c r="H264" t="str">
        <f t="shared" si="108"/>
        <v>Pariente normal</v>
      </c>
      <c r="I264">
        <v>1</v>
      </c>
      <c r="J264" t="str">
        <f t="shared" si="109"/>
        <v>Hipercaloricos</v>
      </c>
      <c r="K264">
        <v>2</v>
      </c>
      <c r="L264">
        <f t="shared" si="110"/>
        <v>1</v>
      </c>
      <c r="M264" t="str">
        <f t="shared" si="111"/>
        <v>Suele comer</v>
      </c>
      <c r="N264">
        <v>3</v>
      </c>
      <c r="O264">
        <f t="shared" si="112"/>
        <v>2</v>
      </c>
      <c r="P264" t="str">
        <f t="shared" si="113"/>
        <v>Mas de 3</v>
      </c>
      <c r="Q264">
        <v>1</v>
      </c>
      <c r="R264" t="str">
        <f t="shared" si="114"/>
        <v>A veces</v>
      </c>
      <c r="S264">
        <v>0</v>
      </c>
      <c r="T264" t="str">
        <f t="shared" si="115"/>
        <v>No fuma</v>
      </c>
      <c r="U264">
        <v>2</v>
      </c>
      <c r="V264">
        <f t="shared" si="116"/>
        <v>2</v>
      </c>
      <c r="W264" t="str">
        <f t="shared" si="117"/>
        <v>Siempre</v>
      </c>
      <c r="X264">
        <v>0</v>
      </c>
      <c r="Y264" t="str">
        <f t="shared" si="118"/>
        <v>No controla</v>
      </c>
      <c r="Z264">
        <v>1</v>
      </c>
      <c r="AA264">
        <f t="shared" si="119"/>
        <v>1</v>
      </c>
      <c r="AB264" t="str">
        <f t="shared" si="120"/>
        <v>A veces</v>
      </c>
      <c r="AC264">
        <v>1</v>
      </c>
      <c r="AD264">
        <f t="shared" si="121"/>
        <v>1</v>
      </c>
      <c r="AE264" t="str">
        <f t="shared" si="122"/>
        <v>Usualmente</v>
      </c>
      <c r="AF264">
        <v>1</v>
      </c>
      <c r="AG264" t="str">
        <f t="shared" si="123"/>
        <v>A veces</v>
      </c>
      <c r="AH264">
        <v>0</v>
      </c>
      <c r="AI264" t="str">
        <f t="shared" si="124"/>
        <v>No usa</v>
      </c>
      <c r="AJ264">
        <v>0</v>
      </c>
      <c r="AK264" t="str">
        <f t="shared" si="125"/>
        <v>No usa</v>
      </c>
      <c r="AL264">
        <v>0</v>
      </c>
      <c r="AM264" t="str">
        <f t="shared" si="126"/>
        <v>No usa</v>
      </c>
      <c r="AN264">
        <v>1</v>
      </c>
      <c r="AO264" t="str">
        <f t="shared" si="127"/>
        <v>Usa Transporte</v>
      </c>
      <c r="AP264">
        <v>0</v>
      </c>
      <c r="AQ264" t="str">
        <f t="shared" si="128"/>
        <v>No camina</v>
      </c>
      <c r="AR264">
        <v>0</v>
      </c>
      <c r="AS264" t="str">
        <f t="shared" si="129"/>
        <v>No es obeso</v>
      </c>
    </row>
    <row r="265" spans="1:45" x14ac:dyDescent="0.25">
      <c r="A265">
        <v>1</v>
      </c>
      <c r="B265" t="str">
        <f t="shared" si="104"/>
        <v>M</v>
      </c>
      <c r="C265">
        <v>23</v>
      </c>
      <c r="D265">
        <f t="shared" si="105"/>
        <v>23</v>
      </c>
      <c r="E265">
        <f t="shared" si="106"/>
        <v>23</v>
      </c>
      <c r="F265" t="str">
        <f t="shared" si="107"/>
        <v>1-25</v>
      </c>
      <c r="G265">
        <v>0</v>
      </c>
      <c r="H265" t="str">
        <f t="shared" si="108"/>
        <v>Pariente normal</v>
      </c>
      <c r="I265">
        <v>1</v>
      </c>
      <c r="J265" t="str">
        <f t="shared" si="109"/>
        <v>Hipercaloricos</v>
      </c>
      <c r="K265">
        <v>2</v>
      </c>
      <c r="L265">
        <f t="shared" si="110"/>
        <v>1</v>
      </c>
      <c r="M265" t="str">
        <f t="shared" si="111"/>
        <v>Suele comer</v>
      </c>
      <c r="N265">
        <v>3</v>
      </c>
      <c r="O265">
        <f t="shared" si="112"/>
        <v>2</v>
      </c>
      <c r="P265" t="str">
        <f t="shared" si="113"/>
        <v>Mas de 3</v>
      </c>
      <c r="Q265">
        <v>2</v>
      </c>
      <c r="R265" t="str">
        <f t="shared" si="114"/>
        <v>Usualmente</v>
      </c>
      <c r="S265">
        <v>0</v>
      </c>
      <c r="T265" t="str">
        <f t="shared" si="115"/>
        <v>No fuma</v>
      </c>
      <c r="U265">
        <v>1</v>
      </c>
      <c r="V265">
        <f t="shared" si="116"/>
        <v>1</v>
      </c>
      <c r="W265" t="str">
        <f t="shared" si="117"/>
        <v>Usualmente</v>
      </c>
      <c r="X265">
        <v>0</v>
      </c>
      <c r="Y265" t="str">
        <f t="shared" si="118"/>
        <v>No controla</v>
      </c>
      <c r="Z265">
        <v>3</v>
      </c>
      <c r="AA265">
        <f t="shared" si="119"/>
        <v>3</v>
      </c>
      <c r="AB265" t="str">
        <f t="shared" si="120"/>
        <v>Siempre</v>
      </c>
      <c r="AC265">
        <v>2</v>
      </c>
      <c r="AD265">
        <f t="shared" si="121"/>
        <v>2</v>
      </c>
      <c r="AE265" t="str">
        <f t="shared" si="122"/>
        <v>Siempre</v>
      </c>
      <c r="AF265">
        <v>0</v>
      </c>
      <c r="AG265" t="str">
        <f t="shared" si="123"/>
        <v>Nunca</v>
      </c>
      <c r="AH265">
        <v>0</v>
      </c>
      <c r="AI265" t="str">
        <f t="shared" si="124"/>
        <v>No usa</v>
      </c>
      <c r="AJ265">
        <v>0</v>
      </c>
      <c r="AK265" t="str">
        <f t="shared" si="125"/>
        <v>No usa</v>
      </c>
      <c r="AL265">
        <v>0</v>
      </c>
      <c r="AM265" t="str">
        <f t="shared" si="126"/>
        <v>No usa</v>
      </c>
      <c r="AN265">
        <v>1</v>
      </c>
      <c r="AO265" t="str">
        <f t="shared" si="127"/>
        <v>Usa Transporte</v>
      </c>
      <c r="AP265">
        <v>0</v>
      </c>
      <c r="AQ265" t="str">
        <f t="shared" si="128"/>
        <v>No camina</v>
      </c>
      <c r="AR265">
        <v>0</v>
      </c>
      <c r="AS265" t="str">
        <f t="shared" si="129"/>
        <v>No es obeso</v>
      </c>
    </row>
    <row r="266" spans="1:45" x14ac:dyDescent="0.25">
      <c r="A266">
        <v>1</v>
      </c>
      <c r="B266" t="str">
        <f t="shared" si="104"/>
        <v>M</v>
      </c>
      <c r="C266">
        <v>18</v>
      </c>
      <c r="D266">
        <f t="shared" si="105"/>
        <v>18</v>
      </c>
      <c r="E266">
        <f t="shared" si="106"/>
        <v>18</v>
      </c>
      <c r="F266" t="str">
        <f t="shared" si="107"/>
        <v>1-25</v>
      </c>
      <c r="G266">
        <v>1</v>
      </c>
      <c r="H266" t="str">
        <f t="shared" si="108"/>
        <v>Pariente gordo</v>
      </c>
      <c r="I266">
        <v>1</v>
      </c>
      <c r="J266" t="str">
        <f t="shared" si="109"/>
        <v>Hipercaloricos</v>
      </c>
      <c r="K266">
        <v>3</v>
      </c>
      <c r="L266">
        <f t="shared" si="110"/>
        <v>1</v>
      </c>
      <c r="M266" t="str">
        <f t="shared" si="111"/>
        <v>Suele comer</v>
      </c>
      <c r="N266">
        <v>3</v>
      </c>
      <c r="O266">
        <f t="shared" si="112"/>
        <v>2</v>
      </c>
      <c r="P266" t="str">
        <f t="shared" si="113"/>
        <v>Mas de 3</v>
      </c>
      <c r="Q266">
        <v>2</v>
      </c>
      <c r="R266" t="str">
        <f t="shared" si="114"/>
        <v>Usualmente</v>
      </c>
      <c r="S266">
        <v>0</v>
      </c>
      <c r="T266" t="str">
        <f t="shared" si="115"/>
        <v>No fuma</v>
      </c>
      <c r="U266">
        <v>3</v>
      </c>
      <c r="V266">
        <f t="shared" si="116"/>
        <v>2</v>
      </c>
      <c r="W266" t="str">
        <f t="shared" si="117"/>
        <v>Siempre</v>
      </c>
      <c r="X266">
        <v>1</v>
      </c>
      <c r="Y266" t="str">
        <f t="shared" si="118"/>
        <v>Controla</v>
      </c>
      <c r="Z266">
        <v>1</v>
      </c>
      <c r="AA266">
        <f t="shared" si="119"/>
        <v>1</v>
      </c>
      <c r="AB266" t="str">
        <f t="shared" si="120"/>
        <v>A veces</v>
      </c>
      <c r="AC266">
        <v>1</v>
      </c>
      <c r="AD266">
        <f t="shared" si="121"/>
        <v>1</v>
      </c>
      <c r="AE266" t="str">
        <f t="shared" si="122"/>
        <v>Usualmente</v>
      </c>
      <c r="AF266">
        <v>1</v>
      </c>
      <c r="AG266" t="str">
        <f t="shared" si="123"/>
        <v>A veces</v>
      </c>
      <c r="AH266">
        <v>1</v>
      </c>
      <c r="AI266" t="str">
        <f t="shared" si="124"/>
        <v>Usa auto</v>
      </c>
      <c r="AJ266">
        <v>0</v>
      </c>
      <c r="AK266" t="str">
        <f t="shared" si="125"/>
        <v>No usa</v>
      </c>
      <c r="AL266">
        <v>0</v>
      </c>
      <c r="AM266" t="str">
        <f t="shared" si="126"/>
        <v>No usa</v>
      </c>
      <c r="AN266">
        <v>0</v>
      </c>
      <c r="AO266" t="str">
        <f t="shared" si="127"/>
        <v>No usa</v>
      </c>
      <c r="AP266">
        <v>0</v>
      </c>
      <c r="AQ266" t="str">
        <f t="shared" si="128"/>
        <v>No camina</v>
      </c>
      <c r="AR266">
        <v>0</v>
      </c>
      <c r="AS266" t="str">
        <f t="shared" si="129"/>
        <v>No es obeso</v>
      </c>
    </row>
    <row r="267" spans="1:45" x14ac:dyDescent="0.25">
      <c r="A267">
        <v>1</v>
      </c>
      <c r="B267" t="str">
        <f t="shared" si="104"/>
        <v>M</v>
      </c>
      <c r="C267">
        <v>18</v>
      </c>
      <c r="D267">
        <f t="shared" si="105"/>
        <v>18</v>
      </c>
      <c r="E267">
        <f t="shared" si="106"/>
        <v>18</v>
      </c>
      <c r="F267" t="str">
        <f t="shared" si="107"/>
        <v>1-25</v>
      </c>
      <c r="G267">
        <v>0</v>
      </c>
      <c r="H267" t="str">
        <f t="shared" si="108"/>
        <v>Pariente normal</v>
      </c>
      <c r="I267">
        <v>1</v>
      </c>
      <c r="J267" t="str">
        <f t="shared" si="109"/>
        <v>Hipercaloricos</v>
      </c>
      <c r="K267">
        <v>1</v>
      </c>
      <c r="L267">
        <f t="shared" si="110"/>
        <v>1</v>
      </c>
      <c r="M267" t="str">
        <f t="shared" si="111"/>
        <v>Suele comer</v>
      </c>
      <c r="N267">
        <v>3</v>
      </c>
      <c r="O267">
        <f t="shared" si="112"/>
        <v>2</v>
      </c>
      <c r="P267" t="str">
        <f t="shared" si="113"/>
        <v>Mas de 3</v>
      </c>
      <c r="Q267">
        <v>2</v>
      </c>
      <c r="R267" t="str">
        <f t="shared" si="114"/>
        <v>Usualmente</v>
      </c>
      <c r="S267">
        <v>0</v>
      </c>
      <c r="T267" t="str">
        <f t="shared" si="115"/>
        <v>No fuma</v>
      </c>
      <c r="U267">
        <v>1</v>
      </c>
      <c r="V267">
        <f t="shared" si="116"/>
        <v>1</v>
      </c>
      <c r="W267" t="str">
        <f t="shared" si="117"/>
        <v>Usualmente</v>
      </c>
      <c r="X267">
        <v>0</v>
      </c>
      <c r="Y267" t="str">
        <f t="shared" si="118"/>
        <v>No controla</v>
      </c>
      <c r="Z267">
        <v>2</v>
      </c>
      <c r="AA267">
        <f t="shared" si="119"/>
        <v>2</v>
      </c>
      <c r="AB267" t="str">
        <f t="shared" si="120"/>
        <v>Usualmente</v>
      </c>
      <c r="AC267">
        <v>1</v>
      </c>
      <c r="AD267">
        <f t="shared" si="121"/>
        <v>1</v>
      </c>
      <c r="AE267" t="str">
        <f t="shared" si="122"/>
        <v>Usualmente</v>
      </c>
      <c r="AF267">
        <v>1</v>
      </c>
      <c r="AG267" t="str">
        <f t="shared" si="123"/>
        <v>A veces</v>
      </c>
      <c r="AH267">
        <v>0</v>
      </c>
      <c r="AI267" t="str">
        <f t="shared" si="124"/>
        <v>No usa</v>
      </c>
      <c r="AJ267">
        <v>0</v>
      </c>
      <c r="AK267" t="str">
        <f t="shared" si="125"/>
        <v>No usa</v>
      </c>
      <c r="AL267">
        <v>0</v>
      </c>
      <c r="AM267" t="str">
        <f t="shared" si="126"/>
        <v>No usa</v>
      </c>
      <c r="AN267">
        <v>1</v>
      </c>
      <c r="AO267" t="str">
        <f t="shared" si="127"/>
        <v>Usa Transporte</v>
      </c>
      <c r="AP267">
        <v>0</v>
      </c>
      <c r="AQ267" t="str">
        <f t="shared" si="128"/>
        <v>No camina</v>
      </c>
      <c r="AR267">
        <v>0</v>
      </c>
      <c r="AS267" t="str">
        <f t="shared" si="129"/>
        <v>No es obeso</v>
      </c>
    </row>
    <row r="268" spans="1:45" x14ac:dyDescent="0.25">
      <c r="A268">
        <v>0</v>
      </c>
      <c r="B268" t="str">
        <f t="shared" si="104"/>
        <v>F</v>
      </c>
      <c r="C268">
        <v>39</v>
      </c>
      <c r="D268">
        <f t="shared" si="105"/>
        <v>39</v>
      </c>
      <c r="E268">
        <f t="shared" si="106"/>
        <v>39</v>
      </c>
      <c r="F268" t="str">
        <f t="shared" si="107"/>
        <v>25-50</v>
      </c>
      <c r="G268">
        <v>0</v>
      </c>
      <c r="H268" t="str">
        <f t="shared" si="108"/>
        <v>Pariente normal</v>
      </c>
      <c r="I268">
        <v>1</v>
      </c>
      <c r="J268" t="str">
        <f t="shared" si="109"/>
        <v>Hipercaloricos</v>
      </c>
      <c r="K268">
        <v>3</v>
      </c>
      <c r="L268">
        <f t="shared" si="110"/>
        <v>1</v>
      </c>
      <c r="M268" t="str">
        <f t="shared" si="111"/>
        <v>Suele comer</v>
      </c>
      <c r="N268">
        <v>4</v>
      </c>
      <c r="O268">
        <f t="shared" si="112"/>
        <v>2</v>
      </c>
      <c r="P268" t="str">
        <f t="shared" si="113"/>
        <v>Mas de 3</v>
      </c>
      <c r="Q268">
        <v>2</v>
      </c>
      <c r="R268" t="str">
        <f t="shared" si="114"/>
        <v>Usualmente</v>
      </c>
      <c r="S268">
        <v>0</v>
      </c>
      <c r="T268" t="str">
        <f t="shared" si="115"/>
        <v>No fuma</v>
      </c>
      <c r="U268">
        <v>2</v>
      </c>
      <c r="V268">
        <f t="shared" si="116"/>
        <v>2</v>
      </c>
      <c r="W268" t="str">
        <f t="shared" si="117"/>
        <v>Siempre</v>
      </c>
      <c r="X268">
        <v>0</v>
      </c>
      <c r="Y268" t="str">
        <f t="shared" si="118"/>
        <v>No controla</v>
      </c>
      <c r="Z268">
        <v>0</v>
      </c>
      <c r="AA268">
        <f t="shared" si="119"/>
        <v>0</v>
      </c>
      <c r="AB268" t="str">
        <f t="shared" si="120"/>
        <v>Nunca</v>
      </c>
      <c r="AC268">
        <v>0</v>
      </c>
      <c r="AD268">
        <f t="shared" si="121"/>
        <v>0</v>
      </c>
      <c r="AE268" t="str">
        <f t="shared" si="122"/>
        <v>Nunca</v>
      </c>
      <c r="AF268">
        <v>1</v>
      </c>
      <c r="AG268" t="str">
        <f t="shared" si="123"/>
        <v>A veces</v>
      </c>
      <c r="AH268">
        <v>0</v>
      </c>
      <c r="AI268" t="str">
        <f t="shared" si="124"/>
        <v>No usa</v>
      </c>
      <c r="AJ268">
        <v>0</v>
      </c>
      <c r="AK268" t="str">
        <f t="shared" si="125"/>
        <v>No usa</v>
      </c>
      <c r="AL268">
        <v>0</v>
      </c>
      <c r="AM268" t="str">
        <f t="shared" si="126"/>
        <v>No usa</v>
      </c>
      <c r="AN268">
        <v>1</v>
      </c>
      <c r="AO268" t="str">
        <f t="shared" si="127"/>
        <v>Usa Transporte</v>
      </c>
      <c r="AP268">
        <v>0</v>
      </c>
      <c r="AQ268" t="str">
        <f t="shared" si="128"/>
        <v>No camina</v>
      </c>
      <c r="AR268">
        <v>0</v>
      </c>
      <c r="AS268" t="str">
        <f t="shared" si="129"/>
        <v>No es obeso</v>
      </c>
    </row>
    <row r="269" spans="1:45" x14ac:dyDescent="0.25">
      <c r="A269">
        <v>1</v>
      </c>
      <c r="B269" t="str">
        <f t="shared" si="104"/>
        <v>M</v>
      </c>
      <c r="C269">
        <v>38</v>
      </c>
      <c r="D269">
        <f t="shared" si="105"/>
        <v>38</v>
      </c>
      <c r="E269">
        <f t="shared" si="106"/>
        <v>38</v>
      </c>
      <c r="F269" t="str">
        <f t="shared" si="107"/>
        <v>25-50</v>
      </c>
      <c r="G269">
        <v>0</v>
      </c>
      <c r="H269" t="str">
        <f t="shared" si="108"/>
        <v>Pariente normal</v>
      </c>
      <c r="I269">
        <v>1</v>
      </c>
      <c r="J269" t="str">
        <f t="shared" si="109"/>
        <v>Hipercaloricos</v>
      </c>
      <c r="K269">
        <v>3</v>
      </c>
      <c r="L269">
        <f t="shared" si="110"/>
        <v>1</v>
      </c>
      <c r="M269" t="str">
        <f t="shared" si="111"/>
        <v>Suele comer</v>
      </c>
      <c r="N269">
        <v>3</v>
      </c>
      <c r="O269">
        <f t="shared" si="112"/>
        <v>2</v>
      </c>
      <c r="P269" t="str">
        <f t="shared" si="113"/>
        <v>Mas de 3</v>
      </c>
      <c r="Q269">
        <v>2</v>
      </c>
      <c r="R269" t="str">
        <f t="shared" si="114"/>
        <v>Usualmente</v>
      </c>
      <c r="S269">
        <v>0</v>
      </c>
      <c r="T269" t="str">
        <f t="shared" si="115"/>
        <v>No fuma</v>
      </c>
      <c r="U269">
        <v>2</v>
      </c>
      <c r="V269">
        <f t="shared" si="116"/>
        <v>2</v>
      </c>
      <c r="W269" t="str">
        <f t="shared" si="117"/>
        <v>Siempre</v>
      </c>
      <c r="X269">
        <v>0</v>
      </c>
      <c r="Y269" t="str">
        <f t="shared" si="118"/>
        <v>No controla</v>
      </c>
      <c r="Z269">
        <v>0</v>
      </c>
      <c r="AA269">
        <f t="shared" si="119"/>
        <v>0</v>
      </c>
      <c r="AB269" t="str">
        <f t="shared" si="120"/>
        <v>Nunca</v>
      </c>
      <c r="AC269">
        <v>0</v>
      </c>
      <c r="AD269">
        <f t="shared" si="121"/>
        <v>0</v>
      </c>
      <c r="AE269" t="str">
        <f t="shared" si="122"/>
        <v>Nunca</v>
      </c>
      <c r="AF269">
        <v>2</v>
      </c>
      <c r="AG269" t="str">
        <f t="shared" si="123"/>
        <v>Usualmente</v>
      </c>
      <c r="AH269">
        <v>1</v>
      </c>
      <c r="AI269" t="str">
        <f t="shared" si="124"/>
        <v>Usa auto</v>
      </c>
      <c r="AJ269">
        <v>0</v>
      </c>
      <c r="AK269" t="str">
        <f t="shared" si="125"/>
        <v>No usa</v>
      </c>
      <c r="AL269">
        <v>0</v>
      </c>
      <c r="AM269" t="str">
        <f t="shared" si="126"/>
        <v>No usa</v>
      </c>
      <c r="AN269">
        <v>0</v>
      </c>
      <c r="AO269" t="str">
        <f t="shared" si="127"/>
        <v>No usa</v>
      </c>
      <c r="AP269">
        <v>0</v>
      </c>
      <c r="AQ269" t="str">
        <f t="shared" si="128"/>
        <v>No camina</v>
      </c>
      <c r="AR269">
        <v>0</v>
      </c>
      <c r="AS269" t="str">
        <f t="shared" si="129"/>
        <v>No es obeso</v>
      </c>
    </row>
    <row r="270" spans="1:45" x14ac:dyDescent="0.25">
      <c r="A270">
        <v>1</v>
      </c>
      <c r="B270" t="str">
        <f t="shared" si="104"/>
        <v>M</v>
      </c>
      <c r="C270">
        <v>17</v>
      </c>
      <c r="D270">
        <f t="shared" si="105"/>
        <v>17</v>
      </c>
      <c r="E270">
        <f t="shared" si="106"/>
        <v>17</v>
      </c>
      <c r="F270" t="str">
        <f t="shared" si="107"/>
        <v>1-25</v>
      </c>
      <c r="G270">
        <v>0</v>
      </c>
      <c r="H270" t="str">
        <f t="shared" si="108"/>
        <v>Pariente normal</v>
      </c>
      <c r="I270">
        <v>0</v>
      </c>
      <c r="J270" t="str">
        <f t="shared" si="109"/>
        <v>Saludables</v>
      </c>
      <c r="K270">
        <v>2</v>
      </c>
      <c r="L270">
        <f t="shared" si="110"/>
        <v>1</v>
      </c>
      <c r="M270" t="str">
        <f t="shared" si="111"/>
        <v>Suele comer</v>
      </c>
      <c r="N270">
        <v>4</v>
      </c>
      <c r="O270">
        <f t="shared" si="112"/>
        <v>2</v>
      </c>
      <c r="P270" t="str">
        <f t="shared" si="113"/>
        <v>Mas de 3</v>
      </c>
      <c r="Q270">
        <v>3</v>
      </c>
      <c r="R270" t="str">
        <f t="shared" si="114"/>
        <v>Siempre</v>
      </c>
      <c r="S270">
        <v>0</v>
      </c>
      <c r="T270" t="str">
        <f t="shared" si="115"/>
        <v>No fuma</v>
      </c>
      <c r="U270">
        <v>2</v>
      </c>
      <c r="V270">
        <f t="shared" si="116"/>
        <v>2</v>
      </c>
      <c r="W270" t="str">
        <f t="shared" si="117"/>
        <v>Siempre</v>
      </c>
      <c r="X270">
        <v>0</v>
      </c>
      <c r="Y270" t="str">
        <f t="shared" si="118"/>
        <v>No controla</v>
      </c>
      <c r="Z270">
        <v>0</v>
      </c>
      <c r="AA270">
        <f t="shared" si="119"/>
        <v>0</v>
      </c>
      <c r="AB270" t="str">
        <f t="shared" si="120"/>
        <v>Nunca</v>
      </c>
      <c r="AC270">
        <v>2</v>
      </c>
      <c r="AD270">
        <f t="shared" si="121"/>
        <v>2</v>
      </c>
      <c r="AE270" t="str">
        <f t="shared" si="122"/>
        <v>Siempre</v>
      </c>
      <c r="AF270">
        <v>0</v>
      </c>
      <c r="AG270" t="str">
        <f t="shared" si="123"/>
        <v>Nunca</v>
      </c>
      <c r="AH270">
        <v>0</v>
      </c>
      <c r="AI270" t="str">
        <f t="shared" si="124"/>
        <v>No usa</v>
      </c>
      <c r="AJ270">
        <v>0</v>
      </c>
      <c r="AK270" t="str">
        <f t="shared" si="125"/>
        <v>No usa</v>
      </c>
      <c r="AL270">
        <v>0</v>
      </c>
      <c r="AM270" t="str">
        <f t="shared" si="126"/>
        <v>No usa</v>
      </c>
      <c r="AN270">
        <v>1</v>
      </c>
      <c r="AO270" t="str">
        <f t="shared" si="127"/>
        <v>Usa Transporte</v>
      </c>
      <c r="AP270">
        <v>0</v>
      </c>
      <c r="AQ270" t="str">
        <f t="shared" si="128"/>
        <v>No camina</v>
      </c>
      <c r="AR270">
        <v>0</v>
      </c>
      <c r="AS270" t="str">
        <f t="shared" si="129"/>
        <v>No es obeso</v>
      </c>
    </row>
    <row r="271" spans="1:45" x14ac:dyDescent="0.25">
      <c r="A271">
        <v>1</v>
      </c>
      <c r="B271" t="str">
        <f t="shared" si="104"/>
        <v>M</v>
      </c>
      <c r="C271">
        <v>23</v>
      </c>
      <c r="D271">
        <f t="shared" si="105"/>
        <v>23</v>
      </c>
      <c r="E271">
        <f t="shared" si="106"/>
        <v>23</v>
      </c>
      <c r="F271" t="str">
        <f t="shared" si="107"/>
        <v>1-25</v>
      </c>
      <c r="G271">
        <v>1</v>
      </c>
      <c r="H271" t="str">
        <f t="shared" si="108"/>
        <v>Pariente gordo</v>
      </c>
      <c r="I271">
        <v>1</v>
      </c>
      <c r="J271" t="str">
        <f t="shared" si="109"/>
        <v>Hipercaloricos</v>
      </c>
      <c r="K271">
        <v>2</v>
      </c>
      <c r="L271">
        <f t="shared" si="110"/>
        <v>1</v>
      </c>
      <c r="M271" t="str">
        <f t="shared" si="111"/>
        <v>Suele comer</v>
      </c>
      <c r="N271">
        <v>3</v>
      </c>
      <c r="O271">
        <f t="shared" si="112"/>
        <v>2</v>
      </c>
      <c r="P271" t="str">
        <f t="shared" si="113"/>
        <v>Mas de 3</v>
      </c>
      <c r="Q271">
        <v>1</v>
      </c>
      <c r="R271" t="str">
        <f t="shared" si="114"/>
        <v>A veces</v>
      </c>
      <c r="S271">
        <v>0</v>
      </c>
      <c r="T271" t="str">
        <f t="shared" si="115"/>
        <v>No fuma</v>
      </c>
      <c r="U271">
        <v>2</v>
      </c>
      <c r="V271">
        <f t="shared" si="116"/>
        <v>2</v>
      </c>
      <c r="W271" t="str">
        <f t="shared" si="117"/>
        <v>Siempre</v>
      </c>
      <c r="X271">
        <v>0</v>
      </c>
      <c r="Y271" t="str">
        <f t="shared" si="118"/>
        <v>No controla</v>
      </c>
      <c r="Z271">
        <v>0</v>
      </c>
      <c r="AA271">
        <f t="shared" si="119"/>
        <v>0</v>
      </c>
      <c r="AB271" t="str">
        <f t="shared" si="120"/>
        <v>Nunca</v>
      </c>
      <c r="AC271">
        <v>1</v>
      </c>
      <c r="AD271">
        <f t="shared" si="121"/>
        <v>1</v>
      </c>
      <c r="AE271" t="str">
        <f t="shared" si="122"/>
        <v>Usualmente</v>
      </c>
      <c r="AF271">
        <v>1</v>
      </c>
      <c r="AG271" t="str">
        <f t="shared" si="123"/>
        <v>A veces</v>
      </c>
      <c r="AH271">
        <v>0</v>
      </c>
      <c r="AI271" t="str">
        <f t="shared" si="124"/>
        <v>No usa</v>
      </c>
      <c r="AJ271">
        <v>0</v>
      </c>
      <c r="AK271" t="str">
        <f t="shared" si="125"/>
        <v>No usa</v>
      </c>
      <c r="AL271">
        <v>0</v>
      </c>
      <c r="AM271" t="str">
        <f t="shared" si="126"/>
        <v>No usa</v>
      </c>
      <c r="AN271">
        <v>0</v>
      </c>
      <c r="AO271" t="str">
        <f t="shared" si="127"/>
        <v>No usa</v>
      </c>
      <c r="AP271">
        <v>1</v>
      </c>
      <c r="AQ271" t="str">
        <f t="shared" si="128"/>
        <v>Camina</v>
      </c>
      <c r="AR271">
        <v>0</v>
      </c>
      <c r="AS271" t="str">
        <f t="shared" si="129"/>
        <v>No es obeso</v>
      </c>
    </row>
    <row r="272" spans="1:45" x14ac:dyDescent="0.25">
      <c r="A272">
        <v>1</v>
      </c>
      <c r="B272" t="str">
        <f t="shared" si="104"/>
        <v>M</v>
      </c>
      <c r="C272">
        <v>23</v>
      </c>
      <c r="D272">
        <f t="shared" si="105"/>
        <v>23</v>
      </c>
      <c r="E272">
        <f t="shared" si="106"/>
        <v>23</v>
      </c>
      <c r="F272" t="str">
        <f t="shared" si="107"/>
        <v>1-25</v>
      </c>
      <c r="G272">
        <v>0</v>
      </c>
      <c r="H272" t="str">
        <f t="shared" si="108"/>
        <v>Pariente normal</v>
      </c>
      <c r="I272">
        <v>1</v>
      </c>
      <c r="J272" t="str">
        <f t="shared" si="109"/>
        <v>Hipercaloricos</v>
      </c>
      <c r="K272">
        <v>2</v>
      </c>
      <c r="L272">
        <f t="shared" si="110"/>
        <v>1</v>
      </c>
      <c r="M272" t="str">
        <f t="shared" si="111"/>
        <v>Suele comer</v>
      </c>
      <c r="N272">
        <v>3</v>
      </c>
      <c r="O272">
        <f t="shared" si="112"/>
        <v>2</v>
      </c>
      <c r="P272" t="str">
        <f t="shared" si="113"/>
        <v>Mas de 3</v>
      </c>
      <c r="Q272">
        <v>1</v>
      </c>
      <c r="R272" t="str">
        <f t="shared" si="114"/>
        <v>A veces</v>
      </c>
      <c r="S272">
        <v>0</v>
      </c>
      <c r="T272" t="str">
        <f t="shared" si="115"/>
        <v>No fuma</v>
      </c>
      <c r="U272">
        <v>3</v>
      </c>
      <c r="V272">
        <f t="shared" si="116"/>
        <v>2</v>
      </c>
      <c r="W272" t="str">
        <f t="shared" si="117"/>
        <v>Siempre</v>
      </c>
      <c r="X272">
        <v>0</v>
      </c>
      <c r="Y272" t="str">
        <f t="shared" si="118"/>
        <v>No controla</v>
      </c>
      <c r="Z272">
        <v>0</v>
      </c>
      <c r="AA272">
        <f t="shared" si="119"/>
        <v>0</v>
      </c>
      <c r="AB272" t="str">
        <f t="shared" si="120"/>
        <v>Nunca</v>
      </c>
      <c r="AC272">
        <v>1</v>
      </c>
      <c r="AD272">
        <f t="shared" si="121"/>
        <v>1</v>
      </c>
      <c r="AE272" t="str">
        <f t="shared" si="122"/>
        <v>Usualmente</v>
      </c>
      <c r="AF272">
        <v>1</v>
      </c>
      <c r="AG272" t="str">
        <f t="shared" si="123"/>
        <v>A veces</v>
      </c>
      <c r="AH272">
        <v>0</v>
      </c>
      <c r="AI272" t="str">
        <f t="shared" si="124"/>
        <v>No usa</v>
      </c>
      <c r="AJ272">
        <v>0</v>
      </c>
      <c r="AK272" t="str">
        <f t="shared" si="125"/>
        <v>No usa</v>
      </c>
      <c r="AL272">
        <v>0</v>
      </c>
      <c r="AM272" t="str">
        <f t="shared" si="126"/>
        <v>No usa</v>
      </c>
      <c r="AN272">
        <v>1</v>
      </c>
      <c r="AO272" t="str">
        <f t="shared" si="127"/>
        <v>Usa Transporte</v>
      </c>
      <c r="AP272">
        <v>0</v>
      </c>
      <c r="AQ272" t="str">
        <f t="shared" si="128"/>
        <v>No camina</v>
      </c>
      <c r="AR272">
        <v>1</v>
      </c>
      <c r="AS272" t="str">
        <f t="shared" si="129"/>
        <v>Es Obeso</v>
      </c>
    </row>
    <row r="273" spans="1:45" x14ac:dyDescent="0.25">
      <c r="A273">
        <v>0</v>
      </c>
      <c r="B273" t="str">
        <f t="shared" si="104"/>
        <v>F</v>
      </c>
      <c r="C273">
        <v>19</v>
      </c>
      <c r="D273">
        <f t="shared" si="105"/>
        <v>19</v>
      </c>
      <c r="E273">
        <f t="shared" si="106"/>
        <v>19</v>
      </c>
      <c r="F273" t="str">
        <f t="shared" si="107"/>
        <v>1-25</v>
      </c>
      <c r="G273">
        <v>0</v>
      </c>
      <c r="H273" t="str">
        <f t="shared" si="108"/>
        <v>Pariente normal</v>
      </c>
      <c r="I273">
        <v>1</v>
      </c>
      <c r="J273" t="str">
        <f t="shared" si="109"/>
        <v>Hipercaloricos</v>
      </c>
      <c r="K273">
        <v>2</v>
      </c>
      <c r="L273">
        <f t="shared" si="110"/>
        <v>1</v>
      </c>
      <c r="M273" t="str">
        <f t="shared" si="111"/>
        <v>Suele comer</v>
      </c>
      <c r="N273">
        <v>3</v>
      </c>
      <c r="O273">
        <f t="shared" si="112"/>
        <v>2</v>
      </c>
      <c r="P273" t="str">
        <f t="shared" si="113"/>
        <v>Mas de 3</v>
      </c>
      <c r="Q273">
        <v>2</v>
      </c>
      <c r="R273" t="str">
        <f t="shared" si="114"/>
        <v>Usualmente</v>
      </c>
      <c r="S273">
        <v>0</v>
      </c>
      <c r="T273" t="str">
        <f t="shared" si="115"/>
        <v>No fuma</v>
      </c>
      <c r="U273">
        <v>1</v>
      </c>
      <c r="V273">
        <f t="shared" si="116"/>
        <v>1</v>
      </c>
      <c r="W273" t="str">
        <f t="shared" si="117"/>
        <v>Usualmente</v>
      </c>
      <c r="X273">
        <v>0</v>
      </c>
      <c r="Y273" t="str">
        <f t="shared" si="118"/>
        <v>No controla</v>
      </c>
      <c r="Z273">
        <v>0</v>
      </c>
      <c r="AA273">
        <f t="shared" si="119"/>
        <v>0</v>
      </c>
      <c r="AB273" t="str">
        <f t="shared" si="120"/>
        <v>Nunca</v>
      </c>
      <c r="AC273">
        <v>2</v>
      </c>
      <c r="AD273">
        <f t="shared" si="121"/>
        <v>2</v>
      </c>
      <c r="AE273" t="str">
        <f t="shared" si="122"/>
        <v>Siempre</v>
      </c>
      <c r="AF273">
        <v>1</v>
      </c>
      <c r="AG273" t="str">
        <f t="shared" si="123"/>
        <v>A veces</v>
      </c>
      <c r="AH273">
        <v>0</v>
      </c>
      <c r="AI273" t="str">
        <f t="shared" si="124"/>
        <v>No usa</v>
      </c>
      <c r="AJ273">
        <v>0</v>
      </c>
      <c r="AK273" t="str">
        <f t="shared" si="125"/>
        <v>No usa</v>
      </c>
      <c r="AL273">
        <v>0</v>
      </c>
      <c r="AM273" t="str">
        <f t="shared" si="126"/>
        <v>No usa</v>
      </c>
      <c r="AN273">
        <v>1</v>
      </c>
      <c r="AO273" t="str">
        <f t="shared" si="127"/>
        <v>Usa Transporte</v>
      </c>
      <c r="AP273">
        <v>0</v>
      </c>
      <c r="AQ273" t="str">
        <f t="shared" si="128"/>
        <v>No camina</v>
      </c>
      <c r="AR273">
        <v>0</v>
      </c>
      <c r="AS273" t="str">
        <f t="shared" si="129"/>
        <v>No es obeso</v>
      </c>
    </row>
    <row r="274" spans="1:45" x14ac:dyDescent="0.25">
      <c r="A274">
        <v>1</v>
      </c>
      <c r="B274" t="str">
        <f t="shared" si="104"/>
        <v>M</v>
      </c>
      <c r="C274">
        <v>18</v>
      </c>
      <c r="D274">
        <f t="shared" si="105"/>
        <v>18</v>
      </c>
      <c r="E274">
        <f t="shared" si="106"/>
        <v>18</v>
      </c>
      <c r="F274" t="str">
        <f t="shared" si="107"/>
        <v>1-25</v>
      </c>
      <c r="G274">
        <v>0</v>
      </c>
      <c r="H274" t="str">
        <f t="shared" si="108"/>
        <v>Pariente normal</v>
      </c>
      <c r="I274">
        <v>1</v>
      </c>
      <c r="J274" t="str">
        <f t="shared" si="109"/>
        <v>Hipercaloricos</v>
      </c>
      <c r="K274">
        <v>2</v>
      </c>
      <c r="L274">
        <f t="shared" si="110"/>
        <v>1</v>
      </c>
      <c r="M274" t="str">
        <f t="shared" si="111"/>
        <v>Suele comer</v>
      </c>
      <c r="N274">
        <v>3</v>
      </c>
      <c r="O274">
        <f t="shared" si="112"/>
        <v>2</v>
      </c>
      <c r="P274" t="str">
        <f t="shared" si="113"/>
        <v>Mas de 3</v>
      </c>
      <c r="Q274">
        <v>1</v>
      </c>
      <c r="R274" t="str">
        <f t="shared" si="114"/>
        <v>A veces</v>
      </c>
      <c r="S274">
        <v>0</v>
      </c>
      <c r="T274" t="str">
        <f t="shared" si="115"/>
        <v>No fuma</v>
      </c>
      <c r="U274">
        <v>2</v>
      </c>
      <c r="V274">
        <f t="shared" si="116"/>
        <v>2</v>
      </c>
      <c r="W274" t="str">
        <f t="shared" si="117"/>
        <v>Siempre</v>
      </c>
      <c r="X274">
        <v>0</v>
      </c>
      <c r="Y274" t="str">
        <f t="shared" si="118"/>
        <v>No controla</v>
      </c>
      <c r="Z274">
        <v>2</v>
      </c>
      <c r="AA274">
        <f t="shared" si="119"/>
        <v>2</v>
      </c>
      <c r="AB274" t="str">
        <f t="shared" si="120"/>
        <v>Usualmente</v>
      </c>
      <c r="AC274">
        <v>1</v>
      </c>
      <c r="AD274">
        <f t="shared" si="121"/>
        <v>1</v>
      </c>
      <c r="AE274" t="str">
        <f t="shared" si="122"/>
        <v>Usualmente</v>
      </c>
      <c r="AF274">
        <v>0</v>
      </c>
      <c r="AG274" t="str">
        <f t="shared" si="123"/>
        <v>Nunca</v>
      </c>
      <c r="AH274">
        <v>0</v>
      </c>
      <c r="AI274" t="str">
        <f t="shared" si="124"/>
        <v>No usa</v>
      </c>
      <c r="AJ274">
        <v>0</v>
      </c>
      <c r="AK274" t="str">
        <f t="shared" si="125"/>
        <v>No usa</v>
      </c>
      <c r="AL274">
        <v>0</v>
      </c>
      <c r="AM274" t="str">
        <f t="shared" si="126"/>
        <v>No usa</v>
      </c>
      <c r="AN274">
        <v>1</v>
      </c>
      <c r="AO274" t="str">
        <f t="shared" si="127"/>
        <v>Usa Transporte</v>
      </c>
      <c r="AP274">
        <v>0</v>
      </c>
      <c r="AQ274" t="str">
        <f t="shared" si="128"/>
        <v>No camina</v>
      </c>
      <c r="AR274">
        <v>0</v>
      </c>
      <c r="AS274" t="str">
        <f t="shared" si="129"/>
        <v>No es obeso</v>
      </c>
    </row>
    <row r="275" spans="1:45" x14ac:dyDescent="0.25">
      <c r="A275">
        <v>1</v>
      </c>
      <c r="B275" t="str">
        <f t="shared" si="104"/>
        <v>M</v>
      </c>
      <c r="C275">
        <v>25</v>
      </c>
      <c r="D275">
        <f t="shared" si="105"/>
        <v>25</v>
      </c>
      <c r="E275">
        <f t="shared" si="106"/>
        <v>25</v>
      </c>
      <c r="F275" t="str">
        <f t="shared" si="107"/>
        <v>1-25</v>
      </c>
      <c r="G275">
        <v>1</v>
      </c>
      <c r="H275" t="str">
        <f t="shared" si="108"/>
        <v>Pariente gordo</v>
      </c>
      <c r="I275">
        <v>1</v>
      </c>
      <c r="J275" t="str">
        <f t="shared" si="109"/>
        <v>Hipercaloricos</v>
      </c>
      <c r="K275">
        <v>2</v>
      </c>
      <c r="L275">
        <f t="shared" si="110"/>
        <v>1</v>
      </c>
      <c r="M275" t="str">
        <f t="shared" si="111"/>
        <v>Suele comer</v>
      </c>
      <c r="N275">
        <v>3</v>
      </c>
      <c r="O275">
        <f t="shared" si="112"/>
        <v>2</v>
      </c>
      <c r="P275" t="str">
        <f t="shared" si="113"/>
        <v>Mas de 3</v>
      </c>
      <c r="Q275">
        <v>2</v>
      </c>
      <c r="R275" t="str">
        <f t="shared" si="114"/>
        <v>Usualmente</v>
      </c>
      <c r="S275">
        <v>0</v>
      </c>
      <c r="T275" t="str">
        <f t="shared" si="115"/>
        <v>No fuma</v>
      </c>
      <c r="U275">
        <v>2</v>
      </c>
      <c r="V275">
        <f t="shared" si="116"/>
        <v>2</v>
      </c>
      <c r="W275" t="str">
        <f t="shared" si="117"/>
        <v>Siempre</v>
      </c>
      <c r="X275">
        <v>0</v>
      </c>
      <c r="Y275" t="str">
        <f t="shared" si="118"/>
        <v>No controla</v>
      </c>
      <c r="Z275">
        <v>0</v>
      </c>
      <c r="AA275">
        <f t="shared" si="119"/>
        <v>0</v>
      </c>
      <c r="AB275" t="str">
        <f t="shared" si="120"/>
        <v>Nunca</v>
      </c>
      <c r="AC275">
        <v>0</v>
      </c>
      <c r="AD275">
        <f t="shared" si="121"/>
        <v>0</v>
      </c>
      <c r="AE275" t="str">
        <f t="shared" si="122"/>
        <v>Nunca</v>
      </c>
      <c r="AF275">
        <v>1</v>
      </c>
      <c r="AG275" t="str">
        <f t="shared" si="123"/>
        <v>A veces</v>
      </c>
      <c r="AH275">
        <v>0</v>
      </c>
      <c r="AI275" t="str">
        <f t="shared" si="124"/>
        <v>No usa</v>
      </c>
      <c r="AJ275">
        <v>0</v>
      </c>
      <c r="AK275" t="str">
        <f t="shared" si="125"/>
        <v>No usa</v>
      </c>
      <c r="AL275">
        <v>1</v>
      </c>
      <c r="AM275" t="str">
        <f t="shared" si="126"/>
        <v>Usa Moto</v>
      </c>
      <c r="AN275">
        <v>0</v>
      </c>
      <c r="AO275" t="str">
        <f t="shared" si="127"/>
        <v>No usa</v>
      </c>
      <c r="AP275">
        <v>0</v>
      </c>
      <c r="AQ275" t="str">
        <f t="shared" si="128"/>
        <v>No camina</v>
      </c>
      <c r="AR275">
        <v>0</v>
      </c>
      <c r="AS275" t="str">
        <f t="shared" si="129"/>
        <v>No es obeso</v>
      </c>
    </row>
    <row r="276" spans="1:45" x14ac:dyDescent="0.25">
      <c r="A276">
        <v>0</v>
      </c>
      <c r="B276" t="str">
        <f t="shared" si="104"/>
        <v>F</v>
      </c>
      <c r="C276">
        <v>25</v>
      </c>
      <c r="D276">
        <f t="shared" si="105"/>
        <v>25</v>
      </c>
      <c r="E276">
        <f t="shared" si="106"/>
        <v>25</v>
      </c>
      <c r="F276" t="str">
        <f t="shared" si="107"/>
        <v>1-25</v>
      </c>
      <c r="G276">
        <v>0</v>
      </c>
      <c r="H276" t="str">
        <f t="shared" si="108"/>
        <v>Pariente normal</v>
      </c>
      <c r="I276">
        <v>0</v>
      </c>
      <c r="J276" t="str">
        <f t="shared" si="109"/>
        <v>Saludables</v>
      </c>
      <c r="K276">
        <v>2</v>
      </c>
      <c r="L276">
        <f t="shared" si="110"/>
        <v>1</v>
      </c>
      <c r="M276" t="str">
        <f t="shared" si="111"/>
        <v>Suele comer</v>
      </c>
      <c r="N276">
        <v>3</v>
      </c>
      <c r="O276">
        <f t="shared" si="112"/>
        <v>2</v>
      </c>
      <c r="P276" t="str">
        <f t="shared" si="113"/>
        <v>Mas de 3</v>
      </c>
      <c r="Q276">
        <v>1</v>
      </c>
      <c r="R276" t="str">
        <f t="shared" si="114"/>
        <v>A veces</v>
      </c>
      <c r="S276">
        <v>0</v>
      </c>
      <c r="T276" t="str">
        <f t="shared" si="115"/>
        <v>No fuma</v>
      </c>
      <c r="U276">
        <v>1</v>
      </c>
      <c r="V276">
        <f t="shared" si="116"/>
        <v>1</v>
      </c>
      <c r="W276" t="str">
        <f t="shared" si="117"/>
        <v>Usualmente</v>
      </c>
      <c r="X276">
        <v>0</v>
      </c>
      <c r="Y276" t="str">
        <f t="shared" si="118"/>
        <v>No controla</v>
      </c>
      <c r="Z276">
        <v>2</v>
      </c>
      <c r="AA276">
        <f t="shared" si="119"/>
        <v>2</v>
      </c>
      <c r="AB276" t="str">
        <f t="shared" si="120"/>
        <v>Usualmente</v>
      </c>
      <c r="AC276">
        <v>1</v>
      </c>
      <c r="AD276">
        <f t="shared" si="121"/>
        <v>1</v>
      </c>
      <c r="AE276" t="str">
        <f t="shared" si="122"/>
        <v>Usualmente</v>
      </c>
      <c r="AF276">
        <v>1</v>
      </c>
      <c r="AG276" t="str">
        <f t="shared" si="123"/>
        <v>A veces</v>
      </c>
      <c r="AH276">
        <v>0</v>
      </c>
      <c r="AI276" t="str">
        <f t="shared" si="124"/>
        <v>No usa</v>
      </c>
      <c r="AJ276">
        <v>0</v>
      </c>
      <c r="AK276" t="str">
        <f t="shared" si="125"/>
        <v>No usa</v>
      </c>
      <c r="AL276">
        <v>0</v>
      </c>
      <c r="AM276" t="str">
        <f t="shared" si="126"/>
        <v>No usa</v>
      </c>
      <c r="AN276">
        <v>1</v>
      </c>
      <c r="AO276" t="str">
        <f t="shared" si="127"/>
        <v>Usa Transporte</v>
      </c>
      <c r="AP276">
        <v>0</v>
      </c>
      <c r="AQ276" t="str">
        <f t="shared" si="128"/>
        <v>No camina</v>
      </c>
      <c r="AR276">
        <v>0</v>
      </c>
      <c r="AS276" t="str">
        <f t="shared" si="129"/>
        <v>No es obeso</v>
      </c>
    </row>
    <row r="277" spans="1:45" x14ac:dyDescent="0.25">
      <c r="A277">
        <v>0</v>
      </c>
      <c r="B277" t="str">
        <f t="shared" si="104"/>
        <v>F</v>
      </c>
      <c r="C277">
        <v>18</v>
      </c>
      <c r="D277">
        <f t="shared" si="105"/>
        <v>18</v>
      </c>
      <c r="E277">
        <f t="shared" si="106"/>
        <v>18</v>
      </c>
      <c r="F277" t="str">
        <f t="shared" si="107"/>
        <v>1-25</v>
      </c>
      <c r="G277">
        <v>1</v>
      </c>
      <c r="H277" t="str">
        <f t="shared" si="108"/>
        <v>Pariente gordo</v>
      </c>
      <c r="I277">
        <v>1</v>
      </c>
      <c r="J277" t="str">
        <f t="shared" si="109"/>
        <v>Hipercaloricos</v>
      </c>
      <c r="K277">
        <v>3</v>
      </c>
      <c r="L277">
        <f t="shared" si="110"/>
        <v>1</v>
      </c>
      <c r="M277" t="str">
        <f t="shared" si="111"/>
        <v>Suele comer</v>
      </c>
      <c r="N277">
        <v>3</v>
      </c>
      <c r="O277">
        <f t="shared" si="112"/>
        <v>2</v>
      </c>
      <c r="P277" t="str">
        <f t="shared" si="113"/>
        <v>Mas de 3</v>
      </c>
      <c r="Q277">
        <v>2</v>
      </c>
      <c r="R277" t="str">
        <f t="shared" si="114"/>
        <v>Usualmente</v>
      </c>
      <c r="S277">
        <v>0</v>
      </c>
      <c r="T277" t="str">
        <f t="shared" si="115"/>
        <v>No fuma</v>
      </c>
      <c r="U277">
        <v>2</v>
      </c>
      <c r="V277">
        <f t="shared" si="116"/>
        <v>2</v>
      </c>
      <c r="W277" t="str">
        <f t="shared" si="117"/>
        <v>Siempre</v>
      </c>
      <c r="X277">
        <v>0</v>
      </c>
      <c r="Y277" t="str">
        <f t="shared" si="118"/>
        <v>No controla</v>
      </c>
      <c r="Z277">
        <v>0</v>
      </c>
      <c r="AA277">
        <f t="shared" si="119"/>
        <v>0</v>
      </c>
      <c r="AB277" t="str">
        <f t="shared" si="120"/>
        <v>Nunca</v>
      </c>
      <c r="AC277">
        <v>1</v>
      </c>
      <c r="AD277">
        <f t="shared" si="121"/>
        <v>1</v>
      </c>
      <c r="AE277" t="str">
        <f t="shared" si="122"/>
        <v>Usualmente</v>
      </c>
      <c r="AF277">
        <v>1</v>
      </c>
      <c r="AG277" t="str">
        <f t="shared" si="123"/>
        <v>A veces</v>
      </c>
      <c r="AH277">
        <v>0</v>
      </c>
      <c r="AI277" t="str">
        <f t="shared" si="124"/>
        <v>No usa</v>
      </c>
      <c r="AJ277">
        <v>0</v>
      </c>
      <c r="AK277" t="str">
        <f t="shared" si="125"/>
        <v>No usa</v>
      </c>
      <c r="AL277">
        <v>0</v>
      </c>
      <c r="AM277" t="str">
        <f t="shared" si="126"/>
        <v>No usa</v>
      </c>
      <c r="AN277">
        <v>1</v>
      </c>
      <c r="AO277" t="str">
        <f t="shared" si="127"/>
        <v>Usa Transporte</v>
      </c>
      <c r="AP277">
        <v>0</v>
      </c>
      <c r="AQ277" t="str">
        <f t="shared" si="128"/>
        <v>No camina</v>
      </c>
      <c r="AR277">
        <v>0</v>
      </c>
      <c r="AS277" t="str">
        <f t="shared" si="129"/>
        <v>No es obeso</v>
      </c>
    </row>
    <row r="278" spans="1:45" x14ac:dyDescent="0.25">
      <c r="A278">
        <v>1</v>
      </c>
      <c r="B278" t="str">
        <f t="shared" si="104"/>
        <v>M</v>
      </c>
      <c r="C278">
        <v>16</v>
      </c>
      <c r="D278">
        <f t="shared" si="105"/>
        <v>16</v>
      </c>
      <c r="E278">
        <f t="shared" si="106"/>
        <v>16</v>
      </c>
      <c r="F278" t="str">
        <f t="shared" si="107"/>
        <v>1-25</v>
      </c>
      <c r="G278">
        <v>1</v>
      </c>
      <c r="H278" t="str">
        <f t="shared" si="108"/>
        <v>Pariente gordo</v>
      </c>
      <c r="I278">
        <v>1</v>
      </c>
      <c r="J278" t="str">
        <f t="shared" si="109"/>
        <v>Hipercaloricos</v>
      </c>
      <c r="K278">
        <v>2</v>
      </c>
      <c r="L278">
        <f t="shared" si="110"/>
        <v>1</v>
      </c>
      <c r="M278" t="str">
        <f t="shared" si="111"/>
        <v>Suele comer</v>
      </c>
      <c r="N278">
        <v>1</v>
      </c>
      <c r="O278">
        <f t="shared" si="112"/>
        <v>1</v>
      </c>
      <c r="P278">
        <f t="shared" si="113"/>
        <v>3</v>
      </c>
      <c r="Q278">
        <v>2</v>
      </c>
      <c r="R278" t="str">
        <f t="shared" si="114"/>
        <v>Usualmente</v>
      </c>
      <c r="S278">
        <v>0</v>
      </c>
      <c r="T278" t="str">
        <f t="shared" si="115"/>
        <v>No fuma</v>
      </c>
      <c r="U278">
        <v>3</v>
      </c>
      <c r="V278">
        <f t="shared" si="116"/>
        <v>2</v>
      </c>
      <c r="W278" t="str">
        <f t="shared" si="117"/>
        <v>Siempre</v>
      </c>
      <c r="X278">
        <v>0</v>
      </c>
      <c r="Y278" t="str">
        <f t="shared" si="118"/>
        <v>No controla</v>
      </c>
      <c r="Z278">
        <v>1</v>
      </c>
      <c r="AA278">
        <f t="shared" si="119"/>
        <v>1</v>
      </c>
      <c r="AB278" t="str">
        <f t="shared" si="120"/>
        <v>A veces</v>
      </c>
      <c r="AC278">
        <v>0</v>
      </c>
      <c r="AD278">
        <f t="shared" si="121"/>
        <v>0</v>
      </c>
      <c r="AE278" t="str">
        <f t="shared" si="122"/>
        <v>Nunca</v>
      </c>
      <c r="AF278">
        <v>0</v>
      </c>
      <c r="AG278" t="str">
        <f t="shared" si="123"/>
        <v>Nunca</v>
      </c>
      <c r="AH278">
        <v>0</v>
      </c>
      <c r="AI278" t="str">
        <f t="shared" si="124"/>
        <v>No usa</v>
      </c>
      <c r="AJ278">
        <v>0</v>
      </c>
      <c r="AK278" t="str">
        <f t="shared" si="125"/>
        <v>No usa</v>
      </c>
      <c r="AL278">
        <v>0</v>
      </c>
      <c r="AM278" t="str">
        <f t="shared" si="126"/>
        <v>No usa</v>
      </c>
      <c r="AN278">
        <v>1</v>
      </c>
      <c r="AO278" t="str">
        <f t="shared" si="127"/>
        <v>Usa Transporte</v>
      </c>
      <c r="AP278">
        <v>0</v>
      </c>
      <c r="AQ278" t="str">
        <f t="shared" si="128"/>
        <v>No camina</v>
      </c>
      <c r="AR278">
        <v>0</v>
      </c>
      <c r="AS278" t="str">
        <f t="shared" si="129"/>
        <v>No es obeso</v>
      </c>
    </row>
    <row r="279" spans="1:45" x14ac:dyDescent="0.25">
      <c r="A279">
        <v>1</v>
      </c>
      <c r="B279" t="str">
        <f t="shared" si="104"/>
        <v>M</v>
      </c>
      <c r="C279">
        <v>21</v>
      </c>
      <c r="D279">
        <f t="shared" si="105"/>
        <v>21</v>
      </c>
      <c r="E279">
        <f t="shared" si="106"/>
        <v>21</v>
      </c>
      <c r="F279" t="str">
        <f t="shared" si="107"/>
        <v>1-25</v>
      </c>
      <c r="G279">
        <v>0</v>
      </c>
      <c r="H279" t="str">
        <f t="shared" si="108"/>
        <v>Pariente normal</v>
      </c>
      <c r="I279">
        <v>1</v>
      </c>
      <c r="J279" t="str">
        <f t="shared" si="109"/>
        <v>Hipercaloricos</v>
      </c>
      <c r="K279">
        <v>2</v>
      </c>
      <c r="L279">
        <f t="shared" si="110"/>
        <v>1</v>
      </c>
      <c r="M279" t="str">
        <f t="shared" si="111"/>
        <v>Suele comer</v>
      </c>
      <c r="N279">
        <v>4</v>
      </c>
      <c r="O279">
        <f t="shared" si="112"/>
        <v>2</v>
      </c>
      <c r="P279" t="str">
        <f t="shared" si="113"/>
        <v>Mas de 3</v>
      </c>
      <c r="Q279">
        <v>3</v>
      </c>
      <c r="R279" t="str">
        <f t="shared" si="114"/>
        <v>Siempre</v>
      </c>
      <c r="S279">
        <v>1</v>
      </c>
      <c r="T279" t="str">
        <f t="shared" si="115"/>
        <v>Fuma</v>
      </c>
      <c r="U279">
        <v>3</v>
      </c>
      <c r="V279">
        <f t="shared" si="116"/>
        <v>2</v>
      </c>
      <c r="W279" t="str">
        <f t="shared" si="117"/>
        <v>Siempre</v>
      </c>
      <c r="X279">
        <v>0</v>
      </c>
      <c r="Y279" t="str">
        <f t="shared" si="118"/>
        <v>No controla</v>
      </c>
      <c r="Z279">
        <v>3</v>
      </c>
      <c r="AA279">
        <f t="shared" si="119"/>
        <v>3</v>
      </c>
      <c r="AB279" t="str">
        <f t="shared" si="120"/>
        <v>Siempre</v>
      </c>
      <c r="AC279">
        <v>2</v>
      </c>
      <c r="AD279">
        <f t="shared" si="121"/>
        <v>2</v>
      </c>
      <c r="AE279" t="str">
        <f t="shared" si="122"/>
        <v>Siempre</v>
      </c>
      <c r="AF279">
        <v>1</v>
      </c>
      <c r="AG279" t="str">
        <f t="shared" si="123"/>
        <v>A veces</v>
      </c>
      <c r="AH279">
        <v>0</v>
      </c>
      <c r="AI279" t="str">
        <f t="shared" si="124"/>
        <v>No usa</v>
      </c>
      <c r="AJ279">
        <v>0</v>
      </c>
      <c r="AK279" t="str">
        <f t="shared" si="125"/>
        <v>No usa</v>
      </c>
      <c r="AL279">
        <v>0</v>
      </c>
      <c r="AM279" t="str">
        <f t="shared" si="126"/>
        <v>No usa</v>
      </c>
      <c r="AN279">
        <v>0</v>
      </c>
      <c r="AO279" t="str">
        <f t="shared" si="127"/>
        <v>No usa</v>
      </c>
      <c r="AP279">
        <v>1</v>
      </c>
      <c r="AQ279" t="str">
        <f t="shared" si="128"/>
        <v>Camina</v>
      </c>
      <c r="AR279">
        <v>0</v>
      </c>
      <c r="AS279" t="str">
        <f t="shared" si="129"/>
        <v>No es obeso</v>
      </c>
    </row>
    <row r="280" spans="1:45" x14ac:dyDescent="0.25">
      <c r="A280">
        <v>0</v>
      </c>
      <c r="B280" t="str">
        <f t="shared" si="104"/>
        <v>F</v>
      </c>
      <c r="C280">
        <v>32</v>
      </c>
      <c r="D280">
        <f t="shared" si="105"/>
        <v>32</v>
      </c>
      <c r="E280">
        <f t="shared" si="106"/>
        <v>32</v>
      </c>
      <c r="F280" t="str">
        <f t="shared" si="107"/>
        <v>25-50</v>
      </c>
      <c r="G280">
        <v>1</v>
      </c>
      <c r="H280" t="str">
        <f t="shared" si="108"/>
        <v>Pariente gordo</v>
      </c>
      <c r="I280">
        <v>1</v>
      </c>
      <c r="J280" t="str">
        <f t="shared" si="109"/>
        <v>Hipercaloricos</v>
      </c>
      <c r="K280">
        <v>3</v>
      </c>
      <c r="L280">
        <f t="shared" si="110"/>
        <v>1</v>
      </c>
      <c r="M280" t="str">
        <f t="shared" si="111"/>
        <v>Suele comer</v>
      </c>
      <c r="N280">
        <v>3</v>
      </c>
      <c r="O280">
        <f t="shared" si="112"/>
        <v>2</v>
      </c>
      <c r="P280" t="str">
        <f t="shared" si="113"/>
        <v>Mas de 3</v>
      </c>
      <c r="Q280">
        <v>1</v>
      </c>
      <c r="R280" t="str">
        <f t="shared" si="114"/>
        <v>A veces</v>
      </c>
      <c r="S280">
        <v>0</v>
      </c>
      <c r="T280" t="str">
        <f t="shared" si="115"/>
        <v>No fuma</v>
      </c>
      <c r="U280">
        <v>2</v>
      </c>
      <c r="V280">
        <f t="shared" si="116"/>
        <v>2</v>
      </c>
      <c r="W280" t="str">
        <f t="shared" si="117"/>
        <v>Siempre</v>
      </c>
      <c r="X280">
        <v>0</v>
      </c>
      <c r="Y280" t="str">
        <f t="shared" si="118"/>
        <v>No controla</v>
      </c>
      <c r="Z280">
        <v>0</v>
      </c>
      <c r="AA280">
        <f t="shared" si="119"/>
        <v>0</v>
      </c>
      <c r="AB280" t="str">
        <f t="shared" si="120"/>
        <v>Nunca</v>
      </c>
      <c r="AC280">
        <v>0</v>
      </c>
      <c r="AD280">
        <f t="shared" si="121"/>
        <v>0</v>
      </c>
      <c r="AE280" t="str">
        <f t="shared" si="122"/>
        <v>Nunca</v>
      </c>
      <c r="AF280">
        <v>1</v>
      </c>
      <c r="AG280" t="str">
        <f t="shared" si="123"/>
        <v>A veces</v>
      </c>
      <c r="AH280">
        <v>1</v>
      </c>
      <c r="AI280" t="str">
        <f t="shared" si="124"/>
        <v>Usa auto</v>
      </c>
      <c r="AJ280">
        <v>0</v>
      </c>
      <c r="AK280" t="str">
        <f t="shared" si="125"/>
        <v>No usa</v>
      </c>
      <c r="AL280">
        <v>0</v>
      </c>
      <c r="AM280" t="str">
        <f t="shared" si="126"/>
        <v>No usa</v>
      </c>
      <c r="AN280">
        <v>0</v>
      </c>
      <c r="AO280" t="str">
        <f t="shared" si="127"/>
        <v>No usa</v>
      </c>
      <c r="AP280">
        <v>0</v>
      </c>
      <c r="AQ280" t="str">
        <f t="shared" si="128"/>
        <v>No camina</v>
      </c>
      <c r="AR280">
        <v>0</v>
      </c>
      <c r="AS280" t="str">
        <f t="shared" si="129"/>
        <v>No es obeso</v>
      </c>
    </row>
    <row r="281" spans="1:45" x14ac:dyDescent="0.25">
      <c r="A281">
        <v>1</v>
      </c>
      <c r="B281" t="str">
        <f t="shared" si="104"/>
        <v>M</v>
      </c>
      <c r="C281">
        <v>18</v>
      </c>
      <c r="D281">
        <f t="shared" si="105"/>
        <v>18</v>
      </c>
      <c r="E281">
        <f t="shared" si="106"/>
        <v>18</v>
      </c>
      <c r="F281" t="str">
        <f t="shared" si="107"/>
        <v>1-25</v>
      </c>
      <c r="G281">
        <v>0</v>
      </c>
      <c r="H281" t="str">
        <f t="shared" si="108"/>
        <v>Pariente normal</v>
      </c>
      <c r="I281">
        <v>0</v>
      </c>
      <c r="J281" t="str">
        <f t="shared" si="109"/>
        <v>Saludables</v>
      </c>
      <c r="K281">
        <v>3</v>
      </c>
      <c r="L281">
        <f t="shared" si="110"/>
        <v>1</v>
      </c>
      <c r="M281" t="str">
        <f t="shared" si="111"/>
        <v>Suele comer</v>
      </c>
      <c r="N281">
        <v>3</v>
      </c>
      <c r="O281">
        <f t="shared" si="112"/>
        <v>2</v>
      </c>
      <c r="P281" t="str">
        <f t="shared" si="113"/>
        <v>Mas de 3</v>
      </c>
      <c r="Q281">
        <v>1</v>
      </c>
      <c r="R281" t="str">
        <f t="shared" si="114"/>
        <v>A veces</v>
      </c>
      <c r="S281">
        <v>0</v>
      </c>
      <c r="T281" t="str">
        <f t="shared" si="115"/>
        <v>No fuma</v>
      </c>
      <c r="U281">
        <v>2</v>
      </c>
      <c r="V281">
        <f t="shared" si="116"/>
        <v>2</v>
      </c>
      <c r="W281" t="str">
        <f t="shared" si="117"/>
        <v>Siempre</v>
      </c>
      <c r="X281">
        <v>0</v>
      </c>
      <c r="Y281" t="str">
        <f t="shared" si="118"/>
        <v>No controla</v>
      </c>
      <c r="Z281">
        <v>1</v>
      </c>
      <c r="AA281">
        <f t="shared" si="119"/>
        <v>1</v>
      </c>
      <c r="AB281" t="str">
        <f t="shared" si="120"/>
        <v>A veces</v>
      </c>
      <c r="AC281">
        <v>1</v>
      </c>
      <c r="AD281">
        <f t="shared" si="121"/>
        <v>1</v>
      </c>
      <c r="AE281" t="str">
        <f t="shared" si="122"/>
        <v>Usualmente</v>
      </c>
      <c r="AF281">
        <v>1</v>
      </c>
      <c r="AG281" t="str">
        <f t="shared" si="123"/>
        <v>A veces</v>
      </c>
      <c r="AH281">
        <v>0</v>
      </c>
      <c r="AI281" t="str">
        <f t="shared" si="124"/>
        <v>No usa</v>
      </c>
      <c r="AJ281">
        <v>0</v>
      </c>
      <c r="AK281" t="str">
        <f t="shared" si="125"/>
        <v>No usa</v>
      </c>
      <c r="AL281">
        <v>0</v>
      </c>
      <c r="AM281" t="str">
        <f t="shared" si="126"/>
        <v>No usa</v>
      </c>
      <c r="AN281">
        <v>1</v>
      </c>
      <c r="AO281" t="str">
        <f t="shared" si="127"/>
        <v>Usa Transporte</v>
      </c>
      <c r="AP281">
        <v>0</v>
      </c>
      <c r="AQ281" t="str">
        <f t="shared" si="128"/>
        <v>No camina</v>
      </c>
      <c r="AR281">
        <v>0</v>
      </c>
      <c r="AS281" t="str">
        <f t="shared" si="129"/>
        <v>No es obeso</v>
      </c>
    </row>
    <row r="282" spans="1:45" x14ac:dyDescent="0.25">
      <c r="A282">
        <v>1</v>
      </c>
      <c r="B282" t="str">
        <f t="shared" si="104"/>
        <v>M</v>
      </c>
      <c r="C282">
        <v>21</v>
      </c>
      <c r="D282">
        <f t="shared" si="105"/>
        <v>21</v>
      </c>
      <c r="E282">
        <f t="shared" si="106"/>
        <v>21</v>
      </c>
      <c r="F282" t="str">
        <f t="shared" si="107"/>
        <v>1-25</v>
      </c>
      <c r="G282">
        <v>0</v>
      </c>
      <c r="H282" t="str">
        <f t="shared" si="108"/>
        <v>Pariente normal</v>
      </c>
      <c r="I282">
        <v>1</v>
      </c>
      <c r="J282" t="str">
        <f t="shared" si="109"/>
        <v>Hipercaloricos</v>
      </c>
      <c r="K282">
        <v>3</v>
      </c>
      <c r="L282">
        <f t="shared" si="110"/>
        <v>1</v>
      </c>
      <c r="M282" t="str">
        <f t="shared" si="111"/>
        <v>Suele comer</v>
      </c>
      <c r="N282">
        <v>4</v>
      </c>
      <c r="O282">
        <f t="shared" si="112"/>
        <v>2</v>
      </c>
      <c r="P282" t="str">
        <f t="shared" si="113"/>
        <v>Mas de 3</v>
      </c>
      <c r="Q282">
        <v>2</v>
      </c>
      <c r="R282" t="str">
        <f t="shared" si="114"/>
        <v>Usualmente</v>
      </c>
      <c r="S282">
        <v>1</v>
      </c>
      <c r="T282" t="str">
        <f t="shared" si="115"/>
        <v>Fuma</v>
      </c>
      <c r="U282">
        <v>2</v>
      </c>
      <c r="V282">
        <f t="shared" si="116"/>
        <v>2</v>
      </c>
      <c r="W282" t="str">
        <f t="shared" si="117"/>
        <v>Siempre</v>
      </c>
      <c r="X282">
        <v>0</v>
      </c>
      <c r="Y282" t="str">
        <f t="shared" si="118"/>
        <v>No controla</v>
      </c>
      <c r="Z282">
        <v>0</v>
      </c>
      <c r="AA282">
        <f t="shared" si="119"/>
        <v>0</v>
      </c>
      <c r="AB282" t="str">
        <f t="shared" si="120"/>
        <v>Nunca</v>
      </c>
      <c r="AC282">
        <v>0</v>
      </c>
      <c r="AD282">
        <f t="shared" si="121"/>
        <v>0</v>
      </c>
      <c r="AE282" t="str">
        <f t="shared" si="122"/>
        <v>Nunca</v>
      </c>
      <c r="AF282">
        <v>1</v>
      </c>
      <c r="AG282" t="str">
        <f t="shared" si="123"/>
        <v>A veces</v>
      </c>
      <c r="AH282">
        <v>0</v>
      </c>
      <c r="AI282" t="str">
        <f t="shared" si="124"/>
        <v>No usa</v>
      </c>
      <c r="AJ282">
        <v>0</v>
      </c>
      <c r="AK282" t="str">
        <f t="shared" si="125"/>
        <v>No usa</v>
      </c>
      <c r="AL282">
        <v>0</v>
      </c>
      <c r="AM282" t="str">
        <f t="shared" si="126"/>
        <v>No usa</v>
      </c>
      <c r="AN282">
        <v>1</v>
      </c>
      <c r="AO282" t="str">
        <f t="shared" si="127"/>
        <v>Usa Transporte</v>
      </c>
      <c r="AP282">
        <v>0</v>
      </c>
      <c r="AQ282" t="str">
        <f t="shared" si="128"/>
        <v>No camina</v>
      </c>
      <c r="AR282">
        <v>0</v>
      </c>
      <c r="AS282" t="str">
        <f t="shared" si="129"/>
        <v>No es obeso</v>
      </c>
    </row>
    <row r="283" spans="1:45" x14ac:dyDescent="0.25">
      <c r="A283">
        <v>1</v>
      </c>
      <c r="B283" t="str">
        <f t="shared" si="104"/>
        <v>M</v>
      </c>
      <c r="C283">
        <v>18</v>
      </c>
      <c r="D283">
        <f t="shared" si="105"/>
        <v>18</v>
      </c>
      <c r="E283">
        <f t="shared" si="106"/>
        <v>18</v>
      </c>
      <c r="F283" t="str">
        <f t="shared" si="107"/>
        <v>1-25</v>
      </c>
      <c r="G283">
        <v>1</v>
      </c>
      <c r="H283" t="str">
        <f t="shared" si="108"/>
        <v>Pariente gordo</v>
      </c>
      <c r="I283">
        <v>1</v>
      </c>
      <c r="J283" t="str">
        <f t="shared" si="109"/>
        <v>Hipercaloricos</v>
      </c>
      <c r="K283">
        <v>2</v>
      </c>
      <c r="L283">
        <f t="shared" si="110"/>
        <v>1</v>
      </c>
      <c r="M283" t="str">
        <f t="shared" si="111"/>
        <v>Suele comer</v>
      </c>
      <c r="N283">
        <v>3</v>
      </c>
      <c r="O283">
        <f t="shared" si="112"/>
        <v>2</v>
      </c>
      <c r="P283" t="str">
        <f t="shared" si="113"/>
        <v>Mas de 3</v>
      </c>
      <c r="Q283">
        <v>2</v>
      </c>
      <c r="R283" t="str">
        <f t="shared" si="114"/>
        <v>Usualmente</v>
      </c>
      <c r="S283">
        <v>0</v>
      </c>
      <c r="T283" t="str">
        <f t="shared" si="115"/>
        <v>No fuma</v>
      </c>
      <c r="U283">
        <v>2</v>
      </c>
      <c r="V283">
        <f t="shared" si="116"/>
        <v>2</v>
      </c>
      <c r="W283" t="str">
        <f t="shared" si="117"/>
        <v>Siempre</v>
      </c>
      <c r="X283">
        <v>0</v>
      </c>
      <c r="Y283" t="str">
        <f t="shared" si="118"/>
        <v>No controla</v>
      </c>
      <c r="Z283">
        <v>0</v>
      </c>
      <c r="AA283">
        <f t="shared" si="119"/>
        <v>0</v>
      </c>
      <c r="AB283" t="str">
        <f t="shared" si="120"/>
        <v>Nunca</v>
      </c>
      <c r="AC283">
        <v>0</v>
      </c>
      <c r="AD283">
        <f t="shared" si="121"/>
        <v>0</v>
      </c>
      <c r="AE283" t="str">
        <f t="shared" si="122"/>
        <v>Nunca</v>
      </c>
      <c r="AF283">
        <v>1</v>
      </c>
      <c r="AG283" t="str">
        <f t="shared" si="123"/>
        <v>A veces</v>
      </c>
      <c r="AH283">
        <v>0</v>
      </c>
      <c r="AI283" t="str">
        <f t="shared" si="124"/>
        <v>No usa</v>
      </c>
      <c r="AJ283">
        <v>0</v>
      </c>
      <c r="AK283" t="str">
        <f t="shared" si="125"/>
        <v>No usa</v>
      </c>
      <c r="AL283">
        <v>0</v>
      </c>
      <c r="AM283" t="str">
        <f t="shared" si="126"/>
        <v>No usa</v>
      </c>
      <c r="AN283">
        <v>1</v>
      </c>
      <c r="AO283" t="str">
        <f t="shared" si="127"/>
        <v>Usa Transporte</v>
      </c>
      <c r="AP283">
        <v>0</v>
      </c>
      <c r="AQ283" t="str">
        <f t="shared" si="128"/>
        <v>No camina</v>
      </c>
      <c r="AR283">
        <v>0</v>
      </c>
      <c r="AS283" t="str">
        <f t="shared" si="129"/>
        <v>No es obeso</v>
      </c>
    </row>
    <row r="284" spans="1:45" x14ac:dyDescent="0.25">
      <c r="A284">
        <v>0</v>
      </c>
      <c r="B284" t="str">
        <f t="shared" si="104"/>
        <v>F</v>
      </c>
      <c r="C284">
        <v>18</v>
      </c>
      <c r="D284">
        <f t="shared" si="105"/>
        <v>18</v>
      </c>
      <c r="E284">
        <f t="shared" si="106"/>
        <v>18</v>
      </c>
      <c r="F284" t="str">
        <f t="shared" si="107"/>
        <v>1-25</v>
      </c>
      <c r="G284">
        <v>1</v>
      </c>
      <c r="H284" t="str">
        <f t="shared" si="108"/>
        <v>Pariente gordo</v>
      </c>
      <c r="I284">
        <v>1</v>
      </c>
      <c r="J284" t="str">
        <f t="shared" si="109"/>
        <v>Hipercaloricos</v>
      </c>
      <c r="K284">
        <v>2</v>
      </c>
      <c r="L284">
        <f t="shared" si="110"/>
        <v>1</v>
      </c>
      <c r="M284" t="str">
        <f t="shared" si="111"/>
        <v>Suele comer</v>
      </c>
      <c r="N284">
        <v>3</v>
      </c>
      <c r="O284">
        <f t="shared" si="112"/>
        <v>2</v>
      </c>
      <c r="P284" t="str">
        <f t="shared" si="113"/>
        <v>Mas de 3</v>
      </c>
      <c r="Q284">
        <v>2</v>
      </c>
      <c r="R284" t="str">
        <f t="shared" si="114"/>
        <v>Usualmente</v>
      </c>
      <c r="S284">
        <v>0</v>
      </c>
      <c r="T284" t="str">
        <f t="shared" si="115"/>
        <v>No fuma</v>
      </c>
      <c r="U284">
        <v>1</v>
      </c>
      <c r="V284">
        <f t="shared" si="116"/>
        <v>1</v>
      </c>
      <c r="W284" t="str">
        <f t="shared" si="117"/>
        <v>Usualmente</v>
      </c>
      <c r="X284">
        <v>0</v>
      </c>
      <c r="Y284" t="str">
        <f t="shared" si="118"/>
        <v>No controla</v>
      </c>
      <c r="Z284">
        <v>1</v>
      </c>
      <c r="AA284">
        <f t="shared" si="119"/>
        <v>1</v>
      </c>
      <c r="AB284" t="str">
        <f t="shared" si="120"/>
        <v>A veces</v>
      </c>
      <c r="AC284">
        <v>1</v>
      </c>
      <c r="AD284">
        <f t="shared" si="121"/>
        <v>1</v>
      </c>
      <c r="AE284" t="str">
        <f t="shared" si="122"/>
        <v>Usualmente</v>
      </c>
      <c r="AF284">
        <v>0</v>
      </c>
      <c r="AG284" t="str">
        <f t="shared" si="123"/>
        <v>Nunca</v>
      </c>
      <c r="AH284">
        <v>0</v>
      </c>
      <c r="AI284" t="str">
        <f t="shared" si="124"/>
        <v>No usa</v>
      </c>
      <c r="AJ284">
        <v>0</v>
      </c>
      <c r="AK284" t="str">
        <f t="shared" si="125"/>
        <v>No usa</v>
      </c>
      <c r="AL284">
        <v>0</v>
      </c>
      <c r="AM284" t="str">
        <f t="shared" si="126"/>
        <v>No usa</v>
      </c>
      <c r="AN284">
        <v>1</v>
      </c>
      <c r="AO284" t="str">
        <f t="shared" si="127"/>
        <v>Usa Transporte</v>
      </c>
      <c r="AP284">
        <v>0</v>
      </c>
      <c r="AQ284" t="str">
        <f t="shared" si="128"/>
        <v>No camina</v>
      </c>
      <c r="AR284">
        <v>0</v>
      </c>
      <c r="AS284" t="str">
        <f t="shared" si="129"/>
        <v>No es obeso</v>
      </c>
    </row>
    <row r="285" spans="1:45" x14ac:dyDescent="0.25">
      <c r="A285">
        <v>1</v>
      </c>
      <c r="B285" t="str">
        <f t="shared" si="104"/>
        <v>M</v>
      </c>
      <c r="C285">
        <v>17</v>
      </c>
      <c r="D285">
        <f t="shared" si="105"/>
        <v>17</v>
      </c>
      <c r="E285">
        <f t="shared" si="106"/>
        <v>17</v>
      </c>
      <c r="F285" t="str">
        <f t="shared" si="107"/>
        <v>1-25</v>
      </c>
      <c r="G285">
        <v>0</v>
      </c>
      <c r="H285" t="str">
        <f t="shared" si="108"/>
        <v>Pariente normal</v>
      </c>
      <c r="I285">
        <v>0</v>
      </c>
      <c r="J285" t="str">
        <f t="shared" si="109"/>
        <v>Saludables</v>
      </c>
      <c r="K285">
        <v>2</v>
      </c>
      <c r="L285">
        <f t="shared" si="110"/>
        <v>1</v>
      </c>
      <c r="M285" t="str">
        <f t="shared" si="111"/>
        <v>Suele comer</v>
      </c>
      <c r="N285">
        <v>3</v>
      </c>
      <c r="O285">
        <f t="shared" si="112"/>
        <v>2</v>
      </c>
      <c r="P285" t="str">
        <f t="shared" si="113"/>
        <v>Mas de 3</v>
      </c>
      <c r="Q285">
        <v>1</v>
      </c>
      <c r="R285" t="str">
        <f t="shared" si="114"/>
        <v>A veces</v>
      </c>
      <c r="S285">
        <v>0</v>
      </c>
      <c r="T285" t="str">
        <f t="shared" si="115"/>
        <v>No fuma</v>
      </c>
      <c r="U285">
        <v>3</v>
      </c>
      <c r="V285">
        <f t="shared" si="116"/>
        <v>2</v>
      </c>
      <c r="W285" t="str">
        <f t="shared" si="117"/>
        <v>Siempre</v>
      </c>
      <c r="X285">
        <v>0</v>
      </c>
      <c r="Y285" t="str">
        <f t="shared" si="118"/>
        <v>No controla</v>
      </c>
      <c r="Z285">
        <v>2</v>
      </c>
      <c r="AA285">
        <f t="shared" si="119"/>
        <v>2</v>
      </c>
      <c r="AB285" t="str">
        <f t="shared" si="120"/>
        <v>Usualmente</v>
      </c>
      <c r="AC285">
        <v>1</v>
      </c>
      <c r="AD285">
        <f t="shared" si="121"/>
        <v>1</v>
      </c>
      <c r="AE285" t="str">
        <f t="shared" si="122"/>
        <v>Usualmente</v>
      </c>
      <c r="AF285">
        <v>1</v>
      </c>
      <c r="AG285" t="str">
        <f t="shared" si="123"/>
        <v>A veces</v>
      </c>
      <c r="AH285">
        <v>0</v>
      </c>
      <c r="AI285" t="str">
        <f t="shared" si="124"/>
        <v>No usa</v>
      </c>
      <c r="AJ285">
        <v>0</v>
      </c>
      <c r="AK285" t="str">
        <f t="shared" si="125"/>
        <v>No usa</v>
      </c>
      <c r="AL285">
        <v>0</v>
      </c>
      <c r="AM285" t="str">
        <f t="shared" si="126"/>
        <v>No usa</v>
      </c>
      <c r="AN285">
        <v>0</v>
      </c>
      <c r="AO285" t="str">
        <f t="shared" si="127"/>
        <v>No usa</v>
      </c>
      <c r="AP285">
        <v>1</v>
      </c>
      <c r="AQ285" t="str">
        <f t="shared" si="128"/>
        <v>Camina</v>
      </c>
      <c r="AR285">
        <v>0</v>
      </c>
      <c r="AS285" t="str">
        <f t="shared" si="129"/>
        <v>No es obeso</v>
      </c>
    </row>
    <row r="286" spans="1:45" x14ac:dyDescent="0.25">
      <c r="A286">
        <v>1</v>
      </c>
      <c r="B286" t="str">
        <f t="shared" si="104"/>
        <v>M</v>
      </c>
      <c r="C286">
        <v>20</v>
      </c>
      <c r="D286">
        <f t="shared" si="105"/>
        <v>20</v>
      </c>
      <c r="E286">
        <f t="shared" si="106"/>
        <v>20</v>
      </c>
      <c r="F286" t="str">
        <f t="shared" si="107"/>
        <v>1-25</v>
      </c>
      <c r="G286">
        <v>1</v>
      </c>
      <c r="H286" t="str">
        <f t="shared" si="108"/>
        <v>Pariente gordo</v>
      </c>
      <c r="I286">
        <v>1</v>
      </c>
      <c r="J286" t="str">
        <f t="shared" si="109"/>
        <v>Hipercaloricos</v>
      </c>
      <c r="K286">
        <v>1</v>
      </c>
      <c r="L286">
        <f t="shared" si="110"/>
        <v>1</v>
      </c>
      <c r="M286" t="str">
        <f t="shared" si="111"/>
        <v>Suele comer</v>
      </c>
      <c r="N286">
        <v>1</v>
      </c>
      <c r="O286">
        <f t="shared" si="112"/>
        <v>1</v>
      </c>
      <c r="P286">
        <f t="shared" si="113"/>
        <v>3</v>
      </c>
      <c r="Q286">
        <v>1</v>
      </c>
      <c r="R286" t="str">
        <f t="shared" si="114"/>
        <v>A veces</v>
      </c>
      <c r="S286">
        <v>0</v>
      </c>
      <c r="T286" t="str">
        <f t="shared" si="115"/>
        <v>No fuma</v>
      </c>
      <c r="U286">
        <v>2</v>
      </c>
      <c r="V286">
        <f t="shared" si="116"/>
        <v>2</v>
      </c>
      <c r="W286" t="str">
        <f t="shared" si="117"/>
        <v>Siempre</v>
      </c>
      <c r="X286">
        <v>0</v>
      </c>
      <c r="Y286" t="str">
        <f t="shared" si="118"/>
        <v>No controla</v>
      </c>
      <c r="Z286">
        <v>1</v>
      </c>
      <c r="AA286">
        <f t="shared" si="119"/>
        <v>1</v>
      </c>
      <c r="AB286" t="str">
        <f t="shared" si="120"/>
        <v>A veces</v>
      </c>
      <c r="AC286">
        <v>1</v>
      </c>
      <c r="AD286">
        <f t="shared" si="121"/>
        <v>1</v>
      </c>
      <c r="AE286" t="str">
        <f t="shared" si="122"/>
        <v>Usualmente</v>
      </c>
      <c r="AF286">
        <v>1</v>
      </c>
      <c r="AG286" t="str">
        <f t="shared" si="123"/>
        <v>A veces</v>
      </c>
      <c r="AH286">
        <v>0</v>
      </c>
      <c r="AI286" t="str">
        <f t="shared" si="124"/>
        <v>No usa</v>
      </c>
      <c r="AJ286">
        <v>0</v>
      </c>
      <c r="AK286" t="str">
        <f t="shared" si="125"/>
        <v>No usa</v>
      </c>
      <c r="AL286">
        <v>0</v>
      </c>
      <c r="AM286" t="str">
        <f t="shared" si="126"/>
        <v>No usa</v>
      </c>
      <c r="AN286">
        <v>1</v>
      </c>
      <c r="AO286" t="str">
        <f t="shared" si="127"/>
        <v>Usa Transporte</v>
      </c>
      <c r="AP286">
        <v>0</v>
      </c>
      <c r="AQ286" t="str">
        <f t="shared" si="128"/>
        <v>No camina</v>
      </c>
      <c r="AR286">
        <v>0</v>
      </c>
      <c r="AS286" t="str">
        <f t="shared" si="129"/>
        <v>No es obeso</v>
      </c>
    </row>
    <row r="287" spans="1:45" x14ac:dyDescent="0.25">
      <c r="A287">
        <v>1</v>
      </c>
      <c r="B287" t="str">
        <f t="shared" si="104"/>
        <v>M</v>
      </c>
      <c r="C287">
        <v>21</v>
      </c>
      <c r="D287">
        <f t="shared" si="105"/>
        <v>21</v>
      </c>
      <c r="E287">
        <f t="shared" si="106"/>
        <v>21</v>
      </c>
      <c r="F287" t="str">
        <f t="shared" si="107"/>
        <v>1-25</v>
      </c>
      <c r="G287">
        <v>1</v>
      </c>
      <c r="H287" t="str">
        <f t="shared" si="108"/>
        <v>Pariente gordo</v>
      </c>
      <c r="I287">
        <v>1</v>
      </c>
      <c r="J287" t="str">
        <f t="shared" si="109"/>
        <v>Hipercaloricos</v>
      </c>
      <c r="K287">
        <v>2</v>
      </c>
      <c r="L287">
        <f t="shared" si="110"/>
        <v>1</v>
      </c>
      <c r="M287" t="str">
        <f t="shared" si="111"/>
        <v>Suele comer</v>
      </c>
      <c r="N287">
        <v>3</v>
      </c>
      <c r="O287">
        <f t="shared" si="112"/>
        <v>2</v>
      </c>
      <c r="P287" t="str">
        <f t="shared" si="113"/>
        <v>Mas de 3</v>
      </c>
      <c r="Q287">
        <v>3</v>
      </c>
      <c r="R287" t="str">
        <f t="shared" si="114"/>
        <v>Siempre</v>
      </c>
      <c r="S287">
        <v>0</v>
      </c>
      <c r="T287" t="str">
        <f t="shared" si="115"/>
        <v>No fuma</v>
      </c>
      <c r="U287">
        <v>1</v>
      </c>
      <c r="V287">
        <f t="shared" si="116"/>
        <v>1</v>
      </c>
      <c r="W287" t="str">
        <f t="shared" si="117"/>
        <v>Usualmente</v>
      </c>
      <c r="X287">
        <v>0</v>
      </c>
      <c r="Y287" t="str">
        <f t="shared" si="118"/>
        <v>No controla</v>
      </c>
      <c r="Z287">
        <v>0</v>
      </c>
      <c r="AA287">
        <f t="shared" si="119"/>
        <v>0</v>
      </c>
      <c r="AB287" t="str">
        <f t="shared" si="120"/>
        <v>Nunca</v>
      </c>
      <c r="AC287">
        <v>0</v>
      </c>
      <c r="AD287">
        <f t="shared" si="121"/>
        <v>0</v>
      </c>
      <c r="AE287" t="str">
        <f t="shared" si="122"/>
        <v>Nunca</v>
      </c>
      <c r="AF287">
        <v>1</v>
      </c>
      <c r="AG287" t="str">
        <f t="shared" si="123"/>
        <v>A veces</v>
      </c>
      <c r="AH287">
        <v>0</v>
      </c>
      <c r="AI287" t="str">
        <f t="shared" si="124"/>
        <v>No usa</v>
      </c>
      <c r="AJ287">
        <v>0</v>
      </c>
      <c r="AK287" t="str">
        <f t="shared" si="125"/>
        <v>No usa</v>
      </c>
      <c r="AL287">
        <v>0</v>
      </c>
      <c r="AM287" t="str">
        <f t="shared" si="126"/>
        <v>No usa</v>
      </c>
      <c r="AN287">
        <v>1</v>
      </c>
      <c r="AO287" t="str">
        <f t="shared" si="127"/>
        <v>Usa Transporte</v>
      </c>
      <c r="AP287">
        <v>0</v>
      </c>
      <c r="AQ287" t="str">
        <f t="shared" si="128"/>
        <v>No camina</v>
      </c>
      <c r="AR287">
        <v>1</v>
      </c>
      <c r="AS287" t="str">
        <f t="shared" si="129"/>
        <v>Es Obeso</v>
      </c>
    </row>
    <row r="288" spans="1:45" x14ac:dyDescent="0.25">
      <c r="A288">
        <v>0</v>
      </c>
      <c r="B288" t="str">
        <f t="shared" si="104"/>
        <v>F</v>
      </c>
      <c r="C288">
        <v>21</v>
      </c>
      <c r="D288">
        <f t="shared" si="105"/>
        <v>21</v>
      </c>
      <c r="E288">
        <f t="shared" si="106"/>
        <v>21</v>
      </c>
      <c r="F288" t="str">
        <f t="shared" si="107"/>
        <v>1-25</v>
      </c>
      <c r="G288">
        <v>0</v>
      </c>
      <c r="H288" t="str">
        <f t="shared" si="108"/>
        <v>Pariente normal</v>
      </c>
      <c r="I288">
        <v>1</v>
      </c>
      <c r="J288" t="str">
        <f t="shared" si="109"/>
        <v>Hipercaloricos</v>
      </c>
      <c r="K288">
        <v>2</v>
      </c>
      <c r="L288">
        <f t="shared" si="110"/>
        <v>1</v>
      </c>
      <c r="M288" t="str">
        <f t="shared" si="111"/>
        <v>Suele comer</v>
      </c>
      <c r="N288">
        <v>3</v>
      </c>
      <c r="O288">
        <f t="shared" si="112"/>
        <v>2</v>
      </c>
      <c r="P288" t="str">
        <f t="shared" si="113"/>
        <v>Mas de 3</v>
      </c>
      <c r="Q288">
        <v>1</v>
      </c>
      <c r="R288" t="str">
        <f t="shared" si="114"/>
        <v>A veces</v>
      </c>
      <c r="S288">
        <v>0</v>
      </c>
      <c r="T288" t="str">
        <f t="shared" si="115"/>
        <v>No fuma</v>
      </c>
      <c r="U288">
        <v>1</v>
      </c>
      <c r="V288">
        <f t="shared" si="116"/>
        <v>1</v>
      </c>
      <c r="W288" t="str">
        <f t="shared" si="117"/>
        <v>Usualmente</v>
      </c>
      <c r="X288">
        <v>0</v>
      </c>
      <c r="Y288" t="str">
        <f t="shared" si="118"/>
        <v>No controla</v>
      </c>
      <c r="Z288">
        <v>1</v>
      </c>
      <c r="AA288">
        <f t="shared" si="119"/>
        <v>1</v>
      </c>
      <c r="AB288" t="str">
        <f t="shared" si="120"/>
        <v>A veces</v>
      </c>
      <c r="AC288">
        <v>1</v>
      </c>
      <c r="AD288">
        <f t="shared" si="121"/>
        <v>1</v>
      </c>
      <c r="AE288" t="str">
        <f t="shared" si="122"/>
        <v>Usualmente</v>
      </c>
      <c r="AF288">
        <v>1</v>
      </c>
      <c r="AG288" t="str">
        <f t="shared" si="123"/>
        <v>A veces</v>
      </c>
      <c r="AH288">
        <v>0</v>
      </c>
      <c r="AI288" t="str">
        <f t="shared" si="124"/>
        <v>No usa</v>
      </c>
      <c r="AJ288">
        <v>0</v>
      </c>
      <c r="AK288" t="str">
        <f t="shared" si="125"/>
        <v>No usa</v>
      </c>
      <c r="AL288">
        <v>0</v>
      </c>
      <c r="AM288" t="str">
        <f t="shared" si="126"/>
        <v>No usa</v>
      </c>
      <c r="AN288">
        <v>1</v>
      </c>
      <c r="AO288" t="str">
        <f t="shared" si="127"/>
        <v>Usa Transporte</v>
      </c>
      <c r="AP288">
        <v>0</v>
      </c>
      <c r="AQ288" t="str">
        <f t="shared" si="128"/>
        <v>No camina</v>
      </c>
      <c r="AR288">
        <v>0</v>
      </c>
      <c r="AS288" t="str">
        <f t="shared" si="129"/>
        <v>No es obeso</v>
      </c>
    </row>
    <row r="289" spans="1:45" x14ac:dyDescent="0.25">
      <c r="A289">
        <v>0</v>
      </c>
      <c r="B289" t="str">
        <f t="shared" si="104"/>
        <v>F</v>
      </c>
      <c r="C289">
        <v>18</v>
      </c>
      <c r="D289">
        <f t="shared" si="105"/>
        <v>18</v>
      </c>
      <c r="E289">
        <f t="shared" si="106"/>
        <v>18</v>
      </c>
      <c r="F289" t="str">
        <f t="shared" si="107"/>
        <v>1-25</v>
      </c>
      <c r="G289">
        <v>1</v>
      </c>
      <c r="H289" t="str">
        <f t="shared" si="108"/>
        <v>Pariente gordo</v>
      </c>
      <c r="I289">
        <v>1</v>
      </c>
      <c r="J289" t="str">
        <f t="shared" si="109"/>
        <v>Hipercaloricos</v>
      </c>
      <c r="K289">
        <v>2</v>
      </c>
      <c r="L289">
        <f t="shared" si="110"/>
        <v>1</v>
      </c>
      <c r="M289" t="str">
        <f t="shared" si="111"/>
        <v>Suele comer</v>
      </c>
      <c r="N289">
        <v>3</v>
      </c>
      <c r="O289">
        <f t="shared" si="112"/>
        <v>2</v>
      </c>
      <c r="P289" t="str">
        <f t="shared" si="113"/>
        <v>Mas de 3</v>
      </c>
      <c r="Q289">
        <v>1</v>
      </c>
      <c r="R289" t="str">
        <f t="shared" si="114"/>
        <v>A veces</v>
      </c>
      <c r="S289">
        <v>0</v>
      </c>
      <c r="T289" t="str">
        <f t="shared" si="115"/>
        <v>No fuma</v>
      </c>
      <c r="U289">
        <v>3</v>
      </c>
      <c r="V289">
        <f t="shared" si="116"/>
        <v>2</v>
      </c>
      <c r="W289" t="str">
        <f t="shared" si="117"/>
        <v>Siempre</v>
      </c>
      <c r="X289">
        <v>0</v>
      </c>
      <c r="Y289" t="str">
        <f t="shared" si="118"/>
        <v>No controla</v>
      </c>
      <c r="Z289">
        <v>3</v>
      </c>
      <c r="AA289">
        <f t="shared" si="119"/>
        <v>3</v>
      </c>
      <c r="AB289" t="str">
        <f t="shared" si="120"/>
        <v>Siempre</v>
      </c>
      <c r="AC289">
        <v>0</v>
      </c>
      <c r="AD289">
        <f t="shared" si="121"/>
        <v>0</v>
      </c>
      <c r="AE289" t="str">
        <f t="shared" si="122"/>
        <v>Nunca</v>
      </c>
      <c r="AF289">
        <v>0</v>
      </c>
      <c r="AG289" t="str">
        <f t="shared" si="123"/>
        <v>Nunca</v>
      </c>
      <c r="AH289">
        <v>0</v>
      </c>
      <c r="AI289" t="str">
        <f t="shared" si="124"/>
        <v>No usa</v>
      </c>
      <c r="AJ289">
        <v>0</v>
      </c>
      <c r="AK289" t="str">
        <f t="shared" si="125"/>
        <v>No usa</v>
      </c>
      <c r="AL289">
        <v>0</v>
      </c>
      <c r="AM289" t="str">
        <f t="shared" si="126"/>
        <v>No usa</v>
      </c>
      <c r="AN289">
        <v>1</v>
      </c>
      <c r="AO289" t="str">
        <f t="shared" si="127"/>
        <v>Usa Transporte</v>
      </c>
      <c r="AP289">
        <v>0</v>
      </c>
      <c r="AQ289" t="str">
        <f t="shared" si="128"/>
        <v>No camina</v>
      </c>
      <c r="AR289">
        <v>0</v>
      </c>
      <c r="AS289" t="str">
        <f t="shared" si="129"/>
        <v>No es obeso</v>
      </c>
    </row>
    <row r="290" spans="1:45" x14ac:dyDescent="0.25">
      <c r="A290">
        <v>0</v>
      </c>
      <c r="B290" t="str">
        <f t="shared" si="104"/>
        <v>F</v>
      </c>
      <c r="C290">
        <v>17</v>
      </c>
      <c r="D290">
        <f t="shared" si="105"/>
        <v>17</v>
      </c>
      <c r="E290">
        <f t="shared" si="106"/>
        <v>17</v>
      </c>
      <c r="F290" t="str">
        <f t="shared" si="107"/>
        <v>1-25</v>
      </c>
      <c r="G290">
        <v>0</v>
      </c>
      <c r="H290" t="str">
        <f t="shared" si="108"/>
        <v>Pariente normal</v>
      </c>
      <c r="I290">
        <v>1</v>
      </c>
      <c r="J290" t="str">
        <f t="shared" si="109"/>
        <v>Hipercaloricos</v>
      </c>
      <c r="K290">
        <v>3</v>
      </c>
      <c r="L290">
        <f t="shared" si="110"/>
        <v>1</v>
      </c>
      <c r="M290" t="str">
        <f t="shared" si="111"/>
        <v>Suele comer</v>
      </c>
      <c r="N290">
        <v>3</v>
      </c>
      <c r="O290">
        <f t="shared" si="112"/>
        <v>2</v>
      </c>
      <c r="P290" t="str">
        <f t="shared" si="113"/>
        <v>Mas de 3</v>
      </c>
      <c r="Q290">
        <v>1</v>
      </c>
      <c r="R290" t="str">
        <f t="shared" si="114"/>
        <v>A veces</v>
      </c>
      <c r="S290">
        <v>0</v>
      </c>
      <c r="T290" t="str">
        <f t="shared" si="115"/>
        <v>No fuma</v>
      </c>
      <c r="U290">
        <v>1</v>
      </c>
      <c r="V290">
        <f t="shared" si="116"/>
        <v>1</v>
      </c>
      <c r="W290" t="str">
        <f t="shared" si="117"/>
        <v>Usualmente</v>
      </c>
      <c r="X290">
        <v>0</v>
      </c>
      <c r="Y290" t="str">
        <f t="shared" si="118"/>
        <v>No controla</v>
      </c>
      <c r="Z290">
        <v>0</v>
      </c>
      <c r="AA290">
        <f t="shared" si="119"/>
        <v>0</v>
      </c>
      <c r="AB290" t="str">
        <f t="shared" si="120"/>
        <v>Nunca</v>
      </c>
      <c r="AC290">
        <v>2</v>
      </c>
      <c r="AD290">
        <f t="shared" si="121"/>
        <v>2</v>
      </c>
      <c r="AE290" t="str">
        <f t="shared" si="122"/>
        <v>Siempre</v>
      </c>
      <c r="AF290">
        <v>0</v>
      </c>
      <c r="AG290" t="str">
        <f t="shared" si="123"/>
        <v>Nunca</v>
      </c>
      <c r="AH290">
        <v>0</v>
      </c>
      <c r="AI290" t="str">
        <f t="shared" si="124"/>
        <v>No usa</v>
      </c>
      <c r="AJ290">
        <v>0</v>
      </c>
      <c r="AK290" t="str">
        <f t="shared" si="125"/>
        <v>No usa</v>
      </c>
      <c r="AL290">
        <v>0</v>
      </c>
      <c r="AM290" t="str">
        <f t="shared" si="126"/>
        <v>No usa</v>
      </c>
      <c r="AN290">
        <v>1</v>
      </c>
      <c r="AO290" t="str">
        <f t="shared" si="127"/>
        <v>Usa Transporte</v>
      </c>
      <c r="AP290">
        <v>0</v>
      </c>
      <c r="AQ290" t="str">
        <f t="shared" si="128"/>
        <v>No camina</v>
      </c>
      <c r="AR290">
        <v>0</v>
      </c>
      <c r="AS290" t="str">
        <f t="shared" si="129"/>
        <v>No es obeso</v>
      </c>
    </row>
    <row r="291" spans="1:45" x14ac:dyDescent="0.25">
      <c r="A291">
        <v>1</v>
      </c>
      <c r="B291" t="str">
        <f t="shared" si="104"/>
        <v>M</v>
      </c>
      <c r="C291">
        <v>19</v>
      </c>
      <c r="D291">
        <f t="shared" si="105"/>
        <v>19</v>
      </c>
      <c r="E291">
        <f t="shared" si="106"/>
        <v>19</v>
      </c>
      <c r="F291" t="str">
        <f t="shared" si="107"/>
        <v>1-25</v>
      </c>
      <c r="G291">
        <v>0</v>
      </c>
      <c r="H291" t="str">
        <f t="shared" si="108"/>
        <v>Pariente normal</v>
      </c>
      <c r="I291">
        <v>0</v>
      </c>
      <c r="J291" t="str">
        <f t="shared" si="109"/>
        <v>Saludables</v>
      </c>
      <c r="K291">
        <v>2</v>
      </c>
      <c r="L291">
        <f t="shared" si="110"/>
        <v>1</v>
      </c>
      <c r="M291" t="str">
        <f t="shared" si="111"/>
        <v>Suele comer</v>
      </c>
      <c r="N291">
        <v>3</v>
      </c>
      <c r="O291">
        <f t="shared" si="112"/>
        <v>2</v>
      </c>
      <c r="P291" t="str">
        <f t="shared" si="113"/>
        <v>Mas de 3</v>
      </c>
      <c r="Q291">
        <v>1</v>
      </c>
      <c r="R291" t="str">
        <f t="shared" si="114"/>
        <v>A veces</v>
      </c>
      <c r="S291">
        <v>0</v>
      </c>
      <c r="T291" t="str">
        <f t="shared" si="115"/>
        <v>No fuma</v>
      </c>
      <c r="U291">
        <v>3</v>
      </c>
      <c r="V291">
        <f t="shared" si="116"/>
        <v>2</v>
      </c>
      <c r="W291" t="str">
        <f t="shared" si="117"/>
        <v>Siempre</v>
      </c>
      <c r="X291">
        <v>0</v>
      </c>
      <c r="Y291" t="str">
        <f t="shared" si="118"/>
        <v>No controla</v>
      </c>
      <c r="Z291">
        <v>3</v>
      </c>
      <c r="AA291">
        <f t="shared" si="119"/>
        <v>3</v>
      </c>
      <c r="AB291" t="str">
        <f t="shared" si="120"/>
        <v>Siempre</v>
      </c>
      <c r="AC291">
        <v>0</v>
      </c>
      <c r="AD291">
        <f t="shared" si="121"/>
        <v>0</v>
      </c>
      <c r="AE291" t="str">
        <f t="shared" si="122"/>
        <v>Nunca</v>
      </c>
      <c r="AF291">
        <v>1</v>
      </c>
      <c r="AG291" t="str">
        <f t="shared" si="123"/>
        <v>A veces</v>
      </c>
      <c r="AH291">
        <v>1</v>
      </c>
      <c r="AI291" t="str">
        <f t="shared" si="124"/>
        <v>Usa auto</v>
      </c>
      <c r="AJ291">
        <v>0</v>
      </c>
      <c r="AK291" t="str">
        <f t="shared" si="125"/>
        <v>No usa</v>
      </c>
      <c r="AL291">
        <v>0</v>
      </c>
      <c r="AM291" t="str">
        <f t="shared" si="126"/>
        <v>No usa</v>
      </c>
      <c r="AN291">
        <v>0</v>
      </c>
      <c r="AO291" t="str">
        <f t="shared" si="127"/>
        <v>No usa</v>
      </c>
      <c r="AP291">
        <v>0</v>
      </c>
      <c r="AQ291" t="str">
        <f t="shared" si="128"/>
        <v>No camina</v>
      </c>
      <c r="AR291">
        <v>0</v>
      </c>
      <c r="AS291" t="str">
        <f t="shared" si="129"/>
        <v>No es obeso</v>
      </c>
    </row>
    <row r="292" spans="1:45" x14ac:dyDescent="0.25">
      <c r="A292">
        <v>1</v>
      </c>
      <c r="B292" t="str">
        <f t="shared" si="104"/>
        <v>M</v>
      </c>
      <c r="C292">
        <v>16</v>
      </c>
      <c r="D292">
        <f t="shared" si="105"/>
        <v>16</v>
      </c>
      <c r="E292">
        <f t="shared" si="106"/>
        <v>16</v>
      </c>
      <c r="F292" t="str">
        <f t="shared" si="107"/>
        <v>1-25</v>
      </c>
      <c r="G292">
        <v>1</v>
      </c>
      <c r="H292" t="str">
        <f t="shared" si="108"/>
        <v>Pariente gordo</v>
      </c>
      <c r="I292">
        <v>1</v>
      </c>
      <c r="J292" t="str">
        <f t="shared" si="109"/>
        <v>Hipercaloricos</v>
      </c>
      <c r="K292">
        <v>2</v>
      </c>
      <c r="L292">
        <f t="shared" si="110"/>
        <v>1</v>
      </c>
      <c r="M292" t="str">
        <f t="shared" si="111"/>
        <v>Suele comer</v>
      </c>
      <c r="N292">
        <v>3</v>
      </c>
      <c r="O292">
        <f t="shared" si="112"/>
        <v>2</v>
      </c>
      <c r="P292" t="str">
        <f t="shared" si="113"/>
        <v>Mas de 3</v>
      </c>
      <c r="Q292">
        <v>2</v>
      </c>
      <c r="R292" t="str">
        <f t="shared" si="114"/>
        <v>Usualmente</v>
      </c>
      <c r="S292">
        <v>0</v>
      </c>
      <c r="T292" t="str">
        <f t="shared" si="115"/>
        <v>No fuma</v>
      </c>
      <c r="U292">
        <v>2</v>
      </c>
      <c r="V292">
        <f t="shared" si="116"/>
        <v>2</v>
      </c>
      <c r="W292" t="str">
        <f t="shared" si="117"/>
        <v>Siempre</v>
      </c>
      <c r="X292">
        <v>0</v>
      </c>
      <c r="Y292" t="str">
        <f t="shared" si="118"/>
        <v>No controla</v>
      </c>
      <c r="Z292">
        <v>2</v>
      </c>
      <c r="AA292">
        <f t="shared" si="119"/>
        <v>2</v>
      </c>
      <c r="AB292" t="str">
        <f t="shared" si="120"/>
        <v>Usualmente</v>
      </c>
      <c r="AC292">
        <v>1</v>
      </c>
      <c r="AD292">
        <f t="shared" si="121"/>
        <v>1</v>
      </c>
      <c r="AE292" t="str">
        <f t="shared" si="122"/>
        <v>Usualmente</v>
      </c>
      <c r="AF292">
        <v>1</v>
      </c>
      <c r="AG292" t="str">
        <f t="shared" si="123"/>
        <v>A veces</v>
      </c>
      <c r="AH292">
        <v>0</v>
      </c>
      <c r="AI292" t="str">
        <f t="shared" si="124"/>
        <v>No usa</v>
      </c>
      <c r="AJ292">
        <v>0</v>
      </c>
      <c r="AK292" t="str">
        <f t="shared" si="125"/>
        <v>No usa</v>
      </c>
      <c r="AL292">
        <v>0</v>
      </c>
      <c r="AM292" t="str">
        <f t="shared" si="126"/>
        <v>No usa</v>
      </c>
      <c r="AN292">
        <v>1</v>
      </c>
      <c r="AO292" t="str">
        <f t="shared" si="127"/>
        <v>Usa Transporte</v>
      </c>
      <c r="AP292">
        <v>0</v>
      </c>
      <c r="AQ292" t="str">
        <f t="shared" si="128"/>
        <v>No camina</v>
      </c>
      <c r="AR292">
        <v>0</v>
      </c>
      <c r="AS292" t="str">
        <f t="shared" si="129"/>
        <v>No es obeso</v>
      </c>
    </row>
    <row r="293" spans="1:45" x14ac:dyDescent="0.25">
      <c r="A293">
        <v>1</v>
      </c>
      <c r="B293" t="str">
        <f t="shared" si="104"/>
        <v>M</v>
      </c>
      <c r="C293">
        <v>17</v>
      </c>
      <c r="D293">
        <f t="shared" si="105"/>
        <v>17</v>
      </c>
      <c r="E293">
        <f t="shared" si="106"/>
        <v>17</v>
      </c>
      <c r="F293" t="str">
        <f t="shared" si="107"/>
        <v>1-25</v>
      </c>
      <c r="G293">
        <v>0</v>
      </c>
      <c r="H293" t="str">
        <f t="shared" si="108"/>
        <v>Pariente normal</v>
      </c>
      <c r="I293">
        <v>1</v>
      </c>
      <c r="J293" t="str">
        <f t="shared" si="109"/>
        <v>Hipercaloricos</v>
      </c>
      <c r="K293">
        <v>2</v>
      </c>
      <c r="L293">
        <f t="shared" si="110"/>
        <v>1</v>
      </c>
      <c r="M293" t="str">
        <f t="shared" si="111"/>
        <v>Suele comer</v>
      </c>
      <c r="N293">
        <v>3</v>
      </c>
      <c r="O293">
        <f t="shared" si="112"/>
        <v>2</v>
      </c>
      <c r="P293" t="str">
        <f t="shared" si="113"/>
        <v>Mas de 3</v>
      </c>
      <c r="Q293">
        <v>2</v>
      </c>
      <c r="R293" t="str">
        <f t="shared" si="114"/>
        <v>Usualmente</v>
      </c>
      <c r="S293">
        <v>0</v>
      </c>
      <c r="T293" t="str">
        <f t="shared" si="115"/>
        <v>No fuma</v>
      </c>
      <c r="U293">
        <v>2</v>
      </c>
      <c r="V293">
        <f t="shared" si="116"/>
        <v>2</v>
      </c>
      <c r="W293" t="str">
        <f t="shared" si="117"/>
        <v>Siempre</v>
      </c>
      <c r="X293">
        <v>0</v>
      </c>
      <c r="Y293" t="str">
        <f t="shared" si="118"/>
        <v>No controla</v>
      </c>
      <c r="Z293">
        <v>2</v>
      </c>
      <c r="AA293">
        <f t="shared" si="119"/>
        <v>2</v>
      </c>
      <c r="AB293" t="str">
        <f t="shared" si="120"/>
        <v>Usualmente</v>
      </c>
      <c r="AC293">
        <v>1</v>
      </c>
      <c r="AD293">
        <f t="shared" si="121"/>
        <v>1</v>
      </c>
      <c r="AE293" t="str">
        <f t="shared" si="122"/>
        <v>Usualmente</v>
      </c>
      <c r="AF293">
        <v>0</v>
      </c>
      <c r="AG293" t="str">
        <f t="shared" si="123"/>
        <v>Nunca</v>
      </c>
      <c r="AH293">
        <v>0</v>
      </c>
      <c r="AI293" t="str">
        <f t="shared" si="124"/>
        <v>No usa</v>
      </c>
      <c r="AJ293">
        <v>0</v>
      </c>
      <c r="AK293" t="str">
        <f t="shared" si="125"/>
        <v>No usa</v>
      </c>
      <c r="AL293">
        <v>0</v>
      </c>
      <c r="AM293" t="str">
        <f t="shared" si="126"/>
        <v>No usa</v>
      </c>
      <c r="AN293">
        <v>0</v>
      </c>
      <c r="AO293" t="str">
        <f t="shared" si="127"/>
        <v>No usa</v>
      </c>
      <c r="AP293">
        <v>1</v>
      </c>
      <c r="AQ293" t="str">
        <f t="shared" si="128"/>
        <v>Camina</v>
      </c>
      <c r="AR293">
        <v>0</v>
      </c>
      <c r="AS293" t="str">
        <f t="shared" si="129"/>
        <v>No es obeso</v>
      </c>
    </row>
    <row r="294" spans="1:45" x14ac:dyDescent="0.25">
      <c r="A294">
        <v>1</v>
      </c>
      <c r="B294" t="str">
        <f t="shared" si="104"/>
        <v>M</v>
      </c>
      <c r="C294">
        <v>21</v>
      </c>
      <c r="D294">
        <f t="shared" si="105"/>
        <v>21</v>
      </c>
      <c r="E294">
        <f t="shared" si="106"/>
        <v>21</v>
      </c>
      <c r="F294" t="str">
        <f t="shared" si="107"/>
        <v>1-25</v>
      </c>
      <c r="G294">
        <v>1</v>
      </c>
      <c r="H294" t="str">
        <f t="shared" si="108"/>
        <v>Pariente gordo</v>
      </c>
      <c r="I294">
        <v>1</v>
      </c>
      <c r="J294" t="str">
        <f t="shared" si="109"/>
        <v>Hipercaloricos</v>
      </c>
      <c r="K294">
        <v>2</v>
      </c>
      <c r="L294">
        <f t="shared" si="110"/>
        <v>1</v>
      </c>
      <c r="M294" t="str">
        <f t="shared" si="111"/>
        <v>Suele comer</v>
      </c>
      <c r="N294">
        <v>3</v>
      </c>
      <c r="O294">
        <f t="shared" si="112"/>
        <v>2</v>
      </c>
      <c r="P294" t="str">
        <f t="shared" si="113"/>
        <v>Mas de 3</v>
      </c>
      <c r="Q294">
        <v>2</v>
      </c>
      <c r="R294" t="str">
        <f t="shared" si="114"/>
        <v>Usualmente</v>
      </c>
      <c r="S294">
        <v>0</v>
      </c>
      <c r="T294" t="str">
        <f t="shared" si="115"/>
        <v>No fuma</v>
      </c>
      <c r="U294">
        <v>1</v>
      </c>
      <c r="V294">
        <f t="shared" si="116"/>
        <v>1</v>
      </c>
      <c r="W294" t="str">
        <f t="shared" si="117"/>
        <v>Usualmente</v>
      </c>
      <c r="X294">
        <v>0</v>
      </c>
      <c r="Y294" t="str">
        <f t="shared" si="118"/>
        <v>No controla</v>
      </c>
      <c r="Z294">
        <v>1</v>
      </c>
      <c r="AA294">
        <f t="shared" si="119"/>
        <v>1</v>
      </c>
      <c r="AB294" t="str">
        <f t="shared" si="120"/>
        <v>A veces</v>
      </c>
      <c r="AC294">
        <v>1</v>
      </c>
      <c r="AD294">
        <f t="shared" si="121"/>
        <v>1</v>
      </c>
      <c r="AE294" t="str">
        <f t="shared" si="122"/>
        <v>Usualmente</v>
      </c>
      <c r="AF294">
        <v>0</v>
      </c>
      <c r="AG294" t="str">
        <f t="shared" si="123"/>
        <v>Nunca</v>
      </c>
      <c r="AH294">
        <v>0</v>
      </c>
      <c r="AI294" t="str">
        <f t="shared" si="124"/>
        <v>No usa</v>
      </c>
      <c r="AJ294">
        <v>0</v>
      </c>
      <c r="AK294" t="str">
        <f t="shared" si="125"/>
        <v>No usa</v>
      </c>
      <c r="AL294">
        <v>0</v>
      </c>
      <c r="AM294" t="str">
        <f t="shared" si="126"/>
        <v>No usa</v>
      </c>
      <c r="AN294">
        <v>1</v>
      </c>
      <c r="AO294" t="str">
        <f t="shared" si="127"/>
        <v>Usa Transporte</v>
      </c>
      <c r="AP294">
        <v>0</v>
      </c>
      <c r="AQ294" t="str">
        <f t="shared" si="128"/>
        <v>No camina</v>
      </c>
      <c r="AR294">
        <v>0</v>
      </c>
      <c r="AS294" t="str">
        <f t="shared" si="129"/>
        <v>No es obeso</v>
      </c>
    </row>
    <row r="295" spans="1:45" x14ac:dyDescent="0.25">
      <c r="A295">
        <v>1</v>
      </c>
      <c r="B295" t="str">
        <f t="shared" si="104"/>
        <v>M</v>
      </c>
      <c r="C295">
        <v>19</v>
      </c>
      <c r="D295">
        <f t="shared" si="105"/>
        <v>19</v>
      </c>
      <c r="E295">
        <f t="shared" si="106"/>
        <v>19</v>
      </c>
      <c r="F295" t="str">
        <f t="shared" si="107"/>
        <v>1-25</v>
      </c>
      <c r="G295">
        <v>1</v>
      </c>
      <c r="H295" t="str">
        <f t="shared" si="108"/>
        <v>Pariente gordo</v>
      </c>
      <c r="I295">
        <v>0</v>
      </c>
      <c r="J295" t="str">
        <f t="shared" si="109"/>
        <v>Saludables</v>
      </c>
      <c r="K295">
        <v>2</v>
      </c>
      <c r="L295">
        <f t="shared" si="110"/>
        <v>1</v>
      </c>
      <c r="M295" t="str">
        <f t="shared" si="111"/>
        <v>Suele comer</v>
      </c>
      <c r="N295">
        <v>3</v>
      </c>
      <c r="O295">
        <f t="shared" si="112"/>
        <v>2</v>
      </c>
      <c r="P295" t="str">
        <f t="shared" si="113"/>
        <v>Mas de 3</v>
      </c>
      <c r="Q295">
        <v>2</v>
      </c>
      <c r="R295" t="str">
        <f t="shared" si="114"/>
        <v>Usualmente</v>
      </c>
      <c r="S295">
        <v>0</v>
      </c>
      <c r="T295" t="str">
        <f t="shared" si="115"/>
        <v>No fuma</v>
      </c>
      <c r="U295">
        <v>2</v>
      </c>
      <c r="V295">
        <f t="shared" si="116"/>
        <v>2</v>
      </c>
      <c r="W295" t="str">
        <f t="shared" si="117"/>
        <v>Siempre</v>
      </c>
      <c r="X295">
        <v>0</v>
      </c>
      <c r="Y295" t="str">
        <f t="shared" si="118"/>
        <v>No controla</v>
      </c>
      <c r="Z295">
        <v>1</v>
      </c>
      <c r="AA295">
        <f t="shared" si="119"/>
        <v>1</v>
      </c>
      <c r="AB295" t="str">
        <f t="shared" si="120"/>
        <v>A veces</v>
      </c>
      <c r="AC295">
        <v>0</v>
      </c>
      <c r="AD295">
        <f t="shared" si="121"/>
        <v>0</v>
      </c>
      <c r="AE295" t="str">
        <f t="shared" si="122"/>
        <v>Nunca</v>
      </c>
      <c r="AF295">
        <v>0</v>
      </c>
      <c r="AG295" t="str">
        <f t="shared" si="123"/>
        <v>Nunca</v>
      </c>
      <c r="AH295">
        <v>0</v>
      </c>
      <c r="AI295" t="str">
        <f t="shared" si="124"/>
        <v>No usa</v>
      </c>
      <c r="AJ295">
        <v>0</v>
      </c>
      <c r="AK295" t="str">
        <f t="shared" si="125"/>
        <v>No usa</v>
      </c>
      <c r="AL295">
        <v>0</v>
      </c>
      <c r="AM295" t="str">
        <f t="shared" si="126"/>
        <v>No usa</v>
      </c>
      <c r="AN295">
        <v>1</v>
      </c>
      <c r="AO295" t="str">
        <f t="shared" si="127"/>
        <v>Usa Transporte</v>
      </c>
      <c r="AP295">
        <v>0</v>
      </c>
      <c r="AQ295" t="str">
        <f t="shared" si="128"/>
        <v>No camina</v>
      </c>
      <c r="AR295">
        <v>0</v>
      </c>
      <c r="AS295" t="str">
        <f t="shared" si="129"/>
        <v>No es obeso</v>
      </c>
    </row>
    <row r="296" spans="1:45" x14ac:dyDescent="0.25">
      <c r="A296">
        <v>1</v>
      </c>
      <c r="B296" t="str">
        <f t="shared" si="104"/>
        <v>M</v>
      </c>
      <c r="C296">
        <v>18</v>
      </c>
      <c r="D296">
        <f t="shared" si="105"/>
        <v>18</v>
      </c>
      <c r="E296">
        <f t="shared" si="106"/>
        <v>18</v>
      </c>
      <c r="F296" t="str">
        <f t="shared" si="107"/>
        <v>1-25</v>
      </c>
      <c r="G296">
        <v>1</v>
      </c>
      <c r="H296" t="str">
        <f t="shared" si="108"/>
        <v>Pariente gordo</v>
      </c>
      <c r="I296">
        <v>1</v>
      </c>
      <c r="J296" t="str">
        <f t="shared" si="109"/>
        <v>Hipercaloricos</v>
      </c>
      <c r="K296">
        <v>2</v>
      </c>
      <c r="L296">
        <f t="shared" si="110"/>
        <v>1</v>
      </c>
      <c r="M296" t="str">
        <f t="shared" si="111"/>
        <v>Suele comer</v>
      </c>
      <c r="N296">
        <v>1</v>
      </c>
      <c r="O296">
        <f t="shared" si="112"/>
        <v>1</v>
      </c>
      <c r="P296">
        <f t="shared" si="113"/>
        <v>3</v>
      </c>
      <c r="Q296">
        <v>1</v>
      </c>
      <c r="R296" t="str">
        <f t="shared" si="114"/>
        <v>A veces</v>
      </c>
      <c r="S296">
        <v>1</v>
      </c>
      <c r="T296" t="str">
        <f t="shared" si="115"/>
        <v>Fuma</v>
      </c>
      <c r="U296">
        <v>2</v>
      </c>
      <c r="V296">
        <f t="shared" si="116"/>
        <v>2</v>
      </c>
      <c r="W296" t="str">
        <f t="shared" si="117"/>
        <v>Siempre</v>
      </c>
      <c r="X296">
        <v>0</v>
      </c>
      <c r="Y296" t="str">
        <f t="shared" si="118"/>
        <v>No controla</v>
      </c>
      <c r="Z296">
        <v>1</v>
      </c>
      <c r="AA296">
        <f t="shared" si="119"/>
        <v>1</v>
      </c>
      <c r="AB296" t="str">
        <f t="shared" si="120"/>
        <v>A veces</v>
      </c>
      <c r="AC296">
        <v>2</v>
      </c>
      <c r="AD296">
        <f t="shared" si="121"/>
        <v>2</v>
      </c>
      <c r="AE296" t="str">
        <f t="shared" si="122"/>
        <v>Siempre</v>
      </c>
      <c r="AF296">
        <v>1</v>
      </c>
      <c r="AG296" t="str">
        <f t="shared" si="123"/>
        <v>A veces</v>
      </c>
      <c r="AH296">
        <v>0</v>
      </c>
      <c r="AI296" t="str">
        <f t="shared" si="124"/>
        <v>No usa</v>
      </c>
      <c r="AJ296">
        <v>0</v>
      </c>
      <c r="AK296" t="str">
        <f t="shared" si="125"/>
        <v>No usa</v>
      </c>
      <c r="AL296">
        <v>0</v>
      </c>
      <c r="AM296" t="str">
        <f t="shared" si="126"/>
        <v>No usa</v>
      </c>
      <c r="AN296">
        <v>1</v>
      </c>
      <c r="AO296" t="str">
        <f t="shared" si="127"/>
        <v>Usa Transporte</v>
      </c>
      <c r="AP296">
        <v>0</v>
      </c>
      <c r="AQ296" t="str">
        <f t="shared" si="128"/>
        <v>No camina</v>
      </c>
      <c r="AR296">
        <v>1</v>
      </c>
      <c r="AS296" t="str">
        <f t="shared" si="129"/>
        <v>Es Obeso</v>
      </c>
    </row>
    <row r="297" spans="1:45" x14ac:dyDescent="0.25">
      <c r="A297">
        <v>0</v>
      </c>
      <c r="B297" t="str">
        <f t="shared" si="104"/>
        <v>F</v>
      </c>
      <c r="C297">
        <v>16</v>
      </c>
      <c r="D297">
        <f t="shared" si="105"/>
        <v>16</v>
      </c>
      <c r="E297">
        <f t="shared" si="106"/>
        <v>16</v>
      </c>
      <c r="F297" t="str">
        <f t="shared" si="107"/>
        <v>1-25</v>
      </c>
      <c r="G297">
        <v>0</v>
      </c>
      <c r="H297" t="str">
        <f t="shared" si="108"/>
        <v>Pariente normal</v>
      </c>
      <c r="I297">
        <v>0</v>
      </c>
      <c r="J297" t="str">
        <f t="shared" si="109"/>
        <v>Saludables</v>
      </c>
      <c r="K297">
        <v>2</v>
      </c>
      <c r="L297">
        <f t="shared" si="110"/>
        <v>1</v>
      </c>
      <c r="M297" t="str">
        <f t="shared" si="111"/>
        <v>Suele comer</v>
      </c>
      <c r="N297">
        <v>1</v>
      </c>
      <c r="O297">
        <f t="shared" si="112"/>
        <v>1</v>
      </c>
      <c r="P297">
        <f t="shared" si="113"/>
        <v>3</v>
      </c>
      <c r="Q297">
        <v>1</v>
      </c>
      <c r="R297" t="str">
        <f t="shared" si="114"/>
        <v>A veces</v>
      </c>
      <c r="S297">
        <v>0</v>
      </c>
      <c r="T297" t="str">
        <f t="shared" si="115"/>
        <v>No fuma</v>
      </c>
      <c r="U297">
        <v>1</v>
      </c>
      <c r="V297">
        <f t="shared" si="116"/>
        <v>1</v>
      </c>
      <c r="W297" t="str">
        <f t="shared" si="117"/>
        <v>Usualmente</v>
      </c>
      <c r="X297">
        <v>0</v>
      </c>
      <c r="Y297" t="str">
        <f t="shared" si="118"/>
        <v>No controla</v>
      </c>
      <c r="Z297">
        <v>0</v>
      </c>
      <c r="AA297">
        <f t="shared" si="119"/>
        <v>0</v>
      </c>
      <c r="AB297" t="str">
        <f t="shared" si="120"/>
        <v>Nunca</v>
      </c>
      <c r="AC297">
        <v>1</v>
      </c>
      <c r="AD297">
        <f t="shared" si="121"/>
        <v>1</v>
      </c>
      <c r="AE297" t="str">
        <f t="shared" si="122"/>
        <v>Usualmente</v>
      </c>
      <c r="AF297">
        <v>0</v>
      </c>
      <c r="AG297" t="str">
        <f t="shared" si="123"/>
        <v>Nunca</v>
      </c>
      <c r="AH297">
        <v>0</v>
      </c>
      <c r="AI297" t="str">
        <f t="shared" si="124"/>
        <v>No usa</v>
      </c>
      <c r="AJ297">
        <v>0</v>
      </c>
      <c r="AK297" t="str">
        <f t="shared" si="125"/>
        <v>No usa</v>
      </c>
      <c r="AL297">
        <v>0</v>
      </c>
      <c r="AM297" t="str">
        <f t="shared" si="126"/>
        <v>No usa</v>
      </c>
      <c r="AN297">
        <v>0</v>
      </c>
      <c r="AO297" t="str">
        <f t="shared" si="127"/>
        <v>No usa</v>
      </c>
      <c r="AP297">
        <v>1</v>
      </c>
      <c r="AQ297" t="str">
        <f t="shared" si="128"/>
        <v>Camina</v>
      </c>
      <c r="AR297">
        <v>0</v>
      </c>
      <c r="AS297" t="str">
        <f t="shared" si="129"/>
        <v>No es obeso</v>
      </c>
    </row>
    <row r="298" spans="1:45" x14ac:dyDescent="0.25">
      <c r="A298">
        <v>0</v>
      </c>
      <c r="B298" t="str">
        <f t="shared" si="104"/>
        <v>F</v>
      </c>
      <c r="C298">
        <v>21</v>
      </c>
      <c r="D298">
        <f t="shared" si="105"/>
        <v>21</v>
      </c>
      <c r="E298">
        <f t="shared" si="106"/>
        <v>21</v>
      </c>
      <c r="F298" t="str">
        <f t="shared" si="107"/>
        <v>1-25</v>
      </c>
      <c r="G298">
        <v>0</v>
      </c>
      <c r="H298" t="str">
        <f t="shared" si="108"/>
        <v>Pariente normal</v>
      </c>
      <c r="I298">
        <v>1</v>
      </c>
      <c r="J298" t="str">
        <f t="shared" si="109"/>
        <v>Hipercaloricos</v>
      </c>
      <c r="K298">
        <v>3</v>
      </c>
      <c r="L298">
        <f t="shared" si="110"/>
        <v>1</v>
      </c>
      <c r="M298" t="str">
        <f t="shared" si="111"/>
        <v>Suele comer</v>
      </c>
      <c r="N298">
        <v>3</v>
      </c>
      <c r="O298">
        <f t="shared" si="112"/>
        <v>2</v>
      </c>
      <c r="P298" t="str">
        <f t="shared" si="113"/>
        <v>Mas de 3</v>
      </c>
      <c r="Q298">
        <v>1</v>
      </c>
      <c r="R298" t="str">
        <f t="shared" si="114"/>
        <v>A veces</v>
      </c>
      <c r="S298">
        <v>0</v>
      </c>
      <c r="T298" t="str">
        <f t="shared" si="115"/>
        <v>No fuma</v>
      </c>
      <c r="U298">
        <v>2</v>
      </c>
      <c r="V298">
        <f t="shared" si="116"/>
        <v>2</v>
      </c>
      <c r="W298" t="str">
        <f t="shared" si="117"/>
        <v>Siempre</v>
      </c>
      <c r="X298">
        <v>0</v>
      </c>
      <c r="Y298" t="str">
        <f t="shared" si="118"/>
        <v>No controla</v>
      </c>
      <c r="Z298">
        <v>2</v>
      </c>
      <c r="AA298">
        <f t="shared" si="119"/>
        <v>2</v>
      </c>
      <c r="AB298" t="str">
        <f t="shared" si="120"/>
        <v>Usualmente</v>
      </c>
      <c r="AC298">
        <v>1</v>
      </c>
      <c r="AD298">
        <f t="shared" si="121"/>
        <v>1</v>
      </c>
      <c r="AE298" t="str">
        <f t="shared" si="122"/>
        <v>Usualmente</v>
      </c>
      <c r="AF298">
        <v>1</v>
      </c>
      <c r="AG298" t="str">
        <f t="shared" si="123"/>
        <v>A veces</v>
      </c>
      <c r="AH298">
        <v>0</v>
      </c>
      <c r="AI298" t="str">
        <f t="shared" si="124"/>
        <v>No usa</v>
      </c>
      <c r="AJ298">
        <v>0</v>
      </c>
      <c r="AK298" t="str">
        <f t="shared" si="125"/>
        <v>No usa</v>
      </c>
      <c r="AL298">
        <v>0</v>
      </c>
      <c r="AM298" t="str">
        <f t="shared" si="126"/>
        <v>No usa</v>
      </c>
      <c r="AN298">
        <v>1</v>
      </c>
      <c r="AO298" t="str">
        <f t="shared" si="127"/>
        <v>Usa Transporte</v>
      </c>
      <c r="AP298">
        <v>0</v>
      </c>
      <c r="AQ298" t="str">
        <f t="shared" si="128"/>
        <v>No camina</v>
      </c>
      <c r="AR298">
        <v>0</v>
      </c>
      <c r="AS298" t="str">
        <f t="shared" si="129"/>
        <v>No es obeso</v>
      </c>
    </row>
    <row r="299" spans="1:45" x14ac:dyDescent="0.25">
      <c r="A299">
        <v>1</v>
      </c>
      <c r="B299" t="str">
        <f t="shared" si="104"/>
        <v>M</v>
      </c>
      <c r="C299">
        <v>26</v>
      </c>
      <c r="D299">
        <f t="shared" si="105"/>
        <v>26</v>
      </c>
      <c r="E299">
        <f t="shared" si="106"/>
        <v>26</v>
      </c>
      <c r="F299" t="str">
        <f t="shared" si="107"/>
        <v>25-50</v>
      </c>
      <c r="G299">
        <v>0</v>
      </c>
      <c r="H299" t="str">
        <f t="shared" si="108"/>
        <v>Pariente normal</v>
      </c>
      <c r="I299">
        <v>0</v>
      </c>
      <c r="J299" t="str">
        <f t="shared" si="109"/>
        <v>Saludables</v>
      </c>
      <c r="K299">
        <v>2</v>
      </c>
      <c r="L299">
        <f t="shared" si="110"/>
        <v>1</v>
      </c>
      <c r="M299" t="str">
        <f t="shared" si="111"/>
        <v>Suele comer</v>
      </c>
      <c r="N299">
        <v>3</v>
      </c>
      <c r="O299">
        <f t="shared" si="112"/>
        <v>2</v>
      </c>
      <c r="P299" t="str">
        <f t="shared" si="113"/>
        <v>Mas de 3</v>
      </c>
      <c r="Q299">
        <v>1</v>
      </c>
      <c r="R299" t="str">
        <f t="shared" si="114"/>
        <v>A veces</v>
      </c>
      <c r="S299">
        <v>0</v>
      </c>
      <c r="T299" t="str">
        <f t="shared" si="115"/>
        <v>No fuma</v>
      </c>
      <c r="U299">
        <v>2</v>
      </c>
      <c r="V299">
        <f t="shared" si="116"/>
        <v>2</v>
      </c>
      <c r="W299" t="str">
        <f t="shared" si="117"/>
        <v>Siempre</v>
      </c>
      <c r="X299">
        <v>0</v>
      </c>
      <c r="Y299" t="str">
        <f t="shared" si="118"/>
        <v>No controla</v>
      </c>
      <c r="Z299">
        <v>2</v>
      </c>
      <c r="AA299">
        <f t="shared" si="119"/>
        <v>2</v>
      </c>
      <c r="AB299" t="str">
        <f t="shared" si="120"/>
        <v>Usualmente</v>
      </c>
      <c r="AC299">
        <v>0</v>
      </c>
      <c r="AD299">
        <f t="shared" si="121"/>
        <v>0</v>
      </c>
      <c r="AE299" t="str">
        <f t="shared" si="122"/>
        <v>Nunca</v>
      </c>
      <c r="AF299">
        <v>0</v>
      </c>
      <c r="AG299" t="str">
        <f t="shared" si="123"/>
        <v>Nunca</v>
      </c>
      <c r="AH299">
        <v>1</v>
      </c>
      <c r="AI299" t="str">
        <f t="shared" si="124"/>
        <v>Usa auto</v>
      </c>
      <c r="AJ299">
        <v>0</v>
      </c>
      <c r="AK299" t="str">
        <f t="shared" si="125"/>
        <v>No usa</v>
      </c>
      <c r="AL299">
        <v>0</v>
      </c>
      <c r="AM299" t="str">
        <f t="shared" si="126"/>
        <v>No usa</v>
      </c>
      <c r="AN299">
        <v>0</v>
      </c>
      <c r="AO299" t="str">
        <f t="shared" si="127"/>
        <v>No usa</v>
      </c>
      <c r="AP299">
        <v>0</v>
      </c>
      <c r="AQ299" t="str">
        <f t="shared" si="128"/>
        <v>No camina</v>
      </c>
      <c r="AR299">
        <v>0</v>
      </c>
      <c r="AS299" t="str">
        <f t="shared" si="129"/>
        <v>No es obeso</v>
      </c>
    </row>
    <row r="300" spans="1:45" x14ac:dyDescent="0.25">
      <c r="A300">
        <v>1</v>
      </c>
      <c r="B300" t="str">
        <f t="shared" si="104"/>
        <v>M</v>
      </c>
      <c r="C300">
        <v>18</v>
      </c>
      <c r="D300">
        <f t="shared" si="105"/>
        <v>18</v>
      </c>
      <c r="E300">
        <f t="shared" si="106"/>
        <v>18</v>
      </c>
      <c r="F300" t="str">
        <f t="shared" si="107"/>
        <v>1-25</v>
      </c>
      <c r="G300">
        <v>1</v>
      </c>
      <c r="H300" t="str">
        <f t="shared" si="108"/>
        <v>Pariente gordo</v>
      </c>
      <c r="I300">
        <v>1</v>
      </c>
      <c r="J300" t="str">
        <f t="shared" si="109"/>
        <v>Hipercaloricos</v>
      </c>
      <c r="K300">
        <v>2</v>
      </c>
      <c r="L300">
        <f t="shared" si="110"/>
        <v>1</v>
      </c>
      <c r="M300" t="str">
        <f t="shared" si="111"/>
        <v>Suele comer</v>
      </c>
      <c r="N300">
        <v>3</v>
      </c>
      <c r="O300">
        <f t="shared" si="112"/>
        <v>2</v>
      </c>
      <c r="P300" t="str">
        <f t="shared" si="113"/>
        <v>Mas de 3</v>
      </c>
      <c r="Q300">
        <v>2</v>
      </c>
      <c r="R300" t="str">
        <f t="shared" si="114"/>
        <v>Usualmente</v>
      </c>
      <c r="S300">
        <v>0</v>
      </c>
      <c r="T300" t="str">
        <f t="shared" si="115"/>
        <v>No fuma</v>
      </c>
      <c r="U300">
        <v>1</v>
      </c>
      <c r="V300">
        <f t="shared" si="116"/>
        <v>1</v>
      </c>
      <c r="W300" t="str">
        <f t="shared" si="117"/>
        <v>Usualmente</v>
      </c>
      <c r="X300">
        <v>0</v>
      </c>
      <c r="Y300" t="str">
        <f t="shared" si="118"/>
        <v>No controla</v>
      </c>
      <c r="Z300">
        <v>0</v>
      </c>
      <c r="AA300">
        <f t="shared" si="119"/>
        <v>0</v>
      </c>
      <c r="AB300" t="str">
        <f t="shared" si="120"/>
        <v>Nunca</v>
      </c>
      <c r="AC300">
        <v>1</v>
      </c>
      <c r="AD300">
        <f t="shared" si="121"/>
        <v>1</v>
      </c>
      <c r="AE300" t="str">
        <f t="shared" si="122"/>
        <v>Usualmente</v>
      </c>
      <c r="AF300">
        <v>2</v>
      </c>
      <c r="AG300" t="str">
        <f t="shared" si="123"/>
        <v>Usualmente</v>
      </c>
      <c r="AH300">
        <v>0</v>
      </c>
      <c r="AI300" t="str">
        <f t="shared" si="124"/>
        <v>No usa</v>
      </c>
      <c r="AJ300">
        <v>0</v>
      </c>
      <c r="AK300" t="str">
        <f t="shared" si="125"/>
        <v>No usa</v>
      </c>
      <c r="AL300">
        <v>0</v>
      </c>
      <c r="AM300" t="str">
        <f t="shared" si="126"/>
        <v>No usa</v>
      </c>
      <c r="AN300">
        <v>1</v>
      </c>
      <c r="AO300" t="str">
        <f t="shared" si="127"/>
        <v>Usa Transporte</v>
      </c>
      <c r="AP300">
        <v>0</v>
      </c>
      <c r="AQ300" t="str">
        <f t="shared" si="128"/>
        <v>No camina</v>
      </c>
      <c r="AR300">
        <v>0</v>
      </c>
      <c r="AS300" t="str">
        <f t="shared" si="129"/>
        <v>No es obeso</v>
      </c>
    </row>
    <row r="301" spans="1:45" x14ac:dyDescent="0.25">
      <c r="A301">
        <v>1</v>
      </c>
      <c r="B301" t="str">
        <f t="shared" si="104"/>
        <v>M</v>
      </c>
      <c r="C301">
        <v>23</v>
      </c>
      <c r="D301">
        <f t="shared" si="105"/>
        <v>23</v>
      </c>
      <c r="E301">
        <f t="shared" si="106"/>
        <v>23</v>
      </c>
      <c r="F301" t="str">
        <f t="shared" si="107"/>
        <v>1-25</v>
      </c>
      <c r="G301">
        <v>0</v>
      </c>
      <c r="H301" t="str">
        <f t="shared" si="108"/>
        <v>Pariente normal</v>
      </c>
      <c r="I301">
        <v>1</v>
      </c>
      <c r="J301" t="str">
        <f t="shared" si="109"/>
        <v>Hipercaloricos</v>
      </c>
      <c r="K301">
        <v>3</v>
      </c>
      <c r="L301">
        <f t="shared" si="110"/>
        <v>1</v>
      </c>
      <c r="M301" t="str">
        <f t="shared" si="111"/>
        <v>Suele comer</v>
      </c>
      <c r="N301">
        <v>3</v>
      </c>
      <c r="O301">
        <f t="shared" si="112"/>
        <v>2</v>
      </c>
      <c r="P301" t="str">
        <f t="shared" si="113"/>
        <v>Mas de 3</v>
      </c>
      <c r="Q301">
        <v>1</v>
      </c>
      <c r="R301" t="str">
        <f t="shared" si="114"/>
        <v>A veces</v>
      </c>
      <c r="S301">
        <v>0</v>
      </c>
      <c r="T301" t="str">
        <f t="shared" si="115"/>
        <v>No fuma</v>
      </c>
      <c r="U301">
        <v>3</v>
      </c>
      <c r="V301">
        <f t="shared" si="116"/>
        <v>2</v>
      </c>
      <c r="W301" t="str">
        <f t="shared" si="117"/>
        <v>Siempre</v>
      </c>
      <c r="X301">
        <v>0</v>
      </c>
      <c r="Y301" t="str">
        <f t="shared" si="118"/>
        <v>No controla</v>
      </c>
      <c r="Z301">
        <v>1</v>
      </c>
      <c r="AA301">
        <f t="shared" si="119"/>
        <v>1</v>
      </c>
      <c r="AB301" t="str">
        <f t="shared" si="120"/>
        <v>A veces</v>
      </c>
      <c r="AC301">
        <v>2</v>
      </c>
      <c r="AD301">
        <f t="shared" si="121"/>
        <v>2</v>
      </c>
      <c r="AE301" t="str">
        <f t="shared" si="122"/>
        <v>Siempre</v>
      </c>
      <c r="AF301">
        <v>1</v>
      </c>
      <c r="AG301" t="str">
        <f t="shared" si="123"/>
        <v>A veces</v>
      </c>
      <c r="AH301">
        <v>0</v>
      </c>
      <c r="AI301" t="str">
        <f t="shared" si="124"/>
        <v>No usa</v>
      </c>
      <c r="AJ301">
        <v>0</v>
      </c>
      <c r="AK301" t="str">
        <f t="shared" si="125"/>
        <v>No usa</v>
      </c>
      <c r="AL301">
        <v>0</v>
      </c>
      <c r="AM301" t="str">
        <f t="shared" si="126"/>
        <v>No usa</v>
      </c>
      <c r="AN301">
        <v>1</v>
      </c>
      <c r="AO301" t="str">
        <f t="shared" si="127"/>
        <v>Usa Transporte</v>
      </c>
      <c r="AP301">
        <v>0</v>
      </c>
      <c r="AQ301" t="str">
        <f t="shared" si="128"/>
        <v>No camina</v>
      </c>
      <c r="AR301">
        <v>0</v>
      </c>
      <c r="AS301" t="str">
        <f t="shared" si="129"/>
        <v>No es obeso</v>
      </c>
    </row>
    <row r="302" spans="1:45" x14ac:dyDescent="0.25">
      <c r="A302">
        <v>1</v>
      </c>
      <c r="B302" t="str">
        <f t="shared" si="104"/>
        <v>M</v>
      </c>
      <c r="C302">
        <v>26</v>
      </c>
      <c r="D302">
        <f t="shared" si="105"/>
        <v>26</v>
      </c>
      <c r="E302">
        <f t="shared" si="106"/>
        <v>26</v>
      </c>
      <c r="F302" t="str">
        <f t="shared" si="107"/>
        <v>25-50</v>
      </c>
      <c r="G302">
        <v>0</v>
      </c>
      <c r="H302" t="str">
        <f t="shared" si="108"/>
        <v>Pariente normal</v>
      </c>
      <c r="I302">
        <v>1</v>
      </c>
      <c r="J302" t="str">
        <f t="shared" si="109"/>
        <v>Hipercaloricos</v>
      </c>
      <c r="K302">
        <v>2</v>
      </c>
      <c r="L302">
        <f t="shared" si="110"/>
        <v>1</v>
      </c>
      <c r="M302" t="str">
        <f t="shared" si="111"/>
        <v>Suele comer</v>
      </c>
      <c r="N302">
        <v>3</v>
      </c>
      <c r="O302">
        <f t="shared" si="112"/>
        <v>2</v>
      </c>
      <c r="P302" t="str">
        <f t="shared" si="113"/>
        <v>Mas de 3</v>
      </c>
      <c r="Q302">
        <v>1</v>
      </c>
      <c r="R302" t="str">
        <f t="shared" si="114"/>
        <v>A veces</v>
      </c>
      <c r="S302">
        <v>1</v>
      </c>
      <c r="T302" t="str">
        <f t="shared" si="115"/>
        <v>Fuma</v>
      </c>
      <c r="U302">
        <v>1</v>
      </c>
      <c r="V302">
        <f t="shared" si="116"/>
        <v>1</v>
      </c>
      <c r="W302" t="str">
        <f t="shared" si="117"/>
        <v>Usualmente</v>
      </c>
      <c r="X302">
        <v>0</v>
      </c>
      <c r="Y302" t="str">
        <f t="shared" si="118"/>
        <v>No controla</v>
      </c>
      <c r="Z302">
        <v>0</v>
      </c>
      <c r="AA302">
        <f t="shared" si="119"/>
        <v>0</v>
      </c>
      <c r="AB302" t="str">
        <f t="shared" si="120"/>
        <v>Nunca</v>
      </c>
      <c r="AC302">
        <v>0</v>
      </c>
      <c r="AD302">
        <f t="shared" si="121"/>
        <v>0</v>
      </c>
      <c r="AE302" t="str">
        <f t="shared" si="122"/>
        <v>Nunca</v>
      </c>
      <c r="AF302">
        <v>1</v>
      </c>
      <c r="AG302" t="str">
        <f t="shared" si="123"/>
        <v>A veces</v>
      </c>
      <c r="AH302">
        <v>0</v>
      </c>
      <c r="AI302" t="str">
        <f t="shared" si="124"/>
        <v>No usa</v>
      </c>
      <c r="AJ302">
        <v>0</v>
      </c>
      <c r="AK302" t="str">
        <f t="shared" si="125"/>
        <v>No usa</v>
      </c>
      <c r="AL302">
        <v>0</v>
      </c>
      <c r="AM302" t="str">
        <f t="shared" si="126"/>
        <v>No usa</v>
      </c>
      <c r="AN302">
        <v>1</v>
      </c>
      <c r="AO302" t="str">
        <f t="shared" si="127"/>
        <v>Usa Transporte</v>
      </c>
      <c r="AP302">
        <v>0</v>
      </c>
      <c r="AQ302" t="str">
        <f t="shared" si="128"/>
        <v>No camina</v>
      </c>
      <c r="AR302">
        <v>0</v>
      </c>
      <c r="AS302" t="str">
        <f t="shared" si="129"/>
        <v>No es obeso</v>
      </c>
    </row>
    <row r="303" spans="1:45" x14ac:dyDescent="0.25">
      <c r="A303">
        <v>1</v>
      </c>
      <c r="B303" t="str">
        <f t="shared" si="104"/>
        <v>M</v>
      </c>
      <c r="C303">
        <v>18</v>
      </c>
      <c r="D303">
        <f t="shared" si="105"/>
        <v>18</v>
      </c>
      <c r="E303">
        <f t="shared" si="106"/>
        <v>18</v>
      </c>
      <c r="F303" t="str">
        <f t="shared" si="107"/>
        <v>1-25</v>
      </c>
      <c r="G303">
        <v>0</v>
      </c>
      <c r="H303" t="str">
        <f t="shared" si="108"/>
        <v>Pariente normal</v>
      </c>
      <c r="I303">
        <v>1</v>
      </c>
      <c r="J303" t="str">
        <f t="shared" si="109"/>
        <v>Hipercaloricos</v>
      </c>
      <c r="K303">
        <v>2</v>
      </c>
      <c r="L303">
        <f t="shared" si="110"/>
        <v>1</v>
      </c>
      <c r="M303" t="str">
        <f t="shared" si="111"/>
        <v>Suele comer</v>
      </c>
      <c r="N303">
        <v>4</v>
      </c>
      <c r="O303">
        <f t="shared" si="112"/>
        <v>2</v>
      </c>
      <c r="P303" t="str">
        <f t="shared" si="113"/>
        <v>Mas de 3</v>
      </c>
      <c r="Q303">
        <v>1</v>
      </c>
      <c r="R303" t="str">
        <f t="shared" si="114"/>
        <v>A veces</v>
      </c>
      <c r="S303">
        <v>0</v>
      </c>
      <c r="T303" t="str">
        <f t="shared" si="115"/>
        <v>No fuma</v>
      </c>
      <c r="U303">
        <v>2</v>
      </c>
      <c r="V303">
        <f t="shared" si="116"/>
        <v>2</v>
      </c>
      <c r="W303" t="str">
        <f t="shared" si="117"/>
        <v>Siempre</v>
      </c>
      <c r="X303">
        <v>0</v>
      </c>
      <c r="Y303" t="str">
        <f t="shared" si="118"/>
        <v>No controla</v>
      </c>
      <c r="Z303">
        <v>2</v>
      </c>
      <c r="AA303">
        <f t="shared" si="119"/>
        <v>2</v>
      </c>
      <c r="AB303" t="str">
        <f t="shared" si="120"/>
        <v>Usualmente</v>
      </c>
      <c r="AC303">
        <v>1</v>
      </c>
      <c r="AD303">
        <f t="shared" si="121"/>
        <v>1</v>
      </c>
      <c r="AE303" t="str">
        <f t="shared" si="122"/>
        <v>Usualmente</v>
      </c>
      <c r="AF303">
        <v>1</v>
      </c>
      <c r="AG303" t="str">
        <f t="shared" si="123"/>
        <v>A veces</v>
      </c>
      <c r="AH303">
        <v>0</v>
      </c>
      <c r="AI303" t="str">
        <f t="shared" si="124"/>
        <v>No usa</v>
      </c>
      <c r="AJ303">
        <v>0</v>
      </c>
      <c r="AK303" t="str">
        <f t="shared" si="125"/>
        <v>No usa</v>
      </c>
      <c r="AL303">
        <v>0</v>
      </c>
      <c r="AM303" t="str">
        <f t="shared" si="126"/>
        <v>No usa</v>
      </c>
      <c r="AN303">
        <v>1</v>
      </c>
      <c r="AO303" t="str">
        <f t="shared" si="127"/>
        <v>Usa Transporte</v>
      </c>
      <c r="AP303">
        <v>0</v>
      </c>
      <c r="AQ303" t="str">
        <f t="shared" si="128"/>
        <v>No camina</v>
      </c>
      <c r="AR303">
        <v>0</v>
      </c>
      <c r="AS303" t="str">
        <f t="shared" si="129"/>
        <v>No es obeso</v>
      </c>
    </row>
    <row r="304" spans="1:45" x14ac:dyDescent="0.25">
      <c r="A304">
        <v>1</v>
      </c>
      <c r="B304" t="str">
        <f t="shared" si="104"/>
        <v>M</v>
      </c>
      <c r="C304">
        <v>16</v>
      </c>
      <c r="D304">
        <f t="shared" si="105"/>
        <v>16</v>
      </c>
      <c r="E304">
        <f t="shared" si="106"/>
        <v>16</v>
      </c>
      <c r="F304" t="str">
        <f t="shared" si="107"/>
        <v>1-25</v>
      </c>
      <c r="G304">
        <v>1</v>
      </c>
      <c r="H304" t="str">
        <f t="shared" si="108"/>
        <v>Pariente gordo</v>
      </c>
      <c r="I304">
        <v>1</v>
      </c>
      <c r="J304" t="str">
        <f t="shared" si="109"/>
        <v>Hipercaloricos</v>
      </c>
      <c r="K304">
        <v>3</v>
      </c>
      <c r="L304">
        <f t="shared" si="110"/>
        <v>1</v>
      </c>
      <c r="M304" t="str">
        <f t="shared" si="111"/>
        <v>Suele comer</v>
      </c>
      <c r="N304">
        <v>3</v>
      </c>
      <c r="O304">
        <f t="shared" si="112"/>
        <v>2</v>
      </c>
      <c r="P304" t="str">
        <f t="shared" si="113"/>
        <v>Mas de 3</v>
      </c>
      <c r="Q304">
        <v>3</v>
      </c>
      <c r="R304" t="str">
        <f t="shared" si="114"/>
        <v>Siempre</v>
      </c>
      <c r="S304">
        <v>0</v>
      </c>
      <c r="T304" t="str">
        <f t="shared" si="115"/>
        <v>No fuma</v>
      </c>
      <c r="U304">
        <v>3</v>
      </c>
      <c r="V304">
        <f t="shared" si="116"/>
        <v>2</v>
      </c>
      <c r="W304" t="str">
        <f t="shared" si="117"/>
        <v>Siempre</v>
      </c>
      <c r="X304">
        <v>0</v>
      </c>
      <c r="Y304" t="str">
        <f t="shared" si="118"/>
        <v>No controla</v>
      </c>
      <c r="Z304">
        <v>3</v>
      </c>
      <c r="AA304">
        <f t="shared" si="119"/>
        <v>3</v>
      </c>
      <c r="AB304" t="str">
        <f t="shared" si="120"/>
        <v>Siempre</v>
      </c>
      <c r="AC304">
        <v>2</v>
      </c>
      <c r="AD304">
        <f t="shared" si="121"/>
        <v>2</v>
      </c>
      <c r="AE304" t="str">
        <f t="shared" si="122"/>
        <v>Siempre</v>
      </c>
      <c r="AF304">
        <v>1</v>
      </c>
      <c r="AG304" t="str">
        <f t="shared" si="123"/>
        <v>A veces</v>
      </c>
      <c r="AH304">
        <v>0</v>
      </c>
      <c r="AI304" t="str">
        <f t="shared" si="124"/>
        <v>No usa</v>
      </c>
      <c r="AJ304">
        <v>0</v>
      </c>
      <c r="AK304" t="str">
        <f t="shared" si="125"/>
        <v>No usa</v>
      </c>
      <c r="AL304">
        <v>0</v>
      </c>
      <c r="AM304" t="str">
        <f t="shared" si="126"/>
        <v>No usa</v>
      </c>
      <c r="AN304">
        <v>0</v>
      </c>
      <c r="AO304" t="str">
        <f t="shared" si="127"/>
        <v>No usa</v>
      </c>
      <c r="AP304">
        <v>1</v>
      </c>
      <c r="AQ304" t="str">
        <f t="shared" si="128"/>
        <v>Camina</v>
      </c>
      <c r="AR304">
        <v>0</v>
      </c>
      <c r="AS304" t="str">
        <f t="shared" si="129"/>
        <v>No es obeso</v>
      </c>
    </row>
    <row r="305" spans="1:45" x14ac:dyDescent="0.25">
      <c r="A305">
        <v>0</v>
      </c>
      <c r="B305" t="str">
        <f t="shared" si="104"/>
        <v>F</v>
      </c>
      <c r="C305">
        <v>16</v>
      </c>
      <c r="D305">
        <f t="shared" si="105"/>
        <v>16</v>
      </c>
      <c r="E305">
        <f t="shared" si="106"/>
        <v>16</v>
      </c>
      <c r="F305" t="str">
        <f t="shared" si="107"/>
        <v>1-25</v>
      </c>
      <c r="G305">
        <v>0</v>
      </c>
      <c r="H305" t="str">
        <f t="shared" si="108"/>
        <v>Pariente normal</v>
      </c>
      <c r="I305">
        <v>1</v>
      </c>
      <c r="J305" t="str">
        <f t="shared" si="109"/>
        <v>Hipercaloricos</v>
      </c>
      <c r="K305">
        <v>2</v>
      </c>
      <c r="L305">
        <f t="shared" si="110"/>
        <v>1</v>
      </c>
      <c r="M305" t="str">
        <f t="shared" si="111"/>
        <v>Suele comer</v>
      </c>
      <c r="N305">
        <v>4</v>
      </c>
      <c r="O305">
        <f t="shared" si="112"/>
        <v>2</v>
      </c>
      <c r="P305" t="str">
        <f t="shared" si="113"/>
        <v>Mas de 3</v>
      </c>
      <c r="Q305">
        <v>3</v>
      </c>
      <c r="R305" t="str">
        <f t="shared" si="114"/>
        <v>Siempre</v>
      </c>
      <c r="S305">
        <v>0</v>
      </c>
      <c r="T305" t="str">
        <f t="shared" si="115"/>
        <v>No fuma</v>
      </c>
      <c r="U305">
        <v>2</v>
      </c>
      <c r="V305">
        <f t="shared" si="116"/>
        <v>2</v>
      </c>
      <c r="W305" t="str">
        <f t="shared" si="117"/>
        <v>Siempre</v>
      </c>
      <c r="X305">
        <v>0</v>
      </c>
      <c r="Y305" t="str">
        <f t="shared" si="118"/>
        <v>No controla</v>
      </c>
      <c r="Z305">
        <v>0</v>
      </c>
      <c r="AA305">
        <f t="shared" si="119"/>
        <v>0</v>
      </c>
      <c r="AB305" t="str">
        <f t="shared" si="120"/>
        <v>Nunca</v>
      </c>
      <c r="AC305">
        <v>1</v>
      </c>
      <c r="AD305">
        <f t="shared" si="121"/>
        <v>1</v>
      </c>
      <c r="AE305" t="str">
        <f t="shared" si="122"/>
        <v>Usualmente</v>
      </c>
      <c r="AF305">
        <v>1</v>
      </c>
      <c r="AG305" t="str">
        <f t="shared" si="123"/>
        <v>A veces</v>
      </c>
      <c r="AH305">
        <v>0</v>
      </c>
      <c r="AI305" t="str">
        <f t="shared" si="124"/>
        <v>No usa</v>
      </c>
      <c r="AJ305">
        <v>0</v>
      </c>
      <c r="AK305" t="str">
        <f t="shared" si="125"/>
        <v>No usa</v>
      </c>
      <c r="AL305">
        <v>0</v>
      </c>
      <c r="AM305" t="str">
        <f t="shared" si="126"/>
        <v>No usa</v>
      </c>
      <c r="AN305">
        <v>1</v>
      </c>
      <c r="AO305" t="str">
        <f t="shared" si="127"/>
        <v>Usa Transporte</v>
      </c>
      <c r="AP305">
        <v>0</v>
      </c>
      <c r="AQ305" t="str">
        <f t="shared" si="128"/>
        <v>No camina</v>
      </c>
      <c r="AR305">
        <v>0</v>
      </c>
      <c r="AS305" t="str">
        <f t="shared" si="129"/>
        <v>No es obeso</v>
      </c>
    </row>
    <row r="306" spans="1:45" x14ac:dyDescent="0.25">
      <c r="A306">
        <v>1</v>
      </c>
      <c r="B306" t="str">
        <f t="shared" si="104"/>
        <v>M</v>
      </c>
      <c r="C306">
        <v>20</v>
      </c>
      <c r="D306">
        <f t="shared" si="105"/>
        <v>20</v>
      </c>
      <c r="E306">
        <f t="shared" si="106"/>
        <v>20</v>
      </c>
      <c r="F306" t="str">
        <f t="shared" si="107"/>
        <v>1-25</v>
      </c>
      <c r="G306">
        <v>1</v>
      </c>
      <c r="H306" t="str">
        <f t="shared" si="108"/>
        <v>Pariente gordo</v>
      </c>
      <c r="I306">
        <v>0</v>
      </c>
      <c r="J306" t="str">
        <f t="shared" si="109"/>
        <v>Saludables</v>
      </c>
      <c r="K306">
        <v>2</v>
      </c>
      <c r="L306">
        <f t="shared" si="110"/>
        <v>1</v>
      </c>
      <c r="M306" t="str">
        <f t="shared" si="111"/>
        <v>Suele comer</v>
      </c>
      <c r="N306">
        <v>3</v>
      </c>
      <c r="O306">
        <f t="shared" si="112"/>
        <v>2</v>
      </c>
      <c r="P306" t="str">
        <f t="shared" si="113"/>
        <v>Mas de 3</v>
      </c>
      <c r="Q306">
        <v>1</v>
      </c>
      <c r="R306" t="str">
        <f t="shared" si="114"/>
        <v>A veces</v>
      </c>
      <c r="S306">
        <v>0</v>
      </c>
      <c r="T306" t="str">
        <f t="shared" si="115"/>
        <v>No fuma</v>
      </c>
      <c r="U306">
        <v>3</v>
      </c>
      <c r="V306">
        <f t="shared" si="116"/>
        <v>2</v>
      </c>
      <c r="W306" t="str">
        <f t="shared" si="117"/>
        <v>Siempre</v>
      </c>
      <c r="X306">
        <v>0</v>
      </c>
      <c r="Y306" t="str">
        <f t="shared" si="118"/>
        <v>No controla</v>
      </c>
      <c r="Z306">
        <v>2</v>
      </c>
      <c r="AA306">
        <f t="shared" si="119"/>
        <v>2</v>
      </c>
      <c r="AB306" t="str">
        <f t="shared" si="120"/>
        <v>Usualmente</v>
      </c>
      <c r="AC306">
        <v>1</v>
      </c>
      <c r="AD306">
        <f t="shared" si="121"/>
        <v>1</v>
      </c>
      <c r="AE306" t="str">
        <f t="shared" si="122"/>
        <v>Usualmente</v>
      </c>
      <c r="AF306">
        <v>1</v>
      </c>
      <c r="AG306" t="str">
        <f t="shared" si="123"/>
        <v>A veces</v>
      </c>
      <c r="AH306">
        <v>0</v>
      </c>
      <c r="AI306" t="str">
        <f t="shared" si="124"/>
        <v>No usa</v>
      </c>
      <c r="AJ306">
        <v>0</v>
      </c>
      <c r="AK306" t="str">
        <f t="shared" si="125"/>
        <v>No usa</v>
      </c>
      <c r="AL306">
        <v>0</v>
      </c>
      <c r="AM306" t="str">
        <f t="shared" si="126"/>
        <v>No usa</v>
      </c>
      <c r="AN306">
        <v>1</v>
      </c>
      <c r="AO306" t="str">
        <f t="shared" si="127"/>
        <v>Usa Transporte</v>
      </c>
      <c r="AP306">
        <v>0</v>
      </c>
      <c r="AQ306" t="str">
        <f t="shared" si="128"/>
        <v>No camina</v>
      </c>
      <c r="AR306">
        <v>0</v>
      </c>
      <c r="AS306" t="str">
        <f t="shared" si="129"/>
        <v>No es obeso</v>
      </c>
    </row>
    <row r="307" spans="1:45" x14ac:dyDescent="0.25">
      <c r="A307">
        <v>1</v>
      </c>
      <c r="B307" t="str">
        <f t="shared" si="104"/>
        <v>M</v>
      </c>
      <c r="C307">
        <v>23</v>
      </c>
      <c r="D307">
        <f t="shared" si="105"/>
        <v>23</v>
      </c>
      <c r="E307">
        <f t="shared" si="106"/>
        <v>23</v>
      </c>
      <c r="F307" t="str">
        <f t="shared" si="107"/>
        <v>1-25</v>
      </c>
      <c r="G307">
        <v>1</v>
      </c>
      <c r="H307" t="str">
        <f t="shared" si="108"/>
        <v>Pariente gordo</v>
      </c>
      <c r="I307">
        <v>1</v>
      </c>
      <c r="J307" t="str">
        <f t="shared" si="109"/>
        <v>Hipercaloricos</v>
      </c>
      <c r="K307">
        <v>2</v>
      </c>
      <c r="L307">
        <f t="shared" si="110"/>
        <v>1</v>
      </c>
      <c r="M307" t="str">
        <f t="shared" si="111"/>
        <v>Suele comer</v>
      </c>
      <c r="N307">
        <v>3</v>
      </c>
      <c r="O307">
        <f t="shared" si="112"/>
        <v>2</v>
      </c>
      <c r="P307" t="str">
        <f t="shared" si="113"/>
        <v>Mas de 3</v>
      </c>
      <c r="Q307">
        <v>1</v>
      </c>
      <c r="R307" t="str">
        <f t="shared" si="114"/>
        <v>A veces</v>
      </c>
      <c r="S307">
        <v>1</v>
      </c>
      <c r="T307" t="str">
        <f t="shared" si="115"/>
        <v>Fuma</v>
      </c>
      <c r="U307">
        <v>2</v>
      </c>
      <c r="V307">
        <f t="shared" si="116"/>
        <v>2</v>
      </c>
      <c r="W307" t="str">
        <f t="shared" si="117"/>
        <v>Siempre</v>
      </c>
      <c r="X307">
        <v>0</v>
      </c>
      <c r="Y307" t="str">
        <f t="shared" si="118"/>
        <v>No controla</v>
      </c>
      <c r="Z307">
        <v>2</v>
      </c>
      <c r="AA307">
        <f t="shared" si="119"/>
        <v>2</v>
      </c>
      <c r="AB307" t="str">
        <f t="shared" si="120"/>
        <v>Usualmente</v>
      </c>
      <c r="AC307">
        <v>1</v>
      </c>
      <c r="AD307">
        <f t="shared" si="121"/>
        <v>1</v>
      </c>
      <c r="AE307" t="str">
        <f t="shared" si="122"/>
        <v>Usualmente</v>
      </c>
      <c r="AF307">
        <v>1</v>
      </c>
      <c r="AG307" t="str">
        <f t="shared" si="123"/>
        <v>A veces</v>
      </c>
      <c r="AH307">
        <v>0</v>
      </c>
      <c r="AI307" t="str">
        <f t="shared" si="124"/>
        <v>No usa</v>
      </c>
      <c r="AJ307">
        <v>0</v>
      </c>
      <c r="AK307" t="str">
        <f t="shared" si="125"/>
        <v>No usa</v>
      </c>
      <c r="AL307">
        <v>0</v>
      </c>
      <c r="AM307" t="str">
        <f t="shared" si="126"/>
        <v>No usa</v>
      </c>
      <c r="AN307">
        <v>1</v>
      </c>
      <c r="AO307" t="str">
        <f t="shared" si="127"/>
        <v>Usa Transporte</v>
      </c>
      <c r="AP307">
        <v>0</v>
      </c>
      <c r="AQ307" t="str">
        <f t="shared" si="128"/>
        <v>No camina</v>
      </c>
      <c r="AR307">
        <v>1</v>
      </c>
      <c r="AS307" t="str">
        <f t="shared" si="129"/>
        <v>Es Obeso</v>
      </c>
    </row>
    <row r="308" spans="1:45" x14ac:dyDescent="0.25">
      <c r="A308">
        <v>0</v>
      </c>
      <c r="B308" t="str">
        <f t="shared" si="104"/>
        <v>F</v>
      </c>
      <c r="C308">
        <v>24</v>
      </c>
      <c r="D308">
        <f t="shared" si="105"/>
        <v>24</v>
      </c>
      <c r="E308">
        <f t="shared" si="106"/>
        <v>24</v>
      </c>
      <c r="F308" t="str">
        <f t="shared" si="107"/>
        <v>1-25</v>
      </c>
      <c r="G308">
        <v>1</v>
      </c>
      <c r="H308" t="str">
        <f t="shared" si="108"/>
        <v>Pariente gordo</v>
      </c>
      <c r="I308">
        <v>1</v>
      </c>
      <c r="J308" t="str">
        <f t="shared" si="109"/>
        <v>Hipercaloricos</v>
      </c>
      <c r="K308">
        <v>1</v>
      </c>
      <c r="L308">
        <f t="shared" si="110"/>
        <v>1</v>
      </c>
      <c r="M308" t="str">
        <f t="shared" si="111"/>
        <v>Suele comer</v>
      </c>
      <c r="N308">
        <v>3</v>
      </c>
      <c r="O308">
        <f t="shared" si="112"/>
        <v>2</v>
      </c>
      <c r="P308" t="str">
        <f t="shared" si="113"/>
        <v>Mas de 3</v>
      </c>
      <c r="Q308">
        <v>3</v>
      </c>
      <c r="R308" t="str">
        <f t="shared" si="114"/>
        <v>Siempre</v>
      </c>
      <c r="S308">
        <v>0</v>
      </c>
      <c r="T308" t="str">
        <f t="shared" si="115"/>
        <v>No fuma</v>
      </c>
      <c r="U308">
        <v>2</v>
      </c>
      <c r="V308">
        <f t="shared" si="116"/>
        <v>2</v>
      </c>
      <c r="W308" t="str">
        <f t="shared" si="117"/>
        <v>Siempre</v>
      </c>
      <c r="X308">
        <v>0</v>
      </c>
      <c r="Y308" t="str">
        <f t="shared" si="118"/>
        <v>No controla</v>
      </c>
      <c r="Z308">
        <v>0</v>
      </c>
      <c r="AA308">
        <f t="shared" si="119"/>
        <v>0</v>
      </c>
      <c r="AB308" t="str">
        <f t="shared" si="120"/>
        <v>Nunca</v>
      </c>
      <c r="AC308">
        <v>2</v>
      </c>
      <c r="AD308">
        <f t="shared" si="121"/>
        <v>2</v>
      </c>
      <c r="AE308" t="str">
        <f t="shared" si="122"/>
        <v>Siempre</v>
      </c>
      <c r="AF308">
        <v>1</v>
      </c>
      <c r="AG308" t="str">
        <f t="shared" si="123"/>
        <v>A veces</v>
      </c>
      <c r="AH308">
        <v>0</v>
      </c>
      <c r="AI308" t="str">
        <f t="shared" si="124"/>
        <v>No usa</v>
      </c>
      <c r="AJ308">
        <v>0</v>
      </c>
      <c r="AK308" t="str">
        <f t="shared" si="125"/>
        <v>No usa</v>
      </c>
      <c r="AL308">
        <v>0</v>
      </c>
      <c r="AM308" t="str">
        <f t="shared" si="126"/>
        <v>No usa</v>
      </c>
      <c r="AN308">
        <v>1</v>
      </c>
      <c r="AO308" t="str">
        <f t="shared" si="127"/>
        <v>Usa Transporte</v>
      </c>
      <c r="AP308">
        <v>0</v>
      </c>
      <c r="AQ308" t="str">
        <f t="shared" si="128"/>
        <v>No camina</v>
      </c>
      <c r="AR308">
        <v>0</v>
      </c>
      <c r="AS308" t="str">
        <f t="shared" si="129"/>
        <v>No es obeso</v>
      </c>
    </row>
    <row r="309" spans="1:45" x14ac:dyDescent="0.25">
      <c r="A309">
        <v>0</v>
      </c>
      <c r="B309" t="str">
        <f t="shared" si="104"/>
        <v>F</v>
      </c>
      <c r="C309">
        <v>23</v>
      </c>
      <c r="D309">
        <f t="shared" si="105"/>
        <v>23</v>
      </c>
      <c r="E309">
        <f t="shared" si="106"/>
        <v>23</v>
      </c>
      <c r="F309" t="str">
        <f t="shared" si="107"/>
        <v>1-25</v>
      </c>
      <c r="G309">
        <v>1</v>
      </c>
      <c r="H309" t="str">
        <f t="shared" si="108"/>
        <v>Pariente gordo</v>
      </c>
      <c r="I309">
        <v>1</v>
      </c>
      <c r="J309" t="str">
        <f t="shared" si="109"/>
        <v>Hipercaloricos</v>
      </c>
      <c r="K309">
        <v>2</v>
      </c>
      <c r="L309">
        <f t="shared" si="110"/>
        <v>1</v>
      </c>
      <c r="M309" t="str">
        <f t="shared" si="111"/>
        <v>Suele comer</v>
      </c>
      <c r="N309">
        <v>1</v>
      </c>
      <c r="O309">
        <f t="shared" si="112"/>
        <v>1</v>
      </c>
      <c r="P309">
        <f t="shared" si="113"/>
        <v>3</v>
      </c>
      <c r="Q309">
        <v>2</v>
      </c>
      <c r="R309" t="str">
        <f t="shared" si="114"/>
        <v>Usualmente</v>
      </c>
      <c r="S309">
        <v>0</v>
      </c>
      <c r="T309" t="str">
        <f t="shared" si="115"/>
        <v>No fuma</v>
      </c>
      <c r="U309">
        <v>1</v>
      </c>
      <c r="V309">
        <f t="shared" si="116"/>
        <v>1</v>
      </c>
      <c r="W309" t="str">
        <f t="shared" si="117"/>
        <v>Usualmente</v>
      </c>
      <c r="X309">
        <v>0</v>
      </c>
      <c r="Y309" t="str">
        <f t="shared" si="118"/>
        <v>No controla</v>
      </c>
      <c r="Z309">
        <v>0</v>
      </c>
      <c r="AA309">
        <f t="shared" si="119"/>
        <v>0</v>
      </c>
      <c r="AB309" t="str">
        <f t="shared" si="120"/>
        <v>Nunca</v>
      </c>
      <c r="AC309">
        <v>2</v>
      </c>
      <c r="AD309">
        <f t="shared" si="121"/>
        <v>2</v>
      </c>
      <c r="AE309" t="str">
        <f t="shared" si="122"/>
        <v>Siempre</v>
      </c>
      <c r="AF309">
        <v>1</v>
      </c>
      <c r="AG309" t="str">
        <f t="shared" si="123"/>
        <v>A veces</v>
      </c>
      <c r="AH309">
        <v>0</v>
      </c>
      <c r="AI309" t="str">
        <f t="shared" si="124"/>
        <v>No usa</v>
      </c>
      <c r="AJ309">
        <v>0</v>
      </c>
      <c r="AK309" t="str">
        <f t="shared" si="125"/>
        <v>No usa</v>
      </c>
      <c r="AL309">
        <v>0</v>
      </c>
      <c r="AM309" t="str">
        <f t="shared" si="126"/>
        <v>No usa</v>
      </c>
      <c r="AN309">
        <v>1</v>
      </c>
      <c r="AO309" t="str">
        <f t="shared" si="127"/>
        <v>Usa Transporte</v>
      </c>
      <c r="AP309">
        <v>0</v>
      </c>
      <c r="AQ309" t="str">
        <f t="shared" si="128"/>
        <v>No camina</v>
      </c>
      <c r="AR309">
        <v>0</v>
      </c>
      <c r="AS309" t="str">
        <f t="shared" si="129"/>
        <v>No es obeso</v>
      </c>
    </row>
    <row r="310" spans="1:45" x14ac:dyDescent="0.25">
      <c r="A310">
        <v>1</v>
      </c>
      <c r="B310" t="str">
        <f t="shared" si="104"/>
        <v>M</v>
      </c>
      <c r="C310">
        <v>20</v>
      </c>
      <c r="D310">
        <f t="shared" si="105"/>
        <v>20</v>
      </c>
      <c r="E310">
        <f t="shared" si="106"/>
        <v>20</v>
      </c>
      <c r="F310" t="str">
        <f t="shared" si="107"/>
        <v>1-25</v>
      </c>
      <c r="G310">
        <v>0</v>
      </c>
      <c r="H310" t="str">
        <f t="shared" si="108"/>
        <v>Pariente normal</v>
      </c>
      <c r="I310">
        <v>1</v>
      </c>
      <c r="J310" t="str">
        <f t="shared" si="109"/>
        <v>Hipercaloricos</v>
      </c>
      <c r="K310">
        <v>3</v>
      </c>
      <c r="L310">
        <f t="shared" si="110"/>
        <v>1</v>
      </c>
      <c r="M310" t="str">
        <f t="shared" si="111"/>
        <v>Suele comer</v>
      </c>
      <c r="N310">
        <v>4</v>
      </c>
      <c r="O310">
        <f t="shared" si="112"/>
        <v>2</v>
      </c>
      <c r="P310" t="str">
        <f t="shared" si="113"/>
        <v>Mas de 3</v>
      </c>
      <c r="Q310">
        <v>3</v>
      </c>
      <c r="R310" t="str">
        <f t="shared" si="114"/>
        <v>Siempre</v>
      </c>
      <c r="S310">
        <v>0</v>
      </c>
      <c r="T310" t="str">
        <f t="shared" si="115"/>
        <v>No fuma</v>
      </c>
      <c r="U310">
        <v>3</v>
      </c>
      <c r="V310">
        <f t="shared" si="116"/>
        <v>2</v>
      </c>
      <c r="W310" t="str">
        <f t="shared" si="117"/>
        <v>Siempre</v>
      </c>
      <c r="X310">
        <v>0</v>
      </c>
      <c r="Y310" t="str">
        <f t="shared" si="118"/>
        <v>No controla</v>
      </c>
      <c r="Z310">
        <v>2</v>
      </c>
      <c r="AA310">
        <f t="shared" si="119"/>
        <v>2</v>
      </c>
      <c r="AB310" t="str">
        <f t="shared" si="120"/>
        <v>Usualmente</v>
      </c>
      <c r="AC310">
        <v>0</v>
      </c>
      <c r="AD310">
        <f t="shared" si="121"/>
        <v>0</v>
      </c>
      <c r="AE310" t="str">
        <f t="shared" si="122"/>
        <v>Nunca</v>
      </c>
      <c r="AF310">
        <v>1</v>
      </c>
      <c r="AG310" t="str">
        <f t="shared" si="123"/>
        <v>A veces</v>
      </c>
      <c r="AH310">
        <v>0</v>
      </c>
      <c r="AI310" t="str">
        <f t="shared" si="124"/>
        <v>No usa</v>
      </c>
      <c r="AJ310">
        <v>0</v>
      </c>
      <c r="AK310" t="str">
        <f t="shared" si="125"/>
        <v>No usa</v>
      </c>
      <c r="AL310">
        <v>0</v>
      </c>
      <c r="AM310" t="str">
        <f t="shared" si="126"/>
        <v>No usa</v>
      </c>
      <c r="AN310">
        <v>1</v>
      </c>
      <c r="AO310" t="str">
        <f t="shared" si="127"/>
        <v>Usa Transporte</v>
      </c>
      <c r="AP310">
        <v>0</v>
      </c>
      <c r="AQ310" t="str">
        <f t="shared" si="128"/>
        <v>No camina</v>
      </c>
      <c r="AR310">
        <v>0</v>
      </c>
      <c r="AS310" t="str">
        <f t="shared" si="129"/>
        <v>No es obeso</v>
      </c>
    </row>
    <row r="311" spans="1:45" x14ac:dyDescent="0.25">
      <c r="A311">
        <v>0</v>
      </c>
      <c r="B311" t="str">
        <f t="shared" si="104"/>
        <v>F</v>
      </c>
      <c r="C311">
        <v>16</v>
      </c>
      <c r="D311">
        <f t="shared" si="105"/>
        <v>16</v>
      </c>
      <c r="E311">
        <f t="shared" si="106"/>
        <v>16</v>
      </c>
      <c r="F311" t="str">
        <f t="shared" si="107"/>
        <v>1-25</v>
      </c>
      <c r="G311">
        <v>0</v>
      </c>
      <c r="H311" t="str">
        <f t="shared" si="108"/>
        <v>Pariente normal</v>
      </c>
      <c r="I311">
        <v>0</v>
      </c>
      <c r="J311" t="str">
        <f t="shared" si="109"/>
        <v>Saludables</v>
      </c>
      <c r="K311">
        <v>2</v>
      </c>
      <c r="L311">
        <f t="shared" si="110"/>
        <v>1</v>
      </c>
      <c r="M311" t="str">
        <f t="shared" si="111"/>
        <v>Suele comer</v>
      </c>
      <c r="N311">
        <v>1</v>
      </c>
      <c r="O311">
        <f t="shared" si="112"/>
        <v>1</v>
      </c>
      <c r="P311">
        <f t="shared" si="113"/>
        <v>3</v>
      </c>
      <c r="Q311">
        <v>1</v>
      </c>
      <c r="R311" t="str">
        <f t="shared" si="114"/>
        <v>A veces</v>
      </c>
      <c r="S311">
        <v>0</v>
      </c>
      <c r="T311" t="str">
        <f t="shared" si="115"/>
        <v>No fuma</v>
      </c>
      <c r="U311">
        <v>1</v>
      </c>
      <c r="V311">
        <f t="shared" si="116"/>
        <v>1</v>
      </c>
      <c r="W311" t="str">
        <f t="shared" si="117"/>
        <v>Usualmente</v>
      </c>
      <c r="X311">
        <v>0</v>
      </c>
      <c r="Y311" t="str">
        <f t="shared" si="118"/>
        <v>No controla</v>
      </c>
      <c r="Z311">
        <v>0</v>
      </c>
      <c r="AA311">
        <f t="shared" si="119"/>
        <v>0</v>
      </c>
      <c r="AB311" t="str">
        <f t="shared" si="120"/>
        <v>Nunca</v>
      </c>
      <c r="AC311">
        <v>1</v>
      </c>
      <c r="AD311">
        <f t="shared" si="121"/>
        <v>1</v>
      </c>
      <c r="AE311" t="str">
        <f t="shared" si="122"/>
        <v>Usualmente</v>
      </c>
      <c r="AF311">
        <v>0</v>
      </c>
      <c r="AG311" t="str">
        <f t="shared" si="123"/>
        <v>Nunca</v>
      </c>
      <c r="AH311">
        <v>0</v>
      </c>
      <c r="AI311" t="str">
        <f t="shared" si="124"/>
        <v>No usa</v>
      </c>
      <c r="AJ311">
        <v>0</v>
      </c>
      <c r="AK311" t="str">
        <f t="shared" si="125"/>
        <v>No usa</v>
      </c>
      <c r="AL311">
        <v>0</v>
      </c>
      <c r="AM311" t="str">
        <f t="shared" si="126"/>
        <v>No usa</v>
      </c>
      <c r="AN311">
        <v>0</v>
      </c>
      <c r="AO311" t="str">
        <f t="shared" si="127"/>
        <v>No usa</v>
      </c>
      <c r="AP311">
        <v>1</v>
      </c>
      <c r="AQ311" t="str">
        <f t="shared" si="128"/>
        <v>Camina</v>
      </c>
      <c r="AR311">
        <v>0</v>
      </c>
      <c r="AS311" t="str">
        <f t="shared" si="129"/>
        <v>No es obeso</v>
      </c>
    </row>
    <row r="312" spans="1:45" x14ac:dyDescent="0.25">
      <c r="A312">
        <v>1</v>
      </c>
      <c r="B312" t="str">
        <f t="shared" si="104"/>
        <v>M</v>
      </c>
      <c r="C312">
        <v>17</v>
      </c>
      <c r="D312">
        <f t="shared" si="105"/>
        <v>17</v>
      </c>
      <c r="E312">
        <f t="shared" si="106"/>
        <v>17</v>
      </c>
      <c r="F312" t="str">
        <f t="shared" si="107"/>
        <v>1-25</v>
      </c>
      <c r="G312">
        <v>1</v>
      </c>
      <c r="H312" t="str">
        <f t="shared" si="108"/>
        <v>Pariente gordo</v>
      </c>
      <c r="I312">
        <v>1</v>
      </c>
      <c r="J312" t="str">
        <f t="shared" si="109"/>
        <v>Hipercaloricos</v>
      </c>
      <c r="K312">
        <v>2</v>
      </c>
      <c r="L312">
        <f t="shared" si="110"/>
        <v>1</v>
      </c>
      <c r="M312" t="str">
        <f t="shared" si="111"/>
        <v>Suele comer</v>
      </c>
      <c r="N312">
        <v>4</v>
      </c>
      <c r="O312">
        <f t="shared" si="112"/>
        <v>2</v>
      </c>
      <c r="P312" t="str">
        <f t="shared" si="113"/>
        <v>Mas de 3</v>
      </c>
      <c r="Q312">
        <v>2</v>
      </c>
      <c r="R312" t="str">
        <f t="shared" si="114"/>
        <v>Usualmente</v>
      </c>
      <c r="S312">
        <v>0</v>
      </c>
      <c r="T312" t="str">
        <f t="shared" si="115"/>
        <v>No fuma</v>
      </c>
      <c r="U312">
        <v>2</v>
      </c>
      <c r="V312">
        <f t="shared" si="116"/>
        <v>2</v>
      </c>
      <c r="W312" t="str">
        <f t="shared" si="117"/>
        <v>Siempre</v>
      </c>
      <c r="X312">
        <v>0</v>
      </c>
      <c r="Y312" t="str">
        <f t="shared" si="118"/>
        <v>No controla</v>
      </c>
      <c r="Z312">
        <v>2</v>
      </c>
      <c r="AA312">
        <f t="shared" si="119"/>
        <v>2</v>
      </c>
      <c r="AB312" t="str">
        <f t="shared" si="120"/>
        <v>Usualmente</v>
      </c>
      <c r="AC312">
        <v>1</v>
      </c>
      <c r="AD312">
        <f t="shared" si="121"/>
        <v>1</v>
      </c>
      <c r="AE312" t="str">
        <f t="shared" si="122"/>
        <v>Usualmente</v>
      </c>
      <c r="AF312">
        <v>0</v>
      </c>
      <c r="AG312" t="str">
        <f t="shared" si="123"/>
        <v>Nunca</v>
      </c>
      <c r="AH312">
        <v>0</v>
      </c>
      <c r="AI312" t="str">
        <f t="shared" si="124"/>
        <v>No usa</v>
      </c>
      <c r="AJ312">
        <v>0</v>
      </c>
      <c r="AK312" t="str">
        <f t="shared" si="125"/>
        <v>No usa</v>
      </c>
      <c r="AL312">
        <v>0</v>
      </c>
      <c r="AM312" t="str">
        <f t="shared" si="126"/>
        <v>No usa</v>
      </c>
      <c r="AN312">
        <v>1</v>
      </c>
      <c r="AO312" t="str">
        <f t="shared" si="127"/>
        <v>Usa Transporte</v>
      </c>
      <c r="AP312">
        <v>0</v>
      </c>
      <c r="AQ312" t="str">
        <f t="shared" si="128"/>
        <v>No camina</v>
      </c>
      <c r="AR312">
        <v>0</v>
      </c>
      <c r="AS312" t="str">
        <f t="shared" si="129"/>
        <v>No es obeso</v>
      </c>
    </row>
    <row r="313" spans="1:45" x14ac:dyDescent="0.25">
      <c r="A313">
        <v>1</v>
      </c>
      <c r="B313" t="str">
        <f t="shared" si="104"/>
        <v>M</v>
      </c>
      <c r="C313">
        <v>17</v>
      </c>
      <c r="D313">
        <f t="shared" si="105"/>
        <v>17</v>
      </c>
      <c r="E313">
        <f t="shared" si="106"/>
        <v>17</v>
      </c>
      <c r="F313" t="str">
        <f t="shared" si="107"/>
        <v>1-25</v>
      </c>
      <c r="G313">
        <v>0</v>
      </c>
      <c r="H313" t="str">
        <f t="shared" si="108"/>
        <v>Pariente normal</v>
      </c>
      <c r="I313">
        <v>1</v>
      </c>
      <c r="J313" t="str">
        <f t="shared" si="109"/>
        <v>Hipercaloricos</v>
      </c>
      <c r="K313">
        <v>2</v>
      </c>
      <c r="L313">
        <f t="shared" si="110"/>
        <v>1</v>
      </c>
      <c r="M313" t="str">
        <f t="shared" si="111"/>
        <v>Suele comer</v>
      </c>
      <c r="N313">
        <v>3</v>
      </c>
      <c r="O313">
        <f t="shared" si="112"/>
        <v>2</v>
      </c>
      <c r="P313" t="str">
        <f t="shared" si="113"/>
        <v>Mas de 3</v>
      </c>
      <c r="Q313">
        <v>3</v>
      </c>
      <c r="R313" t="str">
        <f t="shared" si="114"/>
        <v>Siempre</v>
      </c>
      <c r="S313">
        <v>0</v>
      </c>
      <c r="T313" t="str">
        <f t="shared" si="115"/>
        <v>No fuma</v>
      </c>
      <c r="U313">
        <v>2</v>
      </c>
      <c r="V313">
        <f t="shared" si="116"/>
        <v>2</v>
      </c>
      <c r="W313" t="str">
        <f t="shared" si="117"/>
        <v>Siempre</v>
      </c>
      <c r="X313">
        <v>0</v>
      </c>
      <c r="Y313" t="str">
        <f t="shared" si="118"/>
        <v>No controla</v>
      </c>
      <c r="Z313">
        <v>3</v>
      </c>
      <c r="AA313">
        <f t="shared" si="119"/>
        <v>3</v>
      </c>
      <c r="AB313" t="str">
        <f t="shared" si="120"/>
        <v>Siempre</v>
      </c>
      <c r="AC313">
        <v>1</v>
      </c>
      <c r="AD313">
        <f t="shared" si="121"/>
        <v>1</v>
      </c>
      <c r="AE313" t="str">
        <f t="shared" si="122"/>
        <v>Usualmente</v>
      </c>
      <c r="AF313">
        <v>0</v>
      </c>
      <c r="AG313" t="str">
        <f t="shared" si="123"/>
        <v>Nunca</v>
      </c>
      <c r="AH313">
        <v>0</v>
      </c>
      <c r="AI313" t="str">
        <f t="shared" si="124"/>
        <v>No usa</v>
      </c>
      <c r="AJ313">
        <v>0</v>
      </c>
      <c r="AK313" t="str">
        <f t="shared" si="125"/>
        <v>No usa</v>
      </c>
      <c r="AL313">
        <v>0</v>
      </c>
      <c r="AM313" t="str">
        <f t="shared" si="126"/>
        <v>No usa</v>
      </c>
      <c r="AN313">
        <v>1</v>
      </c>
      <c r="AO313" t="str">
        <f t="shared" si="127"/>
        <v>Usa Transporte</v>
      </c>
      <c r="AP313">
        <v>0</v>
      </c>
      <c r="AQ313" t="str">
        <f t="shared" si="128"/>
        <v>No camina</v>
      </c>
      <c r="AR313">
        <v>0</v>
      </c>
      <c r="AS313" t="str">
        <f t="shared" si="129"/>
        <v>No es obeso</v>
      </c>
    </row>
    <row r="314" spans="1:45" x14ac:dyDescent="0.25">
      <c r="A314">
        <v>0</v>
      </c>
      <c r="B314" t="str">
        <f t="shared" si="104"/>
        <v>F</v>
      </c>
      <c r="C314">
        <v>16</v>
      </c>
      <c r="D314">
        <f t="shared" si="105"/>
        <v>16</v>
      </c>
      <c r="E314">
        <f t="shared" si="106"/>
        <v>16</v>
      </c>
      <c r="F314" t="str">
        <f t="shared" si="107"/>
        <v>1-25</v>
      </c>
      <c r="G314">
        <v>0</v>
      </c>
      <c r="H314" t="str">
        <f t="shared" si="108"/>
        <v>Pariente normal</v>
      </c>
      <c r="I314">
        <v>1</v>
      </c>
      <c r="J314" t="str">
        <f t="shared" si="109"/>
        <v>Hipercaloricos</v>
      </c>
      <c r="K314">
        <v>3</v>
      </c>
      <c r="L314">
        <f t="shared" si="110"/>
        <v>1</v>
      </c>
      <c r="M314" t="str">
        <f t="shared" si="111"/>
        <v>Suele comer</v>
      </c>
      <c r="N314">
        <v>3</v>
      </c>
      <c r="O314">
        <f t="shared" si="112"/>
        <v>2</v>
      </c>
      <c r="P314" t="str">
        <f t="shared" si="113"/>
        <v>Mas de 3</v>
      </c>
      <c r="Q314">
        <v>1</v>
      </c>
      <c r="R314" t="str">
        <f t="shared" si="114"/>
        <v>A veces</v>
      </c>
      <c r="S314">
        <v>0</v>
      </c>
      <c r="T314" t="str">
        <f t="shared" si="115"/>
        <v>No fuma</v>
      </c>
      <c r="U314">
        <v>1</v>
      </c>
      <c r="V314">
        <f t="shared" si="116"/>
        <v>1</v>
      </c>
      <c r="W314" t="str">
        <f t="shared" si="117"/>
        <v>Usualmente</v>
      </c>
      <c r="X314">
        <v>0</v>
      </c>
      <c r="Y314" t="str">
        <f t="shared" si="118"/>
        <v>No controla</v>
      </c>
      <c r="Z314">
        <v>3</v>
      </c>
      <c r="AA314">
        <f t="shared" si="119"/>
        <v>3</v>
      </c>
      <c r="AB314" t="str">
        <f t="shared" si="120"/>
        <v>Siempre</v>
      </c>
      <c r="AC314">
        <v>0</v>
      </c>
      <c r="AD314">
        <f t="shared" si="121"/>
        <v>0</v>
      </c>
      <c r="AE314" t="str">
        <f t="shared" si="122"/>
        <v>Nunca</v>
      </c>
      <c r="AF314">
        <v>0</v>
      </c>
      <c r="AG314" t="str">
        <f t="shared" si="123"/>
        <v>Nunca</v>
      </c>
      <c r="AH314">
        <v>0</v>
      </c>
      <c r="AI314" t="str">
        <f t="shared" si="124"/>
        <v>No usa</v>
      </c>
      <c r="AJ314">
        <v>0</v>
      </c>
      <c r="AK314" t="str">
        <f t="shared" si="125"/>
        <v>No usa</v>
      </c>
      <c r="AL314">
        <v>0</v>
      </c>
      <c r="AM314" t="str">
        <f t="shared" si="126"/>
        <v>No usa</v>
      </c>
      <c r="AN314">
        <v>1</v>
      </c>
      <c r="AO314" t="str">
        <f t="shared" si="127"/>
        <v>Usa Transporte</v>
      </c>
      <c r="AP314">
        <v>0</v>
      </c>
      <c r="AQ314" t="str">
        <f t="shared" si="128"/>
        <v>No camina</v>
      </c>
      <c r="AR314">
        <v>0</v>
      </c>
      <c r="AS314" t="str">
        <f t="shared" si="129"/>
        <v>No es obeso</v>
      </c>
    </row>
    <row r="315" spans="1:45" x14ac:dyDescent="0.25">
      <c r="A315">
        <v>1</v>
      </c>
      <c r="B315" t="str">
        <f t="shared" si="104"/>
        <v>M</v>
      </c>
      <c r="C315">
        <v>17</v>
      </c>
      <c r="D315">
        <f t="shared" si="105"/>
        <v>17</v>
      </c>
      <c r="E315">
        <f t="shared" si="106"/>
        <v>17</v>
      </c>
      <c r="F315" t="str">
        <f t="shared" si="107"/>
        <v>1-25</v>
      </c>
      <c r="G315">
        <v>1</v>
      </c>
      <c r="H315" t="str">
        <f t="shared" si="108"/>
        <v>Pariente gordo</v>
      </c>
      <c r="I315">
        <v>1</v>
      </c>
      <c r="J315" t="str">
        <f t="shared" si="109"/>
        <v>Hipercaloricos</v>
      </c>
      <c r="K315">
        <v>1</v>
      </c>
      <c r="L315">
        <f t="shared" si="110"/>
        <v>1</v>
      </c>
      <c r="M315" t="str">
        <f t="shared" si="111"/>
        <v>Suele comer</v>
      </c>
      <c r="N315">
        <v>3</v>
      </c>
      <c r="O315">
        <f t="shared" si="112"/>
        <v>2</v>
      </c>
      <c r="P315" t="str">
        <f t="shared" si="113"/>
        <v>Mas de 3</v>
      </c>
      <c r="Q315">
        <v>3</v>
      </c>
      <c r="R315" t="str">
        <f t="shared" si="114"/>
        <v>Siempre</v>
      </c>
      <c r="S315">
        <v>0</v>
      </c>
      <c r="T315" t="str">
        <f t="shared" si="115"/>
        <v>No fuma</v>
      </c>
      <c r="U315">
        <v>2</v>
      </c>
      <c r="V315">
        <f t="shared" si="116"/>
        <v>2</v>
      </c>
      <c r="W315" t="str">
        <f t="shared" si="117"/>
        <v>Siempre</v>
      </c>
      <c r="X315">
        <v>0</v>
      </c>
      <c r="Y315" t="str">
        <f t="shared" si="118"/>
        <v>No controla</v>
      </c>
      <c r="Z315">
        <v>1</v>
      </c>
      <c r="AA315">
        <f t="shared" si="119"/>
        <v>1</v>
      </c>
      <c r="AB315" t="str">
        <f t="shared" si="120"/>
        <v>A veces</v>
      </c>
      <c r="AC315">
        <v>1</v>
      </c>
      <c r="AD315">
        <f t="shared" si="121"/>
        <v>1</v>
      </c>
      <c r="AE315" t="str">
        <f t="shared" si="122"/>
        <v>Usualmente</v>
      </c>
      <c r="AF315">
        <v>1</v>
      </c>
      <c r="AG315" t="str">
        <f t="shared" si="123"/>
        <v>A veces</v>
      </c>
      <c r="AH315">
        <v>0</v>
      </c>
      <c r="AI315" t="str">
        <f t="shared" si="124"/>
        <v>No usa</v>
      </c>
      <c r="AJ315">
        <v>0</v>
      </c>
      <c r="AK315" t="str">
        <f t="shared" si="125"/>
        <v>No usa</v>
      </c>
      <c r="AL315">
        <v>0</v>
      </c>
      <c r="AM315" t="str">
        <f t="shared" si="126"/>
        <v>No usa</v>
      </c>
      <c r="AN315">
        <v>1</v>
      </c>
      <c r="AO315" t="str">
        <f t="shared" si="127"/>
        <v>Usa Transporte</v>
      </c>
      <c r="AP315">
        <v>0</v>
      </c>
      <c r="AQ315" t="str">
        <f t="shared" si="128"/>
        <v>No camina</v>
      </c>
      <c r="AR315">
        <v>0</v>
      </c>
      <c r="AS315" t="str">
        <f t="shared" si="129"/>
        <v>No es obeso</v>
      </c>
    </row>
    <row r="316" spans="1:45" x14ac:dyDescent="0.25">
      <c r="A316">
        <v>0</v>
      </c>
      <c r="B316" t="str">
        <f t="shared" si="104"/>
        <v>F</v>
      </c>
      <c r="C316">
        <v>26</v>
      </c>
      <c r="D316">
        <f t="shared" si="105"/>
        <v>26</v>
      </c>
      <c r="E316">
        <f t="shared" si="106"/>
        <v>26</v>
      </c>
      <c r="F316" t="str">
        <f t="shared" si="107"/>
        <v>25-50</v>
      </c>
      <c r="G316">
        <v>0</v>
      </c>
      <c r="H316" t="str">
        <f t="shared" si="108"/>
        <v>Pariente normal</v>
      </c>
      <c r="I316">
        <v>1</v>
      </c>
      <c r="J316" t="str">
        <f t="shared" si="109"/>
        <v>Hipercaloricos</v>
      </c>
      <c r="K316">
        <v>3</v>
      </c>
      <c r="L316">
        <f t="shared" si="110"/>
        <v>1</v>
      </c>
      <c r="M316" t="str">
        <f t="shared" si="111"/>
        <v>Suele comer</v>
      </c>
      <c r="N316">
        <v>3</v>
      </c>
      <c r="O316">
        <f t="shared" si="112"/>
        <v>2</v>
      </c>
      <c r="P316" t="str">
        <f t="shared" si="113"/>
        <v>Mas de 3</v>
      </c>
      <c r="Q316">
        <v>1</v>
      </c>
      <c r="R316" t="str">
        <f t="shared" si="114"/>
        <v>A veces</v>
      </c>
      <c r="S316">
        <v>0</v>
      </c>
      <c r="T316" t="str">
        <f t="shared" si="115"/>
        <v>No fuma</v>
      </c>
      <c r="U316">
        <v>1</v>
      </c>
      <c r="V316">
        <f t="shared" si="116"/>
        <v>1</v>
      </c>
      <c r="W316" t="str">
        <f t="shared" si="117"/>
        <v>Usualmente</v>
      </c>
      <c r="X316">
        <v>0</v>
      </c>
      <c r="Y316" t="str">
        <f t="shared" si="118"/>
        <v>No controla</v>
      </c>
      <c r="Z316">
        <v>1</v>
      </c>
      <c r="AA316">
        <f t="shared" si="119"/>
        <v>1</v>
      </c>
      <c r="AB316" t="str">
        <f t="shared" si="120"/>
        <v>A veces</v>
      </c>
      <c r="AC316">
        <v>0</v>
      </c>
      <c r="AD316">
        <f t="shared" si="121"/>
        <v>0</v>
      </c>
      <c r="AE316" t="str">
        <f t="shared" si="122"/>
        <v>Nunca</v>
      </c>
      <c r="AF316">
        <v>0</v>
      </c>
      <c r="AG316" t="str">
        <f t="shared" si="123"/>
        <v>Nunca</v>
      </c>
      <c r="AH316">
        <v>0</v>
      </c>
      <c r="AI316" t="str">
        <f t="shared" si="124"/>
        <v>No usa</v>
      </c>
      <c r="AJ316">
        <v>0</v>
      </c>
      <c r="AK316" t="str">
        <f t="shared" si="125"/>
        <v>No usa</v>
      </c>
      <c r="AL316">
        <v>0</v>
      </c>
      <c r="AM316" t="str">
        <f t="shared" si="126"/>
        <v>No usa</v>
      </c>
      <c r="AN316">
        <v>0</v>
      </c>
      <c r="AO316" t="str">
        <f t="shared" si="127"/>
        <v>No usa</v>
      </c>
      <c r="AP316">
        <v>1</v>
      </c>
      <c r="AQ316" t="str">
        <f t="shared" si="128"/>
        <v>Camina</v>
      </c>
      <c r="AR316">
        <v>0</v>
      </c>
      <c r="AS316" t="str">
        <f t="shared" si="129"/>
        <v>No es obeso</v>
      </c>
    </row>
    <row r="317" spans="1:45" x14ac:dyDescent="0.25">
      <c r="A317">
        <v>1</v>
      </c>
      <c r="B317" t="str">
        <f t="shared" si="104"/>
        <v>M</v>
      </c>
      <c r="C317">
        <v>26</v>
      </c>
      <c r="D317">
        <f t="shared" si="105"/>
        <v>26</v>
      </c>
      <c r="E317">
        <f t="shared" si="106"/>
        <v>26</v>
      </c>
      <c r="F317" t="str">
        <f t="shared" si="107"/>
        <v>25-50</v>
      </c>
      <c r="G317">
        <v>0</v>
      </c>
      <c r="H317" t="str">
        <f t="shared" si="108"/>
        <v>Pariente normal</v>
      </c>
      <c r="I317">
        <v>1</v>
      </c>
      <c r="J317" t="str">
        <f t="shared" si="109"/>
        <v>Hipercaloricos</v>
      </c>
      <c r="K317">
        <v>2</v>
      </c>
      <c r="L317">
        <f t="shared" si="110"/>
        <v>1</v>
      </c>
      <c r="M317" t="str">
        <f t="shared" si="111"/>
        <v>Suele comer</v>
      </c>
      <c r="N317">
        <v>3</v>
      </c>
      <c r="O317">
        <f t="shared" si="112"/>
        <v>2</v>
      </c>
      <c r="P317" t="str">
        <f t="shared" si="113"/>
        <v>Mas de 3</v>
      </c>
      <c r="Q317">
        <v>3</v>
      </c>
      <c r="R317" t="str">
        <f t="shared" si="114"/>
        <v>Siempre</v>
      </c>
      <c r="S317">
        <v>0</v>
      </c>
      <c r="T317" t="str">
        <f t="shared" si="115"/>
        <v>No fuma</v>
      </c>
      <c r="U317">
        <v>2</v>
      </c>
      <c r="V317">
        <f t="shared" si="116"/>
        <v>2</v>
      </c>
      <c r="W317" t="str">
        <f t="shared" si="117"/>
        <v>Siempre</v>
      </c>
      <c r="X317">
        <v>0</v>
      </c>
      <c r="Y317" t="str">
        <f t="shared" si="118"/>
        <v>No controla</v>
      </c>
      <c r="Z317">
        <v>0</v>
      </c>
      <c r="AA317">
        <f t="shared" si="119"/>
        <v>0</v>
      </c>
      <c r="AB317" t="str">
        <f t="shared" si="120"/>
        <v>Nunca</v>
      </c>
      <c r="AC317">
        <v>0</v>
      </c>
      <c r="AD317">
        <f t="shared" si="121"/>
        <v>0</v>
      </c>
      <c r="AE317" t="str">
        <f t="shared" si="122"/>
        <v>Nunca</v>
      </c>
      <c r="AF317">
        <v>1</v>
      </c>
      <c r="AG317" t="str">
        <f t="shared" si="123"/>
        <v>A veces</v>
      </c>
      <c r="AH317">
        <v>0</v>
      </c>
      <c r="AI317" t="str">
        <f t="shared" si="124"/>
        <v>No usa</v>
      </c>
      <c r="AJ317">
        <v>0</v>
      </c>
      <c r="AK317" t="str">
        <f t="shared" si="125"/>
        <v>No usa</v>
      </c>
      <c r="AL317">
        <v>0</v>
      </c>
      <c r="AM317" t="str">
        <f t="shared" si="126"/>
        <v>No usa</v>
      </c>
      <c r="AN317">
        <v>1</v>
      </c>
      <c r="AO317" t="str">
        <f t="shared" si="127"/>
        <v>Usa Transporte</v>
      </c>
      <c r="AP317">
        <v>0</v>
      </c>
      <c r="AQ317" t="str">
        <f t="shared" si="128"/>
        <v>No camina</v>
      </c>
      <c r="AR317">
        <v>0</v>
      </c>
      <c r="AS317" t="str">
        <f t="shared" si="129"/>
        <v>No es obeso</v>
      </c>
    </row>
    <row r="318" spans="1:45" x14ac:dyDescent="0.25">
      <c r="A318">
        <v>1</v>
      </c>
      <c r="B318" t="str">
        <f t="shared" si="104"/>
        <v>M</v>
      </c>
      <c r="C318">
        <v>38</v>
      </c>
      <c r="D318">
        <f t="shared" si="105"/>
        <v>38</v>
      </c>
      <c r="E318">
        <f t="shared" si="106"/>
        <v>38</v>
      </c>
      <c r="F318" t="str">
        <f t="shared" si="107"/>
        <v>25-50</v>
      </c>
      <c r="G318">
        <v>1</v>
      </c>
      <c r="H318" t="str">
        <f t="shared" si="108"/>
        <v>Pariente gordo</v>
      </c>
      <c r="I318">
        <v>0</v>
      </c>
      <c r="J318" t="str">
        <f t="shared" si="109"/>
        <v>Saludables</v>
      </c>
      <c r="K318">
        <v>3</v>
      </c>
      <c r="L318">
        <f t="shared" si="110"/>
        <v>1</v>
      </c>
      <c r="M318" t="str">
        <f t="shared" si="111"/>
        <v>Suele comer</v>
      </c>
      <c r="N318">
        <v>3</v>
      </c>
      <c r="O318">
        <f t="shared" si="112"/>
        <v>2</v>
      </c>
      <c r="P318" t="str">
        <f t="shared" si="113"/>
        <v>Mas de 3</v>
      </c>
      <c r="Q318">
        <v>2</v>
      </c>
      <c r="R318" t="str">
        <f t="shared" si="114"/>
        <v>Usualmente</v>
      </c>
      <c r="S318">
        <v>0</v>
      </c>
      <c r="T318" t="str">
        <f t="shared" si="115"/>
        <v>No fuma</v>
      </c>
      <c r="U318">
        <v>1</v>
      </c>
      <c r="V318">
        <f t="shared" si="116"/>
        <v>1</v>
      </c>
      <c r="W318" t="str">
        <f t="shared" si="117"/>
        <v>Usualmente</v>
      </c>
      <c r="X318">
        <v>0</v>
      </c>
      <c r="Y318" t="str">
        <f t="shared" si="118"/>
        <v>No controla</v>
      </c>
      <c r="Z318">
        <v>2</v>
      </c>
      <c r="AA318">
        <f t="shared" si="119"/>
        <v>2</v>
      </c>
      <c r="AB318" t="str">
        <f t="shared" si="120"/>
        <v>Usualmente</v>
      </c>
      <c r="AC318">
        <v>1</v>
      </c>
      <c r="AD318">
        <f t="shared" si="121"/>
        <v>1</v>
      </c>
      <c r="AE318" t="str">
        <f t="shared" si="122"/>
        <v>Usualmente</v>
      </c>
      <c r="AF318">
        <v>0</v>
      </c>
      <c r="AG318" t="str">
        <f t="shared" si="123"/>
        <v>Nunca</v>
      </c>
      <c r="AH318">
        <v>1</v>
      </c>
      <c r="AI318" t="str">
        <f t="shared" si="124"/>
        <v>Usa auto</v>
      </c>
      <c r="AJ318">
        <v>0</v>
      </c>
      <c r="AK318" t="str">
        <f t="shared" si="125"/>
        <v>No usa</v>
      </c>
      <c r="AL318">
        <v>0</v>
      </c>
      <c r="AM318" t="str">
        <f t="shared" si="126"/>
        <v>No usa</v>
      </c>
      <c r="AN318">
        <v>0</v>
      </c>
      <c r="AO318" t="str">
        <f t="shared" si="127"/>
        <v>No usa</v>
      </c>
      <c r="AP318">
        <v>0</v>
      </c>
      <c r="AQ318" t="str">
        <f t="shared" si="128"/>
        <v>No camina</v>
      </c>
      <c r="AR318">
        <v>0</v>
      </c>
      <c r="AS318" t="str">
        <f t="shared" si="129"/>
        <v>No es obeso</v>
      </c>
    </row>
    <row r="319" spans="1:45" x14ac:dyDescent="0.25">
      <c r="A319">
        <v>1</v>
      </c>
      <c r="B319" t="str">
        <f t="shared" si="104"/>
        <v>M</v>
      </c>
      <c r="C319">
        <v>18</v>
      </c>
      <c r="D319">
        <f t="shared" si="105"/>
        <v>18</v>
      </c>
      <c r="E319">
        <f t="shared" si="106"/>
        <v>18</v>
      </c>
      <c r="F319" t="str">
        <f t="shared" si="107"/>
        <v>1-25</v>
      </c>
      <c r="G319">
        <v>0</v>
      </c>
      <c r="H319" t="str">
        <f t="shared" si="108"/>
        <v>Pariente normal</v>
      </c>
      <c r="I319">
        <v>1</v>
      </c>
      <c r="J319" t="str">
        <f t="shared" si="109"/>
        <v>Hipercaloricos</v>
      </c>
      <c r="K319">
        <v>3</v>
      </c>
      <c r="L319">
        <f t="shared" si="110"/>
        <v>1</v>
      </c>
      <c r="M319" t="str">
        <f t="shared" si="111"/>
        <v>Suele comer</v>
      </c>
      <c r="N319">
        <v>4</v>
      </c>
      <c r="O319">
        <f t="shared" si="112"/>
        <v>2</v>
      </c>
      <c r="P319" t="str">
        <f t="shared" si="113"/>
        <v>Mas de 3</v>
      </c>
      <c r="Q319">
        <v>1</v>
      </c>
      <c r="R319" t="str">
        <f t="shared" si="114"/>
        <v>A veces</v>
      </c>
      <c r="S319">
        <v>0</v>
      </c>
      <c r="T319" t="str">
        <f t="shared" si="115"/>
        <v>No fuma</v>
      </c>
      <c r="U319">
        <v>2</v>
      </c>
      <c r="V319">
        <f t="shared" si="116"/>
        <v>2</v>
      </c>
      <c r="W319" t="str">
        <f t="shared" si="117"/>
        <v>Siempre</v>
      </c>
      <c r="X319">
        <v>0</v>
      </c>
      <c r="Y319" t="str">
        <f t="shared" si="118"/>
        <v>No controla</v>
      </c>
      <c r="Z319">
        <v>1</v>
      </c>
      <c r="AA319">
        <f t="shared" si="119"/>
        <v>1</v>
      </c>
      <c r="AB319" t="str">
        <f t="shared" si="120"/>
        <v>A veces</v>
      </c>
      <c r="AC319">
        <v>1</v>
      </c>
      <c r="AD319">
        <f t="shared" si="121"/>
        <v>1</v>
      </c>
      <c r="AE319" t="str">
        <f t="shared" si="122"/>
        <v>Usualmente</v>
      </c>
      <c r="AF319">
        <v>0</v>
      </c>
      <c r="AG319" t="str">
        <f t="shared" si="123"/>
        <v>Nunca</v>
      </c>
      <c r="AH319">
        <v>0</v>
      </c>
      <c r="AI319" t="str">
        <f t="shared" si="124"/>
        <v>No usa</v>
      </c>
      <c r="AJ319">
        <v>0</v>
      </c>
      <c r="AK319" t="str">
        <f t="shared" si="125"/>
        <v>No usa</v>
      </c>
      <c r="AL319">
        <v>0</v>
      </c>
      <c r="AM319" t="str">
        <f t="shared" si="126"/>
        <v>No usa</v>
      </c>
      <c r="AN319">
        <v>1</v>
      </c>
      <c r="AO319" t="str">
        <f t="shared" si="127"/>
        <v>Usa Transporte</v>
      </c>
      <c r="AP319">
        <v>0</v>
      </c>
      <c r="AQ319" t="str">
        <f t="shared" si="128"/>
        <v>No camina</v>
      </c>
      <c r="AR319">
        <v>0</v>
      </c>
      <c r="AS319" t="str">
        <f t="shared" si="129"/>
        <v>No es obeso</v>
      </c>
    </row>
    <row r="320" spans="1:45" x14ac:dyDescent="0.25">
      <c r="A320">
        <v>0</v>
      </c>
      <c r="B320" t="str">
        <f t="shared" si="104"/>
        <v>F</v>
      </c>
      <c r="C320">
        <v>25</v>
      </c>
      <c r="D320">
        <f t="shared" si="105"/>
        <v>25</v>
      </c>
      <c r="E320">
        <f t="shared" si="106"/>
        <v>25</v>
      </c>
      <c r="F320" t="str">
        <f t="shared" si="107"/>
        <v>1-25</v>
      </c>
      <c r="G320">
        <v>0</v>
      </c>
      <c r="H320" t="str">
        <f t="shared" si="108"/>
        <v>Pariente normal</v>
      </c>
      <c r="I320">
        <v>1</v>
      </c>
      <c r="J320" t="str">
        <f t="shared" si="109"/>
        <v>Hipercaloricos</v>
      </c>
      <c r="K320">
        <v>2</v>
      </c>
      <c r="L320">
        <f t="shared" si="110"/>
        <v>1</v>
      </c>
      <c r="M320" t="str">
        <f t="shared" si="111"/>
        <v>Suele comer</v>
      </c>
      <c r="N320">
        <v>3</v>
      </c>
      <c r="O320">
        <f t="shared" si="112"/>
        <v>2</v>
      </c>
      <c r="P320" t="str">
        <f t="shared" si="113"/>
        <v>Mas de 3</v>
      </c>
      <c r="Q320">
        <v>1</v>
      </c>
      <c r="R320" t="str">
        <f t="shared" si="114"/>
        <v>A veces</v>
      </c>
      <c r="S320">
        <v>0</v>
      </c>
      <c r="T320" t="str">
        <f t="shared" si="115"/>
        <v>No fuma</v>
      </c>
      <c r="U320">
        <v>1</v>
      </c>
      <c r="V320">
        <f t="shared" si="116"/>
        <v>1</v>
      </c>
      <c r="W320" t="str">
        <f t="shared" si="117"/>
        <v>Usualmente</v>
      </c>
      <c r="X320">
        <v>0</v>
      </c>
      <c r="Y320" t="str">
        <f t="shared" si="118"/>
        <v>No controla</v>
      </c>
      <c r="Z320">
        <v>0</v>
      </c>
      <c r="AA320">
        <f t="shared" si="119"/>
        <v>0</v>
      </c>
      <c r="AB320" t="str">
        <f t="shared" si="120"/>
        <v>Nunca</v>
      </c>
      <c r="AC320">
        <v>0</v>
      </c>
      <c r="AD320">
        <f t="shared" si="121"/>
        <v>0</v>
      </c>
      <c r="AE320" t="str">
        <f t="shared" si="122"/>
        <v>Nunca</v>
      </c>
      <c r="AF320">
        <v>1</v>
      </c>
      <c r="AG320" t="str">
        <f t="shared" si="123"/>
        <v>A veces</v>
      </c>
      <c r="AH320">
        <v>0</v>
      </c>
      <c r="AI320" t="str">
        <f t="shared" si="124"/>
        <v>No usa</v>
      </c>
      <c r="AJ320">
        <v>0</v>
      </c>
      <c r="AK320" t="str">
        <f t="shared" si="125"/>
        <v>No usa</v>
      </c>
      <c r="AL320">
        <v>0</v>
      </c>
      <c r="AM320" t="str">
        <f t="shared" si="126"/>
        <v>No usa</v>
      </c>
      <c r="AN320">
        <v>1</v>
      </c>
      <c r="AO320" t="str">
        <f t="shared" si="127"/>
        <v>Usa Transporte</v>
      </c>
      <c r="AP320">
        <v>0</v>
      </c>
      <c r="AQ320" t="str">
        <f t="shared" si="128"/>
        <v>No camina</v>
      </c>
      <c r="AR320">
        <v>0</v>
      </c>
      <c r="AS320" t="str">
        <f t="shared" si="129"/>
        <v>No es obeso</v>
      </c>
    </row>
    <row r="321" spans="1:45" x14ac:dyDescent="0.25">
      <c r="A321">
        <v>0</v>
      </c>
      <c r="B321" t="str">
        <f t="shared" si="104"/>
        <v>F</v>
      </c>
      <c r="C321">
        <v>27</v>
      </c>
      <c r="D321">
        <f t="shared" si="105"/>
        <v>27</v>
      </c>
      <c r="E321">
        <f t="shared" si="106"/>
        <v>27</v>
      </c>
      <c r="F321" t="str">
        <f t="shared" si="107"/>
        <v>25-50</v>
      </c>
      <c r="G321">
        <v>0</v>
      </c>
      <c r="H321" t="str">
        <f t="shared" si="108"/>
        <v>Pariente normal</v>
      </c>
      <c r="I321">
        <v>1</v>
      </c>
      <c r="J321" t="str">
        <f t="shared" si="109"/>
        <v>Hipercaloricos</v>
      </c>
      <c r="K321">
        <v>2</v>
      </c>
      <c r="L321">
        <f t="shared" si="110"/>
        <v>1</v>
      </c>
      <c r="M321" t="str">
        <f t="shared" si="111"/>
        <v>Suele comer</v>
      </c>
      <c r="N321">
        <v>3</v>
      </c>
      <c r="O321">
        <f t="shared" si="112"/>
        <v>2</v>
      </c>
      <c r="P321" t="str">
        <f t="shared" si="113"/>
        <v>Mas de 3</v>
      </c>
      <c r="Q321">
        <v>1</v>
      </c>
      <c r="R321" t="str">
        <f t="shared" si="114"/>
        <v>A veces</v>
      </c>
      <c r="S321">
        <v>0</v>
      </c>
      <c r="T321" t="str">
        <f t="shared" si="115"/>
        <v>No fuma</v>
      </c>
      <c r="U321">
        <v>1</v>
      </c>
      <c r="V321">
        <f t="shared" si="116"/>
        <v>1</v>
      </c>
      <c r="W321" t="str">
        <f t="shared" si="117"/>
        <v>Usualmente</v>
      </c>
      <c r="X321">
        <v>0</v>
      </c>
      <c r="Y321" t="str">
        <f t="shared" si="118"/>
        <v>No controla</v>
      </c>
      <c r="Z321">
        <v>0</v>
      </c>
      <c r="AA321">
        <f t="shared" si="119"/>
        <v>0</v>
      </c>
      <c r="AB321" t="str">
        <f t="shared" si="120"/>
        <v>Nunca</v>
      </c>
      <c r="AC321">
        <v>1</v>
      </c>
      <c r="AD321">
        <f t="shared" si="121"/>
        <v>1</v>
      </c>
      <c r="AE321" t="str">
        <f t="shared" si="122"/>
        <v>Usualmente</v>
      </c>
      <c r="AF321">
        <v>1</v>
      </c>
      <c r="AG321" t="str">
        <f t="shared" si="123"/>
        <v>A veces</v>
      </c>
      <c r="AH321">
        <v>1</v>
      </c>
      <c r="AI321" t="str">
        <f t="shared" si="124"/>
        <v>Usa auto</v>
      </c>
      <c r="AJ321">
        <v>0</v>
      </c>
      <c r="AK321" t="str">
        <f t="shared" si="125"/>
        <v>No usa</v>
      </c>
      <c r="AL321">
        <v>0</v>
      </c>
      <c r="AM321" t="str">
        <f t="shared" si="126"/>
        <v>No usa</v>
      </c>
      <c r="AN321">
        <v>0</v>
      </c>
      <c r="AO321" t="str">
        <f t="shared" si="127"/>
        <v>No usa</v>
      </c>
      <c r="AP321">
        <v>0</v>
      </c>
      <c r="AQ321" t="str">
        <f t="shared" si="128"/>
        <v>No camina</v>
      </c>
      <c r="AR321">
        <v>0</v>
      </c>
      <c r="AS321" t="str">
        <f t="shared" si="129"/>
        <v>No es obeso</v>
      </c>
    </row>
    <row r="322" spans="1:45" x14ac:dyDescent="0.25">
      <c r="A322">
        <v>1</v>
      </c>
      <c r="B322" t="str">
        <f t="shared" si="104"/>
        <v>M</v>
      </c>
      <c r="C322">
        <v>21</v>
      </c>
      <c r="D322">
        <f t="shared" si="105"/>
        <v>21</v>
      </c>
      <c r="E322">
        <f t="shared" si="106"/>
        <v>21</v>
      </c>
      <c r="F322" t="str">
        <f t="shared" si="107"/>
        <v>1-25</v>
      </c>
      <c r="G322">
        <v>1</v>
      </c>
      <c r="H322" t="str">
        <f t="shared" si="108"/>
        <v>Pariente gordo</v>
      </c>
      <c r="I322">
        <v>1</v>
      </c>
      <c r="J322" t="str">
        <f t="shared" si="109"/>
        <v>Hipercaloricos</v>
      </c>
      <c r="K322">
        <v>3</v>
      </c>
      <c r="L322">
        <f t="shared" si="110"/>
        <v>1</v>
      </c>
      <c r="M322" t="str">
        <f t="shared" si="111"/>
        <v>Suele comer</v>
      </c>
      <c r="N322">
        <v>1</v>
      </c>
      <c r="O322">
        <f t="shared" si="112"/>
        <v>1</v>
      </c>
      <c r="P322">
        <f t="shared" si="113"/>
        <v>3</v>
      </c>
      <c r="Q322">
        <v>3</v>
      </c>
      <c r="R322" t="str">
        <f t="shared" si="114"/>
        <v>Siempre</v>
      </c>
      <c r="S322">
        <v>0</v>
      </c>
      <c r="T322" t="str">
        <f t="shared" si="115"/>
        <v>No fuma</v>
      </c>
      <c r="U322">
        <v>2</v>
      </c>
      <c r="V322">
        <f t="shared" si="116"/>
        <v>2</v>
      </c>
      <c r="W322" t="str">
        <f t="shared" si="117"/>
        <v>Siempre</v>
      </c>
      <c r="X322">
        <v>0</v>
      </c>
      <c r="Y322" t="str">
        <f t="shared" si="118"/>
        <v>No controla</v>
      </c>
      <c r="Z322">
        <v>1</v>
      </c>
      <c r="AA322">
        <f t="shared" si="119"/>
        <v>1</v>
      </c>
      <c r="AB322" t="str">
        <f t="shared" si="120"/>
        <v>A veces</v>
      </c>
      <c r="AC322">
        <v>1</v>
      </c>
      <c r="AD322">
        <f t="shared" si="121"/>
        <v>1</v>
      </c>
      <c r="AE322" t="str">
        <f t="shared" si="122"/>
        <v>Usualmente</v>
      </c>
      <c r="AF322">
        <v>0</v>
      </c>
      <c r="AG322" t="str">
        <f t="shared" si="123"/>
        <v>Nunca</v>
      </c>
      <c r="AH322">
        <v>0</v>
      </c>
      <c r="AI322" t="str">
        <f t="shared" si="124"/>
        <v>No usa</v>
      </c>
      <c r="AJ322">
        <v>0</v>
      </c>
      <c r="AK322" t="str">
        <f t="shared" si="125"/>
        <v>No usa</v>
      </c>
      <c r="AL322">
        <v>0</v>
      </c>
      <c r="AM322" t="str">
        <f t="shared" si="126"/>
        <v>No usa</v>
      </c>
      <c r="AN322">
        <v>1</v>
      </c>
      <c r="AO322" t="str">
        <f t="shared" si="127"/>
        <v>Usa Transporte</v>
      </c>
      <c r="AP322">
        <v>0</v>
      </c>
      <c r="AQ322" t="str">
        <f t="shared" si="128"/>
        <v>No camina</v>
      </c>
      <c r="AR322">
        <v>0</v>
      </c>
      <c r="AS322" t="str">
        <f t="shared" si="129"/>
        <v>No es obeso</v>
      </c>
    </row>
    <row r="323" spans="1:45" x14ac:dyDescent="0.25">
      <c r="A323">
        <v>1</v>
      </c>
      <c r="B323" t="str">
        <f t="shared" ref="B323:B386" si="130">IF(A323=1,"M","F")</f>
        <v>M</v>
      </c>
      <c r="C323">
        <v>38</v>
      </c>
      <c r="D323">
        <f t="shared" ref="D323:D386" si="131">IF(C323&lt;100,C323,ROUNDDOWN((C323/1000)/365,0))</f>
        <v>38</v>
      </c>
      <c r="E323">
        <f t="shared" ref="E323:E386" si="132">IF(AND(D323&gt;1,D323&lt;=100),D323,IF(D323&gt;100,100,5))</f>
        <v>38</v>
      </c>
      <c r="F323" t="str">
        <f t="shared" ref="F323:F386" si="133">IF(AND(E323&gt;=1,E323&lt;=25),"1-25",IF(AND(E323&gt;25,E323&lt;=50),"25-50",IF(AND(E323&gt;50,E323&lt;=75),"50-75","75-100")))</f>
        <v>25-50</v>
      </c>
      <c r="G323">
        <v>1</v>
      </c>
      <c r="H323" t="str">
        <f t="shared" ref="H323:H386" si="134">IF(G323=1,"Pariente gordo","Pariente normal")</f>
        <v>Pariente gordo</v>
      </c>
      <c r="I323">
        <v>0</v>
      </c>
      <c r="J323" t="str">
        <f t="shared" ref="J323:J386" si="135">IF(I323=1,"Hipercaloricos","Saludables")</f>
        <v>Saludables</v>
      </c>
      <c r="K323">
        <v>3</v>
      </c>
      <c r="L323">
        <f t="shared" ref="L323:L386" si="136">IF(AND(K323&gt;=1,K323&lt;=3),1,IF(AND(K323&gt;3,K323&lt;3000000),1))</f>
        <v>1</v>
      </c>
      <c r="M323" t="str">
        <f t="shared" ref="M323:M386" si="137">IF(L323=1,"Suele comer","No come")</f>
        <v>Suele comer</v>
      </c>
      <c r="N323">
        <v>3</v>
      </c>
      <c r="O323">
        <f t="shared" ref="O323:O386" si="138">IF(N323=1,N323,IF(AND(N323&gt;=2,N323&lt;4000000),2))</f>
        <v>2</v>
      </c>
      <c r="P323" t="str">
        <f t="shared" ref="P323:P386" si="139">IF(O323=0,"1-2",IF(O323=1,3,"Mas de 3"))</f>
        <v>Mas de 3</v>
      </c>
      <c r="Q323">
        <v>2</v>
      </c>
      <c r="R323" t="str">
        <f t="shared" ref="R323:R386" si="140">IF(Q323=0,"Nunca",IF(Q323=1,"A veces",IF(Q323=2,"Usualmente","Siempre")))</f>
        <v>Usualmente</v>
      </c>
      <c r="S323">
        <v>0</v>
      </c>
      <c r="T323" t="str">
        <f t="shared" ref="T323:T386" si="141">IF(S323=1,"Fuma","No fuma")</f>
        <v>No fuma</v>
      </c>
      <c r="U323">
        <v>1</v>
      </c>
      <c r="V323">
        <f t="shared" ref="V323:V386" si="142">IF(U323=1,U323,IF(U323=2,U323,IF(AND(U323&gt;=3,U323&lt;3000000),2)))</f>
        <v>1</v>
      </c>
      <c r="W323" t="str">
        <f t="shared" ref="W323:W386" si="143">IF(V323=0,"Nunca",IF(V323=1,"Usualmente","Siempre"))</f>
        <v>Usualmente</v>
      </c>
      <c r="X323">
        <v>0</v>
      </c>
      <c r="Y323" t="str">
        <f t="shared" ref="Y323:Y386" si="144">IF(X323=1,"Controla","No controla")</f>
        <v>No controla</v>
      </c>
      <c r="Z323">
        <v>3</v>
      </c>
      <c r="AA323">
        <f t="shared" ref="AA323:AA386" si="145">IF(Z323=0,Z323,IF(Z323=1,Z323,IF(Z323=2,Z323,IF(Z323=3,Z323,IF(AND(Z323&gt;3,Z323&lt;300000),2,IF(AND(Z323&gt;300000,Z323&lt;3000000),3,IF(AND(Z323&gt;0,Z323&lt;1),0)))))))</f>
        <v>3</v>
      </c>
      <c r="AB323" t="str">
        <f t="shared" ref="AB323:AB386" si="146">IF(AA323=0,"Nunca",IF(AA323=1,"A veces",IF(AA323=2,"Usualmente","Siempre")))</f>
        <v>Siempre</v>
      </c>
      <c r="AC323">
        <v>1</v>
      </c>
      <c r="AD323">
        <f t="shared" ref="AD323:AD386" si="147">IF(AC323= 0,AC323,IF(AC323=1,AC323,IF(AC323=2,AC323,IF(AND(AC323&gt;2,AC323&lt;200000),1,IF(AND(AC323&gt;200000,AC323&lt;2000000),2,IF(AND(AC323&gt;0,AC323&lt;1),0))))))</f>
        <v>1</v>
      </c>
      <c r="AE323" t="str">
        <f t="shared" ref="AE323:AE386" si="148">IF(AD323=0,"Nunca",IF(AD323=1,"Usualmente","Siempre"))</f>
        <v>Usualmente</v>
      </c>
      <c r="AF323">
        <v>0</v>
      </c>
      <c r="AG323" t="str">
        <f t="shared" ref="AG323:AG386" si="149">IF(AF323=0,"Nunca",IF(AF323=1,"A veces",IF(AF323=2,"Usualmente","Siempre")))</f>
        <v>Nunca</v>
      </c>
      <c r="AH323">
        <v>1</v>
      </c>
      <c r="AI323" t="str">
        <f t="shared" ref="AI323:AI386" si="150">IF(AH323=1,"Usa auto","No usa")</f>
        <v>Usa auto</v>
      </c>
      <c r="AJ323">
        <v>0</v>
      </c>
      <c r="AK323" t="str">
        <f t="shared" ref="AK323:AK386" si="151">IF(AJ323=1,"Usa Bici","No usa")</f>
        <v>No usa</v>
      </c>
      <c r="AL323">
        <v>0</v>
      </c>
      <c r="AM323" t="str">
        <f t="shared" ref="AM323:AM386" si="152">IF(AL323=1,"Usa Moto","No usa")</f>
        <v>No usa</v>
      </c>
      <c r="AN323">
        <v>0</v>
      </c>
      <c r="AO323" t="str">
        <f t="shared" ref="AO323:AO386" si="153">IF(AN323=1,"Usa Transporte","No usa")</f>
        <v>No usa</v>
      </c>
      <c r="AP323">
        <v>0</v>
      </c>
      <c r="AQ323" t="str">
        <f t="shared" ref="AQ323:AQ386" si="154">IF(AP323=1,"Camina","No camina")</f>
        <v>No camina</v>
      </c>
      <c r="AR323">
        <v>0</v>
      </c>
      <c r="AS323" t="str">
        <f t="shared" ref="AS323:AS386" si="155">IF(AR323=1,"Es Obeso","No es obeso")</f>
        <v>No es obeso</v>
      </c>
    </row>
    <row r="324" spans="1:45" x14ac:dyDescent="0.25">
      <c r="A324">
        <v>0</v>
      </c>
      <c r="B324" t="str">
        <f t="shared" si="130"/>
        <v>F</v>
      </c>
      <c r="C324">
        <v>23</v>
      </c>
      <c r="D324">
        <f t="shared" si="131"/>
        <v>23</v>
      </c>
      <c r="E324">
        <f t="shared" si="132"/>
        <v>23</v>
      </c>
      <c r="F324" t="str">
        <f t="shared" si="133"/>
        <v>1-25</v>
      </c>
      <c r="G324">
        <v>0</v>
      </c>
      <c r="H324" t="str">
        <f t="shared" si="134"/>
        <v>Pariente normal</v>
      </c>
      <c r="I324">
        <v>0</v>
      </c>
      <c r="J324" t="str">
        <f t="shared" si="135"/>
        <v>Saludables</v>
      </c>
      <c r="K324">
        <v>3</v>
      </c>
      <c r="L324">
        <f t="shared" si="136"/>
        <v>1</v>
      </c>
      <c r="M324" t="str">
        <f t="shared" si="137"/>
        <v>Suele comer</v>
      </c>
      <c r="N324">
        <v>3</v>
      </c>
      <c r="O324">
        <f t="shared" si="138"/>
        <v>2</v>
      </c>
      <c r="P324" t="str">
        <f t="shared" si="139"/>
        <v>Mas de 3</v>
      </c>
      <c r="Q324">
        <v>2</v>
      </c>
      <c r="R324" t="str">
        <f t="shared" si="140"/>
        <v>Usualmente</v>
      </c>
      <c r="S324">
        <v>0</v>
      </c>
      <c r="T324" t="str">
        <f t="shared" si="141"/>
        <v>No fuma</v>
      </c>
      <c r="U324">
        <v>2</v>
      </c>
      <c r="V324">
        <f t="shared" si="142"/>
        <v>2</v>
      </c>
      <c r="W324" t="str">
        <f t="shared" si="143"/>
        <v>Siempre</v>
      </c>
      <c r="X324">
        <v>0</v>
      </c>
      <c r="Y324" t="str">
        <f t="shared" si="144"/>
        <v>No controla</v>
      </c>
      <c r="Z324">
        <v>2</v>
      </c>
      <c r="AA324">
        <f t="shared" si="145"/>
        <v>2</v>
      </c>
      <c r="AB324" t="str">
        <f t="shared" si="146"/>
        <v>Usualmente</v>
      </c>
      <c r="AC324">
        <v>0</v>
      </c>
      <c r="AD324">
        <f t="shared" si="147"/>
        <v>0</v>
      </c>
      <c r="AE324" t="str">
        <f t="shared" si="148"/>
        <v>Nunca</v>
      </c>
      <c r="AF324">
        <v>1</v>
      </c>
      <c r="AG324" t="str">
        <f t="shared" si="149"/>
        <v>A veces</v>
      </c>
      <c r="AH324">
        <v>0</v>
      </c>
      <c r="AI324" t="str">
        <f t="shared" si="150"/>
        <v>No usa</v>
      </c>
      <c r="AJ324">
        <v>0</v>
      </c>
      <c r="AK324" t="str">
        <f t="shared" si="151"/>
        <v>No usa</v>
      </c>
      <c r="AL324">
        <v>0</v>
      </c>
      <c r="AM324" t="str">
        <f t="shared" si="152"/>
        <v>No usa</v>
      </c>
      <c r="AN324">
        <v>1</v>
      </c>
      <c r="AO324" t="str">
        <f t="shared" si="153"/>
        <v>Usa Transporte</v>
      </c>
      <c r="AP324">
        <v>0</v>
      </c>
      <c r="AQ324" t="str">
        <f t="shared" si="154"/>
        <v>No camina</v>
      </c>
      <c r="AR324">
        <v>0</v>
      </c>
      <c r="AS324" t="str">
        <f t="shared" si="155"/>
        <v>No es obeso</v>
      </c>
    </row>
    <row r="325" spans="1:45" x14ac:dyDescent="0.25">
      <c r="A325">
        <v>1</v>
      </c>
      <c r="B325" t="str">
        <f t="shared" si="130"/>
        <v>M</v>
      </c>
      <c r="C325">
        <v>18</v>
      </c>
      <c r="D325">
        <f t="shared" si="131"/>
        <v>18</v>
      </c>
      <c r="E325">
        <f t="shared" si="132"/>
        <v>18</v>
      </c>
      <c r="F325" t="str">
        <f t="shared" si="133"/>
        <v>1-25</v>
      </c>
      <c r="G325">
        <v>1</v>
      </c>
      <c r="H325" t="str">
        <f t="shared" si="134"/>
        <v>Pariente gordo</v>
      </c>
      <c r="I325">
        <v>1</v>
      </c>
      <c r="J325" t="str">
        <f t="shared" si="135"/>
        <v>Hipercaloricos</v>
      </c>
      <c r="K325">
        <v>2</v>
      </c>
      <c r="L325">
        <f t="shared" si="136"/>
        <v>1</v>
      </c>
      <c r="M325" t="str">
        <f t="shared" si="137"/>
        <v>Suele comer</v>
      </c>
      <c r="N325">
        <v>3</v>
      </c>
      <c r="O325">
        <f t="shared" si="138"/>
        <v>2</v>
      </c>
      <c r="P325" t="str">
        <f t="shared" si="139"/>
        <v>Mas de 3</v>
      </c>
      <c r="Q325">
        <v>1</v>
      </c>
      <c r="R325" t="str">
        <f t="shared" si="140"/>
        <v>A veces</v>
      </c>
      <c r="S325">
        <v>0</v>
      </c>
      <c r="T325" t="str">
        <f t="shared" si="141"/>
        <v>No fuma</v>
      </c>
      <c r="U325">
        <v>2</v>
      </c>
      <c r="V325">
        <f t="shared" si="142"/>
        <v>2</v>
      </c>
      <c r="W325" t="str">
        <f t="shared" si="143"/>
        <v>Siempre</v>
      </c>
      <c r="X325">
        <v>0</v>
      </c>
      <c r="Y325" t="str">
        <f t="shared" si="144"/>
        <v>No controla</v>
      </c>
      <c r="Z325">
        <v>3</v>
      </c>
      <c r="AA325">
        <f t="shared" si="145"/>
        <v>3</v>
      </c>
      <c r="AB325" t="str">
        <f t="shared" si="146"/>
        <v>Siempre</v>
      </c>
      <c r="AC325">
        <v>0</v>
      </c>
      <c r="AD325">
        <f t="shared" si="147"/>
        <v>0</v>
      </c>
      <c r="AE325" t="str">
        <f t="shared" si="148"/>
        <v>Nunca</v>
      </c>
      <c r="AF325">
        <v>1</v>
      </c>
      <c r="AG325" t="str">
        <f t="shared" si="149"/>
        <v>A veces</v>
      </c>
      <c r="AH325">
        <v>1</v>
      </c>
      <c r="AI325" t="str">
        <f t="shared" si="150"/>
        <v>Usa auto</v>
      </c>
      <c r="AJ325">
        <v>0</v>
      </c>
      <c r="AK325" t="str">
        <f t="shared" si="151"/>
        <v>No usa</v>
      </c>
      <c r="AL325">
        <v>0</v>
      </c>
      <c r="AM325" t="str">
        <f t="shared" si="152"/>
        <v>No usa</v>
      </c>
      <c r="AN325">
        <v>0</v>
      </c>
      <c r="AO325" t="str">
        <f t="shared" si="153"/>
        <v>No usa</v>
      </c>
      <c r="AP325">
        <v>0</v>
      </c>
      <c r="AQ325" t="str">
        <f t="shared" si="154"/>
        <v>No camina</v>
      </c>
      <c r="AR325">
        <v>0</v>
      </c>
      <c r="AS325" t="str">
        <f t="shared" si="155"/>
        <v>No es obeso</v>
      </c>
    </row>
    <row r="326" spans="1:45" x14ac:dyDescent="0.25">
      <c r="A326">
        <v>0</v>
      </c>
      <c r="B326" t="str">
        <f t="shared" si="130"/>
        <v>F</v>
      </c>
      <c r="C326">
        <v>30</v>
      </c>
      <c r="D326">
        <f t="shared" si="131"/>
        <v>30</v>
      </c>
      <c r="E326">
        <f t="shared" si="132"/>
        <v>30</v>
      </c>
      <c r="F326" t="str">
        <f t="shared" si="133"/>
        <v>25-50</v>
      </c>
      <c r="G326">
        <v>1</v>
      </c>
      <c r="H326" t="str">
        <f t="shared" si="134"/>
        <v>Pariente gordo</v>
      </c>
      <c r="I326">
        <v>1</v>
      </c>
      <c r="J326" t="str">
        <f t="shared" si="135"/>
        <v>Hipercaloricos</v>
      </c>
      <c r="K326">
        <v>2</v>
      </c>
      <c r="L326">
        <f t="shared" si="136"/>
        <v>1</v>
      </c>
      <c r="M326" t="str">
        <f t="shared" si="137"/>
        <v>Suele comer</v>
      </c>
      <c r="N326">
        <v>3</v>
      </c>
      <c r="O326">
        <f t="shared" si="138"/>
        <v>2</v>
      </c>
      <c r="P326" t="str">
        <f t="shared" si="139"/>
        <v>Mas de 3</v>
      </c>
      <c r="Q326">
        <v>1</v>
      </c>
      <c r="R326" t="str">
        <f t="shared" si="140"/>
        <v>A veces</v>
      </c>
      <c r="S326">
        <v>0</v>
      </c>
      <c r="T326" t="str">
        <f t="shared" si="141"/>
        <v>No fuma</v>
      </c>
      <c r="U326">
        <v>1</v>
      </c>
      <c r="V326">
        <f t="shared" si="142"/>
        <v>1</v>
      </c>
      <c r="W326" t="str">
        <f t="shared" si="143"/>
        <v>Usualmente</v>
      </c>
      <c r="X326">
        <v>0</v>
      </c>
      <c r="Y326" t="str">
        <f t="shared" si="144"/>
        <v>No controla</v>
      </c>
      <c r="Z326">
        <v>0</v>
      </c>
      <c r="AA326">
        <f t="shared" si="145"/>
        <v>0</v>
      </c>
      <c r="AB326" t="str">
        <f t="shared" si="146"/>
        <v>Nunca</v>
      </c>
      <c r="AC326">
        <v>0</v>
      </c>
      <c r="AD326">
        <f t="shared" si="147"/>
        <v>0</v>
      </c>
      <c r="AE326" t="str">
        <f t="shared" si="148"/>
        <v>Nunca</v>
      </c>
      <c r="AF326">
        <v>1</v>
      </c>
      <c r="AG326" t="str">
        <f t="shared" si="149"/>
        <v>A veces</v>
      </c>
      <c r="AH326">
        <v>0</v>
      </c>
      <c r="AI326" t="str">
        <f t="shared" si="150"/>
        <v>No usa</v>
      </c>
      <c r="AJ326">
        <v>0</v>
      </c>
      <c r="AK326" t="str">
        <f t="shared" si="151"/>
        <v>No usa</v>
      </c>
      <c r="AL326">
        <v>0</v>
      </c>
      <c r="AM326" t="str">
        <f t="shared" si="152"/>
        <v>No usa</v>
      </c>
      <c r="AN326">
        <v>1</v>
      </c>
      <c r="AO326" t="str">
        <f t="shared" si="153"/>
        <v>Usa Transporte</v>
      </c>
      <c r="AP326">
        <v>0</v>
      </c>
      <c r="AQ326" t="str">
        <f t="shared" si="154"/>
        <v>No camina</v>
      </c>
      <c r="AR326">
        <v>0</v>
      </c>
      <c r="AS326" t="str">
        <f t="shared" si="155"/>
        <v>No es obeso</v>
      </c>
    </row>
    <row r="327" spans="1:45" x14ac:dyDescent="0.25">
      <c r="A327">
        <v>0</v>
      </c>
      <c r="B327" t="str">
        <f t="shared" si="130"/>
        <v>F</v>
      </c>
      <c r="C327">
        <v>21</v>
      </c>
      <c r="D327">
        <f t="shared" si="131"/>
        <v>21</v>
      </c>
      <c r="E327">
        <f t="shared" si="132"/>
        <v>21</v>
      </c>
      <c r="F327" t="str">
        <f t="shared" si="133"/>
        <v>1-25</v>
      </c>
      <c r="G327">
        <v>0</v>
      </c>
      <c r="H327" t="str">
        <f t="shared" si="134"/>
        <v>Pariente normal</v>
      </c>
      <c r="I327">
        <v>1</v>
      </c>
      <c r="J327" t="str">
        <f t="shared" si="135"/>
        <v>Hipercaloricos</v>
      </c>
      <c r="K327">
        <v>2</v>
      </c>
      <c r="L327">
        <f t="shared" si="136"/>
        <v>1</v>
      </c>
      <c r="M327" t="str">
        <f t="shared" si="137"/>
        <v>Suele comer</v>
      </c>
      <c r="N327">
        <v>1</v>
      </c>
      <c r="O327">
        <f t="shared" si="138"/>
        <v>1</v>
      </c>
      <c r="P327">
        <f t="shared" si="139"/>
        <v>3</v>
      </c>
      <c r="Q327">
        <v>1</v>
      </c>
      <c r="R327" t="str">
        <f t="shared" si="140"/>
        <v>A veces</v>
      </c>
      <c r="S327">
        <v>0</v>
      </c>
      <c r="T327" t="str">
        <f t="shared" si="141"/>
        <v>No fuma</v>
      </c>
      <c r="U327">
        <v>1</v>
      </c>
      <c r="V327">
        <f t="shared" si="142"/>
        <v>1</v>
      </c>
      <c r="W327" t="str">
        <f t="shared" si="143"/>
        <v>Usualmente</v>
      </c>
      <c r="X327">
        <v>0</v>
      </c>
      <c r="Y327" t="str">
        <f t="shared" si="144"/>
        <v>No controla</v>
      </c>
      <c r="Z327">
        <v>1</v>
      </c>
      <c r="AA327">
        <f t="shared" si="145"/>
        <v>1</v>
      </c>
      <c r="AB327" t="str">
        <f t="shared" si="146"/>
        <v>A veces</v>
      </c>
      <c r="AC327">
        <v>0</v>
      </c>
      <c r="AD327">
        <f t="shared" si="147"/>
        <v>0</v>
      </c>
      <c r="AE327" t="str">
        <f t="shared" si="148"/>
        <v>Nunca</v>
      </c>
      <c r="AF327">
        <v>1</v>
      </c>
      <c r="AG327" t="str">
        <f t="shared" si="149"/>
        <v>A veces</v>
      </c>
      <c r="AH327">
        <v>0</v>
      </c>
      <c r="AI327" t="str">
        <f t="shared" si="150"/>
        <v>No usa</v>
      </c>
      <c r="AJ327">
        <v>0</v>
      </c>
      <c r="AK327" t="str">
        <f t="shared" si="151"/>
        <v>No usa</v>
      </c>
      <c r="AL327">
        <v>0</v>
      </c>
      <c r="AM327" t="str">
        <f t="shared" si="152"/>
        <v>No usa</v>
      </c>
      <c r="AN327">
        <v>1</v>
      </c>
      <c r="AO327" t="str">
        <f t="shared" si="153"/>
        <v>Usa Transporte</v>
      </c>
      <c r="AP327">
        <v>0</v>
      </c>
      <c r="AQ327" t="str">
        <f t="shared" si="154"/>
        <v>No camina</v>
      </c>
      <c r="AR327">
        <v>0</v>
      </c>
      <c r="AS327" t="str">
        <f t="shared" si="155"/>
        <v>No es obeso</v>
      </c>
    </row>
    <row r="328" spans="1:45" x14ac:dyDescent="0.25">
      <c r="A328">
        <v>1</v>
      </c>
      <c r="B328" t="str">
        <f t="shared" si="130"/>
        <v>M</v>
      </c>
      <c r="C328">
        <v>18</v>
      </c>
      <c r="D328">
        <f t="shared" si="131"/>
        <v>18</v>
      </c>
      <c r="E328">
        <f t="shared" si="132"/>
        <v>18</v>
      </c>
      <c r="F328" t="str">
        <f t="shared" si="133"/>
        <v>1-25</v>
      </c>
      <c r="G328">
        <v>1</v>
      </c>
      <c r="H328" t="str">
        <f t="shared" si="134"/>
        <v>Pariente gordo</v>
      </c>
      <c r="I328">
        <v>1</v>
      </c>
      <c r="J328" t="str">
        <f t="shared" si="135"/>
        <v>Hipercaloricos</v>
      </c>
      <c r="K328">
        <v>3</v>
      </c>
      <c r="L328">
        <f t="shared" si="136"/>
        <v>1</v>
      </c>
      <c r="M328" t="str">
        <f t="shared" si="137"/>
        <v>Suele comer</v>
      </c>
      <c r="N328">
        <v>3</v>
      </c>
      <c r="O328">
        <f t="shared" si="138"/>
        <v>2</v>
      </c>
      <c r="P328" t="str">
        <f t="shared" si="139"/>
        <v>Mas de 3</v>
      </c>
      <c r="Q328">
        <v>1</v>
      </c>
      <c r="R328" t="str">
        <f t="shared" si="140"/>
        <v>A veces</v>
      </c>
      <c r="S328">
        <v>0</v>
      </c>
      <c r="T328" t="str">
        <f t="shared" si="141"/>
        <v>No fuma</v>
      </c>
      <c r="U328">
        <v>2</v>
      </c>
      <c r="V328">
        <f t="shared" si="142"/>
        <v>2</v>
      </c>
      <c r="W328" t="str">
        <f t="shared" si="143"/>
        <v>Siempre</v>
      </c>
      <c r="X328">
        <v>0</v>
      </c>
      <c r="Y328" t="str">
        <f t="shared" si="144"/>
        <v>No controla</v>
      </c>
      <c r="Z328">
        <v>3</v>
      </c>
      <c r="AA328">
        <f t="shared" si="145"/>
        <v>3</v>
      </c>
      <c r="AB328" t="str">
        <f t="shared" si="146"/>
        <v>Siempre</v>
      </c>
      <c r="AC328">
        <v>0</v>
      </c>
      <c r="AD328">
        <f t="shared" si="147"/>
        <v>0</v>
      </c>
      <c r="AE328" t="str">
        <f t="shared" si="148"/>
        <v>Nunca</v>
      </c>
      <c r="AF328">
        <v>1</v>
      </c>
      <c r="AG328" t="str">
        <f t="shared" si="149"/>
        <v>A veces</v>
      </c>
      <c r="AH328">
        <v>0</v>
      </c>
      <c r="AI328" t="str">
        <f t="shared" si="150"/>
        <v>No usa</v>
      </c>
      <c r="AJ328">
        <v>0</v>
      </c>
      <c r="AK328" t="str">
        <f t="shared" si="151"/>
        <v>No usa</v>
      </c>
      <c r="AL328">
        <v>0</v>
      </c>
      <c r="AM328" t="str">
        <f t="shared" si="152"/>
        <v>No usa</v>
      </c>
      <c r="AN328">
        <v>1</v>
      </c>
      <c r="AO328" t="str">
        <f t="shared" si="153"/>
        <v>Usa Transporte</v>
      </c>
      <c r="AP328">
        <v>0</v>
      </c>
      <c r="AQ328" t="str">
        <f t="shared" si="154"/>
        <v>No camina</v>
      </c>
      <c r="AR328">
        <v>0</v>
      </c>
      <c r="AS328" t="str">
        <f t="shared" si="155"/>
        <v>No es obeso</v>
      </c>
    </row>
    <row r="329" spans="1:45" x14ac:dyDescent="0.25">
      <c r="A329">
        <v>1</v>
      </c>
      <c r="B329" t="str">
        <f t="shared" si="130"/>
        <v>M</v>
      </c>
      <c r="C329">
        <v>23</v>
      </c>
      <c r="D329">
        <f t="shared" si="131"/>
        <v>23</v>
      </c>
      <c r="E329">
        <f t="shared" si="132"/>
        <v>23</v>
      </c>
      <c r="F329" t="str">
        <f t="shared" si="133"/>
        <v>1-25</v>
      </c>
      <c r="G329">
        <v>1</v>
      </c>
      <c r="H329" t="str">
        <f t="shared" si="134"/>
        <v>Pariente gordo</v>
      </c>
      <c r="I329">
        <v>0</v>
      </c>
      <c r="J329" t="str">
        <f t="shared" si="135"/>
        <v>Saludables</v>
      </c>
      <c r="K329">
        <v>3</v>
      </c>
      <c r="L329">
        <f t="shared" si="136"/>
        <v>1</v>
      </c>
      <c r="M329" t="str">
        <f t="shared" si="137"/>
        <v>Suele comer</v>
      </c>
      <c r="N329">
        <v>4</v>
      </c>
      <c r="O329">
        <f t="shared" si="138"/>
        <v>2</v>
      </c>
      <c r="P329" t="str">
        <f t="shared" si="139"/>
        <v>Mas de 3</v>
      </c>
      <c r="Q329">
        <v>2</v>
      </c>
      <c r="R329" t="str">
        <f t="shared" si="140"/>
        <v>Usualmente</v>
      </c>
      <c r="S329">
        <v>0</v>
      </c>
      <c r="T329" t="str">
        <f t="shared" si="141"/>
        <v>No fuma</v>
      </c>
      <c r="U329">
        <v>1</v>
      </c>
      <c r="V329">
        <f t="shared" si="142"/>
        <v>1</v>
      </c>
      <c r="W329" t="str">
        <f t="shared" si="143"/>
        <v>Usualmente</v>
      </c>
      <c r="X329">
        <v>0</v>
      </c>
      <c r="Y329" t="str">
        <f t="shared" si="144"/>
        <v>No controla</v>
      </c>
      <c r="Z329">
        <v>0</v>
      </c>
      <c r="AA329">
        <f t="shared" si="145"/>
        <v>0</v>
      </c>
      <c r="AB329" t="str">
        <f t="shared" si="146"/>
        <v>Nunca</v>
      </c>
      <c r="AC329">
        <v>0</v>
      </c>
      <c r="AD329">
        <f t="shared" si="147"/>
        <v>0</v>
      </c>
      <c r="AE329" t="str">
        <f t="shared" si="148"/>
        <v>Nunca</v>
      </c>
      <c r="AF329">
        <v>1</v>
      </c>
      <c r="AG329" t="str">
        <f t="shared" si="149"/>
        <v>A veces</v>
      </c>
      <c r="AH329">
        <v>0</v>
      </c>
      <c r="AI329" t="str">
        <f t="shared" si="150"/>
        <v>No usa</v>
      </c>
      <c r="AJ329">
        <v>0</v>
      </c>
      <c r="AK329" t="str">
        <f t="shared" si="151"/>
        <v>No usa</v>
      </c>
      <c r="AL329">
        <v>0</v>
      </c>
      <c r="AM329" t="str">
        <f t="shared" si="152"/>
        <v>No usa</v>
      </c>
      <c r="AN329">
        <v>1</v>
      </c>
      <c r="AO329" t="str">
        <f t="shared" si="153"/>
        <v>Usa Transporte</v>
      </c>
      <c r="AP329">
        <v>0</v>
      </c>
      <c r="AQ329" t="str">
        <f t="shared" si="154"/>
        <v>No camina</v>
      </c>
      <c r="AR329">
        <v>0</v>
      </c>
      <c r="AS329" t="str">
        <f t="shared" si="155"/>
        <v>No es obeso</v>
      </c>
    </row>
    <row r="330" spans="1:45" x14ac:dyDescent="0.25">
      <c r="A330">
        <v>1</v>
      </c>
      <c r="B330" t="str">
        <f t="shared" si="130"/>
        <v>M</v>
      </c>
      <c r="C330">
        <v>19</v>
      </c>
      <c r="D330">
        <f t="shared" si="131"/>
        <v>19</v>
      </c>
      <c r="E330">
        <f t="shared" si="132"/>
        <v>19</v>
      </c>
      <c r="F330" t="str">
        <f t="shared" si="133"/>
        <v>1-25</v>
      </c>
      <c r="G330">
        <v>1</v>
      </c>
      <c r="H330" t="str">
        <f t="shared" si="134"/>
        <v>Pariente gordo</v>
      </c>
      <c r="I330">
        <v>0</v>
      </c>
      <c r="J330" t="str">
        <f t="shared" si="135"/>
        <v>Saludables</v>
      </c>
      <c r="K330">
        <v>3</v>
      </c>
      <c r="L330">
        <f t="shared" si="136"/>
        <v>1</v>
      </c>
      <c r="M330" t="str">
        <f t="shared" si="137"/>
        <v>Suele comer</v>
      </c>
      <c r="N330">
        <v>1</v>
      </c>
      <c r="O330">
        <f t="shared" si="138"/>
        <v>1</v>
      </c>
      <c r="P330">
        <f t="shared" si="139"/>
        <v>3</v>
      </c>
      <c r="Q330">
        <v>1</v>
      </c>
      <c r="R330" t="str">
        <f t="shared" si="140"/>
        <v>A veces</v>
      </c>
      <c r="S330">
        <v>0</v>
      </c>
      <c r="T330" t="str">
        <f t="shared" si="141"/>
        <v>No fuma</v>
      </c>
      <c r="U330">
        <v>3</v>
      </c>
      <c r="V330">
        <f t="shared" si="142"/>
        <v>2</v>
      </c>
      <c r="W330" t="str">
        <f t="shared" si="143"/>
        <v>Siempre</v>
      </c>
      <c r="X330">
        <v>0</v>
      </c>
      <c r="Y330" t="str">
        <f t="shared" si="144"/>
        <v>No controla</v>
      </c>
      <c r="Z330">
        <v>3</v>
      </c>
      <c r="AA330">
        <f t="shared" si="145"/>
        <v>3</v>
      </c>
      <c r="AB330" t="str">
        <f t="shared" si="146"/>
        <v>Siempre</v>
      </c>
      <c r="AC330">
        <v>1</v>
      </c>
      <c r="AD330">
        <f t="shared" si="147"/>
        <v>1</v>
      </c>
      <c r="AE330" t="str">
        <f t="shared" si="148"/>
        <v>Usualmente</v>
      </c>
      <c r="AF330">
        <v>1</v>
      </c>
      <c r="AG330" t="str">
        <f t="shared" si="149"/>
        <v>A veces</v>
      </c>
      <c r="AH330">
        <v>0</v>
      </c>
      <c r="AI330" t="str">
        <f t="shared" si="150"/>
        <v>No usa</v>
      </c>
      <c r="AJ330">
        <v>0</v>
      </c>
      <c r="AK330" t="str">
        <f t="shared" si="151"/>
        <v>No usa</v>
      </c>
      <c r="AL330">
        <v>0</v>
      </c>
      <c r="AM330" t="str">
        <f t="shared" si="152"/>
        <v>No usa</v>
      </c>
      <c r="AN330">
        <v>0</v>
      </c>
      <c r="AO330" t="str">
        <f t="shared" si="153"/>
        <v>No usa</v>
      </c>
      <c r="AP330">
        <v>1</v>
      </c>
      <c r="AQ330" t="str">
        <f t="shared" si="154"/>
        <v>Camina</v>
      </c>
      <c r="AR330">
        <v>0</v>
      </c>
      <c r="AS330" t="str">
        <f t="shared" si="155"/>
        <v>No es obeso</v>
      </c>
    </row>
    <row r="331" spans="1:45" x14ac:dyDescent="0.25">
      <c r="A331">
        <v>0</v>
      </c>
      <c r="B331" t="str">
        <f t="shared" si="130"/>
        <v>F</v>
      </c>
      <c r="C331">
        <v>19</v>
      </c>
      <c r="D331">
        <f t="shared" si="131"/>
        <v>19</v>
      </c>
      <c r="E331">
        <f t="shared" si="132"/>
        <v>19</v>
      </c>
      <c r="F331" t="str">
        <f t="shared" si="133"/>
        <v>1-25</v>
      </c>
      <c r="G331">
        <v>1</v>
      </c>
      <c r="H331" t="str">
        <f t="shared" si="134"/>
        <v>Pariente gordo</v>
      </c>
      <c r="I331">
        <v>1</v>
      </c>
      <c r="J331" t="str">
        <f t="shared" si="135"/>
        <v>Hipercaloricos</v>
      </c>
      <c r="K331">
        <v>3</v>
      </c>
      <c r="L331">
        <f t="shared" si="136"/>
        <v>1</v>
      </c>
      <c r="M331" t="str">
        <f t="shared" si="137"/>
        <v>Suele comer</v>
      </c>
      <c r="N331">
        <v>3</v>
      </c>
      <c r="O331">
        <f t="shared" si="138"/>
        <v>2</v>
      </c>
      <c r="P331" t="str">
        <f t="shared" si="139"/>
        <v>Mas de 3</v>
      </c>
      <c r="Q331">
        <v>1</v>
      </c>
      <c r="R331" t="str">
        <f t="shared" si="140"/>
        <v>A veces</v>
      </c>
      <c r="S331">
        <v>0</v>
      </c>
      <c r="T331" t="str">
        <f t="shared" si="141"/>
        <v>No fuma</v>
      </c>
      <c r="U331">
        <v>1</v>
      </c>
      <c r="V331">
        <f t="shared" si="142"/>
        <v>1</v>
      </c>
      <c r="W331" t="str">
        <f t="shared" si="143"/>
        <v>Usualmente</v>
      </c>
      <c r="X331">
        <v>0</v>
      </c>
      <c r="Y331" t="str">
        <f t="shared" si="144"/>
        <v>No controla</v>
      </c>
      <c r="Z331">
        <v>0</v>
      </c>
      <c r="AA331">
        <f t="shared" si="145"/>
        <v>0</v>
      </c>
      <c r="AB331" t="str">
        <f t="shared" si="146"/>
        <v>Nunca</v>
      </c>
      <c r="AC331">
        <v>1</v>
      </c>
      <c r="AD331">
        <f t="shared" si="147"/>
        <v>1</v>
      </c>
      <c r="AE331" t="str">
        <f t="shared" si="148"/>
        <v>Usualmente</v>
      </c>
      <c r="AF331">
        <v>1</v>
      </c>
      <c r="AG331" t="str">
        <f t="shared" si="149"/>
        <v>A veces</v>
      </c>
      <c r="AH331">
        <v>0</v>
      </c>
      <c r="AI331" t="str">
        <f t="shared" si="150"/>
        <v>No usa</v>
      </c>
      <c r="AJ331">
        <v>0</v>
      </c>
      <c r="AK331" t="str">
        <f t="shared" si="151"/>
        <v>No usa</v>
      </c>
      <c r="AL331">
        <v>0</v>
      </c>
      <c r="AM331" t="str">
        <f t="shared" si="152"/>
        <v>No usa</v>
      </c>
      <c r="AN331">
        <v>1</v>
      </c>
      <c r="AO331" t="str">
        <f t="shared" si="153"/>
        <v>Usa Transporte</v>
      </c>
      <c r="AP331">
        <v>0</v>
      </c>
      <c r="AQ331" t="str">
        <f t="shared" si="154"/>
        <v>No camina</v>
      </c>
      <c r="AR331">
        <v>1</v>
      </c>
      <c r="AS331" t="str">
        <f t="shared" si="155"/>
        <v>Es Obeso</v>
      </c>
    </row>
    <row r="332" spans="1:45" x14ac:dyDescent="0.25">
      <c r="A332">
        <v>0</v>
      </c>
      <c r="B332" t="str">
        <f t="shared" si="130"/>
        <v>F</v>
      </c>
      <c r="C332">
        <v>17</v>
      </c>
      <c r="D332">
        <f t="shared" si="131"/>
        <v>17</v>
      </c>
      <c r="E332">
        <f t="shared" si="132"/>
        <v>17</v>
      </c>
      <c r="F332" t="str">
        <f t="shared" si="133"/>
        <v>1-25</v>
      </c>
      <c r="G332">
        <v>0</v>
      </c>
      <c r="H332" t="str">
        <f t="shared" si="134"/>
        <v>Pariente normal</v>
      </c>
      <c r="I332">
        <v>1</v>
      </c>
      <c r="J332" t="str">
        <f t="shared" si="135"/>
        <v>Hipercaloricos</v>
      </c>
      <c r="K332">
        <v>3</v>
      </c>
      <c r="L332">
        <f t="shared" si="136"/>
        <v>1</v>
      </c>
      <c r="M332" t="str">
        <f t="shared" si="137"/>
        <v>Suele comer</v>
      </c>
      <c r="N332">
        <v>4</v>
      </c>
      <c r="O332">
        <f t="shared" si="138"/>
        <v>2</v>
      </c>
      <c r="P332" t="str">
        <f t="shared" si="139"/>
        <v>Mas de 3</v>
      </c>
      <c r="Q332">
        <v>2</v>
      </c>
      <c r="R332" t="str">
        <f t="shared" si="140"/>
        <v>Usualmente</v>
      </c>
      <c r="S332">
        <v>0</v>
      </c>
      <c r="T332" t="str">
        <f t="shared" si="141"/>
        <v>No fuma</v>
      </c>
      <c r="U332">
        <v>1</v>
      </c>
      <c r="V332">
        <f t="shared" si="142"/>
        <v>1</v>
      </c>
      <c r="W332" t="str">
        <f t="shared" si="143"/>
        <v>Usualmente</v>
      </c>
      <c r="X332">
        <v>0</v>
      </c>
      <c r="Y332" t="str">
        <f t="shared" si="144"/>
        <v>No controla</v>
      </c>
      <c r="Z332">
        <v>2</v>
      </c>
      <c r="AA332">
        <f t="shared" si="145"/>
        <v>2</v>
      </c>
      <c r="AB332" t="str">
        <f t="shared" si="146"/>
        <v>Usualmente</v>
      </c>
      <c r="AC332">
        <v>1</v>
      </c>
      <c r="AD332">
        <f t="shared" si="147"/>
        <v>1</v>
      </c>
      <c r="AE332" t="str">
        <f t="shared" si="148"/>
        <v>Usualmente</v>
      </c>
      <c r="AF332">
        <v>1</v>
      </c>
      <c r="AG332" t="str">
        <f t="shared" si="149"/>
        <v>A veces</v>
      </c>
      <c r="AH332">
        <v>0</v>
      </c>
      <c r="AI332" t="str">
        <f t="shared" si="150"/>
        <v>No usa</v>
      </c>
      <c r="AJ332">
        <v>0</v>
      </c>
      <c r="AK332" t="str">
        <f t="shared" si="151"/>
        <v>No usa</v>
      </c>
      <c r="AL332">
        <v>0</v>
      </c>
      <c r="AM332" t="str">
        <f t="shared" si="152"/>
        <v>No usa</v>
      </c>
      <c r="AN332">
        <v>1</v>
      </c>
      <c r="AO332" t="str">
        <f t="shared" si="153"/>
        <v>Usa Transporte</v>
      </c>
      <c r="AP332">
        <v>0</v>
      </c>
      <c r="AQ332" t="str">
        <f t="shared" si="154"/>
        <v>No camina</v>
      </c>
      <c r="AR332">
        <v>0</v>
      </c>
      <c r="AS332" t="str">
        <f t="shared" si="155"/>
        <v>No es obeso</v>
      </c>
    </row>
    <row r="333" spans="1:45" x14ac:dyDescent="0.25">
      <c r="A333">
        <v>1</v>
      </c>
      <c r="B333" t="str">
        <f t="shared" si="130"/>
        <v>M</v>
      </c>
      <c r="C333">
        <v>17</v>
      </c>
      <c r="D333">
        <f t="shared" si="131"/>
        <v>17</v>
      </c>
      <c r="E333">
        <f t="shared" si="132"/>
        <v>17</v>
      </c>
      <c r="F333" t="str">
        <f t="shared" si="133"/>
        <v>1-25</v>
      </c>
      <c r="G333">
        <v>1</v>
      </c>
      <c r="H333" t="str">
        <f t="shared" si="134"/>
        <v>Pariente gordo</v>
      </c>
      <c r="I333">
        <v>1</v>
      </c>
      <c r="J333" t="str">
        <f t="shared" si="135"/>
        <v>Hipercaloricos</v>
      </c>
      <c r="K333">
        <v>2</v>
      </c>
      <c r="L333">
        <f t="shared" si="136"/>
        <v>1</v>
      </c>
      <c r="M333" t="str">
        <f t="shared" si="137"/>
        <v>Suele comer</v>
      </c>
      <c r="N333">
        <v>3</v>
      </c>
      <c r="O333">
        <f t="shared" si="138"/>
        <v>2</v>
      </c>
      <c r="P333" t="str">
        <f t="shared" si="139"/>
        <v>Mas de 3</v>
      </c>
      <c r="Q333">
        <v>1</v>
      </c>
      <c r="R333" t="str">
        <f t="shared" si="140"/>
        <v>A veces</v>
      </c>
      <c r="S333">
        <v>0</v>
      </c>
      <c r="T333" t="str">
        <f t="shared" si="141"/>
        <v>No fuma</v>
      </c>
      <c r="U333">
        <v>2</v>
      </c>
      <c r="V333">
        <f t="shared" si="142"/>
        <v>2</v>
      </c>
      <c r="W333" t="str">
        <f t="shared" si="143"/>
        <v>Siempre</v>
      </c>
      <c r="X333">
        <v>0</v>
      </c>
      <c r="Y333" t="str">
        <f t="shared" si="144"/>
        <v>No controla</v>
      </c>
      <c r="Z333">
        <v>2</v>
      </c>
      <c r="AA333">
        <f t="shared" si="145"/>
        <v>2</v>
      </c>
      <c r="AB333" t="str">
        <f t="shared" si="146"/>
        <v>Usualmente</v>
      </c>
      <c r="AC333">
        <v>1</v>
      </c>
      <c r="AD333">
        <f t="shared" si="147"/>
        <v>1</v>
      </c>
      <c r="AE333" t="str">
        <f t="shared" si="148"/>
        <v>Usualmente</v>
      </c>
      <c r="AF333">
        <v>0</v>
      </c>
      <c r="AG333" t="str">
        <f t="shared" si="149"/>
        <v>Nunca</v>
      </c>
      <c r="AH333">
        <v>0</v>
      </c>
      <c r="AI333" t="str">
        <f t="shared" si="150"/>
        <v>No usa</v>
      </c>
      <c r="AJ333">
        <v>0</v>
      </c>
      <c r="AK333" t="str">
        <f t="shared" si="151"/>
        <v>No usa</v>
      </c>
      <c r="AL333">
        <v>0</v>
      </c>
      <c r="AM333" t="str">
        <f t="shared" si="152"/>
        <v>No usa</v>
      </c>
      <c r="AN333">
        <v>1</v>
      </c>
      <c r="AO333" t="str">
        <f t="shared" si="153"/>
        <v>Usa Transporte</v>
      </c>
      <c r="AP333">
        <v>0</v>
      </c>
      <c r="AQ333" t="str">
        <f t="shared" si="154"/>
        <v>No camina</v>
      </c>
      <c r="AR333">
        <v>0</v>
      </c>
      <c r="AS333" t="str">
        <f t="shared" si="155"/>
        <v>No es obeso</v>
      </c>
    </row>
    <row r="334" spans="1:45" x14ac:dyDescent="0.25">
      <c r="A334">
        <v>1</v>
      </c>
      <c r="B334" t="str">
        <f t="shared" si="130"/>
        <v>M</v>
      </c>
      <c r="C334">
        <v>27</v>
      </c>
      <c r="D334">
        <f t="shared" si="131"/>
        <v>27</v>
      </c>
      <c r="E334">
        <f t="shared" si="132"/>
        <v>27</v>
      </c>
      <c r="F334" t="str">
        <f t="shared" si="133"/>
        <v>25-50</v>
      </c>
      <c r="G334">
        <v>1</v>
      </c>
      <c r="H334" t="str">
        <f t="shared" si="134"/>
        <v>Pariente gordo</v>
      </c>
      <c r="I334">
        <v>1</v>
      </c>
      <c r="J334" t="str">
        <f t="shared" si="135"/>
        <v>Hipercaloricos</v>
      </c>
      <c r="K334">
        <v>2</v>
      </c>
      <c r="L334">
        <f t="shared" si="136"/>
        <v>1</v>
      </c>
      <c r="M334" t="str">
        <f t="shared" si="137"/>
        <v>Suele comer</v>
      </c>
      <c r="N334">
        <v>1</v>
      </c>
      <c r="O334">
        <f t="shared" si="138"/>
        <v>1</v>
      </c>
      <c r="P334">
        <f t="shared" si="139"/>
        <v>3</v>
      </c>
      <c r="Q334">
        <v>1</v>
      </c>
      <c r="R334" t="str">
        <f t="shared" si="140"/>
        <v>A veces</v>
      </c>
      <c r="S334">
        <v>0</v>
      </c>
      <c r="T334" t="str">
        <f t="shared" si="141"/>
        <v>No fuma</v>
      </c>
      <c r="U334">
        <v>2</v>
      </c>
      <c r="V334">
        <f t="shared" si="142"/>
        <v>2</v>
      </c>
      <c r="W334" t="str">
        <f t="shared" si="143"/>
        <v>Siempre</v>
      </c>
      <c r="X334">
        <v>0</v>
      </c>
      <c r="Y334" t="str">
        <f t="shared" si="144"/>
        <v>No controla</v>
      </c>
      <c r="Z334">
        <v>1</v>
      </c>
      <c r="AA334">
        <f t="shared" si="145"/>
        <v>1</v>
      </c>
      <c r="AB334" t="str">
        <f t="shared" si="146"/>
        <v>A veces</v>
      </c>
      <c r="AC334">
        <v>0</v>
      </c>
      <c r="AD334">
        <f t="shared" si="147"/>
        <v>0</v>
      </c>
      <c r="AE334" t="str">
        <f t="shared" si="148"/>
        <v>Nunca</v>
      </c>
      <c r="AF334">
        <v>0</v>
      </c>
      <c r="AG334" t="str">
        <f t="shared" si="149"/>
        <v>Nunca</v>
      </c>
      <c r="AH334">
        <v>0</v>
      </c>
      <c r="AI334" t="str">
        <f t="shared" si="150"/>
        <v>No usa</v>
      </c>
      <c r="AJ334">
        <v>0</v>
      </c>
      <c r="AK334" t="str">
        <f t="shared" si="151"/>
        <v>No usa</v>
      </c>
      <c r="AL334">
        <v>0</v>
      </c>
      <c r="AM334" t="str">
        <f t="shared" si="152"/>
        <v>No usa</v>
      </c>
      <c r="AN334">
        <v>0</v>
      </c>
      <c r="AO334" t="str">
        <f t="shared" si="153"/>
        <v>No usa</v>
      </c>
      <c r="AP334">
        <v>1</v>
      </c>
      <c r="AQ334" t="str">
        <f t="shared" si="154"/>
        <v>Camina</v>
      </c>
      <c r="AR334">
        <v>0</v>
      </c>
      <c r="AS334" t="str">
        <f t="shared" si="155"/>
        <v>No es obeso</v>
      </c>
    </row>
    <row r="335" spans="1:45" x14ac:dyDescent="0.25">
      <c r="A335">
        <v>0</v>
      </c>
      <c r="B335" t="str">
        <f t="shared" si="130"/>
        <v>F</v>
      </c>
      <c r="C335">
        <v>23</v>
      </c>
      <c r="D335">
        <f t="shared" si="131"/>
        <v>23</v>
      </c>
      <c r="E335">
        <f t="shared" si="132"/>
        <v>23</v>
      </c>
      <c r="F335" t="str">
        <f t="shared" si="133"/>
        <v>1-25</v>
      </c>
      <c r="G335">
        <v>0</v>
      </c>
      <c r="H335" t="str">
        <f t="shared" si="134"/>
        <v>Pariente normal</v>
      </c>
      <c r="I335">
        <v>0</v>
      </c>
      <c r="J335" t="str">
        <f t="shared" si="135"/>
        <v>Saludables</v>
      </c>
      <c r="K335">
        <v>3</v>
      </c>
      <c r="L335">
        <f t="shared" si="136"/>
        <v>1</v>
      </c>
      <c r="M335" t="str">
        <f t="shared" si="137"/>
        <v>Suele comer</v>
      </c>
      <c r="N335">
        <v>4</v>
      </c>
      <c r="O335">
        <f t="shared" si="138"/>
        <v>2</v>
      </c>
      <c r="P335" t="str">
        <f t="shared" si="139"/>
        <v>Mas de 3</v>
      </c>
      <c r="Q335">
        <v>3</v>
      </c>
      <c r="R335" t="str">
        <f t="shared" si="140"/>
        <v>Siempre</v>
      </c>
      <c r="S335">
        <v>0</v>
      </c>
      <c r="T335" t="str">
        <f t="shared" si="141"/>
        <v>No fuma</v>
      </c>
      <c r="U335">
        <v>3</v>
      </c>
      <c r="V335">
        <f t="shared" si="142"/>
        <v>2</v>
      </c>
      <c r="W335" t="str">
        <f t="shared" si="143"/>
        <v>Siempre</v>
      </c>
      <c r="X335">
        <v>1</v>
      </c>
      <c r="Y335" t="str">
        <f t="shared" si="144"/>
        <v>Controla</v>
      </c>
      <c r="Z335">
        <v>3</v>
      </c>
      <c r="AA335">
        <f t="shared" si="145"/>
        <v>3</v>
      </c>
      <c r="AB335" t="str">
        <f t="shared" si="146"/>
        <v>Siempre</v>
      </c>
      <c r="AC335">
        <v>0</v>
      </c>
      <c r="AD335">
        <f t="shared" si="147"/>
        <v>0</v>
      </c>
      <c r="AE335" t="str">
        <f t="shared" si="148"/>
        <v>Nunca</v>
      </c>
      <c r="AF335">
        <v>0</v>
      </c>
      <c r="AG335" t="str">
        <f t="shared" si="149"/>
        <v>Nunca</v>
      </c>
      <c r="AH335">
        <v>1</v>
      </c>
      <c r="AI335" t="str">
        <f t="shared" si="150"/>
        <v>Usa auto</v>
      </c>
      <c r="AJ335">
        <v>0</v>
      </c>
      <c r="AK335" t="str">
        <f t="shared" si="151"/>
        <v>No usa</v>
      </c>
      <c r="AL335">
        <v>0</v>
      </c>
      <c r="AM335" t="str">
        <f t="shared" si="152"/>
        <v>No usa</v>
      </c>
      <c r="AN335">
        <v>0</v>
      </c>
      <c r="AO335" t="str">
        <f t="shared" si="153"/>
        <v>No usa</v>
      </c>
      <c r="AP335">
        <v>0</v>
      </c>
      <c r="AQ335" t="str">
        <f t="shared" si="154"/>
        <v>No camina</v>
      </c>
      <c r="AR335">
        <v>0</v>
      </c>
      <c r="AS335" t="str">
        <f t="shared" si="155"/>
        <v>No es obeso</v>
      </c>
    </row>
    <row r="336" spans="1:45" x14ac:dyDescent="0.25">
      <c r="A336">
        <v>0</v>
      </c>
      <c r="B336" t="str">
        <f t="shared" si="130"/>
        <v>F</v>
      </c>
      <c r="C336">
        <v>18</v>
      </c>
      <c r="D336">
        <f t="shared" si="131"/>
        <v>18</v>
      </c>
      <c r="E336">
        <f t="shared" si="132"/>
        <v>18</v>
      </c>
      <c r="F336" t="str">
        <f t="shared" si="133"/>
        <v>1-25</v>
      </c>
      <c r="G336">
        <v>0</v>
      </c>
      <c r="H336" t="str">
        <f t="shared" si="134"/>
        <v>Pariente normal</v>
      </c>
      <c r="I336">
        <v>1</v>
      </c>
      <c r="J336" t="str">
        <f t="shared" si="135"/>
        <v>Hipercaloricos</v>
      </c>
      <c r="K336">
        <v>2</v>
      </c>
      <c r="L336">
        <f t="shared" si="136"/>
        <v>1</v>
      </c>
      <c r="M336" t="str">
        <f t="shared" si="137"/>
        <v>Suele comer</v>
      </c>
      <c r="N336">
        <v>3</v>
      </c>
      <c r="O336">
        <f t="shared" si="138"/>
        <v>2</v>
      </c>
      <c r="P336" t="str">
        <f t="shared" si="139"/>
        <v>Mas de 3</v>
      </c>
      <c r="Q336">
        <v>2</v>
      </c>
      <c r="R336" t="str">
        <f t="shared" si="140"/>
        <v>Usualmente</v>
      </c>
      <c r="S336">
        <v>0</v>
      </c>
      <c r="T336" t="str">
        <f t="shared" si="141"/>
        <v>No fuma</v>
      </c>
      <c r="U336">
        <v>2</v>
      </c>
      <c r="V336">
        <f t="shared" si="142"/>
        <v>2</v>
      </c>
      <c r="W336" t="str">
        <f t="shared" si="143"/>
        <v>Siempre</v>
      </c>
      <c r="X336">
        <v>1</v>
      </c>
      <c r="Y336" t="str">
        <f t="shared" si="144"/>
        <v>Controla</v>
      </c>
      <c r="Z336">
        <v>1</v>
      </c>
      <c r="AA336">
        <f t="shared" si="145"/>
        <v>1</v>
      </c>
      <c r="AB336" t="str">
        <f t="shared" si="146"/>
        <v>A veces</v>
      </c>
      <c r="AC336">
        <v>2</v>
      </c>
      <c r="AD336">
        <f t="shared" si="147"/>
        <v>2</v>
      </c>
      <c r="AE336" t="str">
        <f t="shared" si="148"/>
        <v>Siempre</v>
      </c>
      <c r="AF336">
        <v>2</v>
      </c>
      <c r="AG336" t="str">
        <f t="shared" si="149"/>
        <v>Usualmente</v>
      </c>
      <c r="AH336">
        <v>0</v>
      </c>
      <c r="AI336" t="str">
        <f t="shared" si="150"/>
        <v>No usa</v>
      </c>
      <c r="AJ336">
        <v>0</v>
      </c>
      <c r="AK336" t="str">
        <f t="shared" si="151"/>
        <v>No usa</v>
      </c>
      <c r="AL336">
        <v>0</v>
      </c>
      <c r="AM336" t="str">
        <f t="shared" si="152"/>
        <v>No usa</v>
      </c>
      <c r="AN336">
        <v>1</v>
      </c>
      <c r="AO336" t="str">
        <f t="shared" si="153"/>
        <v>Usa Transporte</v>
      </c>
      <c r="AP336">
        <v>0</v>
      </c>
      <c r="AQ336" t="str">
        <f t="shared" si="154"/>
        <v>No camina</v>
      </c>
      <c r="AR336">
        <v>0</v>
      </c>
      <c r="AS336" t="str">
        <f t="shared" si="155"/>
        <v>No es obeso</v>
      </c>
    </row>
    <row r="337" spans="1:45" x14ac:dyDescent="0.25">
      <c r="A337">
        <v>1</v>
      </c>
      <c r="B337" t="str">
        <f t="shared" si="130"/>
        <v>M</v>
      </c>
      <c r="C337">
        <v>19</v>
      </c>
      <c r="D337">
        <f t="shared" si="131"/>
        <v>19</v>
      </c>
      <c r="E337">
        <f t="shared" si="132"/>
        <v>19</v>
      </c>
      <c r="F337" t="str">
        <f t="shared" si="133"/>
        <v>1-25</v>
      </c>
      <c r="G337">
        <v>0</v>
      </c>
      <c r="H337" t="str">
        <f t="shared" si="134"/>
        <v>Pariente normal</v>
      </c>
      <c r="I337">
        <v>1</v>
      </c>
      <c r="J337" t="str">
        <f t="shared" si="135"/>
        <v>Hipercaloricos</v>
      </c>
      <c r="K337">
        <v>1</v>
      </c>
      <c r="L337">
        <f t="shared" si="136"/>
        <v>1</v>
      </c>
      <c r="M337" t="str">
        <f t="shared" si="137"/>
        <v>Suele comer</v>
      </c>
      <c r="N337">
        <v>4</v>
      </c>
      <c r="O337">
        <f t="shared" si="138"/>
        <v>2</v>
      </c>
      <c r="P337" t="str">
        <f t="shared" si="139"/>
        <v>Mas de 3</v>
      </c>
      <c r="Q337">
        <v>2</v>
      </c>
      <c r="R337" t="str">
        <f t="shared" si="140"/>
        <v>Usualmente</v>
      </c>
      <c r="S337">
        <v>0</v>
      </c>
      <c r="T337" t="str">
        <f t="shared" si="141"/>
        <v>No fuma</v>
      </c>
      <c r="U337">
        <v>1</v>
      </c>
      <c r="V337">
        <f t="shared" si="142"/>
        <v>1</v>
      </c>
      <c r="W337" t="str">
        <f t="shared" si="143"/>
        <v>Usualmente</v>
      </c>
      <c r="X337">
        <v>0</v>
      </c>
      <c r="Y337" t="str">
        <f t="shared" si="144"/>
        <v>No controla</v>
      </c>
      <c r="Z337">
        <v>2</v>
      </c>
      <c r="AA337">
        <f t="shared" si="145"/>
        <v>2</v>
      </c>
      <c r="AB337" t="str">
        <f t="shared" si="146"/>
        <v>Usualmente</v>
      </c>
      <c r="AC337">
        <v>1</v>
      </c>
      <c r="AD337">
        <f t="shared" si="147"/>
        <v>1</v>
      </c>
      <c r="AE337" t="str">
        <f t="shared" si="148"/>
        <v>Usualmente</v>
      </c>
      <c r="AF337">
        <v>1</v>
      </c>
      <c r="AG337" t="str">
        <f t="shared" si="149"/>
        <v>A veces</v>
      </c>
      <c r="AH337">
        <v>0</v>
      </c>
      <c r="AI337" t="str">
        <f t="shared" si="150"/>
        <v>No usa</v>
      </c>
      <c r="AJ337">
        <v>0</v>
      </c>
      <c r="AK337" t="str">
        <f t="shared" si="151"/>
        <v>No usa</v>
      </c>
      <c r="AL337">
        <v>0</v>
      </c>
      <c r="AM337" t="str">
        <f t="shared" si="152"/>
        <v>No usa</v>
      </c>
      <c r="AN337">
        <v>1</v>
      </c>
      <c r="AO337" t="str">
        <f t="shared" si="153"/>
        <v>Usa Transporte</v>
      </c>
      <c r="AP337">
        <v>0</v>
      </c>
      <c r="AQ337" t="str">
        <f t="shared" si="154"/>
        <v>No camina</v>
      </c>
      <c r="AR337">
        <v>0</v>
      </c>
      <c r="AS337" t="str">
        <f t="shared" si="155"/>
        <v>No es obeso</v>
      </c>
    </row>
    <row r="338" spans="1:45" x14ac:dyDescent="0.25">
      <c r="A338">
        <v>1</v>
      </c>
      <c r="B338" t="str">
        <f t="shared" si="130"/>
        <v>M</v>
      </c>
      <c r="C338">
        <v>20</v>
      </c>
      <c r="D338">
        <f t="shared" si="131"/>
        <v>20</v>
      </c>
      <c r="E338">
        <f t="shared" si="132"/>
        <v>20</v>
      </c>
      <c r="F338" t="str">
        <f t="shared" si="133"/>
        <v>1-25</v>
      </c>
      <c r="G338">
        <v>0</v>
      </c>
      <c r="H338" t="str">
        <f t="shared" si="134"/>
        <v>Pariente normal</v>
      </c>
      <c r="I338">
        <v>1</v>
      </c>
      <c r="J338" t="str">
        <f t="shared" si="135"/>
        <v>Hipercaloricos</v>
      </c>
      <c r="K338">
        <v>2</v>
      </c>
      <c r="L338">
        <f t="shared" si="136"/>
        <v>1</v>
      </c>
      <c r="M338" t="str">
        <f t="shared" si="137"/>
        <v>Suele comer</v>
      </c>
      <c r="N338">
        <v>3</v>
      </c>
      <c r="O338">
        <f t="shared" si="138"/>
        <v>2</v>
      </c>
      <c r="P338" t="str">
        <f t="shared" si="139"/>
        <v>Mas de 3</v>
      </c>
      <c r="Q338">
        <v>1</v>
      </c>
      <c r="R338" t="str">
        <f t="shared" si="140"/>
        <v>A veces</v>
      </c>
      <c r="S338">
        <v>0</v>
      </c>
      <c r="T338" t="str">
        <f t="shared" si="141"/>
        <v>No fuma</v>
      </c>
      <c r="U338">
        <v>2</v>
      </c>
      <c r="V338">
        <f t="shared" si="142"/>
        <v>2</v>
      </c>
      <c r="W338" t="str">
        <f t="shared" si="143"/>
        <v>Siempre</v>
      </c>
      <c r="X338">
        <v>0</v>
      </c>
      <c r="Y338" t="str">
        <f t="shared" si="144"/>
        <v>No controla</v>
      </c>
      <c r="Z338">
        <v>0</v>
      </c>
      <c r="AA338">
        <f t="shared" si="145"/>
        <v>0</v>
      </c>
      <c r="AB338" t="str">
        <f t="shared" si="146"/>
        <v>Nunca</v>
      </c>
      <c r="AC338">
        <v>1</v>
      </c>
      <c r="AD338">
        <f t="shared" si="147"/>
        <v>1</v>
      </c>
      <c r="AE338" t="str">
        <f t="shared" si="148"/>
        <v>Usualmente</v>
      </c>
      <c r="AF338">
        <v>0</v>
      </c>
      <c r="AG338" t="str">
        <f t="shared" si="149"/>
        <v>Nunca</v>
      </c>
      <c r="AH338">
        <v>0</v>
      </c>
      <c r="AI338" t="str">
        <f t="shared" si="150"/>
        <v>No usa</v>
      </c>
      <c r="AJ338">
        <v>0</v>
      </c>
      <c r="AK338" t="str">
        <f t="shared" si="151"/>
        <v>No usa</v>
      </c>
      <c r="AL338">
        <v>0</v>
      </c>
      <c r="AM338" t="str">
        <f t="shared" si="152"/>
        <v>No usa</v>
      </c>
      <c r="AN338">
        <v>1</v>
      </c>
      <c r="AO338" t="str">
        <f t="shared" si="153"/>
        <v>Usa Transporte</v>
      </c>
      <c r="AP338">
        <v>0</v>
      </c>
      <c r="AQ338" t="str">
        <f t="shared" si="154"/>
        <v>No camina</v>
      </c>
      <c r="AR338">
        <v>0</v>
      </c>
      <c r="AS338" t="str">
        <f t="shared" si="155"/>
        <v>No es obeso</v>
      </c>
    </row>
    <row r="339" spans="1:45" x14ac:dyDescent="0.25">
      <c r="A339">
        <v>1</v>
      </c>
      <c r="B339" t="str">
        <f t="shared" si="130"/>
        <v>M</v>
      </c>
      <c r="C339">
        <v>18</v>
      </c>
      <c r="D339">
        <f t="shared" si="131"/>
        <v>18</v>
      </c>
      <c r="E339">
        <f t="shared" si="132"/>
        <v>18</v>
      </c>
      <c r="F339" t="str">
        <f t="shared" si="133"/>
        <v>1-25</v>
      </c>
      <c r="G339">
        <v>1</v>
      </c>
      <c r="H339" t="str">
        <f t="shared" si="134"/>
        <v>Pariente gordo</v>
      </c>
      <c r="I339">
        <v>1</v>
      </c>
      <c r="J339" t="str">
        <f t="shared" si="135"/>
        <v>Hipercaloricos</v>
      </c>
      <c r="K339">
        <v>3</v>
      </c>
      <c r="L339">
        <f t="shared" si="136"/>
        <v>1</v>
      </c>
      <c r="M339" t="str">
        <f t="shared" si="137"/>
        <v>Suele comer</v>
      </c>
      <c r="N339">
        <v>3</v>
      </c>
      <c r="O339">
        <f t="shared" si="138"/>
        <v>2</v>
      </c>
      <c r="P339" t="str">
        <f t="shared" si="139"/>
        <v>Mas de 3</v>
      </c>
      <c r="Q339">
        <v>2</v>
      </c>
      <c r="R339" t="str">
        <f t="shared" si="140"/>
        <v>Usualmente</v>
      </c>
      <c r="S339">
        <v>0</v>
      </c>
      <c r="T339" t="str">
        <f t="shared" si="141"/>
        <v>No fuma</v>
      </c>
      <c r="U339">
        <v>2</v>
      </c>
      <c r="V339">
        <f t="shared" si="142"/>
        <v>2</v>
      </c>
      <c r="W339" t="str">
        <f t="shared" si="143"/>
        <v>Siempre</v>
      </c>
      <c r="X339">
        <v>0</v>
      </c>
      <c r="Y339" t="str">
        <f t="shared" si="144"/>
        <v>No controla</v>
      </c>
      <c r="Z339">
        <v>3</v>
      </c>
      <c r="AA339">
        <f t="shared" si="145"/>
        <v>3</v>
      </c>
      <c r="AB339" t="str">
        <f t="shared" si="146"/>
        <v>Siempre</v>
      </c>
      <c r="AC339">
        <v>2</v>
      </c>
      <c r="AD339">
        <f t="shared" si="147"/>
        <v>2</v>
      </c>
      <c r="AE339" t="str">
        <f t="shared" si="148"/>
        <v>Siempre</v>
      </c>
      <c r="AF339">
        <v>0</v>
      </c>
      <c r="AG339" t="str">
        <f t="shared" si="149"/>
        <v>Nunca</v>
      </c>
      <c r="AH339">
        <v>0</v>
      </c>
      <c r="AI339" t="str">
        <f t="shared" si="150"/>
        <v>No usa</v>
      </c>
      <c r="AJ339">
        <v>0</v>
      </c>
      <c r="AK339" t="str">
        <f t="shared" si="151"/>
        <v>No usa</v>
      </c>
      <c r="AL339">
        <v>0</v>
      </c>
      <c r="AM339" t="str">
        <f t="shared" si="152"/>
        <v>No usa</v>
      </c>
      <c r="AN339">
        <v>0</v>
      </c>
      <c r="AO339" t="str">
        <f t="shared" si="153"/>
        <v>No usa</v>
      </c>
      <c r="AP339">
        <v>1</v>
      </c>
      <c r="AQ339" t="str">
        <f t="shared" si="154"/>
        <v>Camina</v>
      </c>
      <c r="AR339">
        <v>0</v>
      </c>
      <c r="AS339" t="str">
        <f t="shared" si="155"/>
        <v>No es obeso</v>
      </c>
    </row>
    <row r="340" spans="1:45" x14ac:dyDescent="0.25">
      <c r="A340">
        <v>0</v>
      </c>
      <c r="B340" t="str">
        <f t="shared" si="130"/>
        <v>F</v>
      </c>
      <c r="C340">
        <v>17</v>
      </c>
      <c r="D340">
        <f t="shared" si="131"/>
        <v>17</v>
      </c>
      <c r="E340">
        <f t="shared" si="132"/>
        <v>17</v>
      </c>
      <c r="F340" t="str">
        <f t="shared" si="133"/>
        <v>1-25</v>
      </c>
      <c r="G340">
        <v>0</v>
      </c>
      <c r="H340" t="str">
        <f t="shared" si="134"/>
        <v>Pariente normal</v>
      </c>
      <c r="I340">
        <v>1</v>
      </c>
      <c r="J340" t="str">
        <f t="shared" si="135"/>
        <v>Hipercaloricos</v>
      </c>
      <c r="K340">
        <v>3</v>
      </c>
      <c r="L340">
        <f t="shared" si="136"/>
        <v>1</v>
      </c>
      <c r="M340" t="str">
        <f t="shared" si="137"/>
        <v>Suele comer</v>
      </c>
      <c r="N340">
        <v>1</v>
      </c>
      <c r="O340">
        <f t="shared" si="138"/>
        <v>1</v>
      </c>
      <c r="P340">
        <f t="shared" si="139"/>
        <v>3</v>
      </c>
      <c r="Q340">
        <v>1</v>
      </c>
      <c r="R340" t="str">
        <f t="shared" si="140"/>
        <v>A veces</v>
      </c>
      <c r="S340">
        <v>0</v>
      </c>
      <c r="T340" t="str">
        <f t="shared" si="141"/>
        <v>No fuma</v>
      </c>
      <c r="U340">
        <v>2</v>
      </c>
      <c r="V340">
        <f t="shared" si="142"/>
        <v>2</v>
      </c>
      <c r="W340" t="str">
        <f t="shared" si="143"/>
        <v>Siempre</v>
      </c>
      <c r="X340">
        <v>1</v>
      </c>
      <c r="Y340" t="str">
        <f t="shared" si="144"/>
        <v>Controla</v>
      </c>
      <c r="Z340">
        <v>1</v>
      </c>
      <c r="AA340">
        <f t="shared" si="145"/>
        <v>1</v>
      </c>
      <c r="AB340" t="str">
        <f t="shared" si="146"/>
        <v>A veces</v>
      </c>
      <c r="AC340">
        <v>2</v>
      </c>
      <c r="AD340">
        <f t="shared" si="147"/>
        <v>2</v>
      </c>
      <c r="AE340" t="str">
        <f t="shared" si="148"/>
        <v>Siempre</v>
      </c>
      <c r="AF340">
        <v>1</v>
      </c>
      <c r="AG340" t="str">
        <f t="shared" si="149"/>
        <v>A veces</v>
      </c>
      <c r="AH340">
        <v>0</v>
      </c>
      <c r="AI340" t="str">
        <f t="shared" si="150"/>
        <v>No usa</v>
      </c>
      <c r="AJ340">
        <v>0</v>
      </c>
      <c r="AK340" t="str">
        <f t="shared" si="151"/>
        <v>No usa</v>
      </c>
      <c r="AL340">
        <v>0</v>
      </c>
      <c r="AM340" t="str">
        <f t="shared" si="152"/>
        <v>No usa</v>
      </c>
      <c r="AN340">
        <v>1</v>
      </c>
      <c r="AO340" t="str">
        <f t="shared" si="153"/>
        <v>Usa Transporte</v>
      </c>
      <c r="AP340">
        <v>0</v>
      </c>
      <c r="AQ340" t="str">
        <f t="shared" si="154"/>
        <v>No camina</v>
      </c>
      <c r="AR340">
        <v>0</v>
      </c>
      <c r="AS340" t="str">
        <f t="shared" si="155"/>
        <v>No es obeso</v>
      </c>
    </row>
    <row r="341" spans="1:45" x14ac:dyDescent="0.25">
      <c r="A341">
        <v>0</v>
      </c>
      <c r="B341" t="str">
        <f t="shared" si="130"/>
        <v>F</v>
      </c>
      <c r="C341">
        <v>19</v>
      </c>
      <c r="D341">
        <f t="shared" si="131"/>
        <v>19</v>
      </c>
      <c r="E341">
        <f t="shared" si="132"/>
        <v>19</v>
      </c>
      <c r="F341" t="str">
        <f t="shared" si="133"/>
        <v>1-25</v>
      </c>
      <c r="G341">
        <v>0</v>
      </c>
      <c r="H341" t="str">
        <f t="shared" si="134"/>
        <v>Pariente normal</v>
      </c>
      <c r="I341">
        <v>0</v>
      </c>
      <c r="J341" t="str">
        <f t="shared" si="135"/>
        <v>Saludables</v>
      </c>
      <c r="K341">
        <v>2</v>
      </c>
      <c r="L341">
        <f t="shared" si="136"/>
        <v>1</v>
      </c>
      <c r="M341" t="str">
        <f t="shared" si="137"/>
        <v>Suele comer</v>
      </c>
      <c r="N341">
        <v>3</v>
      </c>
      <c r="O341">
        <f t="shared" si="138"/>
        <v>2</v>
      </c>
      <c r="P341" t="str">
        <f t="shared" si="139"/>
        <v>Mas de 3</v>
      </c>
      <c r="Q341">
        <v>1</v>
      </c>
      <c r="R341" t="str">
        <f t="shared" si="140"/>
        <v>A veces</v>
      </c>
      <c r="S341">
        <v>0</v>
      </c>
      <c r="T341" t="str">
        <f t="shared" si="141"/>
        <v>No fuma</v>
      </c>
      <c r="U341">
        <v>1</v>
      </c>
      <c r="V341">
        <f t="shared" si="142"/>
        <v>1</v>
      </c>
      <c r="W341" t="str">
        <f t="shared" si="143"/>
        <v>Usualmente</v>
      </c>
      <c r="X341">
        <v>1</v>
      </c>
      <c r="Y341" t="str">
        <f t="shared" si="144"/>
        <v>Controla</v>
      </c>
      <c r="Z341">
        <v>2</v>
      </c>
      <c r="AA341">
        <f t="shared" si="145"/>
        <v>2</v>
      </c>
      <c r="AB341" t="str">
        <f t="shared" si="146"/>
        <v>Usualmente</v>
      </c>
      <c r="AC341">
        <v>0</v>
      </c>
      <c r="AD341">
        <f t="shared" si="147"/>
        <v>0</v>
      </c>
      <c r="AE341" t="str">
        <f t="shared" si="148"/>
        <v>Nunca</v>
      </c>
      <c r="AF341">
        <v>2</v>
      </c>
      <c r="AG341" t="str">
        <f t="shared" si="149"/>
        <v>Usualmente</v>
      </c>
      <c r="AH341">
        <v>0</v>
      </c>
      <c r="AI341" t="str">
        <f t="shared" si="150"/>
        <v>No usa</v>
      </c>
      <c r="AJ341">
        <v>0</v>
      </c>
      <c r="AK341" t="str">
        <f t="shared" si="151"/>
        <v>No usa</v>
      </c>
      <c r="AL341">
        <v>0</v>
      </c>
      <c r="AM341" t="str">
        <f t="shared" si="152"/>
        <v>No usa</v>
      </c>
      <c r="AN341">
        <v>1</v>
      </c>
      <c r="AO341" t="str">
        <f t="shared" si="153"/>
        <v>Usa Transporte</v>
      </c>
      <c r="AP341">
        <v>0</v>
      </c>
      <c r="AQ341" t="str">
        <f t="shared" si="154"/>
        <v>No camina</v>
      </c>
      <c r="AR341">
        <v>0</v>
      </c>
      <c r="AS341" t="str">
        <f t="shared" si="155"/>
        <v>No es obeso</v>
      </c>
    </row>
    <row r="342" spans="1:45" x14ac:dyDescent="0.25">
      <c r="A342">
        <v>1</v>
      </c>
      <c r="B342" t="str">
        <f t="shared" si="130"/>
        <v>M</v>
      </c>
      <c r="C342">
        <v>21</v>
      </c>
      <c r="D342">
        <f t="shared" si="131"/>
        <v>21</v>
      </c>
      <c r="E342">
        <f t="shared" si="132"/>
        <v>21</v>
      </c>
      <c r="F342" t="str">
        <f t="shared" si="133"/>
        <v>1-25</v>
      </c>
      <c r="G342">
        <v>0</v>
      </c>
      <c r="H342" t="str">
        <f t="shared" si="134"/>
        <v>Pariente normal</v>
      </c>
      <c r="I342">
        <v>1</v>
      </c>
      <c r="J342" t="str">
        <f t="shared" si="135"/>
        <v>Hipercaloricos</v>
      </c>
      <c r="K342">
        <v>3</v>
      </c>
      <c r="L342">
        <f t="shared" si="136"/>
        <v>1</v>
      </c>
      <c r="M342" t="str">
        <f t="shared" si="137"/>
        <v>Suele comer</v>
      </c>
      <c r="N342">
        <v>3</v>
      </c>
      <c r="O342">
        <f t="shared" si="138"/>
        <v>2</v>
      </c>
      <c r="P342" t="str">
        <f t="shared" si="139"/>
        <v>Mas de 3</v>
      </c>
      <c r="Q342">
        <v>1</v>
      </c>
      <c r="R342" t="str">
        <f t="shared" si="140"/>
        <v>A veces</v>
      </c>
      <c r="S342">
        <v>0</v>
      </c>
      <c r="T342" t="str">
        <f t="shared" si="141"/>
        <v>No fuma</v>
      </c>
      <c r="U342">
        <v>2</v>
      </c>
      <c r="V342">
        <f t="shared" si="142"/>
        <v>2</v>
      </c>
      <c r="W342" t="str">
        <f t="shared" si="143"/>
        <v>Siempre</v>
      </c>
      <c r="X342">
        <v>0</v>
      </c>
      <c r="Y342" t="str">
        <f t="shared" si="144"/>
        <v>No controla</v>
      </c>
      <c r="Z342">
        <v>1</v>
      </c>
      <c r="AA342">
        <f t="shared" si="145"/>
        <v>1</v>
      </c>
      <c r="AB342" t="str">
        <f t="shared" si="146"/>
        <v>A veces</v>
      </c>
      <c r="AC342">
        <v>1</v>
      </c>
      <c r="AD342">
        <f t="shared" si="147"/>
        <v>1</v>
      </c>
      <c r="AE342" t="str">
        <f t="shared" si="148"/>
        <v>Usualmente</v>
      </c>
      <c r="AF342">
        <v>0</v>
      </c>
      <c r="AG342" t="str">
        <f t="shared" si="149"/>
        <v>Nunca</v>
      </c>
      <c r="AH342">
        <v>0</v>
      </c>
      <c r="AI342" t="str">
        <f t="shared" si="150"/>
        <v>No usa</v>
      </c>
      <c r="AJ342">
        <v>0</v>
      </c>
      <c r="AK342" t="str">
        <f t="shared" si="151"/>
        <v>No usa</v>
      </c>
      <c r="AL342">
        <v>0</v>
      </c>
      <c r="AM342" t="str">
        <f t="shared" si="152"/>
        <v>No usa</v>
      </c>
      <c r="AN342">
        <v>1</v>
      </c>
      <c r="AO342" t="str">
        <f t="shared" si="153"/>
        <v>Usa Transporte</v>
      </c>
      <c r="AP342">
        <v>0</v>
      </c>
      <c r="AQ342" t="str">
        <f t="shared" si="154"/>
        <v>No camina</v>
      </c>
      <c r="AR342">
        <v>0</v>
      </c>
      <c r="AS342" t="str">
        <f t="shared" si="155"/>
        <v>No es obeso</v>
      </c>
    </row>
    <row r="343" spans="1:45" x14ac:dyDescent="0.25">
      <c r="A343">
        <v>1</v>
      </c>
      <c r="B343" t="str">
        <f t="shared" si="130"/>
        <v>M</v>
      </c>
      <c r="C343">
        <v>20</v>
      </c>
      <c r="D343">
        <f t="shared" si="131"/>
        <v>20</v>
      </c>
      <c r="E343">
        <f t="shared" si="132"/>
        <v>20</v>
      </c>
      <c r="F343" t="str">
        <f t="shared" si="133"/>
        <v>1-25</v>
      </c>
      <c r="G343">
        <v>0</v>
      </c>
      <c r="H343" t="str">
        <f t="shared" si="134"/>
        <v>Pariente normal</v>
      </c>
      <c r="I343">
        <v>0</v>
      </c>
      <c r="J343" t="str">
        <f t="shared" si="135"/>
        <v>Saludables</v>
      </c>
      <c r="K343">
        <v>2</v>
      </c>
      <c r="L343">
        <f t="shared" si="136"/>
        <v>1</v>
      </c>
      <c r="M343" t="str">
        <f t="shared" si="137"/>
        <v>Suele comer</v>
      </c>
      <c r="N343">
        <v>3</v>
      </c>
      <c r="O343">
        <f t="shared" si="138"/>
        <v>2</v>
      </c>
      <c r="P343" t="str">
        <f t="shared" si="139"/>
        <v>Mas de 3</v>
      </c>
      <c r="Q343">
        <v>1</v>
      </c>
      <c r="R343" t="str">
        <f t="shared" si="140"/>
        <v>A veces</v>
      </c>
      <c r="S343">
        <v>0</v>
      </c>
      <c r="T343" t="str">
        <f t="shared" si="141"/>
        <v>No fuma</v>
      </c>
      <c r="U343">
        <v>1</v>
      </c>
      <c r="V343">
        <f t="shared" si="142"/>
        <v>1</v>
      </c>
      <c r="W343" t="str">
        <f t="shared" si="143"/>
        <v>Usualmente</v>
      </c>
      <c r="X343">
        <v>0</v>
      </c>
      <c r="Y343" t="str">
        <f t="shared" si="144"/>
        <v>No controla</v>
      </c>
      <c r="Z343">
        <v>0</v>
      </c>
      <c r="AA343">
        <f t="shared" si="145"/>
        <v>0</v>
      </c>
      <c r="AB343" t="str">
        <f t="shared" si="146"/>
        <v>Nunca</v>
      </c>
      <c r="AC343">
        <v>0</v>
      </c>
      <c r="AD343">
        <f t="shared" si="147"/>
        <v>0</v>
      </c>
      <c r="AE343" t="str">
        <f t="shared" si="148"/>
        <v>Nunca</v>
      </c>
      <c r="AF343">
        <v>1</v>
      </c>
      <c r="AG343" t="str">
        <f t="shared" si="149"/>
        <v>A veces</v>
      </c>
      <c r="AH343">
        <v>0</v>
      </c>
      <c r="AI343" t="str">
        <f t="shared" si="150"/>
        <v>No usa</v>
      </c>
      <c r="AJ343">
        <v>0</v>
      </c>
      <c r="AK343" t="str">
        <f t="shared" si="151"/>
        <v>No usa</v>
      </c>
      <c r="AL343">
        <v>0</v>
      </c>
      <c r="AM343" t="str">
        <f t="shared" si="152"/>
        <v>No usa</v>
      </c>
      <c r="AN343">
        <v>1</v>
      </c>
      <c r="AO343" t="str">
        <f t="shared" si="153"/>
        <v>Usa Transporte</v>
      </c>
      <c r="AP343">
        <v>0</v>
      </c>
      <c r="AQ343" t="str">
        <f t="shared" si="154"/>
        <v>No camina</v>
      </c>
      <c r="AR343">
        <v>0</v>
      </c>
      <c r="AS343" t="str">
        <f t="shared" si="155"/>
        <v>No es obeso</v>
      </c>
    </row>
    <row r="344" spans="1:45" x14ac:dyDescent="0.25">
      <c r="A344">
        <v>1</v>
      </c>
      <c r="B344" t="str">
        <f t="shared" si="130"/>
        <v>M</v>
      </c>
      <c r="C344">
        <v>23</v>
      </c>
      <c r="D344">
        <f t="shared" si="131"/>
        <v>23</v>
      </c>
      <c r="E344">
        <f t="shared" si="132"/>
        <v>23</v>
      </c>
      <c r="F344" t="str">
        <f t="shared" si="133"/>
        <v>1-25</v>
      </c>
      <c r="G344">
        <v>1</v>
      </c>
      <c r="H344" t="str">
        <f t="shared" si="134"/>
        <v>Pariente gordo</v>
      </c>
      <c r="I344">
        <v>1</v>
      </c>
      <c r="J344" t="str">
        <f t="shared" si="135"/>
        <v>Hipercaloricos</v>
      </c>
      <c r="K344">
        <v>3</v>
      </c>
      <c r="L344">
        <f t="shared" si="136"/>
        <v>1</v>
      </c>
      <c r="M344" t="str">
        <f t="shared" si="137"/>
        <v>Suele comer</v>
      </c>
      <c r="N344">
        <v>3</v>
      </c>
      <c r="O344">
        <f t="shared" si="138"/>
        <v>2</v>
      </c>
      <c r="P344" t="str">
        <f t="shared" si="139"/>
        <v>Mas de 3</v>
      </c>
      <c r="Q344">
        <v>1</v>
      </c>
      <c r="R344" t="str">
        <f t="shared" si="140"/>
        <v>A veces</v>
      </c>
      <c r="S344">
        <v>0</v>
      </c>
      <c r="T344" t="str">
        <f t="shared" si="141"/>
        <v>No fuma</v>
      </c>
      <c r="U344">
        <v>2</v>
      </c>
      <c r="V344">
        <f t="shared" si="142"/>
        <v>2</v>
      </c>
      <c r="W344" t="str">
        <f t="shared" si="143"/>
        <v>Siempre</v>
      </c>
      <c r="X344">
        <v>0</v>
      </c>
      <c r="Y344" t="str">
        <f t="shared" si="144"/>
        <v>No controla</v>
      </c>
      <c r="Z344">
        <v>1</v>
      </c>
      <c r="AA344">
        <f t="shared" si="145"/>
        <v>1</v>
      </c>
      <c r="AB344" t="str">
        <f t="shared" si="146"/>
        <v>A veces</v>
      </c>
      <c r="AC344">
        <v>0</v>
      </c>
      <c r="AD344">
        <f t="shared" si="147"/>
        <v>0</v>
      </c>
      <c r="AE344" t="str">
        <f t="shared" si="148"/>
        <v>Nunca</v>
      </c>
      <c r="AF344">
        <v>1</v>
      </c>
      <c r="AG344" t="str">
        <f t="shared" si="149"/>
        <v>A veces</v>
      </c>
      <c r="AH344">
        <v>0</v>
      </c>
      <c r="AI344" t="str">
        <f t="shared" si="150"/>
        <v>No usa</v>
      </c>
      <c r="AJ344">
        <v>0</v>
      </c>
      <c r="AK344" t="str">
        <f t="shared" si="151"/>
        <v>No usa</v>
      </c>
      <c r="AL344">
        <v>0</v>
      </c>
      <c r="AM344" t="str">
        <f t="shared" si="152"/>
        <v>No usa</v>
      </c>
      <c r="AN344">
        <v>1</v>
      </c>
      <c r="AO344" t="str">
        <f t="shared" si="153"/>
        <v>Usa Transporte</v>
      </c>
      <c r="AP344">
        <v>0</v>
      </c>
      <c r="AQ344" t="str">
        <f t="shared" si="154"/>
        <v>No camina</v>
      </c>
      <c r="AR344">
        <v>1</v>
      </c>
      <c r="AS344" t="str">
        <f t="shared" si="155"/>
        <v>Es Obeso</v>
      </c>
    </row>
    <row r="345" spans="1:45" x14ac:dyDescent="0.25">
      <c r="A345">
        <v>1</v>
      </c>
      <c r="B345" t="str">
        <f t="shared" si="130"/>
        <v>M</v>
      </c>
      <c r="C345">
        <v>23</v>
      </c>
      <c r="D345">
        <f t="shared" si="131"/>
        <v>23</v>
      </c>
      <c r="E345">
        <f t="shared" si="132"/>
        <v>23</v>
      </c>
      <c r="F345" t="str">
        <f t="shared" si="133"/>
        <v>1-25</v>
      </c>
      <c r="G345">
        <v>0</v>
      </c>
      <c r="H345" t="str">
        <f t="shared" si="134"/>
        <v>Pariente normal</v>
      </c>
      <c r="I345">
        <v>0</v>
      </c>
      <c r="J345" t="str">
        <f t="shared" si="135"/>
        <v>Saludables</v>
      </c>
      <c r="K345">
        <v>3</v>
      </c>
      <c r="L345">
        <f t="shared" si="136"/>
        <v>1</v>
      </c>
      <c r="M345" t="str">
        <f t="shared" si="137"/>
        <v>Suele comer</v>
      </c>
      <c r="N345">
        <v>3</v>
      </c>
      <c r="O345">
        <f t="shared" si="138"/>
        <v>2</v>
      </c>
      <c r="P345" t="str">
        <f t="shared" si="139"/>
        <v>Mas de 3</v>
      </c>
      <c r="Q345">
        <v>1</v>
      </c>
      <c r="R345" t="str">
        <f t="shared" si="140"/>
        <v>A veces</v>
      </c>
      <c r="S345">
        <v>0</v>
      </c>
      <c r="T345" t="str">
        <f t="shared" si="141"/>
        <v>No fuma</v>
      </c>
      <c r="U345">
        <v>2</v>
      </c>
      <c r="V345">
        <f t="shared" si="142"/>
        <v>2</v>
      </c>
      <c r="W345" t="str">
        <f t="shared" si="143"/>
        <v>Siempre</v>
      </c>
      <c r="X345">
        <v>0</v>
      </c>
      <c r="Y345" t="str">
        <f t="shared" si="144"/>
        <v>No controla</v>
      </c>
      <c r="Z345">
        <v>3</v>
      </c>
      <c r="AA345">
        <f t="shared" si="145"/>
        <v>3</v>
      </c>
      <c r="AB345" t="str">
        <f t="shared" si="146"/>
        <v>Siempre</v>
      </c>
      <c r="AC345">
        <v>0</v>
      </c>
      <c r="AD345">
        <f t="shared" si="147"/>
        <v>0</v>
      </c>
      <c r="AE345" t="str">
        <f t="shared" si="148"/>
        <v>Nunca</v>
      </c>
      <c r="AF345">
        <v>0</v>
      </c>
      <c r="AG345" t="str">
        <f t="shared" si="149"/>
        <v>Nunca</v>
      </c>
      <c r="AH345">
        <v>0</v>
      </c>
      <c r="AI345" t="str">
        <f t="shared" si="150"/>
        <v>No usa</v>
      </c>
      <c r="AJ345">
        <v>0</v>
      </c>
      <c r="AK345" t="str">
        <f t="shared" si="151"/>
        <v>No usa</v>
      </c>
      <c r="AL345">
        <v>0</v>
      </c>
      <c r="AM345" t="str">
        <f t="shared" si="152"/>
        <v>No usa</v>
      </c>
      <c r="AN345">
        <v>1</v>
      </c>
      <c r="AO345" t="str">
        <f t="shared" si="153"/>
        <v>Usa Transporte</v>
      </c>
      <c r="AP345">
        <v>0</v>
      </c>
      <c r="AQ345" t="str">
        <f t="shared" si="154"/>
        <v>No camina</v>
      </c>
      <c r="AR345">
        <v>0</v>
      </c>
      <c r="AS345" t="str">
        <f t="shared" si="155"/>
        <v>No es obeso</v>
      </c>
    </row>
    <row r="346" spans="1:45" x14ac:dyDescent="0.25">
      <c r="A346">
        <v>1</v>
      </c>
      <c r="B346" t="str">
        <f t="shared" si="130"/>
        <v>M</v>
      </c>
      <c r="C346">
        <v>18</v>
      </c>
      <c r="D346">
        <f t="shared" si="131"/>
        <v>18</v>
      </c>
      <c r="E346">
        <f t="shared" si="132"/>
        <v>18</v>
      </c>
      <c r="F346" t="str">
        <f t="shared" si="133"/>
        <v>1-25</v>
      </c>
      <c r="G346">
        <v>1</v>
      </c>
      <c r="H346" t="str">
        <f t="shared" si="134"/>
        <v>Pariente gordo</v>
      </c>
      <c r="I346">
        <v>1</v>
      </c>
      <c r="J346" t="str">
        <f t="shared" si="135"/>
        <v>Hipercaloricos</v>
      </c>
      <c r="K346">
        <v>3</v>
      </c>
      <c r="L346">
        <f t="shared" si="136"/>
        <v>1</v>
      </c>
      <c r="M346" t="str">
        <f t="shared" si="137"/>
        <v>Suele comer</v>
      </c>
      <c r="N346">
        <v>3</v>
      </c>
      <c r="O346">
        <f t="shared" si="138"/>
        <v>2</v>
      </c>
      <c r="P346" t="str">
        <f t="shared" si="139"/>
        <v>Mas de 3</v>
      </c>
      <c r="Q346">
        <v>2</v>
      </c>
      <c r="R346" t="str">
        <f t="shared" si="140"/>
        <v>Usualmente</v>
      </c>
      <c r="S346">
        <v>0</v>
      </c>
      <c r="T346" t="str">
        <f t="shared" si="141"/>
        <v>No fuma</v>
      </c>
      <c r="U346">
        <v>2</v>
      </c>
      <c r="V346">
        <f t="shared" si="142"/>
        <v>2</v>
      </c>
      <c r="W346" t="str">
        <f t="shared" si="143"/>
        <v>Siempre</v>
      </c>
      <c r="X346">
        <v>0</v>
      </c>
      <c r="Y346" t="str">
        <f t="shared" si="144"/>
        <v>No controla</v>
      </c>
      <c r="Z346">
        <v>2</v>
      </c>
      <c r="AA346">
        <f t="shared" si="145"/>
        <v>2</v>
      </c>
      <c r="AB346" t="str">
        <f t="shared" si="146"/>
        <v>Usualmente</v>
      </c>
      <c r="AC346">
        <v>1</v>
      </c>
      <c r="AD346">
        <f t="shared" si="147"/>
        <v>1</v>
      </c>
      <c r="AE346" t="str">
        <f t="shared" si="148"/>
        <v>Usualmente</v>
      </c>
      <c r="AF346">
        <v>1</v>
      </c>
      <c r="AG346" t="str">
        <f t="shared" si="149"/>
        <v>A veces</v>
      </c>
      <c r="AH346">
        <v>0</v>
      </c>
      <c r="AI346" t="str">
        <f t="shared" si="150"/>
        <v>No usa</v>
      </c>
      <c r="AJ346">
        <v>0</v>
      </c>
      <c r="AK346" t="str">
        <f t="shared" si="151"/>
        <v>No usa</v>
      </c>
      <c r="AL346">
        <v>0</v>
      </c>
      <c r="AM346" t="str">
        <f t="shared" si="152"/>
        <v>No usa</v>
      </c>
      <c r="AN346">
        <v>1</v>
      </c>
      <c r="AO346" t="str">
        <f t="shared" si="153"/>
        <v>Usa Transporte</v>
      </c>
      <c r="AP346">
        <v>0</v>
      </c>
      <c r="AQ346" t="str">
        <f t="shared" si="154"/>
        <v>No camina</v>
      </c>
      <c r="AR346">
        <v>1</v>
      </c>
      <c r="AS346" t="str">
        <f t="shared" si="155"/>
        <v>Es Obeso</v>
      </c>
    </row>
    <row r="347" spans="1:45" x14ac:dyDescent="0.25">
      <c r="A347">
        <v>1</v>
      </c>
      <c r="B347" t="str">
        <f t="shared" si="130"/>
        <v>M</v>
      </c>
      <c r="C347">
        <v>17</v>
      </c>
      <c r="D347">
        <f t="shared" si="131"/>
        <v>17</v>
      </c>
      <c r="E347">
        <f t="shared" si="132"/>
        <v>17</v>
      </c>
      <c r="F347" t="str">
        <f t="shared" si="133"/>
        <v>1-25</v>
      </c>
      <c r="G347">
        <v>0</v>
      </c>
      <c r="H347" t="str">
        <f t="shared" si="134"/>
        <v>Pariente normal</v>
      </c>
      <c r="I347">
        <v>1</v>
      </c>
      <c r="J347" t="str">
        <f t="shared" si="135"/>
        <v>Hipercaloricos</v>
      </c>
      <c r="K347">
        <v>3</v>
      </c>
      <c r="L347">
        <f t="shared" si="136"/>
        <v>1</v>
      </c>
      <c r="M347" t="str">
        <f t="shared" si="137"/>
        <v>Suele comer</v>
      </c>
      <c r="N347">
        <v>3</v>
      </c>
      <c r="O347">
        <f t="shared" si="138"/>
        <v>2</v>
      </c>
      <c r="P347" t="str">
        <f t="shared" si="139"/>
        <v>Mas de 3</v>
      </c>
      <c r="Q347">
        <v>3</v>
      </c>
      <c r="R347" t="str">
        <f t="shared" si="140"/>
        <v>Siempre</v>
      </c>
      <c r="S347">
        <v>0</v>
      </c>
      <c r="T347" t="str">
        <f t="shared" si="141"/>
        <v>No fuma</v>
      </c>
      <c r="U347">
        <v>2</v>
      </c>
      <c r="V347">
        <f t="shared" si="142"/>
        <v>2</v>
      </c>
      <c r="W347" t="str">
        <f t="shared" si="143"/>
        <v>Siempre</v>
      </c>
      <c r="X347">
        <v>0</v>
      </c>
      <c r="Y347" t="str">
        <f t="shared" si="144"/>
        <v>No controla</v>
      </c>
      <c r="Z347">
        <v>3</v>
      </c>
      <c r="AA347">
        <f t="shared" si="145"/>
        <v>3</v>
      </c>
      <c r="AB347" t="str">
        <f t="shared" si="146"/>
        <v>Siempre</v>
      </c>
      <c r="AC347">
        <v>1</v>
      </c>
      <c r="AD347">
        <f t="shared" si="147"/>
        <v>1</v>
      </c>
      <c r="AE347" t="str">
        <f t="shared" si="148"/>
        <v>Usualmente</v>
      </c>
      <c r="AF347">
        <v>1</v>
      </c>
      <c r="AG347" t="str">
        <f t="shared" si="149"/>
        <v>A veces</v>
      </c>
      <c r="AH347">
        <v>0</v>
      </c>
      <c r="AI347" t="str">
        <f t="shared" si="150"/>
        <v>No usa</v>
      </c>
      <c r="AJ347">
        <v>0</v>
      </c>
      <c r="AK347" t="str">
        <f t="shared" si="151"/>
        <v>No usa</v>
      </c>
      <c r="AL347">
        <v>0</v>
      </c>
      <c r="AM347" t="str">
        <f t="shared" si="152"/>
        <v>No usa</v>
      </c>
      <c r="AN347">
        <v>1</v>
      </c>
      <c r="AO347" t="str">
        <f t="shared" si="153"/>
        <v>Usa Transporte</v>
      </c>
      <c r="AP347">
        <v>0</v>
      </c>
      <c r="AQ347" t="str">
        <f t="shared" si="154"/>
        <v>No camina</v>
      </c>
      <c r="AR347">
        <v>0</v>
      </c>
      <c r="AS347" t="str">
        <f t="shared" si="155"/>
        <v>No es obeso</v>
      </c>
    </row>
    <row r="348" spans="1:45" x14ac:dyDescent="0.25">
      <c r="A348">
        <v>0</v>
      </c>
      <c r="B348" t="str">
        <f t="shared" si="130"/>
        <v>F</v>
      </c>
      <c r="C348">
        <v>21</v>
      </c>
      <c r="D348">
        <f t="shared" si="131"/>
        <v>21</v>
      </c>
      <c r="E348">
        <f t="shared" si="132"/>
        <v>21</v>
      </c>
      <c r="F348" t="str">
        <f t="shared" si="133"/>
        <v>1-25</v>
      </c>
      <c r="G348">
        <v>1</v>
      </c>
      <c r="H348" t="str">
        <f t="shared" si="134"/>
        <v>Pariente gordo</v>
      </c>
      <c r="I348">
        <v>0</v>
      </c>
      <c r="J348" t="str">
        <f t="shared" si="135"/>
        <v>Saludables</v>
      </c>
      <c r="K348">
        <v>3</v>
      </c>
      <c r="L348">
        <f t="shared" si="136"/>
        <v>1</v>
      </c>
      <c r="M348" t="str">
        <f t="shared" si="137"/>
        <v>Suele comer</v>
      </c>
      <c r="N348">
        <v>3</v>
      </c>
      <c r="O348">
        <f t="shared" si="138"/>
        <v>2</v>
      </c>
      <c r="P348" t="str">
        <f t="shared" si="139"/>
        <v>Mas de 3</v>
      </c>
      <c r="Q348">
        <v>3</v>
      </c>
      <c r="R348" t="str">
        <f t="shared" si="140"/>
        <v>Siempre</v>
      </c>
      <c r="S348">
        <v>0</v>
      </c>
      <c r="T348" t="str">
        <f t="shared" si="141"/>
        <v>No fuma</v>
      </c>
      <c r="U348">
        <v>1</v>
      </c>
      <c r="V348">
        <f t="shared" si="142"/>
        <v>1</v>
      </c>
      <c r="W348" t="str">
        <f t="shared" si="143"/>
        <v>Usualmente</v>
      </c>
      <c r="X348">
        <v>0</v>
      </c>
      <c r="Y348" t="str">
        <f t="shared" si="144"/>
        <v>No controla</v>
      </c>
      <c r="Z348">
        <v>2</v>
      </c>
      <c r="AA348">
        <f t="shared" si="145"/>
        <v>2</v>
      </c>
      <c r="AB348" t="str">
        <f t="shared" si="146"/>
        <v>Usualmente</v>
      </c>
      <c r="AC348">
        <v>0</v>
      </c>
      <c r="AD348">
        <f t="shared" si="147"/>
        <v>0</v>
      </c>
      <c r="AE348" t="str">
        <f t="shared" si="148"/>
        <v>Nunca</v>
      </c>
      <c r="AF348">
        <v>0</v>
      </c>
      <c r="AG348" t="str">
        <f t="shared" si="149"/>
        <v>Nunca</v>
      </c>
      <c r="AH348">
        <v>0</v>
      </c>
      <c r="AI348" t="str">
        <f t="shared" si="150"/>
        <v>No usa</v>
      </c>
      <c r="AJ348">
        <v>0</v>
      </c>
      <c r="AK348" t="str">
        <f t="shared" si="151"/>
        <v>No usa</v>
      </c>
      <c r="AL348">
        <v>0</v>
      </c>
      <c r="AM348" t="str">
        <f t="shared" si="152"/>
        <v>No usa</v>
      </c>
      <c r="AN348">
        <v>1</v>
      </c>
      <c r="AO348" t="str">
        <f t="shared" si="153"/>
        <v>Usa Transporte</v>
      </c>
      <c r="AP348">
        <v>0</v>
      </c>
      <c r="AQ348" t="str">
        <f t="shared" si="154"/>
        <v>No camina</v>
      </c>
      <c r="AR348">
        <v>0</v>
      </c>
      <c r="AS348" t="str">
        <f t="shared" si="155"/>
        <v>No es obeso</v>
      </c>
    </row>
    <row r="349" spans="1:45" x14ac:dyDescent="0.25">
      <c r="A349">
        <v>1</v>
      </c>
      <c r="B349" t="str">
        <f t="shared" si="130"/>
        <v>M</v>
      </c>
      <c r="C349">
        <v>17</v>
      </c>
      <c r="D349">
        <f t="shared" si="131"/>
        <v>17</v>
      </c>
      <c r="E349">
        <f t="shared" si="132"/>
        <v>17</v>
      </c>
      <c r="F349" t="str">
        <f t="shared" si="133"/>
        <v>1-25</v>
      </c>
      <c r="G349">
        <v>1</v>
      </c>
      <c r="H349" t="str">
        <f t="shared" si="134"/>
        <v>Pariente gordo</v>
      </c>
      <c r="I349">
        <v>1</v>
      </c>
      <c r="J349" t="str">
        <f t="shared" si="135"/>
        <v>Hipercaloricos</v>
      </c>
      <c r="K349">
        <v>2</v>
      </c>
      <c r="L349">
        <f t="shared" si="136"/>
        <v>1</v>
      </c>
      <c r="M349" t="str">
        <f t="shared" si="137"/>
        <v>Suele comer</v>
      </c>
      <c r="N349">
        <v>3</v>
      </c>
      <c r="O349">
        <f t="shared" si="138"/>
        <v>2</v>
      </c>
      <c r="P349" t="str">
        <f t="shared" si="139"/>
        <v>Mas de 3</v>
      </c>
      <c r="Q349">
        <v>1</v>
      </c>
      <c r="R349" t="str">
        <f t="shared" si="140"/>
        <v>A veces</v>
      </c>
      <c r="S349">
        <v>0</v>
      </c>
      <c r="T349" t="str">
        <f t="shared" si="141"/>
        <v>No fuma</v>
      </c>
      <c r="U349">
        <v>3</v>
      </c>
      <c r="V349">
        <f t="shared" si="142"/>
        <v>2</v>
      </c>
      <c r="W349" t="str">
        <f t="shared" si="143"/>
        <v>Siempre</v>
      </c>
      <c r="X349">
        <v>0</v>
      </c>
      <c r="Y349" t="str">
        <f t="shared" si="144"/>
        <v>No controla</v>
      </c>
      <c r="Z349">
        <v>1</v>
      </c>
      <c r="AA349">
        <f t="shared" si="145"/>
        <v>1</v>
      </c>
      <c r="AB349" t="str">
        <f t="shared" si="146"/>
        <v>A veces</v>
      </c>
      <c r="AC349">
        <v>1</v>
      </c>
      <c r="AD349">
        <f t="shared" si="147"/>
        <v>1</v>
      </c>
      <c r="AE349" t="str">
        <f t="shared" si="148"/>
        <v>Usualmente</v>
      </c>
      <c r="AF349">
        <v>1</v>
      </c>
      <c r="AG349" t="str">
        <f t="shared" si="149"/>
        <v>A veces</v>
      </c>
      <c r="AH349">
        <v>0</v>
      </c>
      <c r="AI349" t="str">
        <f t="shared" si="150"/>
        <v>No usa</v>
      </c>
      <c r="AJ349">
        <v>0</v>
      </c>
      <c r="AK349" t="str">
        <f t="shared" si="151"/>
        <v>No usa</v>
      </c>
      <c r="AL349">
        <v>0</v>
      </c>
      <c r="AM349" t="str">
        <f t="shared" si="152"/>
        <v>No usa</v>
      </c>
      <c r="AN349">
        <v>0</v>
      </c>
      <c r="AO349" t="str">
        <f t="shared" si="153"/>
        <v>No usa</v>
      </c>
      <c r="AP349">
        <v>1</v>
      </c>
      <c r="AQ349" t="str">
        <f t="shared" si="154"/>
        <v>Camina</v>
      </c>
      <c r="AR349">
        <v>0</v>
      </c>
      <c r="AS349" t="str">
        <f t="shared" si="155"/>
        <v>No es obeso</v>
      </c>
    </row>
    <row r="350" spans="1:45" x14ac:dyDescent="0.25">
      <c r="A350">
        <v>1</v>
      </c>
      <c r="B350" t="str">
        <f t="shared" si="130"/>
        <v>M</v>
      </c>
      <c r="C350">
        <v>18</v>
      </c>
      <c r="D350">
        <f t="shared" si="131"/>
        <v>18</v>
      </c>
      <c r="E350">
        <f t="shared" si="132"/>
        <v>18</v>
      </c>
      <c r="F350" t="str">
        <f t="shared" si="133"/>
        <v>1-25</v>
      </c>
      <c r="G350">
        <v>1</v>
      </c>
      <c r="H350" t="str">
        <f t="shared" si="134"/>
        <v>Pariente gordo</v>
      </c>
      <c r="I350">
        <v>1</v>
      </c>
      <c r="J350" t="str">
        <f t="shared" si="135"/>
        <v>Hipercaloricos</v>
      </c>
      <c r="K350">
        <v>2</v>
      </c>
      <c r="L350">
        <f t="shared" si="136"/>
        <v>1</v>
      </c>
      <c r="M350" t="str">
        <f t="shared" si="137"/>
        <v>Suele comer</v>
      </c>
      <c r="N350">
        <v>3</v>
      </c>
      <c r="O350">
        <f t="shared" si="138"/>
        <v>2</v>
      </c>
      <c r="P350" t="str">
        <f t="shared" si="139"/>
        <v>Mas de 3</v>
      </c>
      <c r="Q350">
        <v>1</v>
      </c>
      <c r="R350" t="str">
        <f t="shared" si="140"/>
        <v>A veces</v>
      </c>
      <c r="S350">
        <v>0</v>
      </c>
      <c r="T350" t="str">
        <f t="shared" si="141"/>
        <v>No fuma</v>
      </c>
      <c r="U350">
        <v>2</v>
      </c>
      <c r="V350">
        <f t="shared" si="142"/>
        <v>2</v>
      </c>
      <c r="W350" t="str">
        <f t="shared" si="143"/>
        <v>Siempre</v>
      </c>
      <c r="X350">
        <v>0</v>
      </c>
      <c r="Y350" t="str">
        <f t="shared" si="144"/>
        <v>No controla</v>
      </c>
      <c r="Z350">
        <v>3</v>
      </c>
      <c r="AA350">
        <f t="shared" si="145"/>
        <v>3</v>
      </c>
      <c r="AB350" t="str">
        <f t="shared" si="146"/>
        <v>Siempre</v>
      </c>
      <c r="AC350">
        <v>2</v>
      </c>
      <c r="AD350">
        <f t="shared" si="147"/>
        <v>2</v>
      </c>
      <c r="AE350" t="str">
        <f t="shared" si="148"/>
        <v>Siempre</v>
      </c>
      <c r="AF350">
        <v>0</v>
      </c>
      <c r="AG350" t="str">
        <f t="shared" si="149"/>
        <v>Nunca</v>
      </c>
      <c r="AH350">
        <v>0</v>
      </c>
      <c r="AI350" t="str">
        <f t="shared" si="150"/>
        <v>No usa</v>
      </c>
      <c r="AJ350">
        <v>0</v>
      </c>
      <c r="AK350" t="str">
        <f t="shared" si="151"/>
        <v>No usa</v>
      </c>
      <c r="AL350">
        <v>0</v>
      </c>
      <c r="AM350" t="str">
        <f t="shared" si="152"/>
        <v>No usa</v>
      </c>
      <c r="AN350">
        <v>0</v>
      </c>
      <c r="AO350" t="str">
        <f t="shared" si="153"/>
        <v>No usa</v>
      </c>
      <c r="AP350">
        <v>1</v>
      </c>
      <c r="AQ350" t="str">
        <f t="shared" si="154"/>
        <v>Camina</v>
      </c>
      <c r="AR350">
        <v>0</v>
      </c>
      <c r="AS350" t="str">
        <f t="shared" si="155"/>
        <v>No es obeso</v>
      </c>
    </row>
    <row r="351" spans="1:45" x14ac:dyDescent="0.25">
      <c r="A351">
        <v>1</v>
      </c>
      <c r="B351" t="str">
        <f t="shared" si="130"/>
        <v>M</v>
      </c>
      <c r="C351">
        <v>20</v>
      </c>
      <c r="D351">
        <f t="shared" si="131"/>
        <v>20</v>
      </c>
      <c r="E351">
        <f t="shared" si="132"/>
        <v>20</v>
      </c>
      <c r="F351" t="str">
        <f t="shared" si="133"/>
        <v>1-25</v>
      </c>
      <c r="G351">
        <v>1</v>
      </c>
      <c r="H351" t="str">
        <f t="shared" si="134"/>
        <v>Pariente gordo</v>
      </c>
      <c r="I351">
        <v>1</v>
      </c>
      <c r="J351" t="str">
        <f t="shared" si="135"/>
        <v>Hipercaloricos</v>
      </c>
      <c r="K351">
        <v>2</v>
      </c>
      <c r="L351">
        <f t="shared" si="136"/>
        <v>1</v>
      </c>
      <c r="M351" t="str">
        <f t="shared" si="137"/>
        <v>Suele comer</v>
      </c>
      <c r="N351">
        <v>3</v>
      </c>
      <c r="O351">
        <f t="shared" si="138"/>
        <v>2</v>
      </c>
      <c r="P351" t="str">
        <f t="shared" si="139"/>
        <v>Mas de 3</v>
      </c>
      <c r="Q351">
        <v>3</v>
      </c>
      <c r="R351" t="str">
        <f t="shared" si="140"/>
        <v>Siempre</v>
      </c>
      <c r="S351">
        <v>0</v>
      </c>
      <c r="T351" t="str">
        <f t="shared" si="141"/>
        <v>No fuma</v>
      </c>
      <c r="U351">
        <v>3</v>
      </c>
      <c r="V351">
        <f t="shared" si="142"/>
        <v>2</v>
      </c>
      <c r="W351" t="str">
        <f t="shared" si="143"/>
        <v>Siempre</v>
      </c>
      <c r="X351">
        <v>0</v>
      </c>
      <c r="Y351" t="str">
        <f t="shared" si="144"/>
        <v>No controla</v>
      </c>
      <c r="Z351">
        <v>1</v>
      </c>
      <c r="AA351">
        <f t="shared" si="145"/>
        <v>1</v>
      </c>
      <c r="AB351" t="str">
        <f t="shared" si="146"/>
        <v>A veces</v>
      </c>
      <c r="AC351">
        <v>1</v>
      </c>
      <c r="AD351">
        <f t="shared" si="147"/>
        <v>1</v>
      </c>
      <c r="AE351" t="str">
        <f t="shared" si="148"/>
        <v>Usualmente</v>
      </c>
      <c r="AF351">
        <v>1</v>
      </c>
      <c r="AG351" t="str">
        <f t="shared" si="149"/>
        <v>A veces</v>
      </c>
      <c r="AH351">
        <v>0</v>
      </c>
      <c r="AI351" t="str">
        <f t="shared" si="150"/>
        <v>No usa</v>
      </c>
      <c r="AJ351">
        <v>0</v>
      </c>
      <c r="AK351" t="str">
        <f t="shared" si="151"/>
        <v>No usa</v>
      </c>
      <c r="AL351">
        <v>0</v>
      </c>
      <c r="AM351" t="str">
        <f t="shared" si="152"/>
        <v>No usa</v>
      </c>
      <c r="AN351">
        <v>1</v>
      </c>
      <c r="AO351" t="str">
        <f t="shared" si="153"/>
        <v>Usa Transporte</v>
      </c>
      <c r="AP351">
        <v>0</v>
      </c>
      <c r="AQ351" t="str">
        <f t="shared" si="154"/>
        <v>No camina</v>
      </c>
      <c r="AR351">
        <v>1</v>
      </c>
      <c r="AS351" t="str">
        <f t="shared" si="155"/>
        <v>Es Obeso</v>
      </c>
    </row>
    <row r="352" spans="1:45" x14ac:dyDescent="0.25">
      <c r="A352">
        <v>1</v>
      </c>
      <c r="B352" t="str">
        <f t="shared" si="130"/>
        <v>M</v>
      </c>
      <c r="C352">
        <v>17</v>
      </c>
      <c r="D352">
        <f t="shared" si="131"/>
        <v>17</v>
      </c>
      <c r="E352">
        <f t="shared" si="132"/>
        <v>17</v>
      </c>
      <c r="F352" t="str">
        <f t="shared" si="133"/>
        <v>1-25</v>
      </c>
      <c r="G352">
        <v>1</v>
      </c>
      <c r="H352" t="str">
        <f t="shared" si="134"/>
        <v>Pariente gordo</v>
      </c>
      <c r="I352">
        <v>0</v>
      </c>
      <c r="J352" t="str">
        <f t="shared" si="135"/>
        <v>Saludables</v>
      </c>
      <c r="K352">
        <v>2</v>
      </c>
      <c r="L352">
        <f t="shared" si="136"/>
        <v>1</v>
      </c>
      <c r="M352" t="str">
        <f t="shared" si="137"/>
        <v>Suele comer</v>
      </c>
      <c r="N352">
        <v>3</v>
      </c>
      <c r="O352">
        <f t="shared" si="138"/>
        <v>2</v>
      </c>
      <c r="P352" t="str">
        <f t="shared" si="139"/>
        <v>Mas de 3</v>
      </c>
      <c r="Q352">
        <v>1</v>
      </c>
      <c r="R352" t="str">
        <f t="shared" si="140"/>
        <v>A veces</v>
      </c>
      <c r="S352">
        <v>0</v>
      </c>
      <c r="T352" t="str">
        <f t="shared" si="141"/>
        <v>No fuma</v>
      </c>
      <c r="U352">
        <v>1</v>
      </c>
      <c r="V352">
        <f t="shared" si="142"/>
        <v>1</v>
      </c>
      <c r="W352" t="str">
        <f t="shared" si="143"/>
        <v>Usualmente</v>
      </c>
      <c r="X352">
        <v>0</v>
      </c>
      <c r="Y352" t="str">
        <f t="shared" si="144"/>
        <v>No controla</v>
      </c>
      <c r="Z352">
        <v>3</v>
      </c>
      <c r="AA352">
        <f t="shared" si="145"/>
        <v>3</v>
      </c>
      <c r="AB352" t="str">
        <f t="shared" si="146"/>
        <v>Siempre</v>
      </c>
      <c r="AC352">
        <v>2</v>
      </c>
      <c r="AD352">
        <f t="shared" si="147"/>
        <v>2</v>
      </c>
      <c r="AE352" t="str">
        <f t="shared" si="148"/>
        <v>Siempre</v>
      </c>
      <c r="AF352">
        <v>1</v>
      </c>
      <c r="AG352" t="str">
        <f t="shared" si="149"/>
        <v>A veces</v>
      </c>
      <c r="AH352">
        <v>0</v>
      </c>
      <c r="AI352" t="str">
        <f t="shared" si="150"/>
        <v>No usa</v>
      </c>
      <c r="AJ352">
        <v>0</v>
      </c>
      <c r="AK352" t="str">
        <f t="shared" si="151"/>
        <v>No usa</v>
      </c>
      <c r="AL352">
        <v>0</v>
      </c>
      <c r="AM352" t="str">
        <f t="shared" si="152"/>
        <v>No usa</v>
      </c>
      <c r="AN352">
        <v>0</v>
      </c>
      <c r="AO352" t="str">
        <f t="shared" si="153"/>
        <v>No usa</v>
      </c>
      <c r="AP352">
        <v>1</v>
      </c>
      <c r="AQ352" t="str">
        <f t="shared" si="154"/>
        <v>Camina</v>
      </c>
      <c r="AR352">
        <v>0</v>
      </c>
      <c r="AS352" t="str">
        <f t="shared" si="155"/>
        <v>No es obeso</v>
      </c>
    </row>
    <row r="353" spans="1:45" x14ac:dyDescent="0.25">
      <c r="A353">
        <v>0</v>
      </c>
      <c r="B353" t="str">
        <f t="shared" si="130"/>
        <v>F</v>
      </c>
      <c r="C353">
        <v>26</v>
      </c>
      <c r="D353">
        <f t="shared" si="131"/>
        <v>26</v>
      </c>
      <c r="E353">
        <f t="shared" si="132"/>
        <v>26</v>
      </c>
      <c r="F353" t="str">
        <f t="shared" si="133"/>
        <v>25-50</v>
      </c>
      <c r="G353">
        <v>0</v>
      </c>
      <c r="H353" t="str">
        <f t="shared" si="134"/>
        <v>Pariente normal</v>
      </c>
      <c r="I353">
        <v>0</v>
      </c>
      <c r="J353" t="str">
        <f t="shared" si="135"/>
        <v>Saludables</v>
      </c>
      <c r="K353">
        <v>3</v>
      </c>
      <c r="L353">
        <f t="shared" si="136"/>
        <v>1</v>
      </c>
      <c r="M353" t="str">
        <f t="shared" si="137"/>
        <v>Suele comer</v>
      </c>
      <c r="N353">
        <v>4</v>
      </c>
      <c r="O353">
        <f t="shared" si="138"/>
        <v>2</v>
      </c>
      <c r="P353" t="str">
        <f t="shared" si="139"/>
        <v>Mas de 3</v>
      </c>
      <c r="Q353">
        <v>3</v>
      </c>
      <c r="R353" t="str">
        <f t="shared" si="140"/>
        <v>Siempre</v>
      </c>
      <c r="S353">
        <v>0</v>
      </c>
      <c r="T353" t="str">
        <f t="shared" si="141"/>
        <v>No fuma</v>
      </c>
      <c r="U353">
        <v>2</v>
      </c>
      <c r="V353">
        <f t="shared" si="142"/>
        <v>2</v>
      </c>
      <c r="W353" t="str">
        <f t="shared" si="143"/>
        <v>Siempre</v>
      </c>
      <c r="X353">
        <v>0</v>
      </c>
      <c r="Y353" t="str">
        <f t="shared" si="144"/>
        <v>No controla</v>
      </c>
      <c r="Z353">
        <v>2</v>
      </c>
      <c r="AA353">
        <f t="shared" si="145"/>
        <v>2</v>
      </c>
      <c r="AB353" t="str">
        <f t="shared" si="146"/>
        <v>Usualmente</v>
      </c>
      <c r="AC353">
        <v>0</v>
      </c>
      <c r="AD353">
        <f t="shared" si="147"/>
        <v>0</v>
      </c>
      <c r="AE353" t="str">
        <f t="shared" si="148"/>
        <v>Nunca</v>
      </c>
      <c r="AF353">
        <v>0</v>
      </c>
      <c r="AG353" t="str">
        <f t="shared" si="149"/>
        <v>Nunca</v>
      </c>
      <c r="AH353">
        <v>0</v>
      </c>
      <c r="AI353" t="str">
        <f t="shared" si="150"/>
        <v>No usa</v>
      </c>
      <c r="AJ353">
        <v>0</v>
      </c>
      <c r="AK353" t="str">
        <f t="shared" si="151"/>
        <v>No usa</v>
      </c>
      <c r="AL353">
        <v>0</v>
      </c>
      <c r="AM353" t="str">
        <f t="shared" si="152"/>
        <v>No usa</v>
      </c>
      <c r="AN353">
        <v>0</v>
      </c>
      <c r="AO353" t="str">
        <f t="shared" si="153"/>
        <v>No usa</v>
      </c>
      <c r="AP353">
        <v>1</v>
      </c>
      <c r="AQ353" t="str">
        <f t="shared" si="154"/>
        <v>Camina</v>
      </c>
      <c r="AR353">
        <v>0</v>
      </c>
      <c r="AS353" t="str">
        <f t="shared" si="155"/>
        <v>No es obeso</v>
      </c>
    </row>
    <row r="354" spans="1:45" x14ac:dyDescent="0.25">
      <c r="A354">
        <v>0</v>
      </c>
      <c r="B354" t="str">
        <f t="shared" si="130"/>
        <v>F</v>
      </c>
      <c r="C354">
        <v>17</v>
      </c>
      <c r="D354">
        <f t="shared" si="131"/>
        <v>17</v>
      </c>
      <c r="E354">
        <f t="shared" si="132"/>
        <v>17</v>
      </c>
      <c r="F354" t="str">
        <f t="shared" si="133"/>
        <v>1-25</v>
      </c>
      <c r="G354">
        <v>0</v>
      </c>
      <c r="H354" t="str">
        <f t="shared" si="134"/>
        <v>Pariente normal</v>
      </c>
      <c r="I354">
        <v>1</v>
      </c>
      <c r="J354" t="str">
        <f t="shared" si="135"/>
        <v>Hipercaloricos</v>
      </c>
      <c r="K354">
        <v>1</v>
      </c>
      <c r="L354">
        <f t="shared" si="136"/>
        <v>1</v>
      </c>
      <c r="M354" t="str">
        <f t="shared" si="137"/>
        <v>Suele comer</v>
      </c>
      <c r="N354">
        <v>3</v>
      </c>
      <c r="O354">
        <f t="shared" si="138"/>
        <v>2</v>
      </c>
      <c r="P354" t="str">
        <f t="shared" si="139"/>
        <v>Mas de 3</v>
      </c>
      <c r="Q354">
        <v>1</v>
      </c>
      <c r="R354" t="str">
        <f t="shared" si="140"/>
        <v>A veces</v>
      </c>
      <c r="S354">
        <v>0</v>
      </c>
      <c r="T354" t="str">
        <f t="shared" si="141"/>
        <v>No fuma</v>
      </c>
      <c r="U354">
        <v>1</v>
      </c>
      <c r="V354">
        <f t="shared" si="142"/>
        <v>1</v>
      </c>
      <c r="W354" t="str">
        <f t="shared" si="143"/>
        <v>Usualmente</v>
      </c>
      <c r="X354">
        <v>0</v>
      </c>
      <c r="Y354" t="str">
        <f t="shared" si="144"/>
        <v>No controla</v>
      </c>
      <c r="Z354">
        <v>2</v>
      </c>
      <c r="AA354">
        <f t="shared" si="145"/>
        <v>2</v>
      </c>
      <c r="AB354" t="str">
        <f t="shared" si="146"/>
        <v>Usualmente</v>
      </c>
      <c r="AC354">
        <v>2</v>
      </c>
      <c r="AD354">
        <f t="shared" si="147"/>
        <v>2</v>
      </c>
      <c r="AE354" t="str">
        <f t="shared" si="148"/>
        <v>Siempre</v>
      </c>
      <c r="AF354">
        <v>1</v>
      </c>
      <c r="AG354" t="str">
        <f t="shared" si="149"/>
        <v>A veces</v>
      </c>
      <c r="AH354">
        <v>0</v>
      </c>
      <c r="AI354" t="str">
        <f t="shared" si="150"/>
        <v>No usa</v>
      </c>
      <c r="AJ354">
        <v>0</v>
      </c>
      <c r="AK354" t="str">
        <f t="shared" si="151"/>
        <v>No usa</v>
      </c>
      <c r="AL354">
        <v>0</v>
      </c>
      <c r="AM354" t="str">
        <f t="shared" si="152"/>
        <v>No usa</v>
      </c>
      <c r="AN354">
        <v>0</v>
      </c>
      <c r="AO354" t="str">
        <f t="shared" si="153"/>
        <v>No usa</v>
      </c>
      <c r="AP354">
        <v>1</v>
      </c>
      <c r="AQ354" t="str">
        <f t="shared" si="154"/>
        <v>Camina</v>
      </c>
      <c r="AR354">
        <v>0</v>
      </c>
      <c r="AS354" t="str">
        <f t="shared" si="155"/>
        <v>No es obeso</v>
      </c>
    </row>
    <row r="355" spans="1:45" x14ac:dyDescent="0.25">
      <c r="A355">
        <v>0</v>
      </c>
      <c r="B355" t="str">
        <f t="shared" si="130"/>
        <v>F</v>
      </c>
      <c r="C355">
        <v>24</v>
      </c>
      <c r="D355">
        <f t="shared" si="131"/>
        <v>24</v>
      </c>
      <c r="E355">
        <f t="shared" si="132"/>
        <v>24</v>
      </c>
      <c r="F355" t="str">
        <f t="shared" si="133"/>
        <v>1-25</v>
      </c>
      <c r="G355">
        <v>1</v>
      </c>
      <c r="H355" t="str">
        <f t="shared" si="134"/>
        <v>Pariente gordo</v>
      </c>
      <c r="I355">
        <v>1</v>
      </c>
      <c r="J355" t="str">
        <f t="shared" si="135"/>
        <v>Hipercaloricos</v>
      </c>
      <c r="K355">
        <v>1</v>
      </c>
      <c r="L355">
        <f t="shared" si="136"/>
        <v>1</v>
      </c>
      <c r="M355" t="str">
        <f t="shared" si="137"/>
        <v>Suele comer</v>
      </c>
      <c r="N355">
        <v>3</v>
      </c>
      <c r="O355">
        <f t="shared" si="138"/>
        <v>2</v>
      </c>
      <c r="P355" t="str">
        <f t="shared" si="139"/>
        <v>Mas de 3</v>
      </c>
      <c r="Q355">
        <v>1</v>
      </c>
      <c r="R355" t="str">
        <f t="shared" si="140"/>
        <v>A veces</v>
      </c>
      <c r="S355">
        <v>0</v>
      </c>
      <c r="T355" t="str">
        <f t="shared" si="141"/>
        <v>No fuma</v>
      </c>
      <c r="U355">
        <v>2</v>
      </c>
      <c r="V355">
        <f t="shared" si="142"/>
        <v>2</v>
      </c>
      <c r="W355" t="str">
        <f t="shared" si="143"/>
        <v>Siempre</v>
      </c>
      <c r="X355">
        <v>0</v>
      </c>
      <c r="Y355" t="str">
        <f t="shared" si="144"/>
        <v>No controla</v>
      </c>
      <c r="Z355">
        <v>0</v>
      </c>
      <c r="AA355">
        <f t="shared" si="145"/>
        <v>0</v>
      </c>
      <c r="AB355" t="str">
        <f t="shared" si="146"/>
        <v>Nunca</v>
      </c>
      <c r="AC355">
        <v>1</v>
      </c>
      <c r="AD355">
        <f t="shared" si="147"/>
        <v>1</v>
      </c>
      <c r="AE355" t="str">
        <f t="shared" si="148"/>
        <v>Usualmente</v>
      </c>
      <c r="AF355">
        <v>1</v>
      </c>
      <c r="AG355" t="str">
        <f t="shared" si="149"/>
        <v>A veces</v>
      </c>
      <c r="AH355">
        <v>1</v>
      </c>
      <c r="AI355" t="str">
        <f t="shared" si="150"/>
        <v>Usa auto</v>
      </c>
      <c r="AJ355">
        <v>0</v>
      </c>
      <c r="AK355" t="str">
        <f t="shared" si="151"/>
        <v>No usa</v>
      </c>
      <c r="AL355">
        <v>0</v>
      </c>
      <c r="AM355" t="str">
        <f t="shared" si="152"/>
        <v>No usa</v>
      </c>
      <c r="AN355">
        <v>0</v>
      </c>
      <c r="AO355" t="str">
        <f t="shared" si="153"/>
        <v>No usa</v>
      </c>
      <c r="AP355">
        <v>0</v>
      </c>
      <c r="AQ355" t="str">
        <f t="shared" si="154"/>
        <v>No camina</v>
      </c>
      <c r="AR355">
        <v>0</v>
      </c>
      <c r="AS355" t="str">
        <f t="shared" si="155"/>
        <v>No es obeso</v>
      </c>
    </row>
    <row r="356" spans="1:45" x14ac:dyDescent="0.25">
      <c r="A356">
        <v>0</v>
      </c>
      <c r="B356" t="str">
        <f t="shared" si="130"/>
        <v>F</v>
      </c>
      <c r="C356">
        <v>17</v>
      </c>
      <c r="D356">
        <f t="shared" si="131"/>
        <v>17</v>
      </c>
      <c r="E356">
        <f t="shared" si="132"/>
        <v>17</v>
      </c>
      <c r="F356" t="str">
        <f t="shared" si="133"/>
        <v>1-25</v>
      </c>
      <c r="G356">
        <v>0</v>
      </c>
      <c r="H356" t="str">
        <f t="shared" si="134"/>
        <v>Pariente normal</v>
      </c>
      <c r="I356">
        <v>1</v>
      </c>
      <c r="J356" t="str">
        <f t="shared" si="135"/>
        <v>Hipercaloricos</v>
      </c>
      <c r="K356">
        <v>2</v>
      </c>
      <c r="L356">
        <f t="shared" si="136"/>
        <v>1</v>
      </c>
      <c r="M356" t="str">
        <f t="shared" si="137"/>
        <v>Suele comer</v>
      </c>
      <c r="N356">
        <v>3</v>
      </c>
      <c r="O356">
        <f t="shared" si="138"/>
        <v>2</v>
      </c>
      <c r="P356" t="str">
        <f t="shared" si="139"/>
        <v>Mas de 3</v>
      </c>
      <c r="Q356">
        <v>1</v>
      </c>
      <c r="R356" t="str">
        <f t="shared" si="140"/>
        <v>A veces</v>
      </c>
      <c r="S356">
        <v>0</v>
      </c>
      <c r="T356" t="str">
        <f t="shared" si="141"/>
        <v>No fuma</v>
      </c>
      <c r="U356">
        <v>2</v>
      </c>
      <c r="V356">
        <f t="shared" si="142"/>
        <v>2</v>
      </c>
      <c r="W356" t="str">
        <f t="shared" si="143"/>
        <v>Siempre</v>
      </c>
      <c r="X356">
        <v>0</v>
      </c>
      <c r="Y356" t="str">
        <f t="shared" si="144"/>
        <v>No controla</v>
      </c>
      <c r="Z356">
        <v>1</v>
      </c>
      <c r="AA356">
        <f t="shared" si="145"/>
        <v>1</v>
      </c>
      <c r="AB356" t="str">
        <f t="shared" si="146"/>
        <v>A veces</v>
      </c>
      <c r="AC356">
        <v>2</v>
      </c>
      <c r="AD356">
        <f t="shared" si="147"/>
        <v>2</v>
      </c>
      <c r="AE356" t="str">
        <f t="shared" si="148"/>
        <v>Siempre</v>
      </c>
      <c r="AF356">
        <v>0</v>
      </c>
      <c r="AG356" t="str">
        <f t="shared" si="149"/>
        <v>Nunca</v>
      </c>
      <c r="AH356">
        <v>0</v>
      </c>
      <c r="AI356" t="str">
        <f t="shared" si="150"/>
        <v>No usa</v>
      </c>
      <c r="AJ356">
        <v>0</v>
      </c>
      <c r="AK356" t="str">
        <f t="shared" si="151"/>
        <v>No usa</v>
      </c>
      <c r="AL356">
        <v>0</v>
      </c>
      <c r="AM356" t="str">
        <f t="shared" si="152"/>
        <v>No usa</v>
      </c>
      <c r="AN356">
        <v>1</v>
      </c>
      <c r="AO356" t="str">
        <f t="shared" si="153"/>
        <v>Usa Transporte</v>
      </c>
      <c r="AP356">
        <v>0</v>
      </c>
      <c r="AQ356" t="str">
        <f t="shared" si="154"/>
        <v>No camina</v>
      </c>
      <c r="AR356">
        <v>0</v>
      </c>
      <c r="AS356" t="str">
        <f t="shared" si="155"/>
        <v>No es obeso</v>
      </c>
    </row>
    <row r="357" spans="1:45" x14ac:dyDescent="0.25">
      <c r="A357">
        <v>0</v>
      </c>
      <c r="B357" t="str">
        <f t="shared" si="130"/>
        <v>F</v>
      </c>
      <c r="C357">
        <v>27</v>
      </c>
      <c r="D357">
        <f t="shared" si="131"/>
        <v>27</v>
      </c>
      <c r="E357">
        <f t="shared" si="132"/>
        <v>27</v>
      </c>
      <c r="F357" t="str">
        <f t="shared" si="133"/>
        <v>25-50</v>
      </c>
      <c r="G357">
        <v>0</v>
      </c>
      <c r="H357" t="str">
        <f t="shared" si="134"/>
        <v>Pariente normal</v>
      </c>
      <c r="I357">
        <v>1</v>
      </c>
      <c r="J357" t="str">
        <f t="shared" si="135"/>
        <v>Hipercaloricos</v>
      </c>
      <c r="K357">
        <v>3</v>
      </c>
      <c r="L357">
        <f t="shared" si="136"/>
        <v>1</v>
      </c>
      <c r="M357" t="str">
        <f t="shared" si="137"/>
        <v>Suele comer</v>
      </c>
      <c r="N357">
        <v>1</v>
      </c>
      <c r="O357">
        <f t="shared" si="138"/>
        <v>1</v>
      </c>
      <c r="P357">
        <f t="shared" si="139"/>
        <v>3</v>
      </c>
      <c r="Q357">
        <v>1</v>
      </c>
      <c r="R357" t="str">
        <f t="shared" si="140"/>
        <v>A veces</v>
      </c>
      <c r="S357">
        <v>0</v>
      </c>
      <c r="T357" t="str">
        <f t="shared" si="141"/>
        <v>No fuma</v>
      </c>
      <c r="U357">
        <v>1</v>
      </c>
      <c r="V357">
        <f t="shared" si="142"/>
        <v>1</v>
      </c>
      <c r="W357" t="str">
        <f t="shared" si="143"/>
        <v>Usualmente</v>
      </c>
      <c r="X357">
        <v>0</v>
      </c>
      <c r="Y357" t="str">
        <f t="shared" si="144"/>
        <v>No controla</v>
      </c>
      <c r="Z357">
        <v>1</v>
      </c>
      <c r="AA357">
        <f t="shared" si="145"/>
        <v>1</v>
      </c>
      <c r="AB357" t="str">
        <f t="shared" si="146"/>
        <v>A veces</v>
      </c>
      <c r="AC357">
        <v>0</v>
      </c>
      <c r="AD357">
        <f t="shared" si="147"/>
        <v>0</v>
      </c>
      <c r="AE357" t="str">
        <f t="shared" si="148"/>
        <v>Nunca</v>
      </c>
      <c r="AF357">
        <v>1</v>
      </c>
      <c r="AG357" t="str">
        <f t="shared" si="149"/>
        <v>A veces</v>
      </c>
      <c r="AH357">
        <v>0</v>
      </c>
      <c r="AI357" t="str">
        <f t="shared" si="150"/>
        <v>No usa</v>
      </c>
      <c r="AJ357">
        <v>0</v>
      </c>
      <c r="AK357" t="str">
        <f t="shared" si="151"/>
        <v>No usa</v>
      </c>
      <c r="AL357">
        <v>0</v>
      </c>
      <c r="AM357" t="str">
        <f t="shared" si="152"/>
        <v>No usa</v>
      </c>
      <c r="AN357">
        <v>1</v>
      </c>
      <c r="AO357" t="str">
        <f t="shared" si="153"/>
        <v>Usa Transporte</v>
      </c>
      <c r="AP357">
        <v>0</v>
      </c>
      <c r="AQ357" t="str">
        <f t="shared" si="154"/>
        <v>No camina</v>
      </c>
      <c r="AR357">
        <v>0</v>
      </c>
      <c r="AS357" t="str">
        <f t="shared" si="155"/>
        <v>No es obeso</v>
      </c>
    </row>
    <row r="358" spans="1:45" x14ac:dyDescent="0.25">
      <c r="A358">
        <v>1</v>
      </c>
      <c r="B358" t="str">
        <f t="shared" si="130"/>
        <v>M</v>
      </c>
      <c r="C358">
        <v>17</v>
      </c>
      <c r="D358">
        <f t="shared" si="131"/>
        <v>17</v>
      </c>
      <c r="E358">
        <f t="shared" si="132"/>
        <v>17</v>
      </c>
      <c r="F358" t="str">
        <f t="shared" si="133"/>
        <v>1-25</v>
      </c>
      <c r="G358">
        <v>0</v>
      </c>
      <c r="H358" t="str">
        <f t="shared" si="134"/>
        <v>Pariente normal</v>
      </c>
      <c r="I358">
        <v>0</v>
      </c>
      <c r="J358" t="str">
        <f t="shared" si="135"/>
        <v>Saludables</v>
      </c>
      <c r="K358">
        <v>3</v>
      </c>
      <c r="L358">
        <f t="shared" si="136"/>
        <v>1</v>
      </c>
      <c r="M358" t="str">
        <f t="shared" si="137"/>
        <v>Suele comer</v>
      </c>
      <c r="N358">
        <v>3</v>
      </c>
      <c r="O358">
        <f t="shared" si="138"/>
        <v>2</v>
      </c>
      <c r="P358" t="str">
        <f t="shared" si="139"/>
        <v>Mas de 3</v>
      </c>
      <c r="Q358">
        <v>1</v>
      </c>
      <c r="R358" t="str">
        <f t="shared" si="140"/>
        <v>A veces</v>
      </c>
      <c r="S358">
        <v>0</v>
      </c>
      <c r="T358" t="str">
        <f t="shared" si="141"/>
        <v>No fuma</v>
      </c>
      <c r="U358">
        <v>2</v>
      </c>
      <c r="V358">
        <f t="shared" si="142"/>
        <v>2</v>
      </c>
      <c r="W358" t="str">
        <f t="shared" si="143"/>
        <v>Siempre</v>
      </c>
      <c r="X358">
        <v>0</v>
      </c>
      <c r="Y358" t="str">
        <f t="shared" si="144"/>
        <v>No controla</v>
      </c>
      <c r="Z358">
        <v>3</v>
      </c>
      <c r="AA358">
        <f t="shared" si="145"/>
        <v>3</v>
      </c>
      <c r="AB358" t="str">
        <f t="shared" si="146"/>
        <v>Siempre</v>
      </c>
      <c r="AC358">
        <v>1</v>
      </c>
      <c r="AD358">
        <f t="shared" si="147"/>
        <v>1</v>
      </c>
      <c r="AE358" t="str">
        <f t="shared" si="148"/>
        <v>Usualmente</v>
      </c>
      <c r="AF358">
        <v>0</v>
      </c>
      <c r="AG358" t="str">
        <f t="shared" si="149"/>
        <v>Nunca</v>
      </c>
      <c r="AH358">
        <v>0</v>
      </c>
      <c r="AI358" t="str">
        <f t="shared" si="150"/>
        <v>No usa</v>
      </c>
      <c r="AJ358">
        <v>0</v>
      </c>
      <c r="AK358" t="str">
        <f t="shared" si="151"/>
        <v>No usa</v>
      </c>
      <c r="AL358">
        <v>0</v>
      </c>
      <c r="AM358" t="str">
        <f t="shared" si="152"/>
        <v>No usa</v>
      </c>
      <c r="AN358">
        <v>0</v>
      </c>
      <c r="AO358" t="str">
        <f t="shared" si="153"/>
        <v>No usa</v>
      </c>
      <c r="AP358">
        <v>1</v>
      </c>
      <c r="AQ358" t="str">
        <f t="shared" si="154"/>
        <v>Camina</v>
      </c>
      <c r="AR358">
        <v>0</v>
      </c>
      <c r="AS358" t="str">
        <f t="shared" si="155"/>
        <v>No es obeso</v>
      </c>
    </row>
    <row r="359" spans="1:45" x14ac:dyDescent="0.25">
      <c r="A359">
        <v>0</v>
      </c>
      <c r="B359" t="str">
        <f t="shared" si="130"/>
        <v>F</v>
      </c>
      <c r="C359">
        <v>17</v>
      </c>
      <c r="D359">
        <f t="shared" si="131"/>
        <v>17</v>
      </c>
      <c r="E359">
        <f t="shared" si="132"/>
        <v>17</v>
      </c>
      <c r="F359" t="str">
        <f t="shared" si="133"/>
        <v>1-25</v>
      </c>
      <c r="G359">
        <v>1</v>
      </c>
      <c r="H359" t="str">
        <f t="shared" si="134"/>
        <v>Pariente gordo</v>
      </c>
      <c r="I359">
        <v>1</v>
      </c>
      <c r="J359" t="str">
        <f t="shared" si="135"/>
        <v>Hipercaloricos</v>
      </c>
      <c r="K359">
        <v>1</v>
      </c>
      <c r="L359">
        <f t="shared" si="136"/>
        <v>1</v>
      </c>
      <c r="M359" t="str">
        <f t="shared" si="137"/>
        <v>Suele comer</v>
      </c>
      <c r="N359">
        <v>3</v>
      </c>
      <c r="O359">
        <f t="shared" si="138"/>
        <v>2</v>
      </c>
      <c r="P359" t="str">
        <f t="shared" si="139"/>
        <v>Mas de 3</v>
      </c>
      <c r="Q359">
        <v>1</v>
      </c>
      <c r="R359" t="str">
        <f t="shared" si="140"/>
        <v>A veces</v>
      </c>
      <c r="S359">
        <v>0</v>
      </c>
      <c r="T359" t="str">
        <f t="shared" si="141"/>
        <v>No fuma</v>
      </c>
      <c r="U359">
        <v>1</v>
      </c>
      <c r="V359">
        <f t="shared" si="142"/>
        <v>1</v>
      </c>
      <c r="W359" t="str">
        <f t="shared" si="143"/>
        <v>Usualmente</v>
      </c>
      <c r="X359">
        <v>0</v>
      </c>
      <c r="Y359" t="str">
        <f t="shared" si="144"/>
        <v>No controla</v>
      </c>
      <c r="Z359">
        <v>1</v>
      </c>
      <c r="AA359">
        <f t="shared" si="145"/>
        <v>1</v>
      </c>
      <c r="AB359" t="str">
        <f t="shared" si="146"/>
        <v>A veces</v>
      </c>
      <c r="AC359">
        <v>1</v>
      </c>
      <c r="AD359">
        <f t="shared" si="147"/>
        <v>1</v>
      </c>
      <c r="AE359" t="str">
        <f t="shared" si="148"/>
        <v>Usualmente</v>
      </c>
      <c r="AF359">
        <v>0</v>
      </c>
      <c r="AG359" t="str">
        <f t="shared" si="149"/>
        <v>Nunca</v>
      </c>
      <c r="AH359">
        <v>1</v>
      </c>
      <c r="AI359" t="str">
        <f t="shared" si="150"/>
        <v>Usa auto</v>
      </c>
      <c r="AJ359">
        <v>0</v>
      </c>
      <c r="AK359" t="str">
        <f t="shared" si="151"/>
        <v>No usa</v>
      </c>
      <c r="AL359">
        <v>0</v>
      </c>
      <c r="AM359" t="str">
        <f t="shared" si="152"/>
        <v>No usa</v>
      </c>
      <c r="AN359">
        <v>0</v>
      </c>
      <c r="AO359" t="str">
        <f t="shared" si="153"/>
        <v>No usa</v>
      </c>
      <c r="AP359">
        <v>0</v>
      </c>
      <c r="AQ359" t="str">
        <f t="shared" si="154"/>
        <v>No camina</v>
      </c>
      <c r="AR359">
        <v>0</v>
      </c>
      <c r="AS359" t="str">
        <f t="shared" si="155"/>
        <v>No es obeso</v>
      </c>
    </row>
    <row r="360" spans="1:45" x14ac:dyDescent="0.25">
      <c r="A360">
        <v>1</v>
      </c>
      <c r="B360" t="str">
        <f t="shared" si="130"/>
        <v>M</v>
      </c>
      <c r="C360">
        <v>41</v>
      </c>
      <c r="D360">
        <f t="shared" si="131"/>
        <v>41</v>
      </c>
      <c r="E360">
        <f t="shared" si="132"/>
        <v>41</v>
      </c>
      <c r="F360" t="str">
        <f t="shared" si="133"/>
        <v>25-50</v>
      </c>
      <c r="G360">
        <v>1</v>
      </c>
      <c r="H360" t="str">
        <f t="shared" si="134"/>
        <v>Pariente gordo</v>
      </c>
      <c r="I360">
        <v>0</v>
      </c>
      <c r="J360" t="str">
        <f t="shared" si="135"/>
        <v>Saludables</v>
      </c>
      <c r="K360">
        <v>2</v>
      </c>
      <c r="L360">
        <f t="shared" si="136"/>
        <v>1</v>
      </c>
      <c r="M360" t="str">
        <f t="shared" si="137"/>
        <v>Suele comer</v>
      </c>
      <c r="N360">
        <v>1</v>
      </c>
      <c r="O360">
        <f t="shared" si="138"/>
        <v>1</v>
      </c>
      <c r="P360">
        <f t="shared" si="139"/>
        <v>3</v>
      </c>
      <c r="Q360">
        <v>1</v>
      </c>
      <c r="R360" t="str">
        <f t="shared" si="140"/>
        <v>A veces</v>
      </c>
      <c r="S360">
        <v>0</v>
      </c>
      <c r="T360" t="str">
        <f t="shared" si="141"/>
        <v>No fuma</v>
      </c>
      <c r="U360">
        <v>1</v>
      </c>
      <c r="V360">
        <f t="shared" si="142"/>
        <v>1</v>
      </c>
      <c r="W360" t="str">
        <f t="shared" si="143"/>
        <v>Usualmente</v>
      </c>
      <c r="X360">
        <v>0</v>
      </c>
      <c r="Y360" t="str">
        <f t="shared" si="144"/>
        <v>No controla</v>
      </c>
      <c r="Z360">
        <v>1</v>
      </c>
      <c r="AA360">
        <f t="shared" si="145"/>
        <v>1</v>
      </c>
      <c r="AB360" t="str">
        <f t="shared" si="146"/>
        <v>A veces</v>
      </c>
      <c r="AC360">
        <v>0</v>
      </c>
      <c r="AD360">
        <f t="shared" si="147"/>
        <v>0</v>
      </c>
      <c r="AE360" t="str">
        <f t="shared" si="148"/>
        <v>Nunca</v>
      </c>
      <c r="AF360">
        <v>2</v>
      </c>
      <c r="AG360" t="str">
        <f t="shared" si="149"/>
        <v>Usualmente</v>
      </c>
      <c r="AH360">
        <v>1</v>
      </c>
      <c r="AI360" t="str">
        <f t="shared" si="150"/>
        <v>Usa auto</v>
      </c>
      <c r="AJ360">
        <v>0</v>
      </c>
      <c r="AK360" t="str">
        <f t="shared" si="151"/>
        <v>No usa</v>
      </c>
      <c r="AL360">
        <v>0</v>
      </c>
      <c r="AM360" t="str">
        <f t="shared" si="152"/>
        <v>No usa</v>
      </c>
      <c r="AN360">
        <v>0</v>
      </c>
      <c r="AO360" t="str">
        <f t="shared" si="153"/>
        <v>No usa</v>
      </c>
      <c r="AP360">
        <v>0</v>
      </c>
      <c r="AQ360" t="str">
        <f t="shared" si="154"/>
        <v>No camina</v>
      </c>
      <c r="AR360">
        <v>1</v>
      </c>
      <c r="AS360" t="str">
        <f t="shared" si="155"/>
        <v>Es Obeso</v>
      </c>
    </row>
    <row r="361" spans="1:45" x14ac:dyDescent="0.25">
      <c r="A361">
        <v>0</v>
      </c>
      <c r="B361" t="str">
        <f t="shared" si="130"/>
        <v>F</v>
      </c>
      <c r="C361">
        <v>33</v>
      </c>
      <c r="D361">
        <f t="shared" si="131"/>
        <v>33</v>
      </c>
      <c r="E361">
        <f t="shared" si="132"/>
        <v>33</v>
      </c>
      <c r="F361" t="str">
        <f t="shared" si="133"/>
        <v>25-50</v>
      </c>
      <c r="G361">
        <v>1</v>
      </c>
      <c r="H361" t="str">
        <f t="shared" si="134"/>
        <v>Pariente gordo</v>
      </c>
      <c r="I361">
        <v>0</v>
      </c>
      <c r="J361" t="str">
        <f t="shared" si="135"/>
        <v>Saludables</v>
      </c>
      <c r="K361">
        <v>2</v>
      </c>
      <c r="L361">
        <f t="shared" si="136"/>
        <v>1</v>
      </c>
      <c r="M361" t="str">
        <f t="shared" si="137"/>
        <v>Suele comer</v>
      </c>
      <c r="N361">
        <v>3</v>
      </c>
      <c r="O361">
        <f t="shared" si="138"/>
        <v>2</v>
      </c>
      <c r="P361" t="str">
        <f t="shared" si="139"/>
        <v>Mas de 3</v>
      </c>
      <c r="Q361">
        <v>1</v>
      </c>
      <c r="R361" t="str">
        <f t="shared" si="140"/>
        <v>A veces</v>
      </c>
      <c r="S361">
        <v>0</v>
      </c>
      <c r="T361" t="str">
        <f t="shared" si="141"/>
        <v>No fuma</v>
      </c>
      <c r="U361">
        <v>2</v>
      </c>
      <c r="V361">
        <f t="shared" si="142"/>
        <v>2</v>
      </c>
      <c r="W361" t="str">
        <f t="shared" si="143"/>
        <v>Siempre</v>
      </c>
      <c r="X361">
        <v>0</v>
      </c>
      <c r="Y361" t="str">
        <f t="shared" si="144"/>
        <v>No controla</v>
      </c>
      <c r="Z361">
        <v>1</v>
      </c>
      <c r="AA361">
        <f t="shared" si="145"/>
        <v>1</v>
      </c>
      <c r="AB361" t="str">
        <f t="shared" si="146"/>
        <v>A veces</v>
      </c>
      <c r="AC361">
        <v>0</v>
      </c>
      <c r="AD361">
        <f t="shared" si="147"/>
        <v>0</v>
      </c>
      <c r="AE361" t="str">
        <f t="shared" si="148"/>
        <v>Nunca</v>
      </c>
      <c r="AF361">
        <v>1</v>
      </c>
      <c r="AG361" t="str">
        <f t="shared" si="149"/>
        <v>A veces</v>
      </c>
      <c r="AH361">
        <v>0</v>
      </c>
      <c r="AI361" t="str">
        <f t="shared" si="150"/>
        <v>No usa</v>
      </c>
      <c r="AJ361">
        <v>0</v>
      </c>
      <c r="AK361" t="str">
        <f t="shared" si="151"/>
        <v>No usa</v>
      </c>
      <c r="AL361">
        <v>0</v>
      </c>
      <c r="AM361" t="str">
        <f t="shared" si="152"/>
        <v>No usa</v>
      </c>
      <c r="AN361">
        <v>1</v>
      </c>
      <c r="AO361" t="str">
        <f t="shared" si="153"/>
        <v>Usa Transporte</v>
      </c>
      <c r="AP361">
        <v>0</v>
      </c>
      <c r="AQ361" t="str">
        <f t="shared" si="154"/>
        <v>No camina</v>
      </c>
      <c r="AR361">
        <v>0</v>
      </c>
      <c r="AS361" t="str">
        <f t="shared" si="155"/>
        <v>No es obeso</v>
      </c>
    </row>
    <row r="362" spans="1:45" x14ac:dyDescent="0.25">
      <c r="A362">
        <v>1</v>
      </c>
      <c r="B362" t="str">
        <f t="shared" si="130"/>
        <v>M</v>
      </c>
      <c r="C362">
        <v>20</v>
      </c>
      <c r="D362">
        <f t="shared" si="131"/>
        <v>20</v>
      </c>
      <c r="E362">
        <f t="shared" si="132"/>
        <v>20</v>
      </c>
      <c r="F362" t="str">
        <f t="shared" si="133"/>
        <v>1-25</v>
      </c>
      <c r="G362">
        <v>0</v>
      </c>
      <c r="H362" t="str">
        <f t="shared" si="134"/>
        <v>Pariente normal</v>
      </c>
      <c r="I362">
        <v>1</v>
      </c>
      <c r="J362" t="str">
        <f t="shared" si="135"/>
        <v>Hipercaloricos</v>
      </c>
      <c r="K362">
        <v>2</v>
      </c>
      <c r="L362">
        <f t="shared" si="136"/>
        <v>1</v>
      </c>
      <c r="M362" t="str">
        <f t="shared" si="137"/>
        <v>Suele comer</v>
      </c>
      <c r="N362">
        <v>3</v>
      </c>
      <c r="O362">
        <f t="shared" si="138"/>
        <v>2</v>
      </c>
      <c r="P362" t="str">
        <f t="shared" si="139"/>
        <v>Mas de 3</v>
      </c>
      <c r="Q362">
        <v>2</v>
      </c>
      <c r="R362" t="str">
        <f t="shared" si="140"/>
        <v>Usualmente</v>
      </c>
      <c r="S362">
        <v>0</v>
      </c>
      <c r="T362" t="str">
        <f t="shared" si="141"/>
        <v>No fuma</v>
      </c>
      <c r="U362">
        <v>1</v>
      </c>
      <c r="V362">
        <f t="shared" si="142"/>
        <v>1</v>
      </c>
      <c r="W362" t="str">
        <f t="shared" si="143"/>
        <v>Usualmente</v>
      </c>
      <c r="X362">
        <v>0</v>
      </c>
      <c r="Y362" t="str">
        <f t="shared" si="144"/>
        <v>No controla</v>
      </c>
      <c r="Z362">
        <v>1</v>
      </c>
      <c r="AA362">
        <f t="shared" si="145"/>
        <v>1</v>
      </c>
      <c r="AB362" t="str">
        <f t="shared" si="146"/>
        <v>A veces</v>
      </c>
      <c r="AC362">
        <v>1</v>
      </c>
      <c r="AD362">
        <f t="shared" si="147"/>
        <v>1</v>
      </c>
      <c r="AE362" t="str">
        <f t="shared" si="148"/>
        <v>Usualmente</v>
      </c>
      <c r="AF362">
        <v>1</v>
      </c>
      <c r="AG362" t="str">
        <f t="shared" si="149"/>
        <v>A veces</v>
      </c>
      <c r="AH362">
        <v>0</v>
      </c>
      <c r="AI362" t="str">
        <f t="shared" si="150"/>
        <v>No usa</v>
      </c>
      <c r="AJ362">
        <v>0</v>
      </c>
      <c r="AK362" t="str">
        <f t="shared" si="151"/>
        <v>No usa</v>
      </c>
      <c r="AL362">
        <v>0</v>
      </c>
      <c r="AM362" t="str">
        <f t="shared" si="152"/>
        <v>No usa</v>
      </c>
      <c r="AN362">
        <v>1</v>
      </c>
      <c r="AO362" t="str">
        <f t="shared" si="153"/>
        <v>Usa Transporte</v>
      </c>
      <c r="AP362">
        <v>0</v>
      </c>
      <c r="AQ362" t="str">
        <f t="shared" si="154"/>
        <v>No camina</v>
      </c>
      <c r="AR362">
        <v>0</v>
      </c>
      <c r="AS362" t="str">
        <f t="shared" si="155"/>
        <v>No es obeso</v>
      </c>
    </row>
    <row r="363" spans="1:45" x14ac:dyDescent="0.25">
      <c r="A363">
        <v>0</v>
      </c>
      <c r="B363" t="str">
        <f t="shared" si="130"/>
        <v>F</v>
      </c>
      <c r="C363">
        <v>40</v>
      </c>
      <c r="D363">
        <f t="shared" si="131"/>
        <v>40</v>
      </c>
      <c r="E363">
        <f t="shared" si="132"/>
        <v>40</v>
      </c>
      <c r="F363" t="str">
        <f t="shared" si="133"/>
        <v>25-50</v>
      </c>
      <c r="G363">
        <v>1</v>
      </c>
      <c r="H363" t="str">
        <f t="shared" si="134"/>
        <v>Pariente gordo</v>
      </c>
      <c r="I363">
        <v>1</v>
      </c>
      <c r="J363" t="str">
        <f t="shared" si="135"/>
        <v>Hipercaloricos</v>
      </c>
      <c r="K363">
        <v>2</v>
      </c>
      <c r="L363">
        <f t="shared" si="136"/>
        <v>1</v>
      </c>
      <c r="M363" t="str">
        <f t="shared" si="137"/>
        <v>Suele comer</v>
      </c>
      <c r="N363">
        <v>1</v>
      </c>
      <c r="O363">
        <f t="shared" si="138"/>
        <v>1</v>
      </c>
      <c r="P363">
        <f t="shared" si="139"/>
        <v>3</v>
      </c>
      <c r="Q363">
        <v>1</v>
      </c>
      <c r="R363" t="str">
        <f t="shared" si="140"/>
        <v>A veces</v>
      </c>
      <c r="S363">
        <v>0</v>
      </c>
      <c r="T363" t="str">
        <f t="shared" si="141"/>
        <v>No fuma</v>
      </c>
      <c r="U363">
        <v>2</v>
      </c>
      <c r="V363">
        <f t="shared" si="142"/>
        <v>2</v>
      </c>
      <c r="W363" t="str">
        <f t="shared" si="143"/>
        <v>Siempre</v>
      </c>
      <c r="X363">
        <v>0</v>
      </c>
      <c r="Y363" t="str">
        <f t="shared" si="144"/>
        <v>No controla</v>
      </c>
      <c r="Z363">
        <v>2</v>
      </c>
      <c r="AA363">
        <f t="shared" si="145"/>
        <v>2</v>
      </c>
      <c r="AB363" t="str">
        <f t="shared" si="146"/>
        <v>Usualmente</v>
      </c>
      <c r="AC363">
        <v>0</v>
      </c>
      <c r="AD363">
        <f t="shared" si="147"/>
        <v>0</v>
      </c>
      <c r="AE363" t="str">
        <f t="shared" si="148"/>
        <v>Nunca</v>
      </c>
      <c r="AF363">
        <v>0</v>
      </c>
      <c r="AG363" t="str">
        <f t="shared" si="149"/>
        <v>Nunca</v>
      </c>
      <c r="AH363">
        <v>0</v>
      </c>
      <c r="AI363" t="str">
        <f t="shared" si="150"/>
        <v>No usa</v>
      </c>
      <c r="AJ363">
        <v>0</v>
      </c>
      <c r="AK363" t="str">
        <f t="shared" si="151"/>
        <v>No usa</v>
      </c>
      <c r="AL363">
        <v>0</v>
      </c>
      <c r="AM363" t="str">
        <f t="shared" si="152"/>
        <v>No usa</v>
      </c>
      <c r="AN363">
        <v>1</v>
      </c>
      <c r="AO363" t="str">
        <f t="shared" si="153"/>
        <v>Usa Transporte</v>
      </c>
      <c r="AP363">
        <v>0</v>
      </c>
      <c r="AQ363" t="str">
        <f t="shared" si="154"/>
        <v>No camina</v>
      </c>
      <c r="AR363">
        <v>1</v>
      </c>
      <c r="AS363" t="str">
        <f t="shared" si="155"/>
        <v>Es Obeso</v>
      </c>
    </row>
    <row r="364" spans="1:45" x14ac:dyDescent="0.25">
      <c r="A364">
        <v>0</v>
      </c>
      <c r="B364" t="str">
        <f t="shared" si="130"/>
        <v>F</v>
      </c>
      <c r="C364">
        <v>37</v>
      </c>
      <c r="D364">
        <f t="shared" si="131"/>
        <v>37</v>
      </c>
      <c r="E364">
        <f t="shared" si="132"/>
        <v>37</v>
      </c>
      <c r="F364" t="str">
        <f t="shared" si="133"/>
        <v>25-50</v>
      </c>
      <c r="G364">
        <v>1</v>
      </c>
      <c r="H364" t="str">
        <f t="shared" si="134"/>
        <v>Pariente gordo</v>
      </c>
      <c r="I364">
        <v>0</v>
      </c>
      <c r="J364" t="str">
        <f t="shared" si="135"/>
        <v>Saludables</v>
      </c>
      <c r="K364">
        <v>3</v>
      </c>
      <c r="L364">
        <f t="shared" si="136"/>
        <v>1</v>
      </c>
      <c r="M364" t="str">
        <f t="shared" si="137"/>
        <v>Suele comer</v>
      </c>
      <c r="N364">
        <v>3</v>
      </c>
      <c r="O364">
        <f t="shared" si="138"/>
        <v>2</v>
      </c>
      <c r="P364" t="str">
        <f t="shared" si="139"/>
        <v>Mas de 3</v>
      </c>
      <c r="Q364">
        <v>1</v>
      </c>
      <c r="R364" t="str">
        <f t="shared" si="140"/>
        <v>A veces</v>
      </c>
      <c r="S364">
        <v>0</v>
      </c>
      <c r="T364" t="str">
        <f t="shared" si="141"/>
        <v>No fuma</v>
      </c>
      <c r="U364">
        <v>2</v>
      </c>
      <c r="V364">
        <f t="shared" si="142"/>
        <v>2</v>
      </c>
      <c r="W364" t="str">
        <f t="shared" si="143"/>
        <v>Siempre</v>
      </c>
      <c r="X364">
        <v>0</v>
      </c>
      <c r="Y364" t="str">
        <f t="shared" si="144"/>
        <v>No controla</v>
      </c>
      <c r="Z364">
        <v>1</v>
      </c>
      <c r="AA364">
        <f t="shared" si="145"/>
        <v>1</v>
      </c>
      <c r="AB364" t="str">
        <f t="shared" si="146"/>
        <v>A veces</v>
      </c>
      <c r="AC364">
        <v>0</v>
      </c>
      <c r="AD364">
        <f t="shared" si="147"/>
        <v>0</v>
      </c>
      <c r="AE364" t="str">
        <f t="shared" si="148"/>
        <v>Nunca</v>
      </c>
      <c r="AF364">
        <v>1</v>
      </c>
      <c r="AG364" t="str">
        <f t="shared" si="149"/>
        <v>A veces</v>
      </c>
      <c r="AH364">
        <v>1</v>
      </c>
      <c r="AI364" t="str">
        <f t="shared" si="150"/>
        <v>Usa auto</v>
      </c>
      <c r="AJ364">
        <v>0</v>
      </c>
      <c r="AK364" t="str">
        <f t="shared" si="151"/>
        <v>No usa</v>
      </c>
      <c r="AL364">
        <v>0</v>
      </c>
      <c r="AM364" t="str">
        <f t="shared" si="152"/>
        <v>No usa</v>
      </c>
      <c r="AN364">
        <v>0</v>
      </c>
      <c r="AO364" t="str">
        <f t="shared" si="153"/>
        <v>No usa</v>
      </c>
      <c r="AP364">
        <v>0</v>
      </c>
      <c r="AQ364" t="str">
        <f t="shared" si="154"/>
        <v>No camina</v>
      </c>
      <c r="AR364">
        <v>0</v>
      </c>
      <c r="AS364" t="str">
        <f t="shared" si="155"/>
        <v>No es obeso</v>
      </c>
    </row>
    <row r="365" spans="1:45" x14ac:dyDescent="0.25">
      <c r="A365">
        <v>1</v>
      </c>
      <c r="B365" t="str">
        <f t="shared" si="130"/>
        <v>M</v>
      </c>
      <c r="C365">
        <v>19</v>
      </c>
      <c r="D365">
        <f t="shared" si="131"/>
        <v>19</v>
      </c>
      <c r="E365">
        <f t="shared" si="132"/>
        <v>19</v>
      </c>
      <c r="F365" t="str">
        <f t="shared" si="133"/>
        <v>1-25</v>
      </c>
      <c r="G365">
        <v>0</v>
      </c>
      <c r="H365" t="str">
        <f t="shared" si="134"/>
        <v>Pariente normal</v>
      </c>
      <c r="I365">
        <v>1</v>
      </c>
      <c r="J365" t="str">
        <f t="shared" si="135"/>
        <v>Hipercaloricos</v>
      </c>
      <c r="K365">
        <v>2</v>
      </c>
      <c r="L365">
        <f t="shared" si="136"/>
        <v>1</v>
      </c>
      <c r="M365" t="str">
        <f t="shared" si="137"/>
        <v>Suele comer</v>
      </c>
      <c r="N365">
        <v>1</v>
      </c>
      <c r="O365">
        <f t="shared" si="138"/>
        <v>1</v>
      </c>
      <c r="P365">
        <f t="shared" si="139"/>
        <v>3</v>
      </c>
      <c r="Q365">
        <v>1</v>
      </c>
      <c r="R365" t="str">
        <f t="shared" si="140"/>
        <v>A veces</v>
      </c>
      <c r="S365">
        <v>0</v>
      </c>
      <c r="T365" t="str">
        <f t="shared" si="141"/>
        <v>No fuma</v>
      </c>
      <c r="U365">
        <v>2</v>
      </c>
      <c r="V365">
        <f t="shared" si="142"/>
        <v>2</v>
      </c>
      <c r="W365" t="str">
        <f t="shared" si="143"/>
        <v>Siempre</v>
      </c>
      <c r="X365">
        <v>0</v>
      </c>
      <c r="Y365" t="str">
        <f t="shared" si="144"/>
        <v>No controla</v>
      </c>
      <c r="Z365">
        <v>2</v>
      </c>
      <c r="AA365">
        <f t="shared" si="145"/>
        <v>2</v>
      </c>
      <c r="AB365" t="str">
        <f t="shared" si="146"/>
        <v>Usualmente</v>
      </c>
      <c r="AC365">
        <v>1</v>
      </c>
      <c r="AD365">
        <f t="shared" si="147"/>
        <v>1</v>
      </c>
      <c r="AE365" t="str">
        <f t="shared" si="148"/>
        <v>Usualmente</v>
      </c>
      <c r="AF365">
        <v>1</v>
      </c>
      <c r="AG365" t="str">
        <f t="shared" si="149"/>
        <v>A veces</v>
      </c>
      <c r="AH365">
        <v>0</v>
      </c>
      <c r="AI365" t="str">
        <f t="shared" si="150"/>
        <v>No usa</v>
      </c>
      <c r="AJ365">
        <v>0</v>
      </c>
      <c r="AK365" t="str">
        <f t="shared" si="151"/>
        <v>No usa</v>
      </c>
      <c r="AL365">
        <v>0</v>
      </c>
      <c r="AM365" t="str">
        <f t="shared" si="152"/>
        <v>No usa</v>
      </c>
      <c r="AN365">
        <v>1</v>
      </c>
      <c r="AO365" t="str">
        <f t="shared" si="153"/>
        <v>Usa Transporte</v>
      </c>
      <c r="AP365">
        <v>0</v>
      </c>
      <c r="AQ365" t="str">
        <f t="shared" si="154"/>
        <v>No camina</v>
      </c>
      <c r="AR365">
        <v>0</v>
      </c>
      <c r="AS365" t="str">
        <f t="shared" si="155"/>
        <v>No es obeso</v>
      </c>
    </row>
    <row r="366" spans="1:45" x14ac:dyDescent="0.25">
      <c r="A366">
        <v>1</v>
      </c>
      <c r="B366" t="str">
        <f t="shared" si="130"/>
        <v>M</v>
      </c>
      <c r="C366">
        <v>24</v>
      </c>
      <c r="D366">
        <f t="shared" si="131"/>
        <v>24</v>
      </c>
      <c r="E366">
        <f t="shared" si="132"/>
        <v>24</v>
      </c>
      <c r="F366" t="str">
        <f t="shared" si="133"/>
        <v>1-25</v>
      </c>
      <c r="G366">
        <v>1</v>
      </c>
      <c r="H366" t="str">
        <f t="shared" si="134"/>
        <v>Pariente gordo</v>
      </c>
      <c r="I366">
        <v>1</v>
      </c>
      <c r="J366" t="str">
        <f t="shared" si="135"/>
        <v>Hipercaloricos</v>
      </c>
      <c r="K366">
        <v>2</v>
      </c>
      <c r="L366">
        <f t="shared" si="136"/>
        <v>1</v>
      </c>
      <c r="M366" t="str">
        <f t="shared" si="137"/>
        <v>Suele comer</v>
      </c>
      <c r="N366">
        <v>1</v>
      </c>
      <c r="O366">
        <f t="shared" si="138"/>
        <v>1</v>
      </c>
      <c r="P366">
        <f t="shared" si="139"/>
        <v>3</v>
      </c>
      <c r="Q366">
        <v>3</v>
      </c>
      <c r="R366" t="str">
        <f t="shared" si="140"/>
        <v>Siempre</v>
      </c>
      <c r="S366">
        <v>0</v>
      </c>
      <c r="T366" t="str">
        <f t="shared" si="141"/>
        <v>No fuma</v>
      </c>
      <c r="U366">
        <v>2</v>
      </c>
      <c r="V366">
        <f t="shared" si="142"/>
        <v>2</v>
      </c>
      <c r="W366" t="str">
        <f t="shared" si="143"/>
        <v>Siempre</v>
      </c>
      <c r="X366">
        <v>0</v>
      </c>
      <c r="Y366" t="str">
        <f t="shared" si="144"/>
        <v>No controla</v>
      </c>
      <c r="Z366">
        <v>2</v>
      </c>
      <c r="AA366">
        <f t="shared" si="145"/>
        <v>2</v>
      </c>
      <c r="AB366" t="str">
        <f t="shared" si="146"/>
        <v>Usualmente</v>
      </c>
      <c r="AC366">
        <v>1</v>
      </c>
      <c r="AD366">
        <f t="shared" si="147"/>
        <v>1</v>
      </c>
      <c r="AE366" t="str">
        <f t="shared" si="148"/>
        <v>Usualmente</v>
      </c>
      <c r="AF366">
        <v>1</v>
      </c>
      <c r="AG366" t="str">
        <f t="shared" si="149"/>
        <v>A veces</v>
      </c>
      <c r="AH366">
        <v>0</v>
      </c>
      <c r="AI366" t="str">
        <f t="shared" si="150"/>
        <v>No usa</v>
      </c>
      <c r="AJ366">
        <v>0</v>
      </c>
      <c r="AK366" t="str">
        <f t="shared" si="151"/>
        <v>No usa</v>
      </c>
      <c r="AL366">
        <v>0</v>
      </c>
      <c r="AM366" t="str">
        <f t="shared" si="152"/>
        <v>No usa</v>
      </c>
      <c r="AN366">
        <v>1</v>
      </c>
      <c r="AO366" t="str">
        <f t="shared" si="153"/>
        <v>Usa Transporte</v>
      </c>
      <c r="AP366">
        <v>0</v>
      </c>
      <c r="AQ366" t="str">
        <f t="shared" si="154"/>
        <v>No camina</v>
      </c>
      <c r="AR366">
        <v>0</v>
      </c>
      <c r="AS366" t="str">
        <f t="shared" si="155"/>
        <v>No es obeso</v>
      </c>
    </row>
    <row r="367" spans="1:45" x14ac:dyDescent="0.25">
      <c r="A367">
        <v>1</v>
      </c>
      <c r="B367" t="str">
        <f t="shared" si="130"/>
        <v>M</v>
      </c>
      <c r="C367">
        <v>24</v>
      </c>
      <c r="D367">
        <f t="shared" si="131"/>
        <v>24</v>
      </c>
      <c r="E367">
        <f t="shared" si="132"/>
        <v>24</v>
      </c>
      <c r="F367" t="str">
        <f t="shared" si="133"/>
        <v>1-25</v>
      </c>
      <c r="G367">
        <v>0</v>
      </c>
      <c r="H367" t="str">
        <f t="shared" si="134"/>
        <v>Pariente normal</v>
      </c>
      <c r="I367">
        <v>1</v>
      </c>
      <c r="J367" t="str">
        <f t="shared" si="135"/>
        <v>Hipercaloricos</v>
      </c>
      <c r="K367">
        <v>3</v>
      </c>
      <c r="L367">
        <f t="shared" si="136"/>
        <v>1</v>
      </c>
      <c r="M367" t="str">
        <f t="shared" si="137"/>
        <v>Suele comer</v>
      </c>
      <c r="N367">
        <v>3</v>
      </c>
      <c r="O367">
        <f t="shared" si="138"/>
        <v>2</v>
      </c>
      <c r="P367" t="str">
        <f t="shared" si="139"/>
        <v>Mas de 3</v>
      </c>
      <c r="Q367">
        <v>1</v>
      </c>
      <c r="R367" t="str">
        <f t="shared" si="140"/>
        <v>A veces</v>
      </c>
      <c r="S367">
        <v>0</v>
      </c>
      <c r="T367" t="str">
        <f t="shared" si="141"/>
        <v>No fuma</v>
      </c>
      <c r="U367">
        <v>2</v>
      </c>
      <c r="V367">
        <f t="shared" si="142"/>
        <v>2</v>
      </c>
      <c r="W367" t="str">
        <f t="shared" si="143"/>
        <v>Siempre</v>
      </c>
      <c r="X367">
        <v>0</v>
      </c>
      <c r="Y367" t="str">
        <f t="shared" si="144"/>
        <v>No controla</v>
      </c>
      <c r="Z367">
        <v>0</v>
      </c>
      <c r="AA367">
        <f t="shared" si="145"/>
        <v>0</v>
      </c>
      <c r="AB367" t="str">
        <f t="shared" si="146"/>
        <v>Nunca</v>
      </c>
      <c r="AC367">
        <v>0</v>
      </c>
      <c r="AD367">
        <f t="shared" si="147"/>
        <v>0</v>
      </c>
      <c r="AE367" t="str">
        <f t="shared" si="148"/>
        <v>Nunca</v>
      </c>
      <c r="AF367">
        <v>1</v>
      </c>
      <c r="AG367" t="str">
        <f t="shared" si="149"/>
        <v>A veces</v>
      </c>
      <c r="AH367">
        <v>0</v>
      </c>
      <c r="AI367" t="str">
        <f t="shared" si="150"/>
        <v>No usa</v>
      </c>
      <c r="AJ367">
        <v>0</v>
      </c>
      <c r="AK367" t="str">
        <f t="shared" si="151"/>
        <v>No usa</v>
      </c>
      <c r="AL367">
        <v>1</v>
      </c>
      <c r="AM367" t="str">
        <f t="shared" si="152"/>
        <v>Usa Moto</v>
      </c>
      <c r="AN367">
        <v>0</v>
      </c>
      <c r="AO367" t="str">
        <f t="shared" si="153"/>
        <v>No usa</v>
      </c>
      <c r="AP367">
        <v>0</v>
      </c>
      <c r="AQ367" t="str">
        <f t="shared" si="154"/>
        <v>No camina</v>
      </c>
      <c r="AR367">
        <v>0</v>
      </c>
      <c r="AS367" t="str">
        <f t="shared" si="155"/>
        <v>No es obeso</v>
      </c>
    </row>
    <row r="368" spans="1:45" x14ac:dyDescent="0.25">
      <c r="A368">
        <v>1</v>
      </c>
      <c r="B368" t="str">
        <f t="shared" si="130"/>
        <v>M</v>
      </c>
      <c r="C368">
        <v>33</v>
      </c>
      <c r="D368">
        <f t="shared" si="131"/>
        <v>33</v>
      </c>
      <c r="E368">
        <f t="shared" si="132"/>
        <v>33</v>
      </c>
      <c r="F368" t="str">
        <f t="shared" si="133"/>
        <v>25-50</v>
      </c>
      <c r="G368">
        <v>1</v>
      </c>
      <c r="H368" t="str">
        <f t="shared" si="134"/>
        <v>Pariente gordo</v>
      </c>
      <c r="I368">
        <v>1</v>
      </c>
      <c r="J368" t="str">
        <f t="shared" si="135"/>
        <v>Hipercaloricos</v>
      </c>
      <c r="K368">
        <v>2</v>
      </c>
      <c r="L368">
        <f t="shared" si="136"/>
        <v>1</v>
      </c>
      <c r="M368" t="str">
        <f t="shared" si="137"/>
        <v>Suele comer</v>
      </c>
      <c r="N368">
        <v>1</v>
      </c>
      <c r="O368">
        <f t="shared" si="138"/>
        <v>1</v>
      </c>
      <c r="P368">
        <f t="shared" si="139"/>
        <v>3</v>
      </c>
      <c r="Q368">
        <v>1</v>
      </c>
      <c r="R368" t="str">
        <f t="shared" si="140"/>
        <v>A veces</v>
      </c>
      <c r="S368">
        <v>0</v>
      </c>
      <c r="T368" t="str">
        <f t="shared" si="141"/>
        <v>No fuma</v>
      </c>
      <c r="U368">
        <v>2</v>
      </c>
      <c r="V368">
        <f t="shared" si="142"/>
        <v>2</v>
      </c>
      <c r="W368" t="str">
        <f t="shared" si="143"/>
        <v>Siempre</v>
      </c>
      <c r="X368">
        <v>0</v>
      </c>
      <c r="Y368" t="str">
        <f t="shared" si="144"/>
        <v>No controla</v>
      </c>
      <c r="Z368">
        <v>3</v>
      </c>
      <c r="AA368">
        <f t="shared" si="145"/>
        <v>3</v>
      </c>
      <c r="AB368" t="str">
        <f t="shared" si="146"/>
        <v>Siempre</v>
      </c>
      <c r="AC368">
        <v>0</v>
      </c>
      <c r="AD368">
        <f t="shared" si="147"/>
        <v>0</v>
      </c>
      <c r="AE368" t="str">
        <f t="shared" si="148"/>
        <v>Nunca</v>
      </c>
      <c r="AF368">
        <v>1</v>
      </c>
      <c r="AG368" t="str">
        <f t="shared" si="149"/>
        <v>A veces</v>
      </c>
      <c r="AH368">
        <v>1</v>
      </c>
      <c r="AI368" t="str">
        <f t="shared" si="150"/>
        <v>Usa auto</v>
      </c>
      <c r="AJ368">
        <v>0</v>
      </c>
      <c r="AK368" t="str">
        <f t="shared" si="151"/>
        <v>No usa</v>
      </c>
      <c r="AL368">
        <v>0</v>
      </c>
      <c r="AM368" t="str">
        <f t="shared" si="152"/>
        <v>No usa</v>
      </c>
      <c r="AN368">
        <v>0</v>
      </c>
      <c r="AO368" t="str">
        <f t="shared" si="153"/>
        <v>No usa</v>
      </c>
      <c r="AP368">
        <v>0</v>
      </c>
      <c r="AQ368" t="str">
        <f t="shared" si="154"/>
        <v>No camina</v>
      </c>
      <c r="AR368">
        <v>0</v>
      </c>
      <c r="AS368" t="str">
        <f t="shared" si="155"/>
        <v>No es obeso</v>
      </c>
    </row>
    <row r="369" spans="1:45" x14ac:dyDescent="0.25">
      <c r="A369">
        <v>0</v>
      </c>
      <c r="B369" t="str">
        <f t="shared" si="130"/>
        <v>F</v>
      </c>
      <c r="C369">
        <v>40</v>
      </c>
      <c r="D369">
        <f t="shared" si="131"/>
        <v>40</v>
      </c>
      <c r="E369">
        <f t="shared" si="132"/>
        <v>40</v>
      </c>
      <c r="F369" t="str">
        <f t="shared" si="133"/>
        <v>25-50</v>
      </c>
      <c r="G369">
        <v>0</v>
      </c>
      <c r="H369" t="str">
        <f t="shared" si="134"/>
        <v>Pariente normal</v>
      </c>
      <c r="I369">
        <v>1</v>
      </c>
      <c r="J369" t="str">
        <f t="shared" si="135"/>
        <v>Hipercaloricos</v>
      </c>
      <c r="K369">
        <v>2</v>
      </c>
      <c r="L369">
        <f t="shared" si="136"/>
        <v>1</v>
      </c>
      <c r="M369" t="str">
        <f t="shared" si="137"/>
        <v>Suele comer</v>
      </c>
      <c r="N369">
        <v>3</v>
      </c>
      <c r="O369">
        <f t="shared" si="138"/>
        <v>2</v>
      </c>
      <c r="P369" t="str">
        <f t="shared" si="139"/>
        <v>Mas de 3</v>
      </c>
      <c r="Q369">
        <v>2</v>
      </c>
      <c r="R369" t="str">
        <f t="shared" si="140"/>
        <v>Usualmente</v>
      </c>
      <c r="S369">
        <v>0</v>
      </c>
      <c r="T369" t="str">
        <f t="shared" si="141"/>
        <v>No fuma</v>
      </c>
      <c r="U369">
        <v>2</v>
      </c>
      <c r="V369">
        <f t="shared" si="142"/>
        <v>2</v>
      </c>
      <c r="W369" t="str">
        <f t="shared" si="143"/>
        <v>Siempre</v>
      </c>
      <c r="X369">
        <v>0</v>
      </c>
      <c r="Y369" t="str">
        <f t="shared" si="144"/>
        <v>No controla</v>
      </c>
      <c r="Z369">
        <v>3</v>
      </c>
      <c r="AA369">
        <f t="shared" si="145"/>
        <v>3</v>
      </c>
      <c r="AB369" t="str">
        <f t="shared" si="146"/>
        <v>Siempre</v>
      </c>
      <c r="AC369">
        <v>1</v>
      </c>
      <c r="AD369">
        <f t="shared" si="147"/>
        <v>1</v>
      </c>
      <c r="AE369" t="str">
        <f t="shared" si="148"/>
        <v>Usualmente</v>
      </c>
      <c r="AF369">
        <v>1</v>
      </c>
      <c r="AG369" t="str">
        <f t="shared" si="149"/>
        <v>A veces</v>
      </c>
      <c r="AH369">
        <v>0</v>
      </c>
      <c r="AI369" t="str">
        <f t="shared" si="150"/>
        <v>No usa</v>
      </c>
      <c r="AJ369">
        <v>0</v>
      </c>
      <c r="AK369" t="str">
        <f t="shared" si="151"/>
        <v>No usa</v>
      </c>
      <c r="AL369">
        <v>0</v>
      </c>
      <c r="AM369" t="str">
        <f t="shared" si="152"/>
        <v>No usa</v>
      </c>
      <c r="AN369">
        <v>1</v>
      </c>
      <c r="AO369" t="str">
        <f t="shared" si="153"/>
        <v>Usa Transporte</v>
      </c>
      <c r="AP369">
        <v>0</v>
      </c>
      <c r="AQ369" t="str">
        <f t="shared" si="154"/>
        <v>No camina</v>
      </c>
      <c r="AR369">
        <v>0</v>
      </c>
      <c r="AS369" t="str">
        <f t="shared" si="155"/>
        <v>No es obeso</v>
      </c>
    </row>
    <row r="370" spans="1:45" x14ac:dyDescent="0.25">
      <c r="A370">
        <v>0</v>
      </c>
      <c r="B370" t="str">
        <f t="shared" si="130"/>
        <v>F</v>
      </c>
      <c r="C370">
        <v>37</v>
      </c>
      <c r="D370">
        <f t="shared" si="131"/>
        <v>37</v>
      </c>
      <c r="E370">
        <f t="shared" si="132"/>
        <v>37</v>
      </c>
      <c r="F370" t="str">
        <f t="shared" si="133"/>
        <v>25-50</v>
      </c>
      <c r="G370">
        <v>1</v>
      </c>
      <c r="H370" t="str">
        <f t="shared" si="134"/>
        <v>Pariente gordo</v>
      </c>
      <c r="I370">
        <v>1</v>
      </c>
      <c r="J370" t="str">
        <f t="shared" si="135"/>
        <v>Hipercaloricos</v>
      </c>
      <c r="K370">
        <v>2</v>
      </c>
      <c r="L370">
        <f t="shared" si="136"/>
        <v>1</v>
      </c>
      <c r="M370" t="str">
        <f t="shared" si="137"/>
        <v>Suele comer</v>
      </c>
      <c r="N370">
        <v>1</v>
      </c>
      <c r="O370">
        <f t="shared" si="138"/>
        <v>1</v>
      </c>
      <c r="P370">
        <f t="shared" si="139"/>
        <v>3</v>
      </c>
      <c r="Q370">
        <v>1</v>
      </c>
      <c r="R370" t="str">
        <f t="shared" si="140"/>
        <v>A veces</v>
      </c>
      <c r="S370">
        <v>0</v>
      </c>
      <c r="T370" t="str">
        <f t="shared" si="141"/>
        <v>No fuma</v>
      </c>
      <c r="U370">
        <v>2</v>
      </c>
      <c r="V370">
        <f t="shared" si="142"/>
        <v>2</v>
      </c>
      <c r="W370" t="str">
        <f t="shared" si="143"/>
        <v>Siempre</v>
      </c>
      <c r="X370">
        <v>0</v>
      </c>
      <c r="Y370" t="str">
        <f t="shared" si="144"/>
        <v>No controla</v>
      </c>
      <c r="Z370">
        <v>0</v>
      </c>
      <c r="AA370">
        <f t="shared" si="145"/>
        <v>0</v>
      </c>
      <c r="AB370" t="str">
        <f t="shared" si="146"/>
        <v>Nunca</v>
      </c>
      <c r="AC370">
        <v>0</v>
      </c>
      <c r="AD370">
        <f t="shared" si="147"/>
        <v>0</v>
      </c>
      <c r="AE370" t="str">
        <f t="shared" si="148"/>
        <v>Nunca</v>
      </c>
      <c r="AF370">
        <v>0</v>
      </c>
      <c r="AG370" t="str">
        <f t="shared" si="149"/>
        <v>Nunca</v>
      </c>
      <c r="AH370">
        <v>1</v>
      </c>
      <c r="AI370" t="str">
        <f t="shared" si="150"/>
        <v>Usa auto</v>
      </c>
      <c r="AJ370">
        <v>0</v>
      </c>
      <c r="AK370" t="str">
        <f t="shared" si="151"/>
        <v>No usa</v>
      </c>
      <c r="AL370">
        <v>0</v>
      </c>
      <c r="AM370" t="str">
        <f t="shared" si="152"/>
        <v>No usa</v>
      </c>
      <c r="AN370">
        <v>0</v>
      </c>
      <c r="AO370" t="str">
        <f t="shared" si="153"/>
        <v>No usa</v>
      </c>
      <c r="AP370">
        <v>0</v>
      </c>
      <c r="AQ370" t="str">
        <f t="shared" si="154"/>
        <v>No camina</v>
      </c>
      <c r="AR370">
        <v>0</v>
      </c>
      <c r="AS370" t="str">
        <f t="shared" si="155"/>
        <v>No es obeso</v>
      </c>
    </row>
    <row r="371" spans="1:45" x14ac:dyDescent="0.25">
      <c r="A371">
        <v>1</v>
      </c>
      <c r="B371" t="str">
        <f t="shared" si="130"/>
        <v>M</v>
      </c>
      <c r="C371">
        <v>20</v>
      </c>
      <c r="D371">
        <f t="shared" si="131"/>
        <v>20</v>
      </c>
      <c r="E371">
        <f t="shared" si="132"/>
        <v>20</v>
      </c>
      <c r="F371" t="str">
        <f t="shared" si="133"/>
        <v>1-25</v>
      </c>
      <c r="G371">
        <v>0</v>
      </c>
      <c r="H371" t="str">
        <f t="shared" si="134"/>
        <v>Pariente normal</v>
      </c>
      <c r="I371">
        <v>0</v>
      </c>
      <c r="J371" t="str">
        <f t="shared" si="135"/>
        <v>Saludables</v>
      </c>
      <c r="K371">
        <v>3</v>
      </c>
      <c r="L371">
        <f t="shared" si="136"/>
        <v>1</v>
      </c>
      <c r="M371" t="str">
        <f t="shared" si="137"/>
        <v>Suele comer</v>
      </c>
      <c r="N371">
        <v>3</v>
      </c>
      <c r="O371">
        <f t="shared" si="138"/>
        <v>2</v>
      </c>
      <c r="P371" t="str">
        <f t="shared" si="139"/>
        <v>Mas de 3</v>
      </c>
      <c r="Q371">
        <v>2</v>
      </c>
      <c r="R371" t="str">
        <f t="shared" si="140"/>
        <v>Usualmente</v>
      </c>
      <c r="S371">
        <v>0</v>
      </c>
      <c r="T371" t="str">
        <f t="shared" si="141"/>
        <v>No fuma</v>
      </c>
      <c r="U371">
        <v>2</v>
      </c>
      <c r="V371">
        <f t="shared" si="142"/>
        <v>2</v>
      </c>
      <c r="W371" t="str">
        <f t="shared" si="143"/>
        <v>Siempre</v>
      </c>
      <c r="X371">
        <v>0</v>
      </c>
      <c r="Y371" t="str">
        <f t="shared" si="144"/>
        <v>No controla</v>
      </c>
      <c r="Z371">
        <v>3</v>
      </c>
      <c r="AA371">
        <f t="shared" si="145"/>
        <v>3</v>
      </c>
      <c r="AB371" t="str">
        <f t="shared" si="146"/>
        <v>Siempre</v>
      </c>
      <c r="AC371">
        <v>1</v>
      </c>
      <c r="AD371">
        <f t="shared" si="147"/>
        <v>1</v>
      </c>
      <c r="AE371" t="str">
        <f t="shared" si="148"/>
        <v>Usualmente</v>
      </c>
      <c r="AF371">
        <v>1</v>
      </c>
      <c r="AG371" t="str">
        <f t="shared" si="149"/>
        <v>A veces</v>
      </c>
      <c r="AH371">
        <v>0</v>
      </c>
      <c r="AI371" t="str">
        <f t="shared" si="150"/>
        <v>No usa</v>
      </c>
      <c r="AJ371">
        <v>0</v>
      </c>
      <c r="AK371" t="str">
        <f t="shared" si="151"/>
        <v>No usa</v>
      </c>
      <c r="AL371">
        <v>0</v>
      </c>
      <c r="AM371" t="str">
        <f t="shared" si="152"/>
        <v>No usa</v>
      </c>
      <c r="AN371">
        <v>1</v>
      </c>
      <c r="AO371" t="str">
        <f t="shared" si="153"/>
        <v>Usa Transporte</v>
      </c>
      <c r="AP371">
        <v>0</v>
      </c>
      <c r="AQ371" t="str">
        <f t="shared" si="154"/>
        <v>No camina</v>
      </c>
      <c r="AR371">
        <v>0</v>
      </c>
      <c r="AS371" t="str">
        <f t="shared" si="155"/>
        <v>No es obeso</v>
      </c>
    </row>
    <row r="372" spans="1:45" x14ac:dyDescent="0.25">
      <c r="A372">
        <v>1</v>
      </c>
      <c r="B372" t="str">
        <f t="shared" si="130"/>
        <v>M</v>
      </c>
      <c r="C372">
        <v>19</v>
      </c>
      <c r="D372">
        <f t="shared" si="131"/>
        <v>19</v>
      </c>
      <c r="E372">
        <f t="shared" si="132"/>
        <v>19</v>
      </c>
      <c r="F372" t="str">
        <f t="shared" si="133"/>
        <v>1-25</v>
      </c>
      <c r="G372">
        <v>0</v>
      </c>
      <c r="H372" t="str">
        <f t="shared" si="134"/>
        <v>Pariente normal</v>
      </c>
      <c r="I372">
        <v>1</v>
      </c>
      <c r="J372" t="str">
        <f t="shared" si="135"/>
        <v>Hipercaloricos</v>
      </c>
      <c r="K372">
        <v>2</v>
      </c>
      <c r="L372">
        <f t="shared" si="136"/>
        <v>1</v>
      </c>
      <c r="M372" t="str">
        <f t="shared" si="137"/>
        <v>Suele comer</v>
      </c>
      <c r="N372">
        <v>3</v>
      </c>
      <c r="O372">
        <f t="shared" si="138"/>
        <v>2</v>
      </c>
      <c r="P372" t="str">
        <f t="shared" si="139"/>
        <v>Mas de 3</v>
      </c>
      <c r="Q372">
        <v>1</v>
      </c>
      <c r="R372" t="str">
        <f t="shared" si="140"/>
        <v>A veces</v>
      </c>
      <c r="S372">
        <v>0</v>
      </c>
      <c r="T372" t="str">
        <f t="shared" si="141"/>
        <v>No fuma</v>
      </c>
      <c r="U372">
        <v>1</v>
      </c>
      <c r="V372">
        <f t="shared" si="142"/>
        <v>1</v>
      </c>
      <c r="W372" t="str">
        <f t="shared" si="143"/>
        <v>Usualmente</v>
      </c>
      <c r="X372">
        <v>0</v>
      </c>
      <c r="Y372" t="str">
        <f t="shared" si="144"/>
        <v>No controla</v>
      </c>
      <c r="Z372">
        <v>1</v>
      </c>
      <c r="AA372">
        <f t="shared" si="145"/>
        <v>1</v>
      </c>
      <c r="AB372" t="str">
        <f t="shared" si="146"/>
        <v>A veces</v>
      </c>
      <c r="AC372">
        <v>1</v>
      </c>
      <c r="AD372">
        <f t="shared" si="147"/>
        <v>1</v>
      </c>
      <c r="AE372" t="str">
        <f t="shared" si="148"/>
        <v>Usualmente</v>
      </c>
      <c r="AF372">
        <v>0</v>
      </c>
      <c r="AG372" t="str">
        <f t="shared" si="149"/>
        <v>Nunca</v>
      </c>
      <c r="AH372">
        <v>0</v>
      </c>
      <c r="AI372" t="str">
        <f t="shared" si="150"/>
        <v>No usa</v>
      </c>
      <c r="AJ372">
        <v>0</v>
      </c>
      <c r="AK372" t="str">
        <f t="shared" si="151"/>
        <v>No usa</v>
      </c>
      <c r="AL372">
        <v>0</v>
      </c>
      <c r="AM372" t="str">
        <f t="shared" si="152"/>
        <v>No usa</v>
      </c>
      <c r="AN372">
        <v>1</v>
      </c>
      <c r="AO372" t="str">
        <f t="shared" si="153"/>
        <v>Usa Transporte</v>
      </c>
      <c r="AP372">
        <v>0</v>
      </c>
      <c r="AQ372" t="str">
        <f t="shared" si="154"/>
        <v>No camina</v>
      </c>
      <c r="AR372">
        <v>0</v>
      </c>
      <c r="AS372" t="str">
        <f t="shared" si="155"/>
        <v>No es obeso</v>
      </c>
    </row>
    <row r="373" spans="1:45" x14ac:dyDescent="0.25">
      <c r="A373">
        <v>1</v>
      </c>
      <c r="B373" t="str">
        <f t="shared" si="130"/>
        <v>M</v>
      </c>
      <c r="C373">
        <v>17</v>
      </c>
      <c r="D373">
        <f t="shared" si="131"/>
        <v>17</v>
      </c>
      <c r="E373">
        <f t="shared" si="132"/>
        <v>17</v>
      </c>
      <c r="F373" t="str">
        <f t="shared" si="133"/>
        <v>1-25</v>
      </c>
      <c r="G373">
        <v>1</v>
      </c>
      <c r="H373" t="str">
        <f t="shared" si="134"/>
        <v>Pariente gordo</v>
      </c>
      <c r="I373">
        <v>1</v>
      </c>
      <c r="J373" t="str">
        <f t="shared" si="135"/>
        <v>Hipercaloricos</v>
      </c>
      <c r="K373">
        <v>3</v>
      </c>
      <c r="L373">
        <f t="shared" si="136"/>
        <v>1</v>
      </c>
      <c r="M373" t="str">
        <f t="shared" si="137"/>
        <v>Suele comer</v>
      </c>
      <c r="N373">
        <v>1</v>
      </c>
      <c r="O373">
        <f t="shared" si="138"/>
        <v>1</v>
      </c>
      <c r="P373">
        <f t="shared" si="139"/>
        <v>3</v>
      </c>
      <c r="Q373">
        <v>3</v>
      </c>
      <c r="R373" t="str">
        <f t="shared" si="140"/>
        <v>Siempre</v>
      </c>
      <c r="S373">
        <v>0</v>
      </c>
      <c r="T373" t="str">
        <f t="shared" si="141"/>
        <v>No fuma</v>
      </c>
      <c r="U373">
        <v>2</v>
      </c>
      <c r="V373">
        <f t="shared" si="142"/>
        <v>2</v>
      </c>
      <c r="W373" t="str">
        <f t="shared" si="143"/>
        <v>Siempre</v>
      </c>
      <c r="X373">
        <v>1</v>
      </c>
      <c r="Y373" t="str">
        <f t="shared" si="144"/>
        <v>Controla</v>
      </c>
      <c r="Z373">
        <v>1</v>
      </c>
      <c r="AA373">
        <f t="shared" si="145"/>
        <v>1</v>
      </c>
      <c r="AB373" t="str">
        <f t="shared" si="146"/>
        <v>A veces</v>
      </c>
      <c r="AC373">
        <v>2</v>
      </c>
      <c r="AD373">
        <f t="shared" si="147"/>
        <v>2</v>
      </c>
      <c r="AE373" t="str">
        <f t="shared" si="148"/>
        <v>Siempre</v>
      </c>
      <c r="AF373">
        <v>1</v>
      </c>
      <c r="AG373" t="str">
        <f t="shared" si="149"/>
        <v>A veces</v>
      </c>
      <c r="AH373">
        <v>0</v>
      </c>
      <c r="AI373" t="str">
        <f t="shared" si="150"/>
        <v>No usa</v>
      </c>
      <c r="AJ373">
        <v>0</v>
      </c>
      <c r="AK373" t="str">
        <f t="shared" si="151"/>
        <v>No usa</v>
      </c>
      <c r="AL373">
        <v>0</v>
      </c>
      <c r="AM373" t="str">
        <f t="shared" si="152"/>
        <v>No usa</v>
      </c>
      <c r="AN373">
        <v>1</v>
      </c>
      <c r="AO373" t="str">
        <f t="shared" si="153"/>
        <v>Usa Transporte</v>
      </c>
      <c r="AP373">
        <v>0</v>
      </c>
      <c r="AQ373" t="str">
        <f t="shared" si="154"/>
        <v>No camina</v>
      </c>
      <c r="AR373">
        <v>0</v>
      </c>
      <c r="AS373" t="str">
        <f t="shared" si="155"/>
        <v>No es obeso</v>
      </c>
    </row>
    <row r="374" spans="1:45" x14ac:dyDescent="0.25">
      <c r="A374">
        <v>0</v>
      </c>
      <c r="B374" t="str">
        <f t="shared" si="130"/>
        <v>F</v>
      </c>
      <c r="C374">
        <v>18</v>
      </c>
      <c r="D374">
        <f t="shared" si="131"/>
        <v>18</v>
      </c>
      <c r="E374">
        <f t="shared" si="132"/>
        <v>18</v>
      </c>
      <c r="F374" t="str">
        <f t="shared" si="133"/>
        <v>1-25</v>
      </c>
      <c r="G374">
        <v>0</v>
      </c>
      <c r="H374" t="str">
        <f t="shared" si="134"/>
        <v>Pariente normal</v>
      </c>
      <c r="I374">
        <v>1</v>
      </c>
      <c r="J374" t="str">
        <f t="shared" si="135"/>
        <v>Hipercaloricos</v>
      </c>
      <c r="K374">
        <v>3</v>
      </c>
      <c r="L374">
        <f t="shared" si="136"/>
        <v>1</v>
      </c>
      <c r="M374" t="str">
        <f t="shared" si="137"/>
        <v>Suele comer</v>
      </c>
      <c r="N374">
        <v>3</v>
      </c>
      <c r="O374">
        <f t="shared" si="138"/>
        <v>2</v>
      </c>
      <c r="P374" t="str">
        <f t="shared" si="139"/>
        <v>Mas de 3</v>
      </c>
      <c r="Q374">
        <v>1</v>
      </c>
      <c r="R374" t="str">
        <f t="shared" si="140"/>
        <v>A veces</v>
      </c>
      <c r="S374">
        <v>0</v>
      </c>
      <c r="T374" t="str">
        <f t="shared" si="141"/>
        <v>No fuma</v>
      </c>
      <c r="U374">
        <v>1</v>
      </c>
      <c r="V374">
        <f t="shared" si="142"/>
        <v>1</v>
      </c>
      <c r="W374" t="str">
        <f t="shared" si="143"/>
        <v>Usualmente</v>
      </c>
      <c r="X374">
        <v>0</v>
      </c>
      <c r="Y374" t="str">
        <f t="shared" si="144"/>
        <v>No controla</v>
      </c>
      <c r="Z374">
        <v>0</v>
      </c>
      <c r="AA374">
        <f t="shared" si="145"/>
        <v>0</v>
      </c>
      <c r="AB374" t="str">
        <f t="shared" si="146"/>
        <v>Nunca</v>
      </c>
      <c r="AC374">
        <v>2</v>
      </c>
      <c r="AD374">
        <f t="shared" si="147"/>
        <v>2</v>
      </c>
      <c r="AE374" t="str">
        <f t="shared" si="148"/>
        <v>Siempre</v>
      </c>
      <c r="AF374">
        <v>0</v>
      </c>
      <c r="AG374" t="str">
        <f t="shared" si="149"/>
        <v>Nunca</v>
      </c>
      <c r="AH374">
        <v>1</v>
      </c>
      <c r="AI374" t="str">
        <f t="shared" si="150"/>
        <v>Usa auto</v>
      </c>
      <c r="AJ374">
        <v>0</v>
      </c>
      <c r="AK374" t="str">
        <f t="shared" si="151"/>
        <v>No usa</v>
      </c>
      <c r="AL374">
        <v>0</v>
      </c>
      <c r="AM374" t="str">
        <f t="shared" si="152"/>
        <v>No usa</v>
      </c>
      <c r="AN374">
        <v>0</v>
      </c>
      <c r="AO374" t="str">
        <f t="shared" si="153"/>
        <v>No usa</v>
      </c>
      <c r="AP374">
        <v>0</v>
      </c>
      <c r="AQ374" t="str">
        <f t="shared" si="154"/>
        <v>No camina</v>
      </c>
      <c r="AR374">
        <v>0</v>
      </c>
      <c r="AS374" t="str">
        <f t="shared" si="155"/>
        <v>No es obeso</v>
      </c>
    </row>
    <row r="375" spans="1:45" x14ac:dyDescent="0.25">
      <c r="A375">
        <v>0</v>
      </c>
      <c r="B375" t="str">
        <f t="shared" si="130"/>
        <v>F</v>
      </c>
      <c r="C375">
        <v>21</v>
      </c>
      <c r="D375">
        <f t="shared" si="131"/>
        <v>21</v>
      </c>
      <c r="E375">
        <f t="shared" si="132"/>
        <v>21</v>
      </c>
      <c r="F375" t="str">
        <f t="shared" si="133"/>
        <v>1-25</v>
      </c>
      <c r="G375">
        <v>0</v>
      </c>
      <c r="H375" t="str">
        <f t="shared" si="134"/>
        <v>Pariente normal</v>
      </c>
      <c r="I375">
        <v>1</v>
      </c>
      <c r="J375" t="str">
        <f t="shared" si="135"/>
        <v>Hipercaloricos</v>
      </c>
      <c r="K375">
        <v>2</v>
      </c>
      <c r="L375">
        <f t="shared" si="136"/>
        <v>1</v>
      </c>
      <c r="M375" t="str">
        <f t="shared" si="137"/>
        <v>Suele comer</v>
      </c>
      <c r="N375">
        <v>1</v>
      </c>
      <c r="O375">
        <f t="shared" si="138"/>
        <v>1</v>
      </c>
      <c r="P375">
        <f t="shared" si="139"/>
        <v>3</v>
      </c>
      <c r="Q375">
        <v>1</v>
      </c>
      <c r="R375" t="str">
        <f t="shared" si="140"/>
        <v>A veces</v>
      </c>
      <c r="S375">
        <v>0</v>
      </c>
      <c r="T375" t="str">
        <f t="shared" si="141"/>
        <v>No fuma</v>
      </c>
      <c r="U375">
        <v>2</v>
      </c>
      <c r="V375">
        <f t="shared" si="142"/>
        <v>2</v>
      </c>
      <c r="W375" t="str">
        <f t="shared" si="143"/>
        <v>Siempre</v>
      </c>
      <c r="X375">
        <v>0</v>
      </c>
      <c r="Y375" t="str">
        <f t="shared" si="144"/>
        <v>No controla</v>
      </c>
      <c r="Z375">
        <v>0</v>
      </c>
      <c r="AA375">
        <f t="shared" si="145"/>
        <v>0</v>
      </c>
      <c r="AB375" t="str">
        <f t="shared" si="146"/>
        <v>Nunca</v>
      </c>
      <c r="AC375">
        <v>2</v>
      </c>
      <c r="AD375">
        <f t="shared" si="147"/>
        <v>2</v>
      </c>
      <c r="AE375" t="str">
        <f t="shared" si="148"/>
        <v>Siempre</v>
      </c>
      <c r="AF375">
        <v>1</v>
      </c>
      <c r="AG375" t="str">
        <f t="shared" si="149"/>
        <v>A veces</v>
      </c>
      <c r="AH375">
        <v>0</v>
      </c>
      <c r="AI375" t="str">
        <f t="shared" si="150"/>
        <v>No usa</v>
      </c>
      <c r="AJ375">
        <v>0</v>
      </c>
      <c r="AK375" t="str">
        <f t="shared" si="151"/>
        <v>No usa</v>
      </c>
      <c r="AL375">
        <v>0</v>
      </c>
      <c r="AM375" t="str">
        <f t="shared" si="152"/>
        <v>No usa</v>
      </c>
      <c r="AN375">
        <v>1</v>
      </c>
      <c r="AO375" t="str">
        <f t="shared" si="153"/>
        <v>Usa Transporte</v>
      </c>
      <c r="AP375">
        <v>0</v>
      </c>
      <c r="AQ375" t="str">
        <f t="shared" si="154"/>
        <v>No camina</v>
      </c>
      <c r="AR375">
        <v>0</v>
      </c>
      <c r="AS375" t="str">
        <f t="shared" si="155"/>
        <v>No es obeso</v>
      </c>
    </row>
    <row r="376" spans="1:45" x14ac:dyDescent="0.25">
      <c r="A376">
        <v>1</v>
      </c>
      <c r="B376" t="str">
        <f t="shared" si="130"/>
        <v>M</v>
      </c>
      <c r="C376">
        <v>18</v>
      </c>
      <c r="D376">
        <f t="shared" si="131"/>
        <v>18</v>
      </c>
      <c r="E376">
        <f t="shared" si="132"/>
        <v>18</v>
      </c>
      <c r="F376" t="str">
        <f t="shared" si="133"/>
        <v>1-25</v>
      </c>
      <c r="G376">
        <v>1</v>
      </c>
      <c r="H376" t="str">
        <f t="shared" si="134"/>
        <v>Pariente gordo</v>
      </c>
      <c r="I376">
        <v>1</v>
      </c>
      <c r="J376" t="str">
        <f t="shared" si="135"/>
        <v>Hipercaloricos</v>
      </c>
      <c r="K376">
        <v>2</v>
      </c>
      <c r="L376">
        <f t="shared" si="136"/>
        <v>1</v>
      </c>
      <c r="M376" t="str">
        <f t="shared" si="137"/>
        <v>Suele comer</v>
      </c>
      <c r="N376">
        <v>4</v>
      </c>
      <c r="O376">
        <f t="shared" si="138"/>
        <v>2</v>
      </c>
      <c r="P376" t="str">
        <f t="shared" si="139"/>
        <v>Mas de 3</v>
      </c>
      <c r="Q376">
        <v>2</v>
      </c>
      <c r="R376" t="str">
        <f t="shared" si="140"/>
        <v>Usualmente</v>
      </c>
      <c r="S376">
        <v>0</v>
      </c>
      <c r="T376" t="str">
        <f t="shared" si="141"/>
        <v>No fuma</v>
      </c>
      <c r="U376">
        <v>2</v>
      </c>
      <c r="V376">
        <f t="shared" si="142"/>
        <v>2</v>
      </c>
      <c r="W376" t="str">
        <f t="shared" si="143"/>
        <v>Siempre</v>
      </c>
      <c r="X376">
        <v>0</v>
      </c>
      <c r="Y376" t="str">
        <f t="shared" si="144"/>
        <v>No controla</v>
      </c>
      <c r="Z376">
        <v>2</v>
      </c>
      <c r="AA376">
        <f t="shared" si="145"/>
        <v>2</v>
      </c>
      <c r="AB376" t="str">
        <f t="shared" si="146"/>
        <v>Usualmente</v>
      </c>
      <c r="AC376">
        <v>1</v>
      </c>
      <c r="AD376">
        <f t="shared" si="147"/>
        <v>1</v>
      </c>
      <c r="AE376" t="str">
        <f t="shared" si="148"/>
        <v>Usualmente</v>
      </c>
      <c r="AF376">
        <v>1</v>
      </c>
      <c r="AG376" t="str">
        <f t="shared" si="149"/>
        <v>A veces</v>
      </c>
      <c r="AH376">
        <v>1</v>
      </c>
      <c r="AI376" t="str">
        <f t="shared" si="150"/>
        <v>Usa auto</v>
      </c>
      <c r="AJ376">
        <v>0</v>
      </c>
      <c r="AK376" t="str">
        <f t="shared" si="151"/>
        <v>No usa</v>
      </c>
      <c r="AL376">
        <v>0</v>
      </c>
      <c r="AM376" t="str">
        <f t="shared" si="152"/>
        <v>No usa</v>
      </c>
      <c r="AN376">
        <v>0</v>
      </c>
      <c r="AO376" t="str">
        <f t="shared" si="153"/>
        <v>No usa</v>
      </c>
      <c r="AP376">
        <v>0</v>
      </c>
      <c r="AQ376" t="str">
        <f t="shared" si="154"/>
        <v>No camina</v>
      </c>
      <c r="AR376">
        <v>0</v>
      </c>
      <c r="AS376" t="str">
        <f t="shared" si="155"/>
        <v>No es obeso</v>
      </c>
    </row>
    <row r="377" spans="1:45" x14ac:dyDescent="0.25">
      <c r="A377">
        <v>1</v>
      </c>
      <c r="B377" t="str">
        <f t="shared" si="130"/>
        <v>M</v>
      </c>
      <c r="C377">
        <v>41</v>
      </c>
      <c r="D377">
        <f t="shared" si="131"/>
        <v>41</v>
      </c>
      <c r="E377">
        <f t="shared" si="132"/>
        <v>41</v>
      </c>
      <c r="F377" t="str">
        <f t="shared" si="133"/>
        <v>25-50</v>
      </c>
      <c r="G377">
        <v>1</v>
      </c>
      <c r="H377" t="str">
        <f t="shared" si="134"/>
        <v>Pariente gordo</v>
      </c>
      <c r="I377">
        <v>1</v>
      </c>
      <c r="J377" t="str">
        <f t="shared" si="135"/>
        <v>Hipercaloricos</v>
      </c>
      <c r="K377">
        <v>2</v>
      </c>
      <c r="L377">
        <f t="shared" si="136"/>
        <v>1</v>
      </c>
      <c r="M377" t="str">
        <f t="shared" si="137"/>
        <v>Suele comer</v>
      </c>
      <c r="N377">
        <v>1</v>
      </c>
      <c r="O377">
        <f t="shared" si="138"/>
        <v>1</v>
      </c>
      <c r="P377">
        <f t="shared" si="139"/>
        <v>3</v>
      </c>
      <c r="Q377">
        <v>2</v>
      </c>
      <c r="R377" t="str">
        <f t="shared" si="140"/>
        <v>Usualmente</v>
      </c>
      <c r="S377">
        <v>0</v>
      </c>
      <c r="T377" t="str">
        <f t="shared" si="141"/>
        <v>No fuma</v>
      </c>
      <c r="U377">
        <v>3</v>
      </c>
      <c r="V377">
        <f t="shared" si="142"/>
        <v>2</v>
      </c>
      <c r="W377" t="str">
        <f t="shared" si="143"/>
        <v>Siempre</v>
      </c>
      <c r="X377">
        <v>0</v>
      </c>
      <c r="Y377" t="str">
        <f t="shared" si="144"/>
        <v>No controla</v>
      </c>
      <c r="Z377">
        <v>1</v>
      </c>
      <c r="AA377">
        <f t="shared" si="145"/>
        <v>1</v>
      </c>
      <c r="AB377" t="str">
        <f t="shared" si="146"/>
        <v>A veces</v>
      </c>
      <c r="AC377">
        <v>0</v>
      </c>
      <c r="AD377">
        <f t="shared" si="147"/>
        <v>0</v>
      </c>
      <c r="AE377" t="str">
        <f t="shared" si="148"/>
        <v>Nunca</v>
      </c>
      <c r="AF377">
        <v>1</v>
      </c>
      <c r="AG377" t="str">
        <f t="shared" si="149"/>
        <v>A veces</v>
      </c>
      <c r="AH377">
        <v>1</v>
      </c>
      <c r="AI377" t="str">
        <f t="shared" si="150"/>
        <v>Usa auto</v>
      </c>
      <c r="AJ377">
        <v>0</v>
      </c>
      <c r="AK377" t="str">
        <f t="shared" si="151"/>
        <v>No usa</v>
      </c>
      <c r="AL377">
        <v>0</v>
      </c>
      <c r="AM377" t="str">
        <f t="shared" si="152"/>
        <v>No usa</v>
      </c>
      <c r="AN377">
        <v>0</v>
      </c>
      <c r="AO377" t="str">
        <f t="shared" si="153"/>
        <v>No usa</v>
      </c>
      <c r="AP377">
        <v>0</v>
      </c>
      <c r="AQ377" t="str">
        <f t="shared" si="154"/>
        <v>No camina</v>
      </c>
      <c r="AR377">
        <v>0</v>
      </c>
      <c r="AS377" t="str">
        <f t="shared" si="155"/>
        <v>No es obeso</v>
      </c>
    </row>
    <row r="378" spans="1:45" x14ac:dyDescent="0.25">
      <c r="A378">
        <v>0</v>
      </c>
      <c r="B378" t="str">
        <f t="shared" si="130"/>
        <v>F</v>
      </c>
      <c r="C378">
        <v>36</v>
      </c>
      <c r="D378">
        <f t="shared" si="131"/>
        <v>36</v>
      </c>
      <c r="E378">
        <f t="shared" si="132"/>
        <v>36</v>
      </c>
      <c r="F378" t="str">
        <f t="shared" si="133"/>
        <v>25-50</v>
      </c>
      <c r="G378">
        <v>1</v>
      </c>
      <c r="H378" t="str">
        <f t="shared" si="134"/>
        <v>Pariente gordo</v>
      </c>
      <c r="I378">
        <v>0</v>
      </c>
      <c r="J378" t="str">
        <f t="shared" si="135"/>
        <v>Saludables</v>
      </c>
      <c r="K378">
        <v>3</v>
      </c>
      <c r="L378">
        <f t="shared" si="136"/>
        <v>1</v>
      </c>
      <c r="M378" t="str">
        <f t="shared" si="137"/>
        <v>Suele comer</v>
      </c>
      <c r="N378">
        <v>3</v>
      </c>
      <c r="O378">
        <f t="shared" si="138"/>
        <v>2</v>
      </c>
      <c r="P378" t="str">
        <f t="shared" si="139"/>
        <v>Mas de 3</v>
      </c>
      <c r="Q378">
        <v>1</v>
      </c>
      <c r="R378" t="str">
        <f t="shared" si="140"/>
        <v>A veces</v>
      </c>
      <c r="S378">
        <v>0</v>
      </c>
      <c r="T378" t="str">
        <f t="shared" si="141"/>
        <v>No fuma</v>
      </c>
      <c r="U378">
        <v>1</v>
      </c>
      <c r="V378">
        <f t="shared" si="142"/>
        <v>1</v>
      </c>
      <c r="W378" t="str">
        <f t="shared" si="143"/>
        <v>Usualmente</v>
      </c>
      <c r="X378">
        <v>0</v>
      </c>
      <c r="Y378" t="str">
        <f t="shared" si="144"/>
        <v>No controla</v>
      </c>
      <c r="Z378">
        <v>2</v>
      </c>
      <c r="AA378">
        <f t="shared" si="145"/>
        <v>2</v>
      </c>
      <c r="AB378" t="str">
        <f t="shared" si="146"/>
        <v>Usualmente</v>
      </c>
      <c r="AC378">
        <v>0</v>
      </c>
      <c r="AD378">
        <f t="shared" si="147"/>
        <v>0</v>
      </c>
      <c r="AE378" t="str">
        <f t="shared" si="148"/>
        <v>Nunca</v>
      </c>
      <c r="AF378">
        <v>1</v>
      </c>
      <c r="AG378" t="str">
        <f t="shared" si="149"/>
        <v>A veces</v>
      </c>
      <c r="AH378">
        <v>1</v>
      </c>
      <c r="AI378" t="str">
        <f t="shared" si="150"/>
        <v>Usa auto</v>
      </c>
      <c r="AJ378">
        <v>0</v>
      </c>
      <c r="AK378" t="str">
        <f t="shared" si="151"/>
        <v>No usa</v>
      </c>
      <c r="AL378">
        <v>0</v>
      </c>
      <c r="AM378" t="str">
        <f t="shared" si="152"/>
        <v>No usa</v>
      </c>
      <c r="AN378">
        <v>0</v>
      </c>
      <c r="AO378" t="str">
        <f t="shared" si="153"/>
        <v>No usa</v>
      </c>
      <c r="AP378">
        <v>0</v>
      </c>
      <c r="AQ378" t="str">
        <f t="shared" si="154"/>
        <v>No camina</v>
      </c>
      <c r="AR378">
        <v>0</v>
      </c>
      <c r="AS378" t="str">
        <f t="shared" si="155"/>
        <v>No es obeso</v>
      </c>
    </row>
    <row r="379" spans="1:45" x14ac:dyDescent="0.25">
      <c r="A379">
        <v>1</v>
      </c>
      <c r="B379" t="str">
        <f t="shared" si="130"/>
        <v>M</v>
      </c>
      <c r="C379">
        <v>18</v>
      </c>
      <c r="D379">
        <f t="shared" si="131"/>
        <v>18</v>
      </c>
      <c r="E379">
        <f t="shared" si="132"/>
        <v>18</v>
      </c>
      <c r="F379" t="str">
        <f t="shared" si="133"/>
        <v>1-25</v>
      </c>
      <c r="G379">
        <v>0</v>
      </c>
      <c r="H379" t="str">
        <f t="shared" si="134"/>
        <v>Pariente normal</v>
      </c>
      <c r="I379">
        <v>0</v>
      </c>
      <c r="J379" t="str">
        <f t="shared" si="135"/>
        <v>Saludables</v>
      </c>
      <c r="K379">
        <v>2</v>
      </c>
      <c r="L379">
        <f t="shared" si="136"/>
        <v>1</v>
      </c>
      <c r="M379" t="str">
        <f t="shared" si="137"/>
        <v>Suele comer</v>
      </c>
      <c r="N379">
        <v>4</v>
      </c>
      <c r="O379">
        <f t="shared" si="138"/>
        <v>2</v>
      </c>
      <c r="P379" t="str">
        <f t="shared" si="139"/>
        <v>Mas de 3</v>
      </c>
      <c r="Q379">
        <v>2</v>
      </c>
      <c r="R379" t="str">
        <f t="shared" si="140"/>
        <v>Usualmente</v>
      </c>
      <c r="S379">
        <v>0</v>
      </c>
      <c r="T379" t="str">
        <f t="shared" si="141"/>
        <v>No fuma</v>
      </c>
      <c r="U379">
        <v>2</v>
      </c>
      <c r="V379">
        <f t="shared" si="142"/>
        <v>2</v>
      </c>
      <c r="W379" t="str">
        <f t="shared" si="143"/>
        <v>Siempre</v>
      </c>
      <c r="X379">
        <v>0</v>
      </c>
      <c r="Y379" t="str">
        <f t="shared" si="144"/>
        <v>No controla</v>
      </c>
      <c r="Z379">
        <v>1</v>
      </c>
      <c r="AA379">
        <f t="shared" si="145"/>
        <v>1</v>
      </c>
      <c r="AB379" t="str">
        <f t="shared" si="146"/>
        <v>A veces</v>
      </c>
      <c r="AC379">
        <v>1</v>
      </c>
      <c r="AD379">
        <f t="shared" si="147"/>
        <v>1</v>
      </c>
      <c r="AE379" t="str">
        <f t="shared" si="148"/>
        <v>Usualmente</v>
      </c>
      <c r="AF379">
        <v>1</v>
      </c>
      <c r="AG379" t="str">
        <f t="shared" si="149"/>
        <v>A veces</v>
      </c>
      <c r="AH379">
        <v>0</v>
      </c>
      <c r="AI379" t="str">
        <f t="shared" si="150"/>
        <v>No usa</v>
      </c>
      <c r="AJ379">
        <v>0</v>
      </c>
      <c r="AK379" t="str">
        <f t="shared" si="151"/>
        <v>No usa</v>
      </c>
      <c r="AL379">
        <v>0</v>
      </c>
      <c r="AM379" t="str">
        <f t="shared" si="152"/>
        <v>No usa</v>
      </c>
      <c r="AN379">
        <v>1</v>
      </c>
      <c r="AO379" t="str">
        <f t="shared" si="153"/>
        <v>Usa Transporte</v>
      </c>
      <c r="AP379">
        <v>0</v>
      </c>
      <c r="AQ379" t="str">
        <f t="shared" si="154"/>
        <v>No camina</v>
      </c>
      <c r="AR379">
        <v>0</v>
      </c>
      <c r="AS379" t="str">
        <f t="shared" si="155"/>
        <v>No es obeso</v>
      </c>
    </row>
    <row r="380" spans="1:45" x14ac:dyDescent="0.25">
      <c r="A380">
        <v>1</v>
      </c>
      <c r="B380" t="str">
        <f t="shared" si="130"/>
        <v>M</v>
      </c>
      <c r="C380">
        <v>18</v>
      </c>
      <c r="D380">
        <f t="shared" si="131"/>
        <v>18</v>
      </c>
      <c r="E380">
        <f t="shared" si="132"/>
        <v>18</v>
      </c>
      <c r="F380" t="str">
        <f t="shared" si="133"/>
        <v>1-25</v>
      </c>
      <c r="G380">
        <v>0</v>
      </c>
      <c r="H380" t="str">
        <f t="shared" si="134"/>
        <v>Pariente normal</v>
      </c>
      <c r="I380">
        <v>1</v>
      </c>
      <c r="J380" t="str">
        <f t="shared" si="135"/>
        <v>Hipercaloricos</v>
      </c>
      <c r="K380">
        <v>3</v>
      </c>
      <c r="L380">
        <f t="shared" si="136"/>
        <v>1</v>
      </c>
      <c r="M380" t="str">
        <f t="shared" si="137"/>
        <v>Suele comer</v>
      </c>
      <c r="N380">
        <v>3</v>
      </c>
      <c r="O380">
        <f t="shared" si="138"/>
        <v>2</v>
      </c>
      <c r="P380" t="str">
        <f t="shared" si="139"/>
        <v>Mas de 3</v>
      </c>
      <c r="Q380">
        <v>2</v>
      </c>
      <c r="R380" t="str">
        <f t="shared" si="140"/>
        <v>Usualmente</v>
      </c>
      <c r="S380">
        <v>0</v>
      </c>
      <c r="T380" t="str">
        <f t="shared" si="141"/>
        <v>No fuma</v>
      </c>
      <c r="U380">
        <v>1</v>
      </c>
      <c r="V380">
        <f t="shared" si="142"/>
        <v>1</v>
      </c>
      <c r="W380" t="str">
        <f t="shared" si="143"/>
        <v>Usualmente</v>
      </c>
      <c r="X380">
        <v>0</v>
      </c>
      <c r="Y380" t="str">
        <f t="shared" si="144"/>
        <v>No controla</v>
      </c>
      <c r="Z380">
        <v>2</v>
      </c>
      <c r="AA380">
        <f t="shared" si="145"/>
        <v>2</v>
      </c>
      <c r="AB380" t="str">
        <f t="shared" si="146"/>
        <v>Usualmente</v>
      </c>
      <c r="AC380">
        <v>1</v>
      </c>
      <c r="AD380">
        <f t="shared" si="147"/>
        <v>1</v>
      </c>
      <c r="AE380" t="str">
        <f t="shared" si="148"/>
        <v>Usualmente</v>
      </c>
      <c r="AF380">
        <v>1</v>
      </c>
      <c r="AG380" t="str">
        <f t="shared" si="149"/>
        <v>A veces</v>
      </c>
      <c r="AH380">
        <v>0</v>
      </c>
      <c r="AI380" t="str">
        <f t="shared" si="150"/>
        <v>No usa</v>
      </c>
      <c r="AJ380">
        <v>0</v>
      </c>
      <c r="AK380" t="str">
        <f t="shared" si="151"/>
        <v>No usa</v>
      </c>
      <c r="AL380">
        <v>0</v>
      </c>
      <c r="AM380" t="str">
        <f t="shared" si="152"/>
        <v>No usa</v>
      </c>
      <c r="AN380">
        <v>1</v>
      </c>
      <c r="AO380" t="str">
        <f t="shared" si="153"/>
        <v>Usa Transporte</v>
      </c>
      <c r="AP380">
        <v>0</v>
      </c>
      <c r="AQ380" t="str">
        <f t="shared" si="154"/>
        <v>No camina</v>
      </c>
      <c r="AR380">
        <v>0</v>
      </c>
      <c r="AS380" t="str">
        <f t="shared" si="155"/>
        <v>No es obeso</v>
      </c>
    </row>
    <row r="381" spans="1:45" x14ac:dyDescent="0.25">
      <c r="A381">
        <v>1</v>
      </c>
      <c r="B381" t="str">
        <f t="shared" si="130"/>
        <v>M</v>
      </c>
      <c r="C381">
        <v>17</v>
      </c>
      <c r="D381">
        <f t="shared" si="131"/>
        <v>17</v>
      </c>
      <c r="E381">
        <f t="shared" si="132"/>
        <v>17</v>
      </c>
      <c r="F381" t="str">
        <f t="shared" si="133"/>
        <v>1-25</v>
      </c>
      <c r="G381">
        <v>1</v>
      </c>
      <c r="H381" t="str">
        <f t="shared" si="134"/>
        <v>Pariente gordo</v>
      </c>
      <c r="I381">
        <v>1</v>
      </c>
      <c r="J381" t="str">
        <f t="shared" si="135"/>
        <v>Hipercaloricos</v>
      </c>
      <c r="K381">
        <v>3</v>
      </c>
      <c r="L381">
        <f t="shared" si="136"/>
        <v>1</v>
      </c>
      <c r="M381" t="str">
        <f t="shared" si="137"/>
        <v>Suele comer</v>
      </c>
      <c r="N381">
        <v>3</v>
      </c>
      <c r="O381">
        <f t="shared" si="138"/>
        <v>2</v>
      </c>
      <c r="P381" t="str">
        <f t="shared" si="139"/>
        <v>Mas de 3</v>
      </c>
      <c r="Q381">
        <v>1</v>
      </c>
      <c r="R381" t="str">
        <f t="shared" si="140"/>
        <v>A veces</v>
      </c>
      <c r="S381">
        <v>0</v>
      </c>
      <c r="T381" t="str">
        <f t="shared" si="141"/>
        <v>No fuma</v>
      </c>
      <c r="U381">
        <v>2</v>
      </c>
      <c r="V381">
        <f t="shared" si="142"/>
        <v>2</v>
      </c>
      <c r="W381" t="str">
        <f t="shared" si="143"/>
        <v>Siempre</v>
      </c>
      <c r="X381">
        <v>0</v>
      </c>
      <c r="Y381" t="str">
        <f t="shared" si="144"/>
        <v>No controla</v>
      </c>
      <c r="Z381">
        <v>0</v>
      </c>
      <c r="AA381">
        <f t="shared" si="145"/>
        <v>0</v>
      </c>
      <c r="AB381" t="str">
        <f t="shared" si="146"/>
        <v>Nunca</v>
      </c>
      <c r="AC381">
        <v>2</v>
      </c>
      <c r="AD381">
        <f t="shared" si="147"/>
        <v>2</v>
      </c>
      <c r="AE381" t="str">
        <f t="shared" si="148"/>
        <v>Siempre</v>
      </c>
      <c r="AF381">
        <v>1</v>
      </c>
      <c r="AG381" t="str">
        <f t="shared" si="149"/>
        <v>A veces</v>
      </c>
      <c r="AH381">
        <v>0</v>
      </c>
      <c r="AI381" t="str">
        <f t="shared" si="150"/>
        <v>No usa</v>
      </c>
      <c r="AJ381">
        <v>0</v>
      </c>
      <c r="AK381" t="str">
        <f t="shared" si="151"/>
        <v>No usa</v>
      </c>
      <c r="AL381">
        <v>0</v>
      </c>
      <c r="AM381" t="str">
        <f t="shared" si="152"/>
        <v>No usa</v>
      </c>
      <c r="AN381">
        <v>0</v>
      </c>
      <c r="AO381" t="str">
        <f t="shared" si="153"/>
        <v>No usa</v>
      </c>
      <c r="AP381">
        <v>1</v>
      </c>
      <c r="AQ381" t="str">
        <f t="shared" si="154"/>
        <v>Camina</v>
      </c>
      <c r="AR381">
        <v>0</v>
      </c>
      <c r="AS381" t="str">
        <f t="shared" si="155"/>
        <v>No es obeso</v>
      </c>
    </row>
    <row r="382" spans="1:45" x14ac:dyDescent="0.25">
      <c r="A382">
        <v>1</v>
      </c>
      <c r="B382" t="str">
        <f t="shared" si="130"/>
        <v>M</v>
      </c>
      <c r="C382">
        <v>25</v>
      </c>
      <c r="D382">
        <f t="shared" si="131"/>
        <v>25</v>
      </c>
      <c r="E382">
        <f t="shared" si="132"/>
        <v>25</v>
      </c>
      <c r="F382" t="str">
        <f t="shared" si="133"/>
        <v>1-25</v>
      </c>
      <c r="G382">
        <v>0</v>
      </c>
      <c r="H382" t="str">
        <f t="shared" si="134"/>
        <v>Pariente normal</v>
      </c>
      <c r="I382">
        <v>1</v>
      </c>
      <c r="J382" t="str">
        <f t="shared" si="135"/>
        <v>Hipercaloricos</v>
      </c>
      <c r="K382">
        <v>3</v>
      </c>
      <c r="L382">
        <f t="shared" si="136"/>
        <v>1</v>
      </c>
      <c r="M382" t="str">
        <f t="shared" si="137"/>
        <v>Suele comer</v>
      </c>
      <c r="N382">
        <v>3</v>
      </c>
      <c r="O382">
        <f t="shared" si="138"/>
        <v>2</v>
      </c>
      <c r="P382" t="str">
        <f t="shared" si="139"/>
        <v>Mas de 3</v>
      </c>
      <c r="Q382">
        <v>1</v>
      </c>
      <c r="R382" t="str">
        <f t="shared" si="140"/>
        <v>A veces</v>
      </c>
      <c r="S382">
        <v>0</v>
      </c>
      <c r="T382" t="str">
        <f t="shared" si="141"/>
        <v>No fuma</v>
      </c>
      <c r="U382">
        <v>3</v>
      </c>
      <c r="V382">
        <f t="shared" si="142"/>
        <v>2</v>
      </c>
      <c r="W382" t="str">
        <f t="shared" si="143"/>
        <v>Siempre</v>
      </c>
      <c r="X382">
        <v>1</v>
      </c>
      <c r="Y382" t="str">
        <f t="shared" si="144"/>
        <v>Controla</v>
      </c>
      <c r="Z382">
        <v>3</v>
      </c>
      <c r="AA382">
        <f t="shared" si="145"/>
        <v>3</v>
      </c>
      <c r="AB382" t="str">
        <f t="shared" si="146"/>
        <v>Siempre</v>
      </c>
      <c r="AC382">
        <v>0</v>
      </c>
      <c r="AD382">
        <f t="shared" si="147"/>
        <v>0</v>
      </c>
      <c r="AE382" t="str">
        <f t="shared" si="148"/>
        <v>Nunca</v>
      </c>
      <c r="AF382">
        <v>0</v>
      </c>
      <c r="AG382" t="str">
        <f t="shared" si="149"/>
        <v>Nunca</v>
      </c>
      <c r="AH382">
        <v>0</v>
      </c>
      <c r="AI382" t="str">
        <f t="shared" si="150"/>
        <v>No usa</v>
      </c>
      <c r="AJ382">
        <v>0</v>
      </c>
      <c r="AK382" t="str">
        <f t="shared" si="151"/>
        <v>No usa</v>
      </c>
      <c r="AL382">
        <v>1</v>
      </c>
      <c r="AM382" t="str">
        <f t="shared" si="152"/>
        <v>Usa Moto</v>
      </c>
      <c r="AN382">
        <v>0</v>
      </c>
      <c r="AO382" t="str">
        <f t="shared" si="153"/>
        <v>No usa</v>
      </c>
      <c r="AP382">
        <v>0</v>
      </c>
      <c r="AQ382" t="str">
        <f t="shared" si="154"/>
        <v>No camina</v>
      </c>
      <c r="AR382">
        <v>0</v>
      </c>
      <c r="AS382" t="str">
        <f t="shared" si="155"/>
        <v>No es obeso</v>
      </c>
    </row>
    <row r="383" spans="1:45" x14ac:dyDescent="0.25">
      <c r="A383">
        <v>1</v>
      </c>
      <c r="B383" t="str">
        <f t="shared" si="130"/>
        <v>M</v>
      </c>
      <c r="C383">
        <v>21</v>
      </c>
      <c r="D383">
        <f t="shared" si="131"/>
        <v>21</v>
      </c>
      <c r="E383">
        <f t="shared" si="132"/>
        <v>21</v>
      </c>
      <c r="F383" t="str">
        <f t="shared" si="133"/>
        <v>1-25</v>
      </c>
      <c r="G383">
        <v>1</v>
      </c>
      <c r="H383" t="str">
        <f t="shared" si="134"/>
        <v>Pariente gordo</v>
      </c>
      <c r="I383">
        <v>1</v>
      </c>
      <c r="J383" t="str">
        <f t="shared" si="135"/>
        <v>Hipercaloricos</v>
      </c>
      <c r="K383">
        <v>3</v>
      </c>
      <c r="L383">
        <f t="shared" si="136"/>
        <v>1</v>
      </c>
      <c r="M383" t="str">
        <f t="shared" si="137"/>
        <v>Suele comer</v>
      </c>
      <c r="N383">
        <v>3</v>
      </c>
      <c r="O383">
        <f t="shared" si="138"/>
        <v>2</v>
      </c>
      <c r="P383" t="str">
        <f t="shared" si="139"/>
        <v>Mas de 3</v>
      </c>
      <c r="Q383">
        <v>2</v>
      </c>
      <c r="R383" t="str">
        <f t="shared" si="140"/>
        <v>Usualmente</v>
      </c>
      <c r="S383">
        <v>0</v>
      </c>
      <c r="T383" t="str">
        <f t="shared" si="141"/>
        <v>No fuma</v>
      </c>
      <c r="U383">
        <v>1</v>
      </c>
      <c r="V383">
        <f t="shared" si="142"/>
        <v>1</v>
      </c>
      <c r="W383" t="str">
        <f t="shared" si="143"/>
        <v>Usualmente</v>
      </c>
      <c r="X383">
        <v>0</v>
      </c>
      <c r="Y383" t="str">
        <f t="shared" si="144"/>
        <v>No controla</v>
      </c>
      <c r="Z383">
        <v>2</v>
      </c>
      <c r="AA383">
        <f t="shared" si="145"/>
        <v>2</v>
      </c>
      <c r="AB383" t="str">
        <f t="shared" si="146"/>
        <v>Usualmente</v>
      </c>
      <c r="AC383">
        <v>0</v>
      </c>
      <c r="AD383">
        <f t="shared" si="147"/>
        <v>0</v>
      </c>
      <c r="AE383" t="str">
        <f t="shared" si="148"/>
        <v>Nunca</v>
      </c>
      <c r="AF383">
        <v>1</v>
      </c>
      <c r="AG383" t="str">
        <f t="shared" si="149"/>
        <v>A veces</v>
      </c>
      <c r="AH383">
        <v>0</v>
      </c>
      <c r="AI383" t="str">
        <f t="shared" si="150"/>
        <v>No usa</v>
      </c>
      <c r="AJ383">
        <v>0</v>
      </c>
      <c r="AK383" t="str">
        <f t="shared" si="151"/>
        <v>No usa</v>
      </c>
      <c r="AL383">
        <v>0</v>
      </c>
      <c r="AM383" t="str">
        <f t="shared" si="152"/>
        <v>No usa</v>
      </c>
      <c r="AN383">
        <v>1</v>
      </c>
      <c r="AO383" t="str">
        <f t="shared" si="153"/>
        <v>Usa Transporte</v>
      </c>
      <c r="AP383">
        <v>0</v>
      </c>
      <c r="AQ383" t="str">
        <f t="shared" si="154"/>
        <v>No camina</v>
      </c>
      <c r="AR383">
        <v>0</v>
      </c>
      <c r="AS383" t="str">
        <f t="shared" si="155"/>
        <v>No es obeso</v>
      </c>
    </row>
    <row r="384" spans="1:45" x14ac:dyDescent="0.25">
      <c r="A384">
        <v>0</v>
      </c>
      <c r="B384" t="str">
        <f t="shared" si="130"/>
        <v>F</v>
      </c>
      <c r="C384">
        <v>29</v>
      </c>
      <c r="D384">
        <f t="shared" si="131"/>
        <v>29</v>
      </c>
      <c r="E384">
        <f t="shared" si="132"/>
        <v>29</v>
      </c>
      <c r="F384" t="str">
        <f t="shared" si="133"/>
        <v>25-50</v>
      </c>
      <c r="G384">
        <v>1</v>
      </c>
      <c r="H384" t="str">
        <f t="shared" si="134"/>
        <v>Pariente gordo</v>
      </c>
      <c r="I384">
        <v>0</v>
      </c>
      <c r="J384" t="str">
        <f t="shared" si="135"/>
        <v>Saludables</v>
      </c>
      <c r="K384">
        <v>2</v>
      </c>
      <c r="L384">
        <f t="shared" si="136"/>
        <v>1</v>
      </c>
      <c r="M384" t="str">
        <f t="shared" si="137"/>
        <v>Suele comer</v>
      </c>
      <c r="N384">
        <v>3</v>
      </c>
      <c r="O384">
        <f t="shared" si="138"/>
        <v>2</v>
      </c>
      <c r="P384" t="str">
        <f t="shared" si="139"/>
        <v>Mas de 3</v>
      </c>
      <c r="Q384">
        <v>2</v>
      </c>
      <c r="R384" t="str">
        <f t="shared" si="140"/>
        <v>Usualmente</v>
      </c>
      <c r="S384">
        <v>0</v>
      </c>
      <c r="T384" t="str">
        <f t="shared" si="141"/>
        <v>No fuma</v>
      </c>
      <c r="U384">
        <v>1</v>
      </c>
      <c r="V384">
        <f t="shared" si="142"/>
        <v>1</v>
      </c>
      <c r="W384" t="str">
        <f t="shared" si="143"/>
        <v>Usualmente</v>
      </c>
      <c r="X384">
        <v>0</v>
      </c>
      <c r="Y384" t="str">
        <f t="shared" si="144"/>
        <v>No controla</v>
      </c>
      <c r="Z384">
        <v>0</v>
      </c>
      <c r="AA384">
        <f t="shared" si="145"/>
        <v>0</v>
      </c>
      <c r="AB384" t="str">
        <f t="shared" si="146"/>
        <v>Nunca</v>
      </c>
      <c r="AC384">
        <v>1</v>
      </c>
      <c r="AD384">
        <f t="shared" si="147"/>
        <v>1</v>
      </c>
      <c r="AE384" t="str">
        <f t="shared" si="148"/>
        <v>Usualmente</v>
      </c>
      <c r="AF384">
        <v>1</v>
      </c>
      <c r="AG384" t="str">
        <f t="shared" si="149"/>
        <v>A veces</v>
      </c>
      <c r="AH384">
        <v>0</v>
      </c>
      <c r="AI384" t="str">
        <f t="shared" si="150"/>
        <v>No usa</v>
      </c>
      <c r="AJ384">
        <v>0</v>
      </c>
      <c r="AK384" t="str">
        <f t="shared" si="151"/>
        <v>No usa</v>
      </c>
      <c r="AL384">
        <v>0</v>
      </c>
      <c r="AM384" t="str">
        <f t="shared" si="152"/>
        <v>No usa</v>
      </c>
      <c r="AN384">
        <v>1</v>
      </c>
      <c r="AO384" t="str">
        <f t="shared" si="153"/>
        <v>Usa Transporte</v>
      </c>
      <c r="AP384">
        <v>0</v>
      </c>
      <c r="AQ384" t="str">
        <f t="shared" si="154"/>
        <v>No camina</v>
      </c>
      <c r="AR384">
        <v>0</v>
      </c>
      <c r="AS384" t="str">
        <f t="shared" si="155"/>
        <v>No es obeso</v>
      </c>
    </row>
    <row r="385" spans="1:45" x14ac:dyDescent="0.25">
      <c r="A385">
        <v>1</v>
      </c>
      <c r="B385" t="str">
        <f t="shared" si="130"/>
        <v>M</v>
      </c>
      <c r="C385">
        <v>17</v>
      </c>
      <c r="D385">
        <f t="shared" si="131"/>
        <v>17</v>
      </c>
      <c r="E385">
        <f t="shared" si="132"/>
        <v>17</v>
      </c>
      <c r="F385" t="str">
        <f t="shared" si="133"/>
        <v>1-25</v>
      </c>
      <c r="G385">
        <v>1</v>
      </c>
      <c r="H385" t="str">
        <f t="shared" si="134"/>
        <v>Pariente gordo</v>
      </c>
      <c r="I385">
        <v>0</v>
      </c>
      <c r="J385" t="str">
        <f t="shared" si="135"/>
        <v>Saludables</v>
      </c>
      <c r="K385">
        <v>2</v>
      </c>
      <c r="L385">
        <f t="shared" si="136"/>
        <v>1</v>
      </c>
      <c r="M385" t="str">
        <f t="shared" si="137"/>
        <v>Suele comer</v>
      </c>
      <c r="N385">
        <v>3</v>
      </c>
      <c r="O385">
        <f t="shared" si="138"/>
        <v>2</v>
      </c>
      <c r="P385" t="str">
        <f t="shared" si="139"/>
        <v>Mas de 3</v>
      </c>
      <c r="Q385">
        <v>1</v>
      </c>
      <c r="R385" t="str">
        <f t="shared" si="140"/>
        <v>A veces</v>
      </c>
      <c r="S385">
        <v>0</v>
      </c>
      <c r="T385" t="str">
        <f t="shared" si="141"/>
        <v>No fuma</v>
      </c>
      <c r="U385">
        <v>2</v>
      </c>
      <c r="V385">
        <f t="shared" si="142"/>
        <v>2</v>
      </c>
      <c r="W385" t="str">
        <f t="shared" si="143"/>
        <v>Siempre</v>
      </c>
      <c r="X385">
        <v>0</v>
      </c>
      <c r="Y385" t="str">
        <f t="shared" si="144"/>
        <v>No controla</v>
      </c>
      <c r="Z385">
        <v>0</v>
      </c>
      <c r="AA385">
        <f t="shared" si="145"/>
        <v>0</v>
      </c>
      <c r="AB385" t="str">
        <f t="shared" si="146"/>
        <v>Nunca</v>
      </c>
      <c r="AC385">
        <v>1</v>
      </c>
      <c r="AD385">
        <f t="shared" si="147"/>
        <v>1</v>
      </c>
      <c r="AE385" t="str">
        <f t="shared" si="148"/>
        <v>Usualmente</v>
      </c>
      <c r="AF385">
        <v>1</v>
      </c>
      <c r="AG385" t="str">
        <f t="shared" si="149"/>
        <v>A veces</v>
      </c>
      <c r="AH385">
        <v>1</v>
      </c>
      <c r="AI385" t="str">
        <f t="shared" si="150"/>
        <v>Usa auto</v>
      </c>
      <c r="AJ385">
        <v>0</v>
      </c>
      <c r="AK385" t="str">
        <f t="shared" si="151"/>
        <v>No usa</v>
      </c>
      <c r="AL385">
        <v>0</v>
      </c>
      <c r="AM385" t="str">
        <f t="shared" si="152"/>
        <v>No usa</v>
      </c>
      <c r="AN385">
        <v>0</v>
      </c>
      <c r="AO385" t="str">
        <f t="shared" si="153"/>
        <v>No usa</v>
      </c>
      <c r="AP385">
        <v>0</v>
      </c>
      <c r="AQ385" t="str">
        <f t="shared" si="154"/>
        <v>No camina</v>
      </c>
      <c r="AR385">
        <v>1</v>
      </c>
      <c r="AS385" t="str">
        <f t="shared" si="155"/>
        <v>Es Obeso</v>
      </c>
    </row>
    <row r="386" spans="1:45" x14ac:dyDescent="0.25">
      <c r="A386">
        <v>0</v>
      </c>
      <c r="B386" t="str">
        <f t="shared" si="130"/>
        <v>F</v>
      </c>
      <c r="C386">
        <v>18</v>
      </c>
      <c r="D386">
        <f t="shared" si="131"/>
        <v>18</v>
      </c>
      <c r="E386">
        <f t="shared" si="132"/>
        <v>18</v>
      </c>
      <c r="F386" t="str">
        <f t="shared" si="133"/>
        <v>1-25</v>
      </c>
      <c r="G386">
        <v>1</v>
      </c>
      <c r="H386" t="str">
        <f t="shared" si="134"/>
        <v>Pariente gordo</v>
      </c>
      <c r="I386">
        <v>1</v>
      </c>
      <c r="J386" t="str">
        <f t="shared" si="135"/>
        <v>Hipercaloricos</v>
      </c>
      <c r="K386">
        <v>3</v>
      </c>
      <c r="L386">
        <f t="shared" si="136"/>
        <v>1</v>
      </c>
      <c r="M386" t="str">
        <f t="shared" si="137"/>
        <v>Suele comer</v>
      </c>
      <c r="N386">
        <v>1</v>
      </c>
      <c r="O386">
        <f t="shared" si="138"/>
        <v>1</v>
      </c>
      <c r="P386">
        <f t="shared" si="139"/>
        <v>3</v>
      </c>
      <c r="Q386">
        <v>1</v>
      </c>
      <c r="R386" t="str">
        <f t="shared" si="140"/>
        <v>A veces</v>
      </c>
      <c r="S386">
        <v>0</v>
      </c>
      <c r="T386" t="str">
        <f t="shared" si="141"/>
        <v>No fuma</v>
      </c>
      <c r="U386">
        <v>1</v>
      </c>
      <c r="V386">
        <f t="shared" si="142"/>
        <v>1</v>
      </c>
      <c r="W386" t="str">
        <f t="shared" si="143"/>
        <v>Usualmente</v>
      </c>
      <c r="X386">
        <v>1</v>
      </c>
      <c r="Y386" t="str">
        <f t="shared" si="144"/>
        <v>Controla</v>
      </c>
      <c r="Z386">
        <v>0</v>
      </c>
      <c r="AA386">
        <f t="shared" si="145"/>
        <v>0</v>
      </c>
      <c r="AB386" t="str">
        <f t="shared" si="146"/>
        <v>Nunca</v>
      </c>
      <c r="AC386">
        <v>2</v>
      </c>
      <c r="AD386">
        <f t="shared" si="147"/>
        <v>2</v>
      </c>
      <c r="AE386" t="str">
        <f t="shared" si="148"/>
        <v>Siempre</v>
      </c>
      <c r="AF386">
        <v>0</v>
      </c>
      <c r="AG386" t="str">
        <f t="shared" si="149"/>
        <v>Nunca</v>
      </c>
      <c r="AH386">
        <v>0</v>
      </c>
      <c r="AI386" t="str">
        <f t="shared" si="150"/>
        <v>No usa</v>
      </c>
      <c r="AJ386">
        <v>0</v>
      </c>
      <c r="AK386" t="str">
        <f t="shared" si="151"/>
        <v>No usa</v>
      </c>
      <c r="AL386">
        <v>0</v>
      </c>
      <c r="AM386" t="str">
        <f t="shared" si="152"/>
        <v>No usa</v>
      </c>
      <c r="AN386">
        <v>0</v>
      </c>
      <c r="AO386" t="str">
        <f t="shared" si="153"/>
        <v>No usa</v>
      </c>
      <c r="AP386">
        <v>1</v>
      </c>
      <c r="AQ386" t="str">
        <f t="shared" si="154"/>
        <v>Camina</v>
      </c>
      <c r="AR386">
        <v>0</v>
      </c>
      <c r="AS386" t="str">
        <f t="shared" si="155"/>
        <v>No es obeso</v>
      </c>
    </row>
    <row r="387" spans="1:45" x14ac:dyDescent="0.25">
      <c r="A387">
        <v>0</v>
      </c>
      <c r="B387" t="str">
        <f t="shared" ref="B387:B450" si="156">IF(A387=1,"M","F")</f>
        <v>F</v>
      </c>
      <c r="C387">
        <v>16</v>
      </c>
      <c r="D387">
        <f t="shared" ref="D387:D450" si="157">IF(C387&lt;100,C387,ROUNDDOWN((C387/1000)/365,0))</f>
        <v>16</v>
      </c>
      <c r="E387">
        <f t="shared" ref="E387:E450" si="158">IF(AND(D387&gt;1,D387&lt;=100),D387,IF(D387&gt;100,100,5))</f>
        <v>16</v>
      </c>
      <c r="F387" t="str">
        <f t="shared" ref="F387:F450" si="159">IF(AND(E387&gt;=1,E387&lt;=25),"1-25",IF(AND(E387&gt;25,E387&lt;=50),"25-50",IF(AND(E387&gt;50,E387&lt;=75),"50-75","75-100")))</f>
        <v>1-25</v>
      </c>
      <c r="G387">
        <v>0</v>
      </c>
      <c r="H387" t="str">
        <f t="shared" ref="H387:H450" si="160">IF(G387=1,"Pariente gordo","Pariente normal")</f>
        <v>Pariente normal</v>
      </c>
      <c r="I387">
        <v>1</v>
      </c>
      <c r="J387" t="str">
        <f t="shared" ref="J387:J450" si="161">IF(I387=1,"Hipercaloricos","Saludables")</f>
        <v>Hipercaloricos</v>
      </c>
      <c r="K387">
        <v>2</v>
      </c>
      <c r="L387">
        <f t="shared" ref="L387:L450" si="162">IF(AND(K387&gt;=1,K387&lt;=3),1,IF(AND(K387&gt;3,K387&lt;3000000),1))</f>
        <v>1</v>
      </c>
      <c r="M387" t="str">
        <f t="shared" ref="M387:M450" si="163">IF(L387=1,"Suele comer","No come")</f>
        <v>Suele comer</v>
      </c>
      <c r="N387">
        <v>3</v>
      </c>
      <c r="O387">
        <f t="shared" ref="O387:O450" si="164">IF(N387=1,N387,IF(AND(N387&gt;=2,N387&lt;4000000),2))</f>
        <v>2</v>
      </c>
      <c r="P387" t="str">
        <f t="shared" ref="P387:P450" si="165">IF(O387=0,"1-2",IF(O387=1,3,"Mas de 3"))</f>
        <v>Mas de 3</v>
      </c>
      <c r="Q387">
        <v>2</v>
      </c>
      <c r="R387" t="str">
        <f t="shared" ref="R387:R450" si="166">IF(Q387=0,"Nunca",IF(Q387=1,"A veces",IF(Q387=2,"Usualmente","Siempre")))</f>
        <v>Usualmente</v>
      </c>
      <c r="S387">
        <v>0</v>
      </c>
      <c r="T387" t="str">
        <f t="shared" ref="T387:T450" si="167">IF(S387=1,"Fuma","No fuma")</f>
        <v>No fuma</v>
      </c>
      <c r="U387">
        <v>2</v>
      </c>
      <c r="V387">
        <f t="shared" ref="V387:V450" si="168">IF(U387=1,U387,IF(U387=2,U387,IF(AND(U387&gt;=3,U387&lt;3000000),2)))</f>
        <v>2</v>
      </c>
      <c r="W387" t="str">
        <f t="shared" ref="W387:W450" si="169">IF(V387=0,"Nunca",IF(V387=1,"Usualmente","Siempre"))</f>
        <v>Siempre</v>
      </c>
      <c r="X387">
        <v>0</v>
      </c>
      <c r="Y387" t="str">
        <f t="shared" ref="Y387:Y450" si="170">IF(X387=1,"Controla","No controla")</f>
        <v>No controla</v>
      </c>
      <c r="Z387">
        <v>1</v>
      </c>
      <c r="AA387">
        <f t="shared" ref="AA387:AA450" si="171">IF(Z387=0,Z387,IF(Z387=1,Z387,IF(Z387=2,Z387,IF(Z387=3,Z387,IF(AND(Z387&gt;3,Z387&lt;300000),2,IF(AND(Z387&gt;300000,Z387&lt;3000000),3,IF(AND(Z387&gt;0,Z387&lt;1),0)))))))</f>
        <v>1</v>
      </c>
      <c r="AB387" t="str">
        <f t="shared" ref="AB387:AB450" si="172">IF(AA387=0,"Nunca",IF(AA387=1,"A veces",IF(AA387=2,"Usualmente","Siempre")))</f>
        <v>A veces</v>
      </c>
      <c r="AC387">
        <v>1</v>
      </c>
      <c r="AD387">
        <f t="shared" ref="AD387:AD450" si="173">IF(AC387= 0,AC387,IF(AC387=1,AC387,IF(AC387=2,AC387,IF(AND(AC387&gt;2,AC387&lt;200000),1,IF(AND(AC387&gt;200000,AC387&lt;2000000),2,IF(AND(AC387&gt;0,AC387&lt;1),0))))))</f>
        <v>1</v>
      </c>
      <c r="AE387" t="str">
        <f t="shared" ref="AE387:AE450" si="174">IF(AD387=0,"Nunca",IF(AD387=1,"Usualmente","Siempre"))</f>
        <v>Usualmente</v>
      </c>
      <c r="AF387">
        <v>0</v>
      </c>
      <c r="AG387" t="str">
        <f t="shared" ref="AG387:AG450" si="175">IF(AF387=0,"Nunca",IF(AF387=1,"A veces",IF(AF387=2,"Usualmente","Siempre")))</f>
        <v>Nunca</v>
      </c>
      <c r="AH387">
        <v>0</v>
      </c>
      <c r="AI387" t="str">
        <f t="shared" ref="AI387:AI450" si="176">IF(AH387=1,"Usa auto","No usa")</f>
        <v>No usa</v>
      </c>
      <c r="AJ387">
        <v>0</v>
      </c>
      <c r="AK387" t="str">
        <f t="shared" ref="AK387:AK450" si="177">IF(AJ387=1,"Usa Bici","No usa")</f>
        <v>No usa</v>
      </c>
      <c r="AL387">
        <v>0</v>
      </c>
      <c r="AM387" t="str">
        <f t="shared" ref="AM387:AM450" si="178">IF(AL387=1,"Usa Moto","No usa")</f>
        <v>No usa</v>
      </c>
      <c r="AN387">
        <v>1</v>
      </c>
      <c r="AO387" t="str">
        <f t="shared" ref="AO387:AO450" si="179">IF(AN387=1,"Usa Transporte","No usa")</f>
        <v>Usa Transporte</v>
      </c>
      <c r="AP387">
        <v>0</v>
      </c>
      <c r="AQ387" t="str">
        <f t="shared" ref="AQ387:AQ450" si="180">IF(AP387=1,"Camina","No camina")</f>
        <v>No camina</v>
      </c>
      <c r="AR387">
        <v>0</v>
      </c>
      <c r="AS387" t="str">
        <f t="shared" ref="AS387:AS450" si="181">IF(AR387=1,"Es Obeso","No es obeso")</f>
        <v>No es obeso</v>
      </c>
    </row>
    <row r="388" spans="1:45" x14ac:dyDescent="0.25">
      <c r="A388">
        <v>0</v>
      </c>
      <c r="B388" t="str">
        <f t="shared" si="156"/>
        <v>F</v>
      </c>
      <c r="C388">
        <v>18</v>
      </c>
      <c r="D388">
        <f t="shared" si="157"/>
        <v>18</v>
      </c>
      <c r="E388">
        <f t="shared" si="158"/>
        <v>18</v>
      </c>
      <c r="F388" t="str">
        <f t="shared" si="159"/>
        <v>1-25</v>
      </c>
      <c r="G388">
        <v>0</v>
      </c>
      <c r="H388" t="str">
        <f t="shared" si="160"/>
        <v>Pariente normal</v>
      </c>
      <c r="I388">
        <v>0</v>
      </c>
      <c r="J388" t="str">
        <f t="shared" si="161"/>
        <v>Saludables</v>
      </c>
      <c r="K388">
        <v>1</v>
      </c>
      <c r="L388">
        <f t="shared" si="162"/>
        <v>1</v>
      </c>
      <c r="M388" t="str">
        <f t="shared" si="163"/>
        <v>Suele comer</v>
      </c>
      <c r="N388">
        <v>3</v>
      </c>
      <c r="O388">
        <f t="shared" si="164"/>
        <v>2</v>
      </c>
      <c r="P388" t="str">
        <f t="shared" si="165"/>
        <v>Mas de 3</v>
      </c>
      <c r="Q388">
        <v>1</v>
      </c>
      <c r="R388" t="str">
        <f t="shared" si="166"/>
        <v>A veces</v>
      </c>
      <c r="S388">
        <v>0</v>
      </c>
      <c r="T388" t="str">
        <f t="shared" si="167"/>
        <v>No fuma</v>
      </c>
      <c r="U388">
        <v>1</v>
      </c>
      <c r="V388">
        <f t="shared" si="168"/>
        <v>1</v>
      </c>
      <c r="W388" t="str">
        <f t="shared" si="169"/>
        <v>Usualmente</v>
      </c>
      <c r="X388">
        <v>0</v>
      </c>
      <c r="Y388" t="str">
        <f t="shared" si="170"/>
        <v>No controla</v>
      </c>
      <c r="Z388">
        <v>1</v>
      </c>
      <c r="AA388">
        <f t="shared" si="171"/>
        <v>1</v>
      </c>
      <c r="AB388" t="str">
        <f t="shared" si="172"/>
        <v>A veces</v>
      </c>
      <c r="AC388">
        <v>2</v>
      </c>
      <c r="AD388">
        <f t="shared" si="173"/>
        <v>2</v>
      </c>
      <c r="AE388" t="str">
        <f t="shared" si="174"/>
        <v>Siempre</v>
      </c>
      <c r="AF388">
        <v>0</v>
      </c>
      <c r="AG388" t="str">
        <f t="shared" si="175"/>
        <v>Nunca</v>
      </c>
      <c r="AH388">
        <v>0</v>
      </c>
      <c r="AI388" t="str">
        <f t="shared" si="176"/>
        <v>No usa</v>
      </c>
      <c r="AJ388">
        <v>0</v>
      </c>
      <c r="AK388" t="str">
        <f t="shared" si="177"/>
        <v>No usa</v>
      </c>
      <c r="AL388">
        <v>0</v>
      </c>
      <c r="AM388" t="str">
        <f t="shared" si="178"/>
        <v>No usa</v>
      </c>
      <c r="AN388">
        <v>1</v>
      </c>
      <c r="AO388" t="str">
        <f t="shared" si="179"/>
        <v>Usa Transporte</v>
      </c>
      <c r="AP388">
        <v>0</v>
      </c>
      <c r="AQ388" t="str">
        <f t="shared" si="180"/>
        <v>No camina</v>
      </c>
      <c r="AR388">
        <v>0</v>
      </c>
      <c r="AS388" t="str">
        <f t="shared" si="181"/>
        <v>No es obeso</v>
      </c>
    </row>
    <row r="389" spans="1:45" x14ac:dyDescent="0.25">
      <c r="A389">
        <v>0</v>
      </c>
      <c r="B389" t="str">
        <f t="shared" si="156"/>
        <v>F</v>
      </c>
      <c r="C389">
        <v>37</v>
      </c>
      <c r="D389">
        <f t="shared" si="157"/>
        <v>37</v>
      </c>
      <c r="E389">
        <f t="shared" si="158"/>
        <v>37</v>
      </c>
      <c r="F389" t="str">
        <f t="shared" si="159"/>
        <v>25-50</v>
      </c>
      <c r="G389">
        <v>1</v>
      </c>
      <c r="H389" t="str">
        <f t="shared" si="160"/>
        <v>Pariente gordo</v>
      </c>
      <c r="I389">
        <v>1</v>
      </c>
      <c r="J389" t="str">
        <f t="shared" si="161"/>
        <v>Hipercaloricos</v>
      </c>
      <c r="K389">
        <v>2</v>
      </c>
      <c r="L389">
        <f t="shared" si="162"/>
        <v>1</v>
      </c>
      <c r="M389" t="str">
        <f t="shared" si="163"/>
        <v>Suele comer</v>
      </c>
      <c r="N389">
        <v>3</v>
      </c>
      <c r="O389">
        <f t="shared" si="164"/>
        <v>2</v>
      </c>
      <c r="P389" t="str">
        <f t="shared" si="165"/>
        <v>Mas de 3</v>
      </c>
      <c r="Q389">
        <v>2</v>
      </c>
      <c r="R389" t="str">
        <f t="shared" si="166"/>
        <v>Usualmente</v>
      </c>
      <c r="S389">
        <v>0</v>
      </c>
      <c r="T389" t="str">
        <f t="shared" si="167"/>
        <v>No fuma</v>
      </c>
      <c r="U389">
        <v>1</v>
      </c>
      <c r="V389">
        <f t="shared" si="168"/>
        <v>1</v>
      </c>
      <c r="W389" t="str">
        <f t="shared" si="169"/>
        <v>Usualmente</v>
      </c>
      <c r="X389">
        <v>0</v>
      </c>
      <c r="Y389" t="str">
        <f t="shared" si="170"/>
        <v>No controla</v>
      </c>
      <c r="Z389">
        <v>0</v>
      </c>
      <c r="AA389">
        <f t="shared" si="171"/>
        <v>0</v>
      </c>
      <c r="AB389" t="str">
        <f t="shared" si="172"/>
        <v>Nunca</v>
      </c>
      <c r="AC389">
        <v>0</v>
      </c>
      <c r="AD389">
        <f t="shared" si="173"/>
        <v>0</v>
      </c>
      <c r="AE389" t="str">
        <f t="shared" si="174"/>
        <v>Nunca</v>
      </c>
      <c r="AF389">
        <v>1</v>
      </c>
      <c r="AG389" t="str">
        <f t="shared" si="175"/>
        <v>A veces</v>
      </c>
      <c r="AH389">
        <v>0</v>
      </c>
      <c r="AI389" t="str">
        <f t="shared" si="176"/>
        <v>No usa</v>
      </c>
      <c r="AJ389">
        <v>0</v>
      </c>
      <c r="AK389" t="str">
        <f t="shared" si="177"/>
        <v>No usa</v>
      </c>
      <c r="AL389">
        <v>1</v>
      </c>
      <c r="AM389" t="str">
        <f t="shared" si="178"/>
        <v>Usa Moto</v>
      </c>
      <c r="AN389">
        <v>0</v>
      </c>
      <c r="AO389" t="str">
        <f t="shared" si="179"/>
        <v>No usa</v>
      </c>
      <c r="AP389">
        <v>0</v>
      </c>
      <c r="AQ389" t="str">
        <f t="shared" si="180"/>
        <v>No camina</v>
      </c>
      <c r="AR389">
        <v>1</v>
      </c>
      <c r="AS389" t="str">
        <f t="shared" si="181"/>
        <v>Es Obeso</v>
      </c>
    </row>
    <row r="390" spans="1:45" x14ac:dyDescent="0.25">
      <c r="A390">
        <v>1</v>
      </c>
      <c r="B390" t="str">
        <f t="shared" si="156"/>
        <v>M</v>
      </c>
      <c r="C390">
        <v>18</v>
      </c>
      <c r="D390">
        <f t="shared" si="157"/>
        <v>18</v>
      </c>
      <c r="E390">
        <f t="shared" si="158"/>
        <v>18</v>
      </c>
      <c r="F390" t="str">
        <f t="shared" si="159"/>
        <v>1-25</v>
      </c>
      <c r="G390">
        <v>1</v>
      </c>
      <c r="H390" t="str">
        <f t="shared" si="160"/>
        <v>Pariente gordo</v>
      </c>
      <c r="I390">
        <v>0</v>
      </c>
      <c r="J390" t="str">
        <f t="shared" si="161"/>
        <v>Saludables</v>
      </c>
      <c r="K390">
        <v>2</v>
      </c>
      <c r="L390">
        <f t="shared" si="162"/>
        <v>1</v>
      </c>
      <c r="M390" t="str">
        <f t="shared" si="163"/>
        <v>Suele comer</v>
      </c>
      <c r="N390">
        <v>3</v>
      </c>
      <c r="O390">
        <f t="shared" si="164"/>
        <v>2</v>
      </c>
      <c r="P390" t="str">
        <f t="shared" si="165"/>
        <v>Mas de 3</v>
      </c>
      <c r="Q390">
        <v>1</v>
      </c>
      <c r="R390" t="str">
        <f t="shared" si="166"/>
        <v>A veces</v>
      </c>
      <c r="S390">
        <v>0</v>
      </c>
      <c r="T390" t="str">
        <f t="shared" si="167"/>
        <v>No fuma</v>
      </c>
      <c r="U390">
        <v>3</v>
      </c>
      <c r="V390">
        <f t="shared" si="168"/>
        <v>2</v>
      </c>
      <c r="W390" t="str">
        <f t="shared" si="169"/>
        <v>Siempre</v>
      </c>
      <c r="X390">
        <v>0</v>
      </c>
      <c r="Y390" t="str">
        <f t="shared" si="170"/>
        <v>No controla</v>
      </c>
      <c r="Z390">
        <v>1</v>
      </c>
      <c r="AA390">
        <f t="shared" si="171"/>
        <v>1</v>
      </c>
      <c r="AB390" t="str">
        <f t="shared" si="172"/>
        <v>A veces</v>
      </c>
      <c r="AC390">
        <v>0</v>
      </c>
      <c r="AD390">
        <f t="shared" si="173"/>
        <v>0</v>
      </c>
      <c r="AE390" t="str">
        <f t="shared" si="174"/>
        <v>Nunca</v>
      </c>
      <c r="AF390">
        <v>0</v>
      </c>
      <c r="AG390" t="str">
        <f t="shared" si="175"/>
        <v>Nunca</v>
      </c>
      <c r="AH390">
        <v>0</v>
      </c>
      <c r="AI390" t="str">
        <f t="shared" si="176"/>
        <v>No usa</v>
      </c>
      <c r="AJ390">
        <v>0</v>
      </c>
      <c r="AK390" t="str">
        <f t="shared" si="177"/>
        <v>No usa</v>
      </c>
      <c r="AL390">
        <v>0</v>
      </c>
      <c r="AM390" t="str">
        <f t="shared" si="178"/>
        <v>No usa</v>
      </c>
      <c r="AN390">
        <v>1</v>
      </c>
      <c r="AO390" t="str">
        <f t="shared" si="179"/>
        <v>Usa Transporte</v>
      </c>
      <c r="AP390">
        <v>0</v>
      </c>
      <c r="AQ390" t="str">
        <f t="shared" si="180"/>
        <v>No camina</v>
      </c>
      <c r="AR390">
        <v>1</v>
      </c>
      <c r="AS390" t="str">
        <f t="shared" si="181"/>
        <v>Es Obeso</v>
      </c>
    </row>
    <row r="391" spans="1:45" x14ac:dyDescent="0.25">
      <c r="A391">
        <v>0</v>
      </c>
      <c r="B391" t="str">
        <f t="shared" si="156"/>
        <v>F</v>
      </c>
      <c r="C391">
        <v>16</v>
      </c>
      <c r="D391">
        <f t="shared" si="157"/>
        <v>16</v>
      </c>
      <c r="E391">
        <f t="shared" si="158"/>
        <v>16</v>
      </c>
      <c r="F391" t="str">
        <f t="shared" si="159"/>
        <v>1-25</v>
      </c>
      <c r="G391">
        <v>1</v>
      </c>
      <c r="H391" t="str">
        <f t="shared" si="160"/>
        <v>Pariente gordo</v>
      </c>
      <c r="I391">
        <v>1</v>
      </c>
      <c r="J391" t="str">
        <f t="shared" si="161"/>
        <v>Hipercaloricos</v>
      </c>
      <c r="K391">
        <v>1</v>
      </c>
      <c r="L391">
        <f t="shared" si="162"/>
        <v>1</v>
      </c>
      <c r="M391" t="str">
        <f t="shared" si="163"/>
        <v>Suele comer</v>
      </c>
      <c r="N391">
        <v>1</v>
      </c>
      <c r="O391">
        <f t="shared" si="164"/>
        <v>1</v>
      </c>
      <c r="P391">
        <f t="shared" si="165"/>
        <v>3</v>
      </c>
      <c r="Q391">
        <v>1</v>
      </c>
      <c r="R391" t="str">
        <f t="shared" si="166"/>
        <v>A veces</v>
      </c>
      <c r="S391">
        <v>0</v>
      </c>
      <c r="T391" t="str">
        <f t="shared" si="167"/>
        <v>No fuma</v>
      </c>
      <c r="U391">
        <v>2</v>
      </c>
      <c r="V391">
        <f t="shared" si="168"/>
        <v>2</v>
      </c>
      <c r="W391" t="str">
        <f t="shared" si="169"/>
        <v>Siempre</v>
      </c>
      <c r="X391">
        <v>0</v>
      </c>
      <c r="Y391" t="str">
        <f t="shared" si="170"/>
        <v>No controla</v>
      </c>
      <c r="Z391">
        <v>0</v>
      </c>
      <c r="AA391">
        <f t="shared" si="171"/>
        <v>0</v>
      </c>
      <c r="AB391" t="str">
        <f t="shared" si="172"/>
        <v>Nunca</v>
      </c>
      <c r="AC391">
        <v>0</v>
      </c>
      <c r="AD391">
        <f t="shared" si="173"/>
        <v>0</v>
      </c>
      <c r="AE391" t="str">
        <f t="shared" si="174"/>
        <v>Nunca</v>
      </c>
      <c r="AF391">
        <v>0</v>
      </c>
      <c r="AG391" t="str">
        <f t="shared" si="175"/>
        <v>Nunca</v>
      </c>
      <c r="AH391">
        <v>0</v>
      </c>
      <c r="AI391" t="str">
        <f t="shared" si="176"/>
        <v>No usa</v>
      </c>
      <c r="AJ391">
        <v>0</v>
      </c>
      <c r="AK391" t="str">
        <f t="shared" si="177"/>
        <v>No usa</v>
      </c>
      <c r="AL391">
        <v>0</v>
      </c>
      <c r="AM391" t="str">
        <f t="shared" si="178"/>
        <v>No usa</v>
      </c>
      <c r="AN391">
        <v>1</v>
      </c>
      <c r="AO391" t="str">
        <f t="shared" si="179"/>
        <v>Usa Transporte</v>
      </c>
      <c r="AP391">
        <v>0</v>
      </c>
      <c r="AQ391" t="str">
        <f t="shared" si="180"/>
        <v>No camina</v>
      </c>
      <c r="AR391">
        <v>0</v>
      </c>
      <c r="AS391" t="str">
        <f t="shared" si="181"/>
        <v>No es obeso</v>
      </c>
    </row>
    <row r="392" spans="1:45" x14ac:dyDescent="0.25">
      <c r="A392">
        <v>1</v>
      </c>
      <c r="B392" t="str">
        <f t="shared" si="156"/>
        <v>M</v>
      </c>
      <c r="C392">
        <v>23</v>
      </c>
      <c r="D392">
        <f t="shared" si="157"/>
        <v>23</v>
      </c>
      <c r="E392">
        <f t="shared" si="158"/>
        <v>23</v>
      </c>
      <c r="F392" t="str">
        <f t="shared" si="159"/>
        <v>1-25</v>
      </c>
      <c r="G392">
        <v>1</v>
      </c>
      <c r="H392" t="str">
        <f t="shared" si="160"/>
        <v>Pariente gordo</v>
      </c>
      <c r="I392">
        <v>1</v>
      </c>
      <c r="J392" t="str">
        <f t="shared" si="161"/>
        <v>Hipercaloricos</v>
      </c>
      <c r="K392">
        <v>2</v>
      </c>
      <c r="L392">
        <f t="shared" si="162"/>
        <v>1</v>
      </c>
      <c r="M392" t="str">
        <f t="shared" si="163"/>
        <v>Suele comer</v>
      </c>
      <c r="N392">
        <v>3</v>
      </c>
      <c r="O392">
        <f t="shared" si="164"/>
        <v>2</v>
      </c>
      <c r="P392" t="str">
        <f t="shared" si="165"/>
        <v>Mas de 3</v>
      </c>
      <c r="Q392">
        <v>3</v>
      </c>
      <c r="R392" t="str">
        <f t="shared" si="166"/>
        <v>Siempre</v>
      </c>
      <c r="S392">
        <v>0</v>
      </c>
      <c r="T392" t="str">
        <f t="shared" si="167"/>
        <v>No fuma</v>
      </c>
      <c r="U392">
        <v>3</v>
      </c>
      <c r="V392">
        <f t="shared" si="168"/>
        <v>2</v>
      </c>
      <c r="W392" t="str">
        <f t="shared" si="169"/>
        <v>Siempre</v>
      </c>
      <c r="X392">
        <v>0</v>
      </c>
      <c r="Y392" t="str">
        <f t="shared" si="170"/>
        <v>No controla</v>
      </c>
      <c r="Z392">
        <v>0</v>
      </c>
      <c r="AA392">
        <f t="shared" si="171"/>
        <v>0</v>
      </c>
      <c r="AB392" t="str">
        <f t="shared" si="172"/>
        <v>Nunca</v>
      </c>
      <c r="AC392">
        <v>2</v>
      </c>
      <c r="AD392">
        <f t="shared" si="173"/>
        <v>2</v>
      </c>
      <c r="AE392" t="str">
        <f t="shared" si="174"/>
        <v>Siempre</v>
      </c>
      <c r="AF392">
        <v>0</v>
      </c>
      <c r="AG392" t="str">
        <f t="shared" si="175"/>
        <v>Nunca</v>
      </c>
      <c r="AH392">
        <v>0</v>
      </c>
      <c r="AI392" t="str">
        <f t="shared" si="176"/>
        <v>No usa</v>
      </c>
      <c r="AJ392">
        <v>0</v>
      </c>
      <c r="AK392" t="str">
        <f t="shared" si="177"/>
        <v>No usa</v>
      </c>
      <c r="AL392">
        <v>0</v>
      </c>
      <c r="AM392" t="str">
        <f t="shared" si="178"/>
        <v>No usa</v>
      </c>
      <c r="AN392">
        <v>1</v>
      </c>
      <c r="AO392" t="str">
        <f t="shared" si="179"/>
        <v>Usa Transporte</v>
      </c>
      <c r="AP392">
        <v>0</v>
      </c>
      <c r="AQ392" t="str">
        <f t="shared" si="180"/>
        <v>No camina</v>
      </c>
      <c r="AR392">
        <v>0</v>
      </c>
      <c r="AS392" t="str">
        <f t="shared" si="181"/>
        <v>No es obeso</v>
      </c>
    </row>
    <row r="393" spans="1:45" x14ac:dyDescent="0.25">
      <c r="A393">
        <v>0</v>
      </c>
      <c r="B393" t="str">
        <f t="shared" si="156"/>
        <v>F</v>
      </c>
      <c r="C393">
        <v>18</v>
      </c>
      <c r="D393">
        <f t="shared" si="157"/>
        <v>18</v>
      </c>
      <c r="E393">
        <f t="shared" si="158"/>
        <v>18</v>
      </c>
      <c r="F393" t="str">
        <f t="shared" si="159"/>
        <v>1-25</v>
      </c>
      <c r="G393">
        <v>0</v>
      </c>
      <c r="H393" t="str">
        <f t="shared" si="160"/>
        <v>Pariente normal</v>
      </c>
      <c r="I393">
        <v>0</v>
      </c>
      <c r="J393" t="str">
        <f t="shared" si="161"/>
        <v>Saludables</v>
      </c>
      <c r="K393">
        <v>2</v>
      </c>
      <c r="L393">
        <f t="shared" si="162"/>
        <v>1</v>
      </c>
      <c r="M393" t="str">
        <f t="shared" si="163"/>
        <v>Suele comer</v>
      </c>
      <c r="N393">
        <v>3</v>
      </c>
      <c r="O393">
        <f t="shared" si="164"/>
        <v>2</v>
      </c>
      <c r="P393" t="str">
        <f t="shared" si="165"/>
        <v>Mas de 3</v>
      </c>
      <c r="Q393">
        <v>1</v>
      </c>
      <c r="R393" t="str">
        <f t="shared" si="166"/>
        <v>A veces</v>
      </c>
      <c r="S393">
        <v>0</v>
      </c>
      <c r="T393" t="str">
        <f t="shared" si="167"/>
        <v>No fuma</v>
      </c>
      <c r="U393">
        <v>2</v>
      </c>
      <c r="V393">
        <f t="shared" si="168"/>
        <v>2</v>
      </c>
      <c r="W393" t="str">
        <f t="shared" si="169"/>
        <v>Siempre</v>
      </c>
      <c r="X393">
        <v>0</v>
      </c>
      <c r="Y393" t="str">
        <f t="shared" si="170"/>
        <v>No controla</v>
      </c>
      <c r="Z393">
        <v>0</v>
      </c>
      <c r="AA393">
        <f t="shared" si="171"/>
        <v>0</v>
      </c>
      <c r="AB393" t="str">
        <f t="shared" si="172"/>
        <v>Nunca</v>
      </c>
      <c r="AC393">
        <v>1</v>
      </c>
      <c r="AD393">
        <f t="shared" si="173"/>
        <v>1</v>
      </c>
      <c r="AE393" t="str">
        <f t="shared" si="174"/>
        <v>Usualmente</v>
      </c>
      <c r="AF393">
        <v>1</v>
      </c>
      <c r="AG393" t="str">
        <f t="shared" si="175"/>
        <v>A veces</v>
      </c>
      <c r="AH393">
        <v>0</v>
      </c>
      <c r="AI393" t="str">
        <f t="shared" si="176"/>
        <v>No usa</v>
      </c>
      <c r="AJ393">
        <v>0</v>
      </c>
      <c r="AK393" t="str">
        <f t="shared" si="177"/>
        <v>No usa</v>
      </c>
      <c r="AL393">
        <v>0</v>
      </c>
      <c r="AM393" t="str">
        <f t="shared" si="178"/>
        <v>No usa</v>
      </c>
      <c r="AN393">
        <v>0</v>
      </c>
      <c r="AO393" t="str">
        <f t="shared" si="179"/>
        <v>No usa</v>
      </c>
      <c r="AP393">
        <v>1</v>
      </c>
      <c r="AQ393" t="str">
        <f t="shared" si="180"/>
        <v>Camina</v>
      </c>
      <c r="AR393">
        <v>0</v>
      </c>
      <c r="AS393" t="str">
        <f t="shared" si="181"/>
        <v>No es obeso</v>
      </c>
    </row>
    <row r="394" spans="1:45" x14ac:dyDescent="0.25">
      <c r="A394">
        <v>1</v>
      </c>
      <c r="B394" t="str">
        <f t="shared" si="156"/>
        <v>M</v>
      </c>
      <c r="C394">
        <v>18</v>
      </c>
      <c r="D394">
        <f t="shared" si="157"/>
        <v>18</v>
      </c>
      <c r="E394">
        <f t="shared" si="158"/>
        <v>18</v>
      </c>
      <c r="F394" t="str">
        <f t="shared" si="159"/>
        <v>1-25</v>
      </c>
      <c r="G394">
        <v>0</v>
      </c>
      <c r="H394" t="str">
        <f t="shared" si="160"/>
        <v>Pariente normal</v>
      </c>
      <c r="I394">
        <v>0</v>
      </c>
      <c r="J394" t="str">
        <f t="shared" si="161"/>
        <v>Saludables</v>
      </c>
      <c r="K394">
        <v>3</v>
      </c>
      <c r="L394">
        <f t="shared" si="162"/>
        <v>1</v>
      </c>
      <c r="M394" t="str">
        <f t="shared" si="163"/>
        <v>Suele comer</v>
      </c>
      <c r="N394">
        <v>3</v>
      </c>
      <c r="O394">
        <f t="shared" si="164"/>
        <v>2</v>
      </c>
      <c r="P394" t="str">
        <f t="shared" si="165"/>
        <v>Mas de 3</v>
      </c>
      <c r="Q394">
        <v>2</v>
      </c>
      <c r="R394" t="str">
        <f t="shared" si="166"/>
        <v>Usualmente</v>
      </c>
      <c r="S394">
        <v>0</v>
      </c>
      <c r="T394" t="str">
        <f t="shared" si="167"/>
        <v>No fuma</v>
      </c>
      <c r="U394">
        <v>3</v>
      </c>
      <c r="V394">
        <f t="shared" si="168"/>
        <v>2</v>
      </c>
      <c r="W394" t="str">
        <f t="shared" si="169"/>
        <v>Siempre</v>
      </c>
      <c r="X394">
        <v>0</v>
      </c>
      <c r="Y394" t="str">
        <f t="shared" si="170"/>
        <v>No controla</v>
      </c>
      <c r="Z394">
        <v>2</v>
      </c>
      <c r="AA394">
        <f t="shared" si="171"/>
        <v>2</v>
      </c>
      <c r="AB394" t="str">
        <f t="shared" si="172"/>
        <v>Usualmente</v>
      </c>
      <c r="AC394">
        <v>2</v>
      </c>
      <c r="AD394">
        <f t="shared" si="173"/>
        <v>2</v>
      </c>
      <c r="AE394" t="str">
        <f t="shared" si="174"/>
        <v>Siempre</v>
      </c>
      <c r="AF394">
        <v>0</v>
      </c>
      <c r="AG394" t="str">
        <f t="shared" si="175"/>
        <v>Nunca</v>
      </c>
      <c r="AH394">
        <v>0</v>
      </c>
      <c r="AI394" t="str">
        <f t="shared" si="176"/>
        <v>No usa</v>
      </c>
      <c r="AJ394">
        <v>0</v>
      </c>
      <c r="AK394" t="str">
        <f t="shared" si="177"/>
        <v>No usa</v>
      </c>
      <c r="AL394">
        <v>0</v>
      </c>
      <c r="AM394" t="str">
        <f t="shared" si="178"/>
        <v>No usa</v>
      </c>
      <c r="AN394">
        <v>1</v>
      </c>
      <c r="AO394" t="str">
        <f t="shared" si="179"/>
        <v>Usa Transporte</v>
      </c>
      <c r="AP394">
        <v>0</v>
      </c>
      <c r="AQ394" t="str">
        <f t="shared" si="180"/>
        <v>No camina</v>
      </c>
      <c r="AR394">
        <v>0</v>
      </c>
      <c r="AS394" t="str">
        <f t="shared" si="181"/>
        <v>No es obeso</v>
      </c>
    </row>
    <row r="395" spans="1:45" x14ac:dyDescent="0.25">
      <c r="A395">
        <v>1</v>
      </c>
      <c r="B395" t="str">
        <f t="shared" si="156"/>
        <v>M</v>
      </c>
      <c r="C395">
        <v>18</v>
      </c>
      <c r="D395">
        <f t="shared" si="157"/>
        <v>18</v>
      </c>
      <c r="E395">
        <f t="shared" si="158"/>
        <v>18</v>
      </c>
      <c r="F395" t="str">
        <f t="shared" si="159"/>
        <v>1-25</v>
      </c>
      <c r="G395">
        <v>0</v>
      </c>
      <c r="H395" t="str">
        <f t="shared" si="160"/>
        <v>Pariente normal</v>
      </c>
      <c r="I395">
        <v>1</v>
      </c>
      <c r="J395" t="str">
        <f t="shared" si="161"/>
        <v>Hipercaloricos</v>
      </c>
      <c r="K395">
        <v>1</v>
      </c>
      <c r="L395">
        <f t="shared" si="162"/>
        <v>1</v>
      </c>
      <c r="M395" t="str">
        <f t="shared" si="163"/>
        <v>Suele comer</v>
      </c>
      <c r="N395">
        <v>3</v>
      </c>
      <c r="O395">
        <f t="shared" si="164"/>
        <v>2</v>
      </c>
      <c r="P395" t="str">
        <f t="shared" si="165"/>
        <v>Mas de 3</v>
      </c>
      <c r="Q395">
        <v>1</v>
      </c>
      <c r="R395" t="str">
        <f t="shared" si="166"/>
        <v>A veces</v>
      </c>
      <c r="S395">
        <v>0</v>
      </c>
      <c r="T395" t="str">
        <f t="shared" si="167"/>
        <v>No fuma</v>
      </c>
      <c r="U395">
        <v>2</v>
      </c>
      <c r="V395">
        <f t="shared" si="168"/>
        <v>2</v>
      </c>
      <c r="W395" t="str">
        <f t="shared" si="169"/>
        <v>Siempre</v>
      </c>
      <c r="X395">
        <v>0</v>
      </c>
      <c r="Y395" t="str">
        <f t="shared" si="170"/>
        <v>No controla</v>
      </c>
      <c r="Z395">
        <v>0</v>
      </c>
      <c r="AA395">
        <f t="shared" si="171"/>
        <v>0</v>
      </c>
      <c r="AB395" t="str">
        <f t="shared" si="172"/>
        <v>Nunca</v>
      </c>
      <c r="AC395">
        <v>1</v>
      </c>
      <c r="AD395">
        <f t="shared" si="173"/>
        <v>1</v>
      </c>
      <c r="AE395" t="str">
        <f t="shared" si="174"/>
        <v>Usualmente</v>
      </c>
      <c r="AF395">
        <v>1</v>
      </c>
      <c r="AG395" t="str">
        <f t="shared" si="175"/>
        <v>A veces</v>
      </c>
      <c r="AH395">
        <v>0</v>
      </c>
      <c r="AI395" t="str">
        <f t="shared" si="176"/>
        <v>No usa</v>
      </c>
      <c r="AJ395">
        <v>0</v>
      </c>
      <c r="AK395" t="str">
        <f t="shared" si="177"/>
        <v>No usa</v>
      </c>
      <c r="AL395">
        <v>0</v>
      </c>
      <c r="AM395" t="str">
        <f t="shared" si="178"/>
        <v>No usa</v>
      </c>
      <c r="AN395">
        <v>1</v>
      </c>
      <c r="AO395" t="str">
        <f t="shared" si="179"/>
        <v>Usa Transporte</v>
      </c>
      <c r="AP395">
        <v>0</v>
      </c>
      <c r="AQ395" t="str">
        <f t="shared" si="180"/>
        <v>No camina</v>
      </c>
      <c r="AR395">
        <v>0</v>
      </c>
      <c r="AS395" t="str">
        <f t="shared" si="181"/>
        <v>No es obeso</v>
      </c>
    </row>
    <row r="396" spans="1:45" x14ac:dyDescent="0.25">
      <c r="A396">
        <v>0</v>
      </c>
      <c r="B396" t="str">
        <f t="shared" si="156"/>
        <v>F</v>
      </c>
      <c r="C396">
        <v>17</v>
      </c>
      <c r="D396">
        <f t="shared" si="157"/>
        <v>17</v>
      </c>
      <c r="E396">
        <f t="shared" si="158"/>
        <v>17</v>
      </c>
      <c r="F396" t="str">
        <f t="shared" si="159"/>
        <v>1-25</v>
      </c>
      <c r="G396">
        <v>1</v>
      </c>
      <c r="H396" t="str">
        <f t="shared" si="160"/>
        <v>Pariente gordo</v>
      </c>
      <c r="I396">
        <v>1</v>
      </c>
      <c r="J396" t="str">
        <f t="shared" si="161"/>
        <v>Hipercaloricos</v>
      </c>
      <c r="K396">
        <v>2</v>
      </c>
      <c r="L396">
        <f t="shared" si="162"/>
        <v>1</v>
      </c>
      <c r="M396" t="str">
        <f t="shared" si="163"/>
        <v>Suele comer</v>
      </c>
      <c r="N396">
        <v>3</v>
      </c>
      <c r="O396">
        <f t="shared" si="164"/>
        <v>2</v>
      </c>
      <c r="P396" t="str">
        <f t="shared" si="165"/>
        <v>Mas de 3</v>
      </c>
      <c r="Q396">
        <v>1</v>
      </c>
      <c r="R396" t="str">
        <f t="shared" si="166"/>
        <v>A veces</v>
      </c>
      <c r="S396">
        <v>0</v>
      </c>
      <c r="T396" t="str">
        <f t="shared" si="167"/>
        <v>No fuma</v>
      </c>
      <c r="U396">
        <v>1</v>
      </c>
      <c r="V396">
        <f t="shared" si="168"/>
        <v>1</v>
      </c>
      <c r="W396" t="str">
        <f t="shared" si="169"/>
        <v>Usualmente</v>
      </c>
      <c r="X396">
        <v>0</v>
      </c>
      <c r="Y396" t="str">
        <f t="shared" si="170"/>
        <v>No controla</v>
      </c>
      <c r="Z396">
        <v>0</v>
      </c>
      <c r="AA396">
        <f t="shared" si="171"/>
        <v>0</v>
      </c>
      <c r="AB396" t="str">
        <f t="shared" si="172"/>
        <v>Nunca</v>
      </c>
      <c r="AC396">
        <v>1</v>
      </c>
      <c r="AD396">
        <f t="shared" si="173"/>
        <v>1</v>
      </c>
      <c r="AE396" t="str">
        <f t="shared" si="174"/>
        <v>Usualmente</v>
      </c>
      <c r="AF396">
        <v>0</v>
      </c>
      <c r="AG396" t="str">
        <f t="shared" si="175"/>
        <v>Nunca</v>
      </c>
      <c r="AH396">
        <v>0</v>
      </c>
      <c r="AI396" t="str">
        <f t="shared" si="176"/>
        <v>No usa</v>
      </c>
      <c r="AJ396">
        <v>0</v>
      </c>
      <c r="AK396" t="str">
        <f t="shared" si="177"/>
        <v>No usa</v>
      </c>
      <c r="AL396">
        <v>0</v>
      </c>
      <c r="AM396" t="str">
        <f t="shared" si="178"/>
        <v>No usa</v>
      </c>
      <c r="AN396">
        <v>1</v>
      </c>
      <c r="AO396" t="str">
        <f t="shared" si="179"/>
        <v>Usa Transporte</v>
      </c>
      <c r="AP396">
        <v>0</v>
      </c>
      <c r="AQ396" t="str">
        <f t="shared" si="180"/>
        <v>No camina</v>
      </c>
      <c r="AR396">
        <v>0</v>
      </c>
      <c r="AS396" t="str">
        <f t="shared" si="181"/>
        <v>No es obeso</v>
      </c>
    </row>
    <row r="397" spans="1:45" x14ac:dyDescent="0.25">
      <c r="A397">
        <v>0</v>
      </c>
      <c r="B397" t="str">
        <f t="shared" si="156"/>
        <v>F</v>
      </c>
      <c r="C397">
        <v>20</v>
      </c>
      <c r="D397">
        <f t="shared" si="157"/>
        <v>20</v>
      </c>
      <c r="E397">
        <f t="shared" si="158"/>
        <v>20</v>
      </c>
      <c r="F397" t="str">
        <f t="shared" si="159"/>
        <v>1-25</v>
      </c>
      <c r="G397">
        <v>1</v>
      </c>
      <c r="H397" t="str">
        <f t="shared" si="160"/>
        <v>Pariente gordo</v>
      </c>
      <c r="I397">
        <v>1</v>
      </c>
      <c r="J397" t="str">
        <f t="shared" si="161"/>
        <v>Hipercaloricos</v>
      </c>
      <c r="K397">
        <v>1</v>
      </c>
      <c r="L397">
        <f t="shared" si="162"/>
        <v>1</v>
      </c>
      <c r="M397" t="str">
        <f t="shared" si="163"/>
        <v>Suele comer</v>
      </c>
      <c r="N397">
        <v>3</v>
      </c>
      <c r="O397">
        <f t="shared" si="164"/>
        <v>2</v>
      </c>
      <c r="P397" t="str">
        <f t="shared" si="165"/>
        <v>Mas de 3</v>
      </c>
      <c r="Q397">
        <v>1</v>
      </c>
      <c r="R397" t="str">
        <f t="shared" si="166"/>
        <v>A veces</v>
      </c>
      <c r="S397">
        <v>0</v>
      </c>
      <c r="T397" t="str">
        <f t="shared" si="167"/>
        <v>No fuma</v>
      </c>
      <c r="U397">
        <v>2</v>
      </c>
      <c r="V397">
        <f t="shared" si="168"/>
        <v>2</v>
      </c>
      <c r="W397" t="str">
        <f t="shared" si="169"/>
        <v>Siempre</v>
      </c>
      <c r="X397">
        <v>0</v>
      </c>
      <c r="Y397" t="str">
        <f t="shared" si="170"/>
        <v>No controla</v>
      </c>
      <c r="Z397">
        <v>3</v>
      </c>
      <c r="AA397">
        <f t="shared" si="171"/>
        <v>3</v>
      </c>
      <c r="AB397" t="str">
        <f t="shared" si="172"/>
        <v>Siempre</v>
      </c>
      <c r="AC397">
        <v>2</v>
      </c>
      <c r="AD397">
        <f t="shared" si="173"/>
        <v>2</v>
      </c>
      <c r="AE397" t="str">
        <f t="shared" si="174"/>
        <v>Siempre</v>
      </c>
      <c r="AF397">
        <v>1</v>
      </c>
      <c r="AG397" t="str">
        <f t="shared" si="175"/>
        <v>A veces</v>
      </c>
      <c r="AH397">
        <v>0</v>
      </c>
      <c r="AI397" t="str">
        <f t="shared" si="176"/>
        <v>No usa</v>
      </c>
      <c r="AJ397">
        <v>0</v>
      </c>
      <c r="AK397" t="str">
        <f t="shared" si="177"/>
        <v>No usa</v>
      </c>
      <c r="AL397">
        <v>0</v>
      </c>
      <c r="AM397" t="str">
        <f t="shared" si="178"/>
        <v>No usa</v>
      </c>
      <c r="AN397">
        <v>1</v>
      </c>
      <c r="AO397" t="str">
        <f t="shared" si="179"/>
        <v>Usa Transporte</v>
      </c>
      <c r="AP397">
        <v>0</v>
      </c>
      <c r="AQ397" t="str">
        <f t="shared" si="180"/>
        <v>No camina</v>
      </c>
      <c r="AR397">
        <v>0</v>
      </c>
      <c r="AS397" t="str">
        <f t="shared" si="181"/>
        <v>No es obeso</v>
      </c>
    </row>
    <row r="398" spans="1:45" x14ac:dyDescent="0.25">
      <c r="A398">
        <v>0</v>
      </c>
      <c r="B398" t="str">
        <f t="shared" si="156"/>
        <v>F</v>
      </c>
      <c r="C398">
        <v>38</v>
      </c>
      <c r="D398">
        <f t="shared" si="157"/>
        <v>38</v>
      </c>
      <c r="E398">
        <f t="shared" si="158"/>
        <v>38</v>
      </c>
      <c r="F398" t="str">
        <f t="shared" si="159"/>
        <v>25-50</v>
      </c>
      <c r="G398">
        <v>1</v>
      </c>
      <c r="H398" t="str">
        <f t="shared" si="160"/>
        <v>Pariente gordo</v>
      </c>
      <c r="I398">
        <v>0</v>
      </c>
      <c r="J398" t="str">
        <f t="shared" si="161"/>
        <v>Saludables</v>
      </c>
      <c r="K398">
        <v>3</v>
      </c>
      <c r="L398">
        <f t="shared" si="162"/>
        <v>1</v>
      </c>
      <c r="M398" t="str">
        <f t="shared" si="163"/>
        <v>Suele comer</v>
      </c>
      <c r="N398">
        <v>3</v>
      </c>
      <c r="O398">
        <f t="shared" si="164"/>
        <v>2</v>
      </c>
      <c r="P398" t="str">
        <f t="shared" si="165"/>
        <v>Mas de 3</v>
      </c>
      <c r="Q398">
        <v>1</v>
      </c>
      <c r="R398" t="str">
        <f t="shared" si="166"/>
        <v>A veces</v>
      </c>
      <c r="S398">
        <v>0</v>
      </c>
      <c r="T398" t="str">
        <f t="shared" si="167"/>
        <v>No fuma</v>
      </c>
      <c r="U398">
        <v>1</v>
      </c>
      <c r="V398">
        <f t="shared" si="168"/>
        <v>1</v>
      </c>
      <c r="W398" t="str">
        <f t="shared" si="169"/>
        <v>Usualmente</v>
      </c>
      <c r="X398">
        <v>0</v>
      </c>
      <c r="Y398" t="str">
        <f t="shared" si="170"/>
        <v>No controla</v>
      </c>
      <c r="Z398">
        <v>2</v>
      </c>
      <c r="AA398">
        <f t="shared" si="171"/>
        <v>2</v>
      </c>
      <c r="AB398" t="str">
        <f t="shared" si="172"/>
        <v>Usualmente</v>
      </c>
      <c r="AC398">
        <v>1</v>
      </c>
      <c r="AD398">
        <f t="shared" si="173"/>
        <v>1</v>
      </c>
      <c r="AE398" t="str">
        <f t="shared" si="174"/>
        <v>Usualmente</v>
      </c>
      <c r="AF398">
        <v>2</v>
      </c>
      <c r="AG398" t="str">
        <f t="shared" si="175"/>
        <v>Usualmente</v>
      </c>
      <c r="AH398">
        <v>1</v>
      </c>
      <c r="AI398" t="str">
        <f t="shared" si="176"/>
        <v>Usa auto</v>
      </c>
      <c r="AJ398">
        <v>0</v>
      </c>
      <c r="AK398" t="str">
        <f t="shared" si="177"/>
        <v>No usa</v>
      </c>
      <c r="AL398">
        <v>0</v>
      </c>
      <c r="AM398" t="str">
        <f t="shared" si="178"/>
        <v>No usa</v>
      </c>
      <c r="AN398">
        <v>0</v>
      </c>
      <c r="AO398" t="str">
        <f t="shared" si="179"/>
        <v>No usa</v>
      </c>
      <c r="AP398">
        <v>0</v>
      </c>
      <c r="AQ398" t="str">
        <f t="shared" si="180"/>
        <v>No camina</v>
      </c>
      <c r="AR398">
        <v>0</v>
      </c>
      <c r="AS398" t="str">
        <f t="shared" si="181"/>
        <v>No es obeso</v>
      </c>
    </row>
    <row r="399" spans="1:45" x14ac:dyDescent="0.25">
      <c r="A399">
        <v>1</v>
      </c>
      <c r="B399" t="str">
        <f t="shared" si="156"/>
        <v>M</v>
      </c>
      <c r="C399">
        <v>20</v>
      </c>
      <c r="D399">
        <f t="shared" si="157"/>
        <v>20</v>
      </c>
      <c r="E399">
        <f t="shared" si="158"/>
        <v>20</v>
      </c>
      <c r="F399" t="str">
        <f t="shared" si="159"/>
        <v>1-25</v>
      </c>
      <c r="G399">
        <v>0</v>
      </c>
      <c r="H399" t="str">
        <f t="shared" si="160"/>
        <v>Pariente normal</v>
      </c>
      <c r="I399">
        <v>1</v>
      </c>
      <c r="J399" t="str">
        <f t="shared" si="161"/>
        <v>Hipercaloricos</v>
      </c>
      <c r="K399">
        <v>2</v>
      </c>
      <c r="L399">
        <f t="shared" si="162"/>
        <v>1</v>
      </c>
      <c r="M399" t="str">
        <f t="shared" si="163"/>
        <v>Suele comer</v>
      </c>
      <c r="N399">
        <v>4</v>
      </c>
      <c r="O399">
        <f t="shared" si="164"/>
        <v>2</v>
      </c>
      <c r="P399" t="str">
        <f t="shared" si="165"/>
        <v>Mas de 3</v>
      </c>
      <c r="Q399">
        <v>2</v>
      </c>
      <c r="R399" t="str">
        <f t="shared" si="166"/>
        <v>Usualmente</v>
      </c>
      <c r="S399">
        <v>0</v>
      </c>
      <c r="T399" t="str">
        <f t="shared" si="167"/>
        <v>No fuma</v>
      </c>
      <c r="U399">
        <v>3</v>
      </c>
      <c r="V399">
        <f t="shared" si="168"/>
        <v>2</v>
      </c>
      <c r="W399" t="str">
        <f t="shared" si="169"/>
        <v>Siempre</v>
      </c>
      <c r="X399">
        <v>0</v>
      </c>
      <c r="Y399" t="str">
        <f t="shared" si="170"/>
        <v>No controla</v>
      </c>
      <c r="Z399">
        <v>0</v>
      </c>
      <c r="AA399">
        <f t="shared" si="171"/>
        <v>0</v>
      </c>
      <c r="AB399" t="str">
        <f t="shared" si="172"/>
        <v>Nunca</v>
      </c>
      <c r="AC399">
        <v>0</v>
      </c>
      <c r="AD399">
        <f t="shared" si="173"/>
        <v>0</v>
      </c>
      <c r="AE399" t="str">
        <f t="shared" si="174"/>
        <v>Nunca</v>
      </c>
      <c r="AF399">
        <v>0</v>
      </c>
      <c r="AG399" t="str">
        <f t="shared" si="175"/>
        <v>Nunca</v>
      </c>
      <c r="AH399">
        <v>0</v>
      </c>
      <c r="AI399" t="str">
        <f t="shared" si="176"/>
        <v>No usa</v>
      </c>
      <c r="AJ399">
        <v>0</v>
      </c>
      <c r="AK399" t="str">
        <f t="shared" si="177"/>
        <v>No usa</v>
      </c>
      <c r="AL399">
        <v>0</v>
      </c>
      <c r="AM399" t="str">
        <f t="shared" si="178"/>
        <v>No usa</v>
      </c>
      <c r="AN399">
        <v>1</v>
      </c>
      <c r="AO399" t="str">
        <f t="shared" si="179"/>
        <v>Usa Transporte</v>
      </c>
      <c r="AP399">
        <v>0</v>
      </c>
      <c r="AQ399" t="str">
        <f t="shared" si="180"/>
        <v>No camina</v>
      </c>
      <c r="AR399">
        <v>0</v>
      </c>
      <c r="AS399" t="str">
        <f t="shared" si="181"/>
        <v>No es obeso</v>
      </c>
    </row>
    <row r="400" spans="1:45" x14ac:dyDescent="0.25">
      <c r="A400">
        <v>1</v>
      </c>
      <c r="B400" t="str">
        <f t="shared" si="156"/>
        <v>M</v>
      </c>
      <c r="C400">
        <v>21</v>
      </c>
      <c r="D400">
        <f t="shared" si="157"/>
        <v>21</v>
      </c>
      <c r="E400">
        <f t="shared" si="158"/>
        <v>21</v>
      </c>
      <c r="F400" t="str">
        <f t="shared" si="159"/>
        <v>1-25</v>
      </c>
      <c r="G400">
        <v>1</v>
      </c>
      <c r="H400" t="str">
        <f t="shared" si="160"/>
        <v>Pariente gordo</v>
      </c>
      <c r="I400">
        <v>1</v>
      </c>
      <c r="J400" t="str">
        <f t="shared" si="161"/>
        <v>Hipercaloricos</v>
      </c>
      <c r="K400">
        <v>3</v>
      </c>
      <c r="L400">
        <f t="shared" si="162"/>
        <v>1</v>
      </c>
      <c r="M400" t="str">
        <f t="shared" si="163"/>
        <v>Suele comer</v>
      </c>
      <c r="N400">
        <v>1</v>
      </c>
      <c r="O400">
        <f t="shared" si="164"/>
        <v>1</v>
      </c>
      <c r="P400">
        <f t="shared" si="165"/>
        <v>3</v>
      </c>
      <c r="Q400">
        <v>3</v>
      </c>
      <c r="R400" t="str">
        <f t="shared" si="166"/>
        <v>Siempre</v>
      </c>
      <c r="S400">
        <v>0</v>
      </c>
      <c r="T400" t="str">
        <f t="shared" si="167"/>
        <v>No fuma</v>
      </c>
      <c r="U400">
        <v>1</v>
      </c>
      <c r="V400">
        <f t="shared" si="168"/>
        <v>1</v>
      </c>
      <c r="W400" t="str">
        <f t="shared" si="169"/>
        <v>Usualmente</v>
      </c>
      <c r="X400">
        <v>0</v>
      </c>
      <c r="Y400" t="str">
        <f t="shared" si="170"/>
        <v>No controla</v>
      </c>
      <c r="Z400">
        <v>0</v>
      </c>
      <c r="AA400">
        <f t="shared" si="171"/>
        <v>0</v>
      </c>
      <c r="AB400" t="str">
        <f t="shared" si="172"/>
        <v>Nunca</v>
      </c>
      <c r="AC400">
        <v>0</v>
      </c>
      <c r="AD400">
        <f t="shared" si="173"/>
        <v>0</v>
      </c>
      <c r="AE400" t="str">
        <f t="shared" si="174"/>
        <v>Nunca</v>
      </c>
      <c r="AF400">
        <v>1</v>
      </c>
      <c r="AG400" t="str">
        <f t="shared" si="175"/>
        <v>A veces</v>
      </c>
      <c r="AH400">
        <v>0</v>
      </c>
      <c r="AI400" t="str">
        <f t="shared" si="176"/>
        <v>No usa</v>
      </c>
      <c r="AJ400">
        <v>0</v>
      </c>
      <c r="AK400" t="str">
        <f t="shared" si="177"/>
        <v>No usa</v>
      </c>
      <c r="AL400">
        <v>0</v>
      </c>
      <c r="AM400" t="str">
        <f t="shared" si="178"/>
        <v>No usa</v>
      </c>
      <c r="AN400">
        <v>1</v>
      </c>
      <c r="AO400" t="str">
        <f t="shared" si="179"/>
        <v>Usa Transporte</v>
      </c>
      <c r="AP400">
        <v>0</v>
      </c>
      <c r="AQ400" t="str">
        <f t="shared" si="180"/>
        <v>No camina</v>
      </c>
      <c r="AR400">
        <v>1</v>
      </c>
      <c r="AS400" t="str">
        <f t="shared" si="181"/>
        <v>Es Obeso</v>
      </c>
    </row>
    <row r="401" spans="1:45" x14ac:dyDescent="0.25">
      <c r="A401">
        <v>1</v>
      </c>
      <c r="B401" t="str">
        <f t="shared" si="156"/>
        <v>M</v>
      </c>
      <c r="C401">
        <v>21</v>
      </c>
      <c r="D401">
        <f t="shared" si="157"/>
        <v>21</v>
      </c>
      <c r="E401">
        <f t="shared" si="158"/>
        <v>21</v>
      </c>
      <c r="F401" t="str">
        <f t="shared" si="159"/>
        <v>1-25</v>
      </c>
      <c r="G401">
        <v>0</v>
      </c>
      <c r="H401" t="str">
        <f t="shared" si="160"/>
        <v>Pariente normal</v>
      </c>
      <c r="I401">
        <v>0</v>
      </c>
      <c r="J401" t="str">
        <f t="shared" si="161"/>
        <v>Saludables</v>
      </c>
      <c r="K401">
        <v>3</v>
      </c>
      <c r="L401">
        <f t="shared" si="162"/>
        <v>1</v>
      </c>
      <c r="M401" t="str">
        <f t="shared" si="163"/>
        <v>Suele comer</v>
      </c>
      <c r="N401">
        <v>1</v>
      </c>
      <c r="O401">
        <f t="shared" si="164"/>
        <v>1</v>
      </c>
      <c r="P401">
        <f t="shared" si="165"/>
        <v>3</v>
      </c>
      <c r="Q401">
        <v>2</v>
      </c>
      <c r="R401" t="str">
        <f t="shared" si="166"/>
        <v>Usualmente</v>
      </c>
      <c r="S401">
        <v>0</v>
      </c>
      <c r="T401" t="str">
        <f t="shared" si="167"/>
        <v>No fuma</v>
      </c>
      <c r="U401">
        <v>1</v>
      </c>
      <c r="V401">
        <f t="shared" si="168"/>
        <v>1</v>
      </c>
      <c r="W401" t="str">
        <f t="shared" si="169"/>
        <v>Usualmente</v>
      </c>
      <c r="X401">
        <v>0</v>
      </c>
      <c r="Y401" t="str">
        <f t="shared" si="170"/>
        <v>No controla</v>
      </c>
      <c r="Z401">
        <v>0</v>
      </c>
      <c r="AA401">
        <f t="shared" si="171"/>
        <v>0</v>
      </c>
      <c r="AB401" t="str">
        <f t="shared" si="172"/>
        <v>Nunca</v>
      </c>
      <c r="AC401">
        <v>0</v>
      </c>
      <c r="AD401">
        <f t="shared" si="173"/>
        <v>0</v>
      </c>
      <c r="AE401" t="str">
        <f t="shared" si="174"/>
        <v>Nunca</v>
      </c>
      <c r="AF401">
        <v>1</v>
      </c>
      <c r="AG401" t="str">
        <f t="shared" si="175"/>
        <v>A veces</v>
      </c>
      <c r="AH401">
        <v>0</v>
      </c>
      <c r="AI401" t="str">
        <f t="shared" si="176"/>
        <v>No usa</v>
      </c>
      <c r="AJ401">
        <v>0</v>
      </c>
      <c r="AK401" t="str">
        <f t="shared" si="177"/>
        <v>No usa</v>
      </c>
      <c r="AL401">
        <v>1</v>
      </c>
      <c r="AM401" t="str">
        <f t="shared" si="178"/>
        <v>Usa Moto</v>
      </c>
      <c r="AN401">
        <v>0</v>
      </c>
      <c r="AO401" t="str">
        <f t="shared" si="179"/>
        <v>No usa</v>
      </c>
      <c r="AP401">
        <v>0</v>
      </c>
      <c r="AQ401" t="str">
        <f t="shared" si="180"/>
        <v>No camina</v>
      </c>
      <c r="AR401">
        <v>0</v>
      </c>
      <c r="AS401" t="str">
        <f t="shared" si="181"/>
        <v>No es obeso</v>
      </c>
    </row>
    <row r="402" spans="1:45" x14ac:dyDescent="0.25">
      <c r="A402">
        <v>1</v>
      </c>
      <c r="B402" t="str">
        <f t="shared" si="156"/>
        <v>M</v>
      </c>
      <c r="C402">
        <v>18</v>
      </c>
      <c r="D402">
        <f t="shared" si="157"/>
        <v>18</v>
      </c>
      <c r="E402">
        <f t="shared" si="158"/>
        <v>18</v>
      </c>
      <c r="F402" t="str">
        <f t="shared" si="159"/>
        <v>1-25</v>
      </c>
      <c r="G402">
        <v>1</v>
      </c>
      <c r="H402" t="str">
        <f t="shared" si="160"/>
        <v>Pariente gordo</v>
      </c>
      <c r="I402">
        <v>0</v>
      </c>
      <c r="J402" t="str">
        <f t="shared" si="161"/>
        <v>Saludables</v>
      </c>
      <c r="K402">
        <v>2</v>
      </c>
      <c r="L402">
        <f t="shared" si="162"/>
        <v>1</v>
      </c>
      <c r="M402" t="str">
        <f t="shared" si="163"/>
        <v>Suele comer</v>
      </c>
      <c r="N402">
        <v>3</v>
      </c>
      <c r="O402">
        <f t="shared" si="164"/>
        <v>2</v>
      </c>
      <c r="P402" t="str">
        <f t="shared" si="165"/>
        <v>Mas de 3</v>
      </c>
      <c r="Q402">
        <v>1</v>
      </c>
      <c r="R402" t="str">
        <f t="shared" si="166"/>
        <v>A veces</v>
      </c>
      <c r="S402">
        <v>0</v>
      </c>
      <c r="T402" t="str">
        <f t="shared" si="167"/>
        <v>No fuma</v>
      </c>
      <c r="U402">
        <v>2</v>
      </c>
      <c r="V402">
        <f t="shared" si="168"/>
        <v>2</v>
      </c>
      <c r="W402" t="str">
        <f t="shared" si="169"/>
        <v>Siempre</v>
      </c>
      <c r="X402">
        <v>0</v>
      </c>
      <c r="Y402" t="str">
        <f t="shared" si="170"/>
        <v>No controla</v>
      </c>
      <c r="Z402">
        <v>0</v>
      </c>
      <c r="AA402">
        <f t="shared" si="171"/>
        <v>0</v>
      </c>
      <c r="AB402" t="str">
        <f t="shared" si="172"/>
        <v>Nunca</v>
      </c>
      <c r="AC402">
        <v>0</v>
      </c>
      <c r="AD402">
        <f t="shared" si="173"/>
        <v>0</v>
      </c>
      <c r="AE402" t="str">
        <f t="shared" si="174"/>
        <v>Nunca</v>
      </c>
      <c r="AF402">
        <v>0</v>
      </c>
      <c r="AG402" t="str">
        <f t="shared" si="175"/>
        <v>Nunca</v>
      </c>
      <c r="AH402">
        <v>0</v>
      </c>
      <c r="AI402" t="str">
        <f t="shared" si="176"/>
        <v>No usa</v>
      </c>
      <c r="AJ402">
        <v>0</v>
      </c>
      <c r="AK402" t="str">
        <f t="shared" si="177"/>
        <v>No usa</v>
      </c>
      <c r="AL402">
        <v>0</v>
      </c>
      <c r="AM402" t="str">
        <f t="shared" si="178"/>
        <v>No usa</v>
      </c>
      <c r="AN402">
        <v>1</v>
      </c>
      <c r="AO402" t="str">
        <f t="shared" si="179"/>
        <v>Usa Transporte</v>
      </c>
      <c r="AP402">
        <v>0</v>
      </c>
      <c r="AQ402" t="str">
        <f t="shared" si="180"/>
        <v>No camina</v>
      </c>
      <c r="AR402">
        <v>0</v>
      </c>
      <c r="AS402" t="str">
        <f t="shared" si="181"/>
        <v>No es obeso</v>
      </c>
    </row>
    <row r="403" spans="1:45" x14ac:dyDescent="0.25">
      <c r="A403">
        <v>1</v>
      </c>
      <c r="B403" t="str">
        <f t="shared" si="156"/>
        <v>M</v>
      </c>
      <c r="C403">
        <v>26</v>
      </c>
      <c r="D403">
        <f t="shared" si="157"/>
        <v>26</v>
      </c>
      <c r="E403">
        <f t="shared" si="158"/>
        <v>26</v>
      </c>
      <c r="F403" t="str">
        <f t="shared" si="159"/>
        <v>25-50</v>
      </c>
      <c r="G403">
        <v>0</v>
      </c>
      <c r="H403" t="str">
        <f t="shared" si="160"/>
        <v>Pariente normal</v>
      </c>
      <c r="I403">
        <v>1</v>
      </c>
      <c r="J403" t="str">
        <f t="shared" si="161"/>
        <v>Hipercaloricos</v>
      </c>
      <c r="K403">
        <v>2</v>
      </c>
      <c r="L403">
        <f t="shared" si="162"/>
        <v>1</v>
      </c>
      <c r="M403" t="str">
        <f t="shared" si="163"/>
        <v>Suele comer</v>
      </c>
      <c r="N403">
        <v>3</v>
      </c>
      <c r="O403">
        <f t="shared" si="164"/>
        <v>2</v>
      </c>
      <c r="P403" t="str">
        <f t="shared" si="165"/>
        <v>Mas de 3</v>
      </c>
      <c r="Q403">
        <v>3</v>
      </c>
      <c r="R403" t="str">
        <f t="shared" si="166"/>
        <v>Siempre</v>
      </c>
      <c r="S403">
        <v>0</v>
      </c>
      <c r="T403" t="str">
        <f t="shared" si="167"/>
        <v>No fuma</v>
      </c>
      <c r="U403">
        <v>2</v>
      </c>
      <c r="V403">
        <f t="shared" si="168"/>
        <v>2</v>
      </c>
      <c r="W403" t="str">
        <f t="shared" si="169"/>
        <v>Siempre</v>
      </c>
      <c r="X403">
        <v>0</v>
      </c>
      <c r="Y403" t="str">
        <f t="shared" si="170"/>
        <v>No controla</v>
      </c>
      <c r="Z403">
        <v>1</v>
      </c>
      <c r="AA403">
        <f t="shared" si="171"/>
        <v>1</v>
      </c>
      <c r="AB403" t="str">
        <f t="shared" si="172"/>
        <v>A veces</v>
      </c>
      <c r="AC403">
        <v>1</v>
      </c>
      <c r="AD403">
        <f t="shared" si="173"/>
        <v>1</v>
      </c>
      <c r="AE403" t="str">
        <f t="shared" si="174"/>
        <v>Usualmente</v>
      </c>
      <c r="AF403">
        <v>1</v>
      </c>
      <c r="AG403" t="str">
        <f t="shared" si="175"/>
        <v>A veces</v>
      </c>
      <c r="AH403">
        <v>0</v>
      </c>
      <c r="AI403" t="str">
        <f t="shared" si="176"/>
        <v>No usa</v>
      </c>
      <c r="AJ403">
        <v>0</v>
      </c>
      <c r="AK403" t="str">
        <f t="shared" si="177"/>
        <v>No usa</v>
      </c>
      <c r="AL403">
        <v>0</v>
      </c>
      <c r="AM403" t="str">
        <f t="shared" si="178"/>
        <v>No usa</v>
      </c>
      <c r="AN403">
        <v>1</v>
      </c>
      <c r="AO403" t="str">
        <f t="shared" si="179"/>
        <v>Usa Transporte</v>
      </c>
      <c r="AP403">
        <v>0</v>
      </c>
      <c r="AQ403" t="str">
        <f t="shared" si="180"/>
        <v>No camina</v>
      </c>
      <c r="AR403">
        <v>0</v>
      </c>
      <c r="AS403" t="str">
        <f t="shared" si="181"/>
        <v>No es obeso</v>
      </c>
    </row>
    <row r="404" spans="1:45" x14ac:dyDescent="0.25">
      <c r="A404">
        <v>1</v>
      </c>
      <c r="B404" t="str">
        <f t="shared" si="156"/>
        <v>M</v>
      </c>
      <c r="C404">
        <v>27</v>
      </c>
      <c r="D404">
        <f t="shared" si="157"/>
        <v>27</v>
      </c>
      <c r="E404">
        <f t="shared" si="158"/>
        <v>27</v>
      </c>
      <c r="F404" t="str">
        <f t="shared" si="159"/>
        <v>25-50</v>
      </c>
      <c r="G404">
        <v>1</v>
      </c>
      <c r="H404" t="str">
        <f t="shared" si="160"/>
        <v>Pariente gordo</v>
      </c>
      <c r="I404">
        <v>1</v>
      </c>
      <c r="J404" t="str">
        <f t="shared" si="161"/>
        <v>Hipercaloricos</v>
      </c>
      <c r="K404">
        <v>3</v>
      </c>
      <c r="L404">
        <f t="shared" si="162"/>
        <v>1</v>
      </c>
      <c r="M404" t="str">
        <f t="shared" si="163"/>
        <v>Suele comer</v>
      </c>
      <c r="N404">
        <v>1</v>
      </c>
      <c r="O404">
        <f t="shared" si="164"/>
        <v>1</v>
      </c>
      <c r="P404">
        <f t="shared" si="165"/>
        <v>3</v>
      </c>
      <c r="Q404">
        <v>2</v>
      </c>
      <c r="R404" t="str">
        <f t="shared" si="166"/>
        <v>Usualmente</v>
      </c>
      <c r="S404">
        <v>0</v>
      </c>
      <c r="T404" t="str">
        <f t="shared" si="167"/>
        <v>No fuma</v>
      </c>
      <c r="U404">
        <v>2</v>
      </c>
      <c r="V404">
        <f t="shared" si="168"/>
        <v>2</v>
      </c>
      <c r="W404" t="str">
        <f t="shared" si="169"/>
        <v>Siempre</v>
      </c>
      <c r="X404">
        <v>0</v>
      </c>
      <c r="Y404" t="str">
        <f t="shared" si="170"/>
        <v>No controla</v>
      </c>
      <c r="Z404">
        <v>2</v>
      </c>
      <c r="AA404">
        <f t="shared" si="171"/>
        <v>2</v>
      </c>
      <c r="AB404" t="str">
        <f t="shared" si="172"/>
        <v>Usualmente</v>
      </c>
      <c r="AC404">
        <v>1</v>
      </c>
      <c r="AD404">
        <f t="shared" si="173"/>
        <v>1</v>
      </c>
      <c r="AE404" t="str">
        <f t="shared" si="174"/>
        <v>Usualmente</v>
      </c>
      <c r="AF404">
        <v>1</v>
      </c>
      <c r="AG404" t="str">
        <f t="shared" si="175"/>
        <v>A veces</v>
      </c>
      <c r="AH404">
        <v>0</v>
      </c>
      <c r="AI404" t="str">
        <f t="shared" si="176"/>
        <v>No usa</v>
      </c>
      <c r="AJ404">
        <v>0</v>
      </c>
      <c r="AK404" t="str">
        <f t="shared" si="177"/>
        <v>No usa</v>
      </c>
      <c r="AL404">
        <v>0</v>
      </c>
      <c r="AM404" t="str">
        <f t="shared" si="178"/>
        <v>No usa</v>
      </c>
      <c r="AN404">
        <v>0</v>
      </c>
      <c r="AO404" t="str">
        <f t="shared" si="179"/>
        <v>No usa</v>
      </c>
      <c r="AP404">
        <v>1</v>
      </c>
      <c r="AQ404" t="str">
        <f t="shared" si="180"/>
        <v>Camina</v>
      </c>
      <c r="AR404">
        <v>0</v>
      </c>
      <c r="AS404" t="str">
        <f t="shared" si="181"/>
        <v>No es obeso</v>
      </c>
    </row>
    <row r="405" spans="1:45" x14ac:dyDescent="0.25">
      <c r="A405">
        <v>0</v>
      </c>
      <c r="B405" t="str">
        <f t="shared" si="156"/>
        <v>F</v>
      </c>
      <c r="C405">
        <v>26</v>
      </c>
      <c r="D405">
        <f t="shared" si="157"/>
        <v>26</v>
      </c>
      <c r="E405">
        <f t="shared" si="158"/>
        <v>26</v>
      </c>
      <c r="F405" t="str">
        <f t="shared" si="159"/>
        <v>25-50</v>
      </c>
      <c r="G405">
        <v>1</v>
      </c>
      <c r="H405" t="str">
        <f t="shared" si="160"/>
        <v>Pariente gordo</v>
      </c>
      <c r="I405">
        <v>0</v>
      </c>
      <c r="J405" t="str">
        <f t="shared" si="161"/>
        <v>Saludables</v>
      </c>
      <c r="K405">
        <v>3</v>
      </c>
      <c r="L405">
        <f t="shared" si="162"/>
        <v>1</v>
      </c>
      <c r="M405" t="str">
        <f t="shared" si="163"/>
        <v>Suele comer</v>
      </c>
      <c r="N405">
        <v>3</v>
      </c>
      <c r="O405">
        <f t="shared" si="164"/>
        <v>2</v>
      </c>
      <c r="P405" t="str">
        <f t="shared" si="165"/>
        <v>Mas de 3</v>
      </c>
      <c r="Q405">
        <v>1</v>
      </c>
      <c r="R405" t="str">
        <f t="shared" si="166"/>
        <v>A veces</v>
      </c>
      <c r="S405">
        <v>0</v>
      </c>
      <c r="T405" t="str">
        <f t="shared" si="167"/>
        <v>No fuma</v>
      </c>
      <c r="U405">
        <v>3</v>
      </c>
      <c r="V405">
        <f t="shared" si="168"/>
        <v>2</v>
      </c>
      <c r="W405" t="str">
        <f t="shared" si="169"/>
        <v>Siempre</v>
      </c>
      <c r="X405">
        <v>0</v>
      </c>
      <c r="Y405" t="str">
        <f t="shared" si="170"/>
        <v>No controla</v>
      </c>
      <c r="Z405">
        <v>0</v>
      </c>
      <c r="AA405">
        <f t="shared" si="171"/>
        <v>0</v>
      </c>
      <c r="AB405" t="str">
        <f t="shared" si="172"/>
        <v>Nunca</v>
      </c>
      <c r="AC405">
        <v>0</v>
      </c>
      <c r="AD405">
        <f t="shared" si="173"/>
        <v>0</v>
      </c>
      <c r="AE405" t="str">
        <f t="shared" si="174"/>
        <v>Nunca</v>
      </c>
      <c r="AF405">
        <v>0</v>
      </c>
      <c r="AG405" t="str">
        <f t="shared" si="175"/>
        <v>Nunca</v>
      </c>
      <c r="AH405">
        <v>1</v>
      </c>
      <c r="AI405" t="str">
        <f t="shared" si="176"/>
        <v>Usa auto</v>
      </c>
      <c r="AJ405">
        <v>0</v>
      </c>
      <c r="AK405" t="str">
        <f t="shared" si="177"/>
        <v>No usa</v>
      </c>
      <c r="AL405">
        <v>0</v>
      </c>
      <c r="AM405" t="str">
        <f t="shared" si="178"/>
        <v>No usa</v>
      </c>
      <c r="AN405">
        <v>0</v>
      </c>
      <c r="AO405" t="str">
        <f t="shared" si="179"/>
        <v>No usa</v>
      </c>
      <c r="AP405">
        <v>0</v>
      </c>
      <c r="AQ405" t="str">
        <f t="shared" si="180"/>
        <v>No camina</v>
      </c>
      <c r="AR405">
        <v>1</v>
      </c>
      <c r="AS405" t="str">
        <f t="shared" si="181"/>
        <v>Es Obeso</v>
      </c>
    </row>
    <row r="406" spans="1:45" x14ac:dyDescent="0.25">
      <c r="A406">
        <v>1</v>
      </c>
      <c r="B406" t="str">
        <f t="shared" si="156"/>
        <v>M</v>
      </c>
      <c r="C406">
        <v>34</v>
      </c>
      <c r="D406">
        <f t="shared" si="157"/>
        <v>34</v>
      </c>
      <c r="E406">
        <f t="shared" si="158"/>
        <v>34</v>
      </c>
      <c r="F406" t="str">
        <f t="shared" si="159"/>
        <v>25-50</v>
      </c>
      <c r="G406">
        <v>0</v>
      </c>
      <c r="H406" t="str">
        <f t="shared" si="160"/>
        <v>Pariente normal</v>
      </c>
      <c r="I406">
        <v>1</v>
      </c>
      <c r="J406" t="str">
        <f t="shared" si="161"/>
        <v>Hipercaloricos</v>
      </c>
      <c r="K406">
        <v>2</v>
      </c>
      <c r="L406">
        <f t="shared" si="162"/>
        <v>1</v>
      </c>
      <c r="M406" t="str">
        <f t="shared" si="163"/>
        <v>Suele comer</v>
      </c>
      <c r="N406">
        <v>3</v>
      </c>
      <c r="O406">
        <f t="shared" si="164"/>
        <v>2</v>
      </c>
      <c r="P406" t="str">
        <f t="shared" si="165"/>
        <v>Mas de 3</v>
      </c>
      <c r="Q406">
        <v>1</v>
      </c>
      <c r="R406" t="str">
        <f t="shared" si="166"/>
        <v>A veces</v>
      </c>
      <c r="S406">
        <v>0</v>
      </c>
      <c r="T406" t="str">
        <f t="shared" si="167"/>
        <v>No fuma</v>
      </c>
      <c r="U406">
        <v>2</v>
      </c>
      <c r="V406">
        <f t="shared" si="168"/>
        <v>2</v>
      </c>
      <c r="W406" t="str">
        <f t="shared" si="169"/>
        <v>Siempre</v>
      </c>
      <c r="X406">
        <v>0</v>
      </c>
      <c r="Y406" t="str">
        <f t="shared" si="170"/>
        <v>No controla</v>
      </c>
      <c r="Z406">
        <v>3</v>
      </c>
      <c r="AA406">
        <f t="shared" si="171"/>
        <v>3</v>
      </c>
      <c r="AB406" t="str">
        <f t="shared" si="172"/>
        <v>Siempre</v>
      </c>
      <c r="AC406">
        <v>1</v>
      </c>
      <c r="AD406">
        <f t="shared" si="173"/>
        <v>1</v>
      </c>
      <c r="AE406" t="str">
        <f t="shared" si="174"/>
        <v>Usualmente</v>
      </c>
      <c r="AF406">
        <v>1</v>
      </c>
      <c r="AG406" t="str">
        <f t="shared" si="175"/>
        <v>A veces</v>
      </c>
      <c r="AH406">
        <v>1</v>
      </c>
      <c r="AI406" t="str">
        <f t="shared" si="176"/>
        <v>Usa auto</v>
      </c>
      <c r="AJ406">
        <v>0</v>
      </c>
      <c r="AK406" t="str">
        <f t="shared" si="177"/>
        <v>No usa</v>
      </c>
      <c r="AL406">
        <v>0</v>
      </c>
      <c r="AM406" t="str">
        <f t="shared" si="178"/>
        <v>No usa</v>
      </c>
      <c r="AN406">
        <v>0</v>
      </c>
      <c r="AO406" t="str">
        <f t="shared" si="179"/>
        <v>No usa</v>
      </c>
      <c r="AP406">
        <v>0</v>
      </c>
      <c r="AQ406" t="str">
        <f t="shared" si="180"/>
        <v>No camina</v>
      </c>
      <c r="AR406">
        <v>0</v>
      </c>
      <c r="AS406" t="str">
        <f t="shared" si="181"/>
        <v>No es obeso</v>
      </c>
    </row>
    <row r="407" spans="1:45" x14ac:dyDescent="0.25">
      <c r="A407">
        <v>1</v>
      </c>
      <c r="B407" t="str">
        <f t="shared" si="156"/>
        <v>M</v>
      </c>
      <c r="C407">
        <v>18</v>
      </c>
      <c r="D407">
        <f t="shared" si="157"/>
        <v>18</v>
      </c>
      <c r="E407">
        <f t="shared" si="158"/>
        <v>18</v>
      </c>
      <c r="F407" t="str">
        <f t="shared" si="159"/>
        <v>1-25</v>
      </c>
      <c r="G407">
        <v>0</v>
      </c>
      <c r="H407" t="str">
        <f t="shared" si="160"/>
        <v>Pariente normal</v>
      </c>
      <c r="I407">
        <v>0</v>
      </c>
      <c r="J407" t="str">
        <f t="shared" si="161"/>
        <v>Saludables</v>
      </c>
      <c r="K407">
        <v>3</v>
      </c>
      <c r="L407">
        <f t="shared" si="162"/>
        <v>1</v>
      </c>
      <c r="M407" t="str">
        <f t="shared" si="163"/>
        <v>Suele comer</v>
      </c>
      <c r="N407">
        <v>3</v>
      </c>
      <c r="O407">
        <f t="shared" si="164"/>
        <v>2</v>
      </c>
      <c r="P407" t="str">
        <f t="shared" si="165"/>
        <v>Mas de 3</v>
      </c>
      <c r="Q407">
        <v>1</v>
      </c>
      <c r="R407" t="str">
        <f t="shared" si="166"/>
        <v>A veces</v>
      </c>
      <c r="S407">
        <v>0</v>
      </c>
      <c r="T407" t="str">
        <f t="shared" si="167"/>
        <v>No fuma</v>
      </c>
      <c r="U407">
        <v>2</v>
      </c>
      <c r="V407">
        <f t="shared" si="168"/>
        <v>2</v>
      </c>
      <c r="W407" t="str">
        <f t="shared" si="169"/>
        <v>Siempre</v>
      </c>
      <c r="X407">
        <v>0</v>
      </c>
      <c r="Y407" t="str">
        <f t="shared" si="170"/>
        <v>No controla</v>
      </c>
      <c r="Z407">
        <v>3</v>
      </c>
      <c r="AA407">
        <f t="shared" si="171"/>
        <v>3</v>
      </c>
      <c r="AB407" t="str">
        <f t="shared" si="172"/>
        <v>Siempre</v>
      </c>
      <c r="AC407">
        <v>0</v>
      </c>
      <c r="AD407">
        <f t="shared" si="173"/>
        <v>0</v>
      </c>
      <c r="AE407" t="str">
        <f t="shared" si="174"/>
        <v>Nunca</v>
      </c>
      <c r="AF407">
        <v>0</v>
      </c>
      <c r="AG407" t="str">
        <f t="shared" si="175"/>
        <v>Nunca</v>
      </c>
      <c r="AH407">
        <v>0</v>
      </c>
      <c r="AI407" t="str">
        <f t="shared" si="176"/>
        <v>No usa</v>
      </c>
      <c r="AJ407">
        <v>0</v>
      </c>
      <c r="AK407" t="str">
        <f t="shared" si="177"/>
        <v>No usa</v>
      </c>
      <c r="AL407">
        <v>0</v>
      </c>
      <c r="AM407" t="str">
        <f t="shared" si="178"/>
        <v>No usa</v>
      </c>
      <c r="AN407">
        <v>1</v>
      </c>
      <c r="AO407" t="str">
        <f t="shared" si="179"/>
        <v>Usa Transporte</v>
      </c>
      <c r="AP407">
        <v>0</v>
      </c>
      <c r="AQ407" t="str">
        <f t="shared" si="180"/>
        <v>No camina</v>
      </c>
      <c r="AR407">
        <v>0</v>
      </c>
      <c r="AS407" t="str">
        <f t="shared" si="181"/>
        <v>No es obeso</v>
      </c>
    </row>
    <row r="408" spans="1:45" x14ac:dyDescent="0.25">
      <c r="A408">
        <v>1</v>
      </c>
      <c r="B408" t="str">
        <f t="shared" si="156"/>
        <v>M</v>
      </c>
      <c r="C408">
        <v>33</v>
      </c>
      <c r="D408">
        <f t="shared" si="157"/>
        <v>33</v>
      </c>
      <c r="E408">
        <f t="shared" si="158"/>
        <v>33</v>
      </c>
      <c r="F408" t="str">
        <f t="shared" si="159"/>
        <v>25-50</v>
      </c>
      <c r="G408">
        <v>0</v>
      </c>
      <c r="H408" t="str">
        <f t="shared" si="160"/>
        <v>Pariente normal</v>
      </c>
      <c r="I408">
        <v>0</v>
      </c>
      <c r="J408" t="str">
        <f t="shared" si="161"/>
        <v>Saludables</v>
      </c>
      <c r="K408">
        <v>2</v>
      </c>
      <c r="L408">
        <f t="shared" si="162"/>
        <v>1</v>
      </c>
      <c r="M408" t="str">
        <f t="shared" si="163"/>
        <v>Suele comer</v>
      </c>
      <c r="N408">
        <v>3</v>
      </c>
      <c r="O408">
        <f t="shared" si="164"/>
        <v>2</v>
      </c>
      <c r="P408" t="str">
        <f t="shared" si="165"/>
        <v>Mas de 3</v>
      </c>
      <c r="Q408">
        <v>1</v>
      </c>
      <c r="R408" t="str">
        <f t="shared" si="166"/>
        <v>A veces</v>
      </c>
      <c r="S408">
        <v>0</v>
      </c>
      <c r="T408" t="str">
        <f t="shared" si="167"/>
        <v>No fuma</v>
      </c>
      <c r="U408">
        <v>2</v>
      </c>
      <c r="V408">
        <f t="shared" si="168"/>
        <v>2</v>
      </c>
      <c r="W408" t="str">
        <f t="shared" si="169"/>
        <v>Siempre</v>
      </c>
      <c r="X408">
        <v>0</v>
      </c>
      <c r="Y408" t="str">
        <f t="shared" si="170"/>
        <v>No controla</v>
      </c>
      <c r="Z408">
        <v>3</v>
      </c>
      <c r="AA408">
        <f t="shared" si="171"/>
        <v>3</v>
      </c>
      <c r="AB408" t="str">
        <f t="shared" si="172"/>
        <v>Siempre</v>
      </c>
      <c r="AC408">
        <v>1</v>
      </c>
      <c r="AD408">
        <f t="shared" si="173"/>
        <v>1</v>
      </c>
      <c r="AE408" t="str">
        <f t="shared" si="174"/>
        <v>Usualmente</v>
      </c>
      <c r="AF408">
        <v>1</v>
      </c>
      <c r="AG408" t="str">
        <f t="shared" si="175"/>
        <v>A veces</v>
      </c>
      <c r="AH408">
        <v>1</v>
      </c>
      <c r="AI408" t="str">
        <f t="shared" si="176"/>
        <v>Usa auto</v>
      </c>
      <c r="AJ408">
        <v>0</v>
      </c>
      <c r="AK408" t="str">
        <f t="shared" si="177"/>
        <v>No usa</v>
      </c>
      <c r="AL408">
        <v>0</v>
      </c>
      <c r="AM408" t="str">
        <f t="shared" si="178"/>
        <v>No usa</v>
      </c>
      <c r="AN408">
        <v>0</v>
      </c>
      <c r="AO408" t="str">
        <f t="shared" si="179"/>
        <v>No usa</v>
      </c>
      <c r="AP408">
        <v>0</v>
      </c>
      <c r="AQ408" t="str">
        <f t="shared" si="180"/>
        <v>No camina</v>
      </c>
      <c r="AR408">
        <v>0</v>
      </c>
      <c r="AS408" t="str">
        <f t="shared" si="181"/>
        <v>No es obeso</v>
      </c>
    </row>
    <row r="409" spans="1:45" x14ac:dyDescent="0.25">
      <c r="A409">
        <v>0</v>
      </c>
      <c r="B409" t="str">
        <f t="shared" si="156"/>
        <v>F</v>
      </c>
      <c r="C409">
        <v>19</v>
      </c>
      <c r="D409">
        <f t="shared" si="157"/>
        <v>19</v>
      </c>
      <c r="E409">
        <f t="shared" si="158"/>
        <v>19</v>
      </c>
      <c r="F409" t="str">
        <f t="shared" si="159"/>
        <v>1-25</v>
      </c>
      <c r="G409">
        <v>1</v>
      </c>
      <c r="H409" t="str">
        <f t="shared" si="160"/>
        <v>Pariente gordo</v>
      </c>
      <c r="I409">
        <v>1</v>
      </c>
      <c r="J409" t="str">
        <f t="shared" si="161"/>
        <v>Hipercaloricos</v>
      </c>
      <c r="K409">
        <v>3</v>
      </c>
      <c r="L409">
        <f t="shared" si="162"/>
        <v>1</v>
      </c>
      <c r="M409" t="str">
        <f t="shared" si="163"/>
        <v>Suele comer</v>
      </c>
      <c r="N409">
        <v>3</v>
      </c>
      <c r="O409">
        <f t="shared" si="164"/>
        <v>2</v>
      </c>
      <c r="P409" t="str">
        <f t="shared" si="165"/>
        <v>Mas de 3</v>
      </c>
      <c r="Q409">
        <v>2</v>
      </c>
      <c r="R409" t="str">
        <f t="shared" si="166"/>
        <v>Usualmente</v>
      </c>
      <c r="S409">
        <v>0</v>
      </c>
      <c r="T409" t="str">
        <f t="shared" si="167"/>
        <v>No fuma</v>
      </c>
      <c r="U409">
        <v>1</v>
      </c>
      <c r="V409">
        <f t="shared" si="168"/>
        <v>1</v>
      </c>
      <c r="W409" t="str">
        <f t="shared" si="169"/>
        <v>Usualmente</v>
      </c>
      <c r="X409">
        <v>0</v>
      </c>
      <c r="Y409" t="str">
        <f t="shared" si="170"/>
        <v>No controla</v>
      </c>
      <c r="Z409">
        <v>1</v>
      </c>
      <c r="AA409">
        <f t="shared" si="171"/>
        <v>1</v>
      </c>
      <c r="AB409" t="str">
        <f t="shared" si="172"/>
        <v>A veces</v>
      </c>
      <c r="AC409">
        <v>2</v>
      </c>
      <c r="AD409">
        <f t="shared" si="173"/>
        <v>2</v>
      </c>
      <c r="AE409" t="str">
        <f t="shared" si="174"/>
        <v>Siempre</v>
      </c>
      <c r="AF409">
        <v>1</v>
      </c>
      <c r="AG409" t="str">
        <f t="shared" si="175"/>
        <v>A veces</v>
      </c>
      <c r="AH409">
        <v>0</v>
      </c>
      <c r="AI409" t="str">
        <f t="shared" si="176"/>
        <v>No usa</v>
      </c>
      <c r="AJ409">
        <v>0</v>
      </c>
      <c r="AK409" t="str">
        <f t="shared" si="177"/>
        <v>No usa</v>
      </c>
      <c r="AL409">
        <v>0</v>
      </c>
      <c r="AM409" t="str">
        <f t="shared" si="178"/>
        <v>No usa</v>
      </c>
      <c r="AN409">
        <v>0</v>
      </c>
      <c r="AO409" t="str">
        <f t="shared" si="179"/>
        <v>No usa</v>
      </c>
      <c r="AP409">
        <v>1</v>
      </c>
      <c r="AQ409" t="str">
        <f t="shared" si="180"/>
        <v>Camina</v>
      </c>
      <c r="AR409">
        <v>0</v>
      </c>
      <c r="AS409" t="str">
        <f t="shared" si="181"/>
        <v>No es obeso</v>
      </c>
    </row>
    <row r="410" spans="1:45" x14ac:dyDescent="0.25">
      <c r="A410">
        <v>1</v>
      </c>
      <c r="B410" t="str">
        <f t="shared" si="156"/>
        <v>M</v>
      </c>
      <c r="C410">
        <v>20</v>
      </c>
      <c r="D410">
        <f t="shared" si="157"/>
        <v>20</v>
      </c>
      <c r="E410">
        <f t="shared" si="158"/>
        <v>20</v>
      </c>
      <c r="F410" t="str">
        <f t="shared" si="159"/>
        <v>1-25</v>
      </c>
      <c r="G410">
        <v>1</v>
      </c>
      <c r="H410" t="str">
        <f t="shared" si="160"/>
        <v>Pariente gordo</v>
      </c>
      <c r="I410">
        <v>0</v>
      </c>
      <c r="J410" t="str">
        <f t="shared" si="161"/>
        <v>Saludables</v>
      </c>
      <c r="K410">
        <v>3</v>
      </c>
      <c r="L410">
        <f t="shared" si="162"/>
        <v>1</v>
      </c>
      <c r="M410" t="str">
        <f t="shared" si="163"/>
        <v>Suele comer</v>
      </c>
      <c r="N410">
        <v>1</v>
      </c>
      <c r="O410">
        <f t="shared" si="164"/>
        <v>1</v>
      </c>
      <c r="P410">
        <f t="shared" si="165"/>
        <v>3</v>
      </c>
      <c r="Q410">
        <v>1</v>
      </c>
      <c r="R410" t="str">
        <f t="shared" si="166"/>
        <v>A veces</v>
      </c>
      <c r="S410">
        <v>0</v>
      </c>
      <c r="T410" t="str">
        <f t="shared" si="167"/>
        <v>No fuma</v>
      </c>
      <c r="U410">
        <v>2</v>
      </c>
      <c r="V410">
        <f t="shared" si="168"/>
        <v>2</v>
      </c>
      <c r="W410" t="str">
        <f t="shared" si="169"/>
        <v>Siempre</v>
      </c>
      <c r="X410">
        <v>0</v>
      </c>
      <c r="Y410" t="str">
        <f t="shared" si="170"/>
        <v>No controla</v>
      </c>
      <c r="Z410">
        <v>0</v>
      </c>
      <c r="AA410">
        <f t="shared" si="171"/>
        <v>0</v>
      </c>
      <c r="AB410" t="str">
        <f t="shared" si="172"/>
        <v>Nunca</v>
      </c>
      <c r="AC410">
        <v>0</v>
      </c>
      <c r="AD410">
        <f t="shared" si="173"/>
        <v>0</v>
      </c>
      <c r="AE410" t="str">
        <f t="shared" si="174"/>
        <v>Nunca</v>
      </c>
      <c r="AF410">
        <v>1</v>
      </c>
      <c r="AG410" t="str">
        <f t="shared" si="175"/>
        <v>A veces</v>
      </c>
      <c r="AH410">
        <v>0</v>
      </c>
      <c r="AI410" t="str">
        <f t="shared" si="176"/>
        <v>No usa</v>
      </c>
      <c r="AJ410">
        <v>0</v>
      </c>
      <c r="AK410" t="str">
        <f t="shared" si="177"/>
        <v>No usa</v>
      </c>
      <c r="AL410">
        <v>0</v>
      </c>
      <c r="AM410" t="str">
        <f t="shared" si="178"/>
        <v>No usa</v>
      </c>
      <c r="AN410">
        <v>1</v>
      </c>
      <c r="AO410" t="str">
        <f t="shared" si="179"/>
        <v>Usa Transporte</v>
      </c>
      <c r="AP410">
        <v>0</v>
      </c>
      <c r="AQ410" t="str">
        <f t="shared" si="180"/>
        <v>No camina</v>
      </c>
      <c r="AR410">
        <v>0</v>
      </c>
      <c r="AS410" t="str">
        <f t="shared" si="181"/>
        <v>No es obeso</v>
      </c>
    </row>
    <row r="411" spans="1:45" x14ac:dyDescent="0.25">
      <c r="A411">
        <v>0</v>
      </c>
      <c r="B411" t="str">
        <f t="shared" si="156"/>
        <v>F</v>
      </c>
      <c r="C411">
        <v>33</v>
      </c>
      <c r="D411">
        <f t="shared" si="157"/>
        <v>33</v>
      </c>
      <c r="E411">
        <f t="shared" si="158"/>
        <v>33</v>
      </c>
      <c r="F411" t="str">
        <f t="shared" si="159"/>
        <v>25-50</v>
      </c>
      <c r="G411">
        <v>1</v>
      </c>
      <c r="H411" t="str">
        <f t="shared" si="160"/>
        <v>Pariente gordo</v>
      </c>
      <c r="I411">
        <v>1</v>
      </c>
      <c r="J411" t="str">
        <f t="shared" si="161"/>
        <v>Hipercaloricos</v>
      </c>
      <c r="K411">
        <v>3</v>
      </c>
      <c r="L411">
        <f t="shared" si="162"/>
        <v>1</v>
      </c>
      <c r="M411" t="str">
        <f t="shared" si="163"/>
        <v>Suele comer</v>
      </c>
      <c r="N411">
        <v>1</v>
      </c>
      <c r="O411">
        <f t="shared" si="164"/>
        <v>1</v>
      </c>
      <c r="P411">
        <f t="shared" si="165"/>
        <v>3</v>
      </c>
      <c r="Q411">
        <v>1</v>
      </c>
      <c r="R411" t="str">
        <f t="shared" si="166"/>
        <v>A veces</v>
      </c>
      <c r="S411">
        <v>0</v>
      </c>
      <c r="T411" t="str">
        <f t="shared" si="167"/>
        <v>No fuma</v>
      </c>
      <c r="U411">
        <v>3</v>
      </c>
      <c r="V411">
        <f t="shared" si="168"/>
        <v>2</v>
      </c>
      <c r="W411" t="str">
        <f t="shared" si="169"/>
        <v>Siempre</v>
      </c>
      <c r="X411">
        <v>0</v>
      </c>
      <c r="Y411" t="str">
        <f t="shared" si="170"/>
        <v>No controla</v>
      </c>
      <c r="Z411">
        <v>2</v>
      </c>
      <c r="AA411">
        <f t="shared" si="171"/>
        <v>2</v>
      </c>
      <c r="AB411" t="str">
        <f t="shared" si="172"/>
        <v>Usualmente</v>
      </c>
      <c r="AC411">
        <v>1</v>
      </c>
      <c r="AD411">
        <f t="shared" si="173"/>
        <v>1</v>
      </c>
      <c r="AE411" t="str">
        <f t="shared" si="174"/>
        <v>Usualmente</v>
      </c>
      <c r="AF411">
        <v>1</v>
      </c>
      <c r="AG411" t="str">
        <f t="shared" si="175"/>
        <v>A veces</v>
      </c>
      <c r="AH411">
        <v>0</v>
      </c>
      <c r="AI411" t="str">
        <f t="shared" si="176"/>
        <v>No usa</v>
      </c>
      <c r="AJ411">
        <v>0</v>
      </c>
      <c r="AK411" t="str">
        <f t="shared" si="177"/>
        <v>No usa</v>
      </c>
      <c r="AL411">
        <v>0</v>
      </c>
      <c r="AM411" t="str">
        <f t="shared" si="178"/>
        <v>No usa</v>
      </c>
      <c r="AN411">
        <v>1</v>
      </c>
      <c r="AO411" t="str">
        <f t="shared" si="179"/>
        <v>Usa Transporte</v>
      </c>
      <c r="AP411">
        <v>0</v>
      </c>
      <c r="AQ411" t="str">
        <f t="shared" si="180"/>
        <v>No camina</v>
      </c>
      <c r="AR411">
        <v>0</v>
      </c>
      <c r="AS411" t="str">
        <f t="shared" si="181"/>
        <v>No es obeso</v>
      </c>
    </row>
    <row r="412" spans="1:45" x14ac:dyDescent="0.25">
      <c r="A412">
        <v>1</v>
      </c>
      <c r="B412" t="str">
        <f t="shared" si="156"/>
        <v>M</v>
      </c>
      <c r="C412">
        <v>20</v>
      </c>
      <c r="D412">
        <f t="shared" si="157"/>
        <v>20</v>
      </c>
      <c r="E412">
        <f t="shared" si="158"/>
        <v>20</v>
      </c>
      <c r="F412" t="str">
        <f t="shared" si="159"/>
        <v>1-25</v>
      </c>
      <c r="G412">
        <v>0</v>
      </c>
      <c r="H412" t="str">
        <f t="shared" si="160"/>
        <v>Pariente normal</v>
      </c>
      <c r="I412">
        <v>0</v>
      </c>
      <c r="J412" t="str">
        <f t="shared" si="161"/>
        <v>Saludables</v>
      </c>
      <c r="K412">
        <v>2</v>
      </c>
      <c r="L412">
        <f t="shared" si="162"/>
        <v>1</v>
      </c>
      <c r="M412" t="str">
        <f t="shared" si="163"/>
        <v>Suele comer</v>
      </c>
      <c r="N412">
        <v>3</v>
      </c>
      <c r="O412">
        <f t="shared" si="164"/>
        <v>2</v>
      </c>
      <c r="P412" t="str">
        <f t="shared" si="165"/>
        <v>Mas de 3</v>
      </c>
      <c r="Q412">
        <v>1</v>
      </c>
      <c r="R412" t="str">
        <f t="shared" si="166"/>
        <v>A veces</v>
      </c>
      <c r="S412">
        <v>0</v>
      </c>
      <c r="T412" t="str">
        <f t="shared" si="167"/>
        <v>No fuma</v>
      </c>
      <c r="U412">
        <v>2</v>
      </c>
      <c r="V412">
        <f t="shared" si="168"/>
        <v>2</v>
      </c>
      <c r="W412" t="str">
        <f t="shared" si="169"/>
        <v>Siempre</v>
      </c>
      <c r="X412">
        <v>0</v>
      </c>
      <c r="Y412" t="str">
        <f t="shared" si="170"/>
        <v>No controla</v>
      </c>
      <c r="Z412">
        <v>1</v>
      </c>
      <c r="AA412">
        <f t="shared" si="171"/>
        <v>1</v>
      </c>
      <c r="AB412" t="str">
        <f t="shared" si="172"/>
        <v>A veces</v>
      </c>
      <c r="AC412">
        <v>1</v>
      </c>
      <c r="AD412">
        <f t="shared" si="173"/>
        <v>1</v>
      </c>
      <c r="AE412" t="str">
        <f t="shared" si="174"/>
        <v>Usualmente</v>
      </c>
      <c r="AF412">
        <v>0</v>
      </c>
      <c r="AG412" t="str">
        <f t="shared" si="175"/>
        <v>Nunca</v>
      </c>
      <c r="AH412">
        <v>0</v>
      </c>
      <c r="AI412" t="str">
        <f t="shared" si="176"/>
        <v>No usa</v>
      </c>
      <c r="AJ412">
        <v>0</v>
      </c>
      <c r="AK412" t="str">
        <f t="shared" si="177"/>
        <v>No usa</v>
      </c>
      <c r="AL412">
        <v>0</v>
      </c>
      <c r="AM412" t="str">
        <f t="shared" si="178"/>
        <v>No usa</v>
      </c>
      <c r="AN412">
        <v>1</v>
      </c>
      <c r="AO412" t="str">
        <f t="shared" si="179"/>
        <v>Usa Transporte</v>
      </c>
      <c r="AP412">
        <v>0</v>
      </c>
      <c r="AQ412" t="str">
        <f t="shared" si="180"/>
        <v>No camina</v>
      </c>
      <c r="AR412">
        <v>0</v>
      </c>
      <c r="AS412" t="str">
        <f t="shared" si="181"/>
        <v>No es obeso</v>
      </c>
    </row>
    <row r="413" spans="1:45" x14ac:dyDescent="0.25">
      <c r="A413">
        <v>0</v>
      </c>
      <c r="B413" t="str">
        <f t="shared" si="156"/>
        <v>F</v>
      </c>
      <c r="C413">
        <v>20</v>
      </c>
      <c r="D413">
        <f t="shared" si="157"/>
        <v>20</v>
      </c>
      <c r="E413">
        <f t="shared" si="158"/>
        <v>20</v>
      </c>
      <c r="F413" t="str">
        <f t="shared" si="159"/>
        <v>1-25</v>
      </c>
      <c r="G413">
        <v>0</v>
      </c>
      <c r="H413" t="str">
        <f t="shared" si="160"/>
        <v>Pariente normal</v>
      </c>
      <c r="I413">
        <v>0</v>
      </c>
      <c r="J413" t="str">
        <f t="shared" si="161"/>
        <v>Saludables</v>
      </c>
      <c r="K413">
        <v>3</v>
      </c>
      <c r="L413">
        <f t="shared" si="162"/>
        <v>1</v>
      </c>
      <c r="M413" t="str">
        <f t="shared" si="163"/>
        <v>Suele comer</v>
      </c>
      <c r="N413">
        <v>3</v>
      </c>
      <c r="O413">
        <f t="shared" si="164"/>
        <v>2</v>
      </c>
      <c r="P413" t="str">
        <f t="shared" si="165"/>
        <v>Mas de 3</v>
      </c>
      <c r="Q413">
        <v>1</v>
      </c>
      <c r="R413" t="str">
        <f t="shared" si="166"/>
        <v>A veces</v>
      </c>
      <c r="S413">
        <v>0</v>
      </c>
      <c r="T413" t="str">
        <f t="shared" si="167"/>
        <v>No fuma</v>
      </c>
      <c r="U413">
        <v>2</v>
      </c>
      <c r="V413">
        <f t="shared" si="168"/>
        <v>2</v>
      </c>
      <c r="W413" t="str">
        <f t="shared" si="169"/>
        <v>Siempre</v>
      </c>
      <c r="X413">
        <v>1</v>
      </c>
      <c r="Y413" t="str">
        <f t="shared" si="170"/>
        <v>Controla</v>
      </c>
      <c r="Z413">
        <v>0</v>
      </c>
      <c r="AA413">
        <f t="shared" si="171"/>
        <v>0</v>
      </c>
      <c r="AB413" t="str">
        <f t="shared" si="172"/>
        <v>Nunca</v>
      </c>
      <c r="AC413">
        <v>0</v>
      </c>
      <c r="AD413">
        <f t="shared" si="173"/>
        <v>0</v>
      </c>
      <c r="AE413" t="str">
        <f t="shared" si="174"/>
        <v>Nunca</v>
      </c>
      <c r="AF413">
        <v>1</v>
      </c>
      <c r="AG413" t="str">
        <f t="shared" si="175"/>
        <v>A veces</v>
      </c>
      <c r="AH413">
        <v>0</v>
      </c>
      <c r="AI413" t="str">
        <f t="shared" si="176"/>
        <v>No usa</v>
      </c>
      <c r="AJ413">
        <v>0</v>
      </c>
      <c r="AK413" t="str">
        <f t="shared" si="177"/>
        <v>No usa</v>
      </c>
      <c r="AL413">
        <v>0</v>
      </c>
      <c r="AM413" t="str">
        <f t="shared" si="178"/>
        <v>No usa</v>
      </c>
      <c r="AN413">
        <v>1</v>
      </c>
      <c r="AO413" t="str">
        <f t="shared" si="179"/>
        <v>Usa Transporte</v>
      </c>
      <c r="AP413">
        <v>0</v>
      </c>
      <c r="AQ413" t="str">
        <f t="shared" si="180"/>
        <v>No camina</v>
      </c>
      <c r="AR413">
        <v>0</v>
      </c>
      <c r="AS413" t="str">
        <f t="shared" si="181"/>
        <v>No es obeso</v>
      </c>
    </row>
    <row r="414" spans="1:45" x14ac:dyDescent="0.25">
      <c r="A414">
        <v>1</v>
      </c>
      <c r="B414" t="str">
        <f t="shared" si="156"/>
        <v>M</v>
      </c>
      <c r="C414">
        <v>33</v>
      </c>
      <c r="D414">
        <f t="shared" si="157"/>
        <v>33</v>
      </c>
      <c r="E414">
        <f t="shared" si="158"/>
        <v>33</v>
      </c>
      <c r="F414" t="str">
        <f t="shared" si="159"/>
        <v>25-50</v>
      </c>
      <c r="G414">
        <v>0</v>
      </c>
      <c r="H414" t="str">
        <f t="shared" si="160"/>
        <v>Pariente normal</v>
      </c>
      <c r="I414">
        <v>1</v>
      </c>
      <c r="J414" t="str">
        <f t="shared" si="161"/>
        <v>Hipercaloricos</v>
      </c>
      <c r="K414">
        <v>2</v>
      </c>
      <c r="L414">
        <f t="shared" si="162"/>
        <v>1</v>
      </c>
      <c r="M414" t="str">
        <f t="shared" si="163"/>
        <v>Suele comer</v>
      </c>
      <c r="N414">
        <v>3</v>
      </c>
      <c r="O414">
        <f t="shared" si="164"/>
        <v>2</v>
      </c>
      <c r="P414" t="str">
        <f t="shared" si="165"/>
        <v>Mas de 3</v>
      </c>
      <c r="Q414">
        <v>2</v>
      </c>
      <c r="R414" t="str">
        <f t="shared" si="166"/>
        <v>Usualmente</v>
      </c>
      <c r="S414">
        <v>0</v>
      </c>
      <c r="T414" t="str">
        <f t="shared" si="167"/>
        <v>No fuma</v>
      </c>
      <c r="U414">
        <v>2</v>
      </c>
      <c r="V414">
        <f t="shared" si="168"/>
        <v>2</v>
      </c>
      <c r="W414" t="str">
        <f t="shared" si="169"/>
        <v>Siempre</v>
      </c>
      <c r="X414">
        <v>0</v>
      </c>
      <c r="Y414" t="str">
        <f t="shared" si="170"/>
        <v>No controla</v>
      </c>
      <c r="Z414">
        <v>1</v>
      </c>
      <c r="AA414">
        <f t="shared" si="171"/>
        <v>1</v>
      </c>
      <c r="AB414" t="str">
        <f t="shared" si="172"/>
        <v>A veces</v>
      </c>
      <c r="AC414">
        <v>0</v>
      </c>
      <c r="AD414">
        <f t="shared" si="173"/>
        <v>0</v>
      </c>
      <c r="AE414" t="str">
        <f t="shared" si="174"/>
        <v>Nunca</v>
      </c>
      <c r="AF414">
        <v>1</v>
      </c>
      <c r="AG414" t="str">
        <f t="shared" si="175"/>
        <v>A veces</v>
      </c>
      <c r="AH414">
        <v>1</v>
      </c>
      <c r="AI414" t="str">
        <f t="shared" si="176"/>
        <v>Usa auto</v>
      </c>
      <c r="AJ414">
        <v>0</v>
      </c>
      <c r="AK414" t="str">
        <f t="shared" si="177"/>
        <v>No usa</v>
      </c>
      <c r="AL414">
        <v>0</v>
      </c>
      <c r="AM414" t="str">
        <f t="shared" si="178"/>
        <v>No usa</v>
      </c>
      <c r="AN414">
        <v>0</v>
      </c>
      <c r="AO414" t="str">
        <f t="shared" si="179"/>
        <v>No usa</v>
      </c>
      <c r="AP414">
        <v>0</v>
      </c>
      <c r="AQ414" t="str">
        <f t="shared" si="180"/>
        <v>No camina</v>
      </c>
      <c r="AR414">
        <v>0</v>
      </c>
      <c r="AS414" t="str">
        <f t="shared" si="181"/>
        <v>No es obeso</v>
      </c>
    </row>
    <row r="415" spans="1:45" x14ac:dyDescent="0.25">
      <c r="A415">
        <v>1</v>
      </c>
      <c r="B415" t="str">
        <f t="shared" si="156"/>
        <v>M</v>
      </c>
      <c r="C415">
        <v>33</v>
      </c>
      <c r="D415">
        <f t="shared" si="157"/>
        <v>33</v>
      </c>
      <c r="E415">
        <f t="shared" si="158"/>
        <v>33</v>
      </c>
      <c r="F415" t="str">
        <f t="shared" si="159"/>
        <v>25-50</v>
      </c>
      <c r="G415">
        <v>0</v>
      </c>
      <c r="H415" t="str">
        <f t="shared" si="160"/>
        <v>Pariente normal</v>
      </c>
      <c r="I415">
        <v>0</v>
      </c>
      <c r="J415" t="str">
        <f t="shared" si="161"/>
        <v>Saludables</v>
      </c>
      <c r="K415">
        <v>2</v>
      </c>
      <c r="L415">
        <f t="shared" si="162"/>
        <v>1</v>
      </c>
      <c r="M415" t="str">
        <f t="shared" si="163"/>
        <v>Suele comer</v>
      </c>
      <c r="N415">
        <v>3</v>
      </c>
      <c r="O415">
        <f t="shared" si="164"/>
        <v>2</v>
      </c>
      <c r="P415" t="str">
        <f t="shared" si="165"/>
        <v>Mas de 3</v>
      </c>
      <c r="Q415">
        <v>1</v>
      </c>
      <c r="R415" t="str">
        <f t="shared" si="166"/>
        <v>A veces</v>
      </c>
      <c r="S415">
        <v>0</v>
      </c>
      <c r="T415" t="str">
        <f t="shared" si="167"/>
        <v>No fuma</v>
      </c>
      <c r="U415">
        <v>2</v>
      </c>
      <c r="V415">
        <f t="shared" si="168"/>
        <v>2</v>
      </c>
      <c r="W415" t="str">
        <f t="shared" si="169"/>
        <v>Siempre</v>
      </c>
      <c r="X415">
        <v>1</v>
      </c>
      <c r="Y415" t="str">
        <f t="shared" si="170"/>
        <v>Controla</v>
      </c>
      <c r="Z415">
        <v>1</v>
      </c>
      <c r="AA415">
        <f t="shared" si="171"/>
        <v>1</v>
      </c>
      <c r="AB415" t="str">
        <f t="shared" si="172"/>
        <v>A veces</v>
      </c>
      <c r="AC415">
        <v>0</v>
      </c>
      <c r="AD415">
        <f t="shared" si="173"/>
        <v>0</v>
      </c>
      <c r="AE415" t="str">
        <f t="shared" si="174"/>
        <v>Nunca</v>
      </c>
      <c r="AF415">
        <v>1</v>
      </c>
      <c r="AG415" t="str">
        <f t="shared" si="175"/>
        <v>A veces</v>
      </c>
      <c r="AH415">
        <v>0</v>
      </c>
      <c r="AI415" t="str">
        <f t="shared" si="176"/>
        <v>No usa</v>
      </c>
      <c r="AJ415">
        <v>0</v>
      </c>
      <c r="AK415" t="str">
        <f t="shared" si="177"/>
        <v>No usa</v>
      </c>
      <c r="AL415">
        <v>0</v>
      </c>
      <c r="AM415" t="str">
        <f t="shared" si="178"/>
        <v>No usa</v>
      </c>
      <c r="AN415">
        <v>1</v>
      </c>
      <c r="AO415" t="str">
        <f t="shared" si="179"/>
        <v>Usa Transporte</v>
      </c>
      <c r="AP415">
        <v>0</v>
      </c>
      <c r="AQ415" t="str">
        <f t="shared" si="180"/>
        <v>No camina</v>
      </c>
      <c r="AR415">
        <v>0</v>
      </c>
      <c r="AS415" t="str">
        <f t="shared" si="181"/>
        <v>No es obeso</v>
      </c>
    </row>
    <row r="416" spans="1:45" x14ac:dyDescent="0.25">
      <c r="A416">
        <v>1</v>
      </c>
      <c r="B416" t="str">
        <f t="shared" si="156"/>
        <v>M</v>
      </c>
      <c r="C416">
        <v>33</v>
      </c>
      <c r="D416">
        <f t="shared" si="157"/>
        <v>33</v>
      </c>
      <c r="E416">
        <f t="shared" si="158"/>
        <v>33</v>
      </c>
      <c r="F416" t="str">
        <f t="shared" si="159"/>
        <v>25-50</v>
      </c>
      <c r="G416">
        <v>1</v>
      </c>
      <c r="H416" t="str">
        <f t="shared" si="160"/>
        <v>Pariente gordo</v>
      </c>
      <c r="I416">
        <v>1</v>
      </c>
      <c r="J416" t="str">
        <f t="shared" si="161"/>
        <v>Hipercaloricos</v>
      </c>
      <c r="K416">
        <v>2</v>
      </c>
      <c r="L416">
        <f t="shared" si="162"/>
        <v>1</v>
      </c>
      <c r="M416" t="str">
        <f t="shared" si="163"/>
        <v>Suele comer</v>
      </c>
      <c r="N416">
        <v>1</v>
      </c>
      <c r="O416">
        <f t="shared" si="164"/>
        <v>1</v>
      </c>
      <c r="P416">
        <f t="shared" si="165"/>
        <v>3</v>
      </c>
      <c r="Q416">
        <v>3</v>
      </c>
      <c r="R416" t="str">
        <f t="shared" si="166"/>
        <v>Siempre</v>
      </c>
      <c r="S416">
        <v>0</v>
      </c>
      <c r="T416" t="str">
        <f t="shared" si="167"/>
        <v>No fuma</v>
      </c>
      <c r="U416">
        <v>2</v>
      </c>
      <c r="V416">
        <f t="shared" si="168"/>
        <v>2</v>
      </c>
      <c r="W416" t="str">
        <f t="shared" si="169"/>
        <v>Siempre</v>
      </c>
      <c r="X416">
        <v>0</v>
      </c>
      <c r="Y416" t="str">
        <f t="shared" si="170"/>
        <v>No controla</v>
      </c>
      <c r="Z416">
        <v>1</v>
      </c>
      <c r="AA416">
        <f t="shared" si="171"/>
        <v>1</v>
      </c>
      <c r="AB416" t="str">
        <f t="shared" si="172"/>
        <v>A veces</v>
      </c>
      <c r="AC416">
        <v>2</v>
      </c>
      <c r="AD416">
        <f t="shared" si="173"/>
        <v>2</v>
      </c>
      <c r="AE416" t="str">
        <f t="shared" si="174"/>
        <v>Siempre</v>
      </c>
      <c r="AF416">
        <v>2</v>
      </c>
      <c r="AG416" t="str">
        <f t="shared" si="175"/>
        <v>Usualmente</v>
      </c>
      <c r="AH416">
        <v>1</v>
      </c>
      <c r="AI416" t="str">
        <f t="shared" si="176"/>
        <v>Usa auto</v>
      </c>
      <c r="AJ416">
        <v>0</v>
      </c>
      <c r="AK416" t="str">
        <f t="shared" si="177"/>
        <v>No usa</v>
      </c>
      <c r="AL416">
        <v>0</v>
      </c>
      <c r="AM416" t="str">
        <f t="shared" si="178"/>
        <v>No usa</v>
      </c>
      <c r="AN416">
        <v>0</v>
      </c>
      <c r="AO416" t="str">
        <f t="shared" si="179"/>
        <v>No usa</v>
      </c>
      <c r="AP416">
        <v>0</v>
      </c>
      <c r="AQ416" t="str">
        <f t="shared" si="180"/>
        <v>No camina</v>
      </c>
      <c r="AR416">
        <v>1</v>
      </c>
      <c r="AS416" t="str">
        <f t="shared" si="181"/>
        <v>Es Obeso</v>
      </c>
    </row>
    <row r="417" spans="1:45" x14ac:dyDescent="0.25">
      <c r="A417">
        <v>1</v>
      </c>
      <c r="B417" t="str">
        <f t="shared" si="156"/>
        <v>M</v>
      </c>
      <c r="C417">
        <v>14</v>
      </c>
      <c r="D417">
        <f t="shared" si="157"/>
        <v>14</v>
      </c>
      <c r="E417">
        <f t="shared" si="158"/>
        <v>14</v>
      </c>
      <c r="F417" t="str">
        <f t="shared" si="159"/>
        <v>1-25</v>
      </c>
      <c r="G417">
        <v>1</v>
      </c>
      <c r="H417" t="str">
        <f t="shared" si="160"/>
        <v>Pariente gordo</v>
      </c>
      <c r="I417">
        <v>1</v>
      </c>
      <c r="J417" t="str">
        <f t="shared" si="161"/>
        <v>Hipercaloricos</v>
      </c>
      <c r="K417">
        <v>3</v>
      </c>
      <c r="L417">
        <f t="shared" si="162"/>
        <v>1</v>
      </c>
      <c r="M417" t="str">
        <f t="shared" si="163"/>
        <v>Suele comer</v>
      </c>
      <c r="N417">
        <v>3</v>
      </c>
      <c r="O417">
        <f t="shared" si="164"/>
        <v>2</v>
      </c>
      <c r="P417" t="str">
        <f t="shared" si="165"/>
        <v>Mas de 3</v>
      </c>
      <c r="Q417">
        <v>1</v>
      </c>
      <c r="R417" t="str">
        <f t="shared" si="166"/>
        <v>A veces</v>
      </c>
      <c r="S417">
        <v>0</v>
      </c>
      <c r="T417" t="str">
        <f t="shared" si="167"/>
        <v>No fuma</v>
      </c>
      <c r="U417">
        <v>3</v>
      </c>
      <c r="V417">
        <f t="shared" si="168"/>
        <v>2</v>
      </c>
      <c r="W417" t="str">
        <f t="shared" si="169"/>
        <v>Siempre</v>
      </c>
      <c r="X417">
        <v>0</v>
      </c>
      <c r="Y417" t="str">
        <f t="shared" si="170"/>
        <v>No controla</v>
      </c>
      <c r="Z417">
        <v>2</v>
      </c>
      <c r="AA417">
        <f t="shared" si="171"/>
        <v>2</v>
      </c>
      <c r="AB417" t="str">
        <f t="shared" si="172"/>
        <v>Usualmente</v>
      </c>
      <c r="AC417">
        <v>1</v>
      </c>
      <c r="AD417">
        <f t="shared" si="173"/>
        <v>1</v>
      </c>
      <c r="AE417" t="str">
        <f t="shared" si="174"/>
        <v>Usualmente</v>
      </c>
      <c r="AF417">
        <v>0</v>
      </c>
      <c r="AG417" t="str">
        <f t="shared" si="175"/>
        <v>Nunca</v>
      </c>
      <c r="AH417">
        <v>0</v>
      </c>
      <c r="AI417" t="str">
        <f t="shared" si="176"/>
        <v>No usa</v>
      </c>
      <c r="AJ417">
        <v>0</v>
      </c>
      <c r="AK417" t="str">
        <f t="shared" si="177"/>
        <v>No usa</v>
      </c>
      <c r="AL417">
        <v>0</v>
      </c>
      <c r="AM417" t="str">
        <f t="shared" si="178"/>
        <v>No usa</v>
      </c>
      <c r="AN417">
        <v>0</v>
      </c>
      <c r="AO417" t="str">
        <f t="shared" si="179"/>
        <v>No usa</v>
      </c>
      <c r="AP417">
        <v>1</v>
      </c>
      <c r="AQ417" t="str">
        <f t="shared" si="180"/>
        <v>Camina</v>
      </c>
      <c r="AR417">
        <v>0</v>
      </c>
      <c r="AS417" t="str">
        <f t="shared" si="181"/>
        <v>No es obeso</v>
      </c>
    </row>
    <row r="418" spans="1:45" x14ac:dyDescent="0.25">
      <c r="A418">
        <v>1</v>
      </c>
      <c r="B418" t="str">
        <f t="shared" si="156"/>
        <v>M</v>
      </c>
      <c r="C418">
        <v>34</v>
      </c>
      <c r="D418">
        <f t="shared" si="157"/>
        <v>34</v>
      </c>
      <c r="E418">
        <f t="shared" si="158"/>
        <v>34</v>
      </c>
      <c r="F418" t="str">
        <f t="shared" si="159"/>
        <v>25-50</v>
      </c>
      <c r="G418">
        <v>0</v>
      </c>
      <c r="H418" t="str">
        <f t="shared" si="160"/>
        <v>Pariente normal</v>
      </c>
      <c r="I418">
        <v>1</v>
      </c>
      <c r="J418" t="str">
        <f t="shared" si="161"/>
        <v>Hipercaloricos</v>
      </c>
      <c r="K418">
        <v>3</v>
      </c>
      <c r="L418">
        <f t="shared" si="162"/>
        <v>1</v>
      </c>
      <c r="M418" t="str">
        <f t="shared" si="163"/>
        <v>Suele comer</v>
      </c>
      <c r="N418">
        <v>3</v>
      </c>
      <c r="O418">
        <f t="shared" si="164"/>
        <v>2</v>
      </c>
      <c r="P418" t="str">
        <f t="shared" si="165"/>
        <v>Mas de 3</v>
      </c>
      <c r="Q418">
        <v>1</v>
      </c>
      <c r="R418" t="str">
        <f t="shared" si="166"/>
        <v>A veces</v>
      </c>
      <c r="S418">
        <v>0</v>
      </c>
      <c r="T418" t="str">
        <f t="shared" si="167"/>
        <v>No fuma</v>
      </c>
      <c r="U418">
        <v>1</v>
      </c>
      <c r="V418">
        <f t="shared" si="168"/>
        <v>1</v>
      </c>
      <c r="W418" t="str">
        <f t="shared" si="169"/>
        <v>Usualmente</v>
      </c>
      <c r="X418">
        <v>1</v>
      </c>
      <c r="Y418" t="str">
        <f t="shared" si="170"/>
        <v>Controla</v>
      </c>
      <c r="Z418">
        <v>2</v>
      </c>
      <c r="AA418">
        <f t="shared" si="171"/>
        <v>2</v>
      </c>
      <c r="AB418" t="str">
        <f t="shared" si="172"/>
        <v>Usualmente</v>
      </c>
      <c r="AC418">
        <v>0</v>
      </c>
      <c r="AD418">
        <f t="shared" si="173"/>
        <v>0</v>
      </c>
      <c r="AE418" t="str">
        <f t="shared" si="174"/>
        <v>Nunca</v>
      </c>
      <c r="AF418">
        <v>0</v>
      </c>
      <c r="AG418" t="str">
        <f t="shared" si="175"/>
        <v>Nunca</v>
      </c>
      <c r="AH418">
        <v>1</v>
      </c>
      <c r="AI418" t="str">
        <f t="shared" si="176"/>
        <v>Usa auto</v>
      </c>
      <c r="AJ418">
        <v>0</v>
      </c>
      <c r="AK418" t="str">
        <f t="shared" si="177"/>
        <v>No usa</v>
      </c>
      <c r="AL418">
        <v>0</v>
      </c>
      <c r="AM418" t="str">
        <f t="shared" si="178"/>
        <v>No usa</v>
      </c>
      <c r="AN418">
        <v>0</v>
      </c>
      <c r="AO418" t="str">
        <f t="shared" si="179"/>
        <v>No usa</v>
      </c>
      <c r="AP418">
        <v>0</v>
      </c>
      <c r="AQ418" t="str">
        <f t="shared" si="180"/>
        <v>No camina</v>
      </c>
      <c r="AR418">
        <v>0</v>
      </c>
      <c r="AS418" t="str">
        <f t="shared" si="181"/>
        <v>No es obeso</v>
      </c>
    </row>
    <row r="419" spans="1:45" x14ac:dyDescent="0.25">
      <c r="A419">
        <v>1</v>
      </c>
      <c r="B419" t="str">
        <f t="shared" si="156"/>
        <v>M</v>
      </c>
      <c r="C419">
        <v>18</v>
      </c>
      <c r="D419">
        <f t="shared" si="157"/>
        <v>18</v>
      </c>
      <c r="E419">
        <f t="shared" si="158"/>
        <v>18</v>
      </c>
      <c r="F419" t="str">
        <f t="shared" si="159"/>
        <v>1-25</v>
      </c>
      <c r="G419">
        <v>1</v>
      </c>
      <c r="H419" t="str">
        <f t="shared" si="160"/>
        <v>Pariente gordo</v>
      </c>
      <c r="I419">
        <v>1</v>
      </c>
      <c r="J419" t="str">
        <f t="shared" si="161"/>
        <v>Hipercaloricos</v>
      </c>
      <c r="K419">
        <v>3</v>
      </c>
      <c r="L419">
        <f t="shared" si="162"/>
        <v>1</v>
      </c>
      <c r="M419" t="str">
        <f t="shared" si="163"/>
        <v>Suele comer</v>
      </c>
      <c r="N419">
        <v>3</v>
      </c>
      <c r="O419">
        <f t="shared" si="164"/>
        <v>2</v>
      </c>
      <c r="P419" t="str">
        <f t="shared" si="165"/>
        <v>Mas de 3</v>
      </c>
      <c r="Q419">
        <v>1</v>
      </c>
      <c r="R419" t="str">
        <f t="shared" si="166"/>
        <v>A veces</v>
      </c>
      <c r="S419">
        <v>0</v>
      </c>
      <c r="T419" t="str">
        <f t="shared" si="167"/>
        <v>No fuma</v>
      </c>
      <c r="U419">
        <v>2</v>
      </c>
      <c r="V419">
        <f t="shared" si="168"/>
        <v>2</v>
      </c>
      <c r="W419" t="str">
        <f t="shared" si="169"/>
        <v>Siempre</v>
      </c>
      <c r="X419">
        <v>0</v>
      </c>
      <c r="Y419" t="str">
        <f t="shared" si="170"/>
        <v>No controla</v>
      </c>
      <c r="Z419">
        <v>1</v>
      </c>
      <c r="AA419">
        <f t="shared" si="171"/>
        <v>1</v>
      </c>
      <c r="AB419" t="str">
        <f t="shared" si="172"/>
        <v>A veces</v>
      </c>
      <c r="AC419">
        <v>1</v>
      </c>
      <c r="AD419">
        <f t="shared" si="173"/>
        <v>1</v>
      </c>
      <c r="AE419" t="str">
        <f t="shared" si="174"/>
        <v>Usualmente</v>
      </c>
      <c r="AF419">
        <v>2</v>
      </c>
      <c r="AG419" t="str">
        <f t="shared" si="175"/>
        <v>Usualmente</v>
      </c>
      <c r="AH419">
        <v>0</v>
      </c>
      <c r="AI419" t="str">
        <f t="shared" si="176"/>
        <v>No usa</v>
      </c>
      <c r="AJ419">
        <v>0</v>
      </c>
      <c r="AK419" t="str">
        <f t="shared" si="177"/>
        <v>No usa</v>
      </c>
      <c r="AL419">
        <v>0</v>
      </c>
      <c r="AM419" t="str">
        <f t="shared" si="178"/>
        <v>No usa</v>
      </c>
      <c r="AN419">
        <v>1</v>
      </c>
      <c r="AO419" t="str">
        <f t="shared" si="179"/>
        <v>Usa Transporte</v>
      </c>
      <c r="AP419">
        <v>0</v>
      </c>
      <c r="AQ419" t="str">
        <f t="shared" si="180"/>
        <v>No camina</v>
      </c>
      <c r="AR419">
        <v>0</v>
      </c>
      <c r="AS419" t="str">
        <f t="shared" si="181"/>
        <v>No es obeso</v>
      </c>
    </row>
    <row r="420" spans="1:45" x14ac:dyDescent="0.25">
      <c r="A420">
        <v>1</v>
      </c>
      <c r="B420" t="str">
        <f t="shared" si="156"/>
        <v>M</v>
      </c>
      <c r="C420">
        <v>18</v>
      </c>
      <c r="D420">
        <f t="shared" si="157"/>
        <v>18</v>
      </c>
      <c r="E420">
        <f t="shared" si="158"/>
        <v>18</v>
      </c>
      <c r="F420" t="str">
        <f t="shared" si="159"/>
        <v>1-25</v>
      </c>
      <c r="G420">
        <v>0</v>
      </c>
      <c r="H420" t="str">
        <f t="shared" si="160"/>
        <v>Pariente normal</v>
      </c>
      <c r="I420">
        <v>1</v>
      </c>
      <c r="J420" t="str">
        <f t="shared" si="161"/>
        <v>Hipercaloricos</v>
      </c>
      <c r="K420">
        <v>3</v>
      </c>
      <c r="L420">
        <f t="shared" si="162"/>
        <v>1</v>
      </c>
      <c r="M420" t="str">
        <f t="shared" si="163"/>
        <v>Suele comer</v>
      </c>
      <c r="N420">
        <v>3</v>
      </c>
      <c r="O420">
        <f t="shared" si="164"/>
        <v>2</v>
      </c>
      <c r="P420" t="str">
        <f t="shared" si="165"/>
        <v>Mas de 3</v>
      </c>
      <c r="Q420">
        <v>1</v>
      </c>
      <c r="R420" t="str">
        <f t="shared" si="166"/>
        <v>A veces</v>
      </c>
      <c r="S420">
        <v>0</v>
      </c>
      <c r="T420" t="str">
        <f t="shared" si="167"/>
        <v>No fuma</v>
      </c>
      <c r="U420">
        <v>2</v>
      </c>
      <c r="V420">
        <f t="shared" si="168"/>
        <v>2</v>
      </c>
      <c r="W420" t="str">
        <f t="shared" si="169"/>
        <v>Siempre</v>
      </c>
      <c r="X420">
        <v>0</v>
      </c>
      <c r="Y420" t="str">
        <f t="shared" si="170"/>
        <v>No controla</v>
      </c>
      <c r="Z420">
        <v>2</v>
      </c>
      <c r="AA420">
        <f t="shared" si="171"/>
        <v>2</v>
      </c>
      <c r="AB420" t="str">
        <f t="shared" si="172"/>
        <v>Usualmente</v>
      </c>
      <c r="AC420">
        <v>0</v>
      </c>
      <c r="AD420">
        <f t="shared" si="173"/>
        <v>0</v>
      </c>
      <c r="AE420" t="str">
        <f t="shared" si="174"/>
        <v>Nunca</v>
      </c>
      <c r="AF420">
        <v>1</v>
      </c>
      <c r="AG420" t="str">
        <f t="shared" si="175"/>
        <v>A veces</v>
      </c>
      <c r="AH420">
        <v>0</v>
      </c>
      <c r="AI420" t="str">
        <f t="shared" si="176"/>
        <v>No usa</v>
      </c>
      <c r="AJ420">
        <v>0</v>
      </c>
      <c r="AK420" t="str">
        <f t="shared" si="177"/>
        <v>No usa</v>
      </c>
      <c r="AL420">
        <v>0</v>
      </c>
      <c r="AM420" t="str">
        <f t="shared" si="178"/>
        <v>No usa</v>
      </c>
      <c r="AN420">
        <v>1</v>
      </c>
      <c r="AO420" t="str">
        <f t="shared" si="179"/>
        <v>Usa Transporte</v>
      </c>
      <c r="AP420">
        <v>0</v>
      </c>
      <c r="AQ420" t="str">
        <f t="shared" si="180"/>
        <v>No camina</v>
      </c>
      <c r="AR420">
        <v>1</v>
      </c>
      <c r="AS420" t="str">
        <f t="shared" si="181"/>
        <v>Es Obeso</v>
      </c>
    </row>
    <row r="421" spans="1:45" x14ac:dyDescent="0.25">
      <c r="A421">
        <v>1</v>
      </c>
      <c r="B421" t="str">
        <f t="shared" si="156"/>
        <v>M</v>
      </c>
      <c r="C421">
        <v>29</v>
      </c>
      <c r="D421">
        <f t="shared" si="157"/>
        <v>29</v>
      </c>
      <c r="E421">
        <f t="shared" si="158"/>
        <v>29</v>
      </c>
      <c r="F421" t="str">
        <f t="shared" si="159"/>
        <v>25-50</v>
      </c>
      <c r="G421">
        <v>1</v>
      </c>
      <c r="H421" t="str">
        <f t="shared" si="160"/>
        <v>Pariente gordo</v>
      </c>
      <c r="I421">
        <v>1</v>
      </c>
      <c r="J421" t="str">
        <f t="shared" si="161"/>
        <v>Hipercaloricos</v>
      </c>
      <c r="K421">
        <v>1</v>
      </c>
      <c r="L421">
        <f t="shared" si="162"/>
        <v>1</v>
      </c>
      <c r="M421" t="str">
        <f t="shared" si="163"/>
        <v>Suele comer</v>
      </c>
      <c r="N421">
        <v>3</v>
      </c>
      <c r="O421">
        <f t="shared" si="164"/>
        <v>2</v>
      </c>
      <c r="P421" t="str">
        <f t="shared" si="165"/>
        <v>Mas de 3</v>
      </c>
      <c r="Q421">
        <v>1</v>
      </c>
      <c r="R421" t="str">
        <f t="shared" si="166"/>
        <v>A veces</v>
      </c>
      <c r="S421">
        <v>0</v>
      </c>
      <c r="T421" t="str">
        <f t="shared" si="167"/>
        <v>No fuma</v>
      </c>
      <c r="U421">
        <v>1</v>
      </c>
      <c r="V421">
        <f t="shared" si="168"/>
        <v>1</v>
      </c>
      <c r="W421" t="str">
        <f t="shared" si="169"/>
        <v>Usualmente</v>
      </c>
      <c r="X421">
        <v>0</v>
      </c>
      <c r="Y421" t="str">
        <f t="shared" si="170"/>
        <v>No controla</v>
      </c>
      <c r="Z421">
        <v>0</v>
      </c>
      <c r="AA421">
        <f t="shared" si="171"/>
        <v>0</v>
      </c>
      <c r="AB421" t="str">
        <f t="shared" si="172"/>
        <v>Nunca</v>
      </c>
      <c r="AC421">
        <v>0</v>
      </c>
      <c r="AD421">
        <f t="shared" si="173"/>
        <v>0</v>
      </c>
      <c r="AE421" t="str">
        <f t="shared" si="174"/>
        <v>Nunca</v>
      </c>
      <c r="AF421">
        <v>1</v>
      </c>
      <c r="AG421" t="str">
        <f t="shared" si="175"/>
        <v>A veces</v>
      </c>
      <c r="AH421">
        <v>0</v>
      </c>
      <c r="AI421" t="str">
        <f t="shared" si="176"/>
        <v>No usa</v>
      </c>
      <c r="AJ421">
        <v>0</v>
      </c>
      <c r="AK421" t="str">
        <f t="shared" si="177"/>
        <v>No usa</v>
      </c>
      <c r="AL421">
        <v>0</v>
      </c>
      <c r="AM421" t="str">
        <f t="shared" si="178"/>
        <v>No usa</v>
      </c>
      <c r="AN421">
        <v>1</v>
      </c>
      <c r="AO421" t="str">
        <f t="shared" si="179"/>
        <v>Usa Transporte</v>
      </c>
      <c r="AP421">
        <v>0</v>
      </c>
      <c r="AQ421" t="str">
        <f t="shared" si="180"/>
        <v>No camina</v>
      </c>
      <c r="AR421">
        <v>1</v>
      </c>
      <c r="AS421" t="str">
        <f t="shared" si="181"/>
        <v>Es Obeso</v>
      </c>
    </row>
    <row r="422" spans="1:45" x14ac:dyDescent="0.25">
      <c r="A422">
        <v>1</v>
      </c>
      <c r="B422" t="str">
        <f t="shared" si="156"/>
        <v>M</v>
      </c>
      <c r="C422">
        <v>18</v>
      </c>
      <c r="D422">
        <f t="shared" si="157"/>
        <v>18</v>
      </c>
      <c r="E422">
        <f t="shared" si="158"/>
        <v>18</v>
      </c>
      <c r="F422" t="str">
        <f t="shared" si="159"/>
        <v>1-25</v>
      </c>
      <c r="G422">
        <v>1</v>
      </c>
      <c r="H422" t="str">
        <f t="shared" si="160"/>
        <v>Pariente gordo</v>
      </c>
      <c r="I422">
        <v>1</v>
      </c>
      <c r="J422" t="str">
        <f t="shared" si="161"/>
        <v>Hipercaloricos</v>
      </c>
      <c r="K422">
        <v>3</v>
      </c>
      <c r="L422">
        <f t="shared" si="162"/>
        <v>1</v>
      </c>
      <c r="M422" t="str">
        <f t="shared" si="163"/>
        <v>Suele comer</v>
      </c>
      <c r="N422">
        <v>4</v>
      </c>
      <c r="O422">
        <f t="shared" si="164"/>
        <v>2</v>
      </c>
      <c r="P422" t="str">
        <f t="shared" si="165"/>
        <v>Mas de 3</v>
      </c>
      <c r="Q422">
        <v>1</v>
      </c>
      <c r="R422" t="str">
        <f t="shared" si="166"/>
        <v>A veces</v>
      </c>
      <c r="S422">
        <v>0</v>
      </c>
      <c r="T422" t="str">
        <f t="shared" si="167"/>
        <v>No fuma</v>
      </c>
      <c r="U422">
        <v>2</v>
      </c>
      <c r="V422">
        <f t="shared" si="168"/>
        <v>2</v>
      </c>
      <c r="W422" t="str">
        <f t="shared" si="169"/>
        <v>Siempre</v>
      </c>
      <c r="X422">
        <v>1</v>
      </c>
      <c r="Y422" t="str">
        <f t="shared" si="170"/>
        <v>Controla</v>
      </c>
      <c r="Z422">
        <v>2</v>
      </c>
      <c r="AA422">
        <f t="shared" si="171"/>
        <v>2</v>
      </c>
      <c r="AB422" t="str">
        <f t="shared" si="172"/>
        <v>Usualmente</v>
      </c>
      <c r="AC422">
        <v>0</v>
      </c>
      <c r="AD422">
        <f t="shared" si="173"/>
        <v>0</v>
      </c>
      <c r="AE422" t="str">
        <f t="shared" si="174"/>
        <v>Nunca</v>
      </c>
      <c r="AF422">
        <v>1</v>
      </c>
      <c r="AG422" t="str">
        <f t="shared" si="175"/>
        <v>A veces</v>
      </c>
      <c r="AH422">
        <v>1</v>
      </c>
      <c r="AI422" t="str">
        <f t="shared" si="176"/>
        <v>Usa auto</v>
      </c>
      <c r="AJ422">
        <v>0</v>
      </c>
      <c r="AK422" t="str">
        <f t="shared" si="177"/>
        <v>No usa</v>
      </c>
      <c r="AL422">
        <v>0</v>
      </c>
      <c r="AM422" t="str">
        <f t="shared" si="178"/>
        <v>No usa</v>
      </c>
      <c r="AN422">
        <v>0</v>
      </c>
      <c r="AO422" t="str">
        <f t="shared" si="179"/>
        <v>No usa</v>
      </c>
      <c r="AP422">
        <v>0</v>
      </c>
      <c r="AQ422" t="str">
        <f t="shared" si="180"/>
        <v>No camina</v>
      </c>
      <c r="AR422">
        <v>0</v>
      </c>
      <c r="AS422" t="str">
        <f t="shared" si="181"/>
        <v>No es obeso</v>
      </c>
    </row>
    <row r="423" spans="1:45" x14ac:dyDescent="0.25">
      <c r="A423">
        <v>1</v>
      </c>
      <c r="B423" t="str">
        <f t="shared" si="156"/>
        <v>M</v>
      </c>
      <c r="C423">
        <v>18</v>
      </c>
      <c r="D423">
        <f t="shared" si="157"/>
        <v>18</v>
      </c>
      <c r="E423">
        <f t="shared" si="158"/>
        <v>18</v>
      </c>
      <c r="F423" t="str">
        <f t="shared" si="159"/>
        <v>1-25</v>
      </c>
      <c r="G423">
        <v>1</v>
      </c>
      <c r="H423" t="str">
        <f t="shared" si="160"/>
        <v>Pariente gordo</v>
      </c>
      <c r="I423">
        <v>1</v>
      </c>
      <c r="J423" t="str">
        <f t="shared" si="161"/>
        <v>Hipercaloricos</v>
      </c>
      <c r="K423">
        <v>3</v>
      </c>
      <c r="L423">
        <f t="shared" si="162"/>
        <v>1</v>
      </c>
      <c r="M423" t="str">
        <f t="shared" si="163"/>
        <v>Suele comer</v>
      </c>
      <c r="N423">
        <v>4</v>
      </c>
      <c r="O423">
        <f t="shared" si="164"/>
        <v>2</v>
      </c>
      <c r="P423" t="str">
        <f t="shared" si="165"/>
        <v>Mas de 3</v>
      </c>
      <c r="Q423">
        <v>1</v>
      </c>
      <c r="R423" t="str">
        <f t="shared" si="166"/>
        <v>A veces</v>
      </c>
      <c r="S423">
        <v>0</v>
      </c>
      <c r="T423" t="str">
        <f t="shared" si="167"/>
        <v>No fuma</v>
      </c>
      <c r="U423">
        <v>2</v>
      </c>
      <c r="V423">
        <f t="shared" si="168"/>
        <v>2</v>
      </c>
      <c r="W423" t="str">
        <f t="shared" si="169"/>
        <v>Siempre</v>
      </c>
      <c r="X423">
        <v>1</v>
      </c>
      <c r="Y423" t="str">
        <f t="shared" si="170"/>
        <v>Controla</v>
      </c>
      <c r="Z423">
        <v>2</v>
      </c>
      <c r="AA423">
        <f t="shared" si="171"/>
        <v>2</v>
      </c>
      <c r="AB423" t="str">
        <f t="shared" si="172"/>
        <v>Usualmente</v>
      </c>
      <c r="AC423">
        <v>0</v>
      </c>
      <c r="AD423">
        <f t="shared" si="173"/>
        <v>0</v>
      </c>
      <c r="AE423" t="str">
        <f t="shared" si="174"/>
        <v>Nunca</v>
      </c>
      <c r="AF423">
        <v>1</v>
      </c>
      <c r="AG423" t="str">
        <f t="shared" si="175"/>
        <v>A veces</v>
      </c>
      <c r="AH423">
        <v>1</v>
      </c>
      <c r="AI423" t="str">
        <f t="shared" si="176"/>
        <v>Usa auto</v>
      </c>
      <c r="AJ423">
        <v>0</v>
      </c>
      <c r="AK423" t="str">
        <f t="shared" si="177"/>
        <v>No usa</v>
      </c>
      <c r="AL423">
        <v>0</v>
      </c>
      <c r="AM423" t="str">
        <f t="shared" si="178"/>
        <v>No usa</v>
      </c>
      <c r="AN423">
        <v>0</v>
      </c>
      <c r="AO423" t="str">
        <f t="shared" si="179"/>
        <v>No usa</v>
      </c>
      <c r="AP423">
        <v>0</v>
      </c>
      <c r="AQ423" t="str">
        <f t="shared" si="180"/>
        <v>No camina</v>
      </c>
      <c r="AR423">
        <v>0</v>
      </c>
      <c r="AS423" t="str">
        <f t="shared" si="181"/>
        <v>No es obeso</v>
      </c>
    </row>
    <row r="424" spans="1:45" x14ac:dyDescent="0.25">
      <c r="A424">
        <v>1</v>
      </c>
      <c r="B424" t="str">
        <f t="shared" si="156"/>
        <v>M</v>
      </c>
      <c r="C424">
        <v>19</v>
      </c>
      <c r="D424">
        <f t="shared" si="157"/>
        <v>19</v>
      </c>
      <c r="E424">
        <f t="shared" si="158"/>
        <v>19</v>
      </c>
      <c r="F424" t="str">
        <f t="shared" si="159"/>
        <v>1-25</v>
      </c>
      <c r="G424">
        <v>0</v>
      </c>
      <c r="H424" t="str">
        <f t="shared" si="160"/>
        <v>Pariente normal</v>
      </c>
      <c r="I424">
        <v>1</v>
      </c>
      <c r="J424" t="str">
        <f t="shared" si="161"/>
        <v>Hipercaloricos</v>
      </c>
      <c r="K424">
        <v>2</v>
      </c>
      <c r="L424">
        <f t="shared" si="162"/>
        <v>1</v>
      </c>
      <c r="M424" t="str">
        <f t="shared" si="163"/>
        <v>Suele comer</v>
      </c>
      <c r="N424">
        <v>3</v>
      </c>
      <c r="O424">
        <f t="shared" si="164"/>
        <v>2</v>
      </c>
      <c r="P424" t="str">
        <f t="shared" si="165"/>
        <v>Mas de 3</v>
      </c>
      <c r="Q424">
        <v>1</v>
      </c>
      <c r="R424" t="str">
        <f t="shared" si="166"/>
        <v>A veces</v>
      </c>
      <c r="S424">
        <v>0</v>
      </c>
      <c r="T424" t="str">
        <f t="shared" si="167"/>
        <v>No fuma</v>
      </c>
      <c r="U424">
        <v>2</v>
      </c>
      <c r="V424">
        <f t="shared" si="168"/>
        <v>2</v>
      </c>
      <c r="W424" t="str">
        <f t="shared" si="169"/>
        <v>Siempre</v>
      </c>
      <c r="X424">
        <v>0</v>
      </c>
      <c r="Y424" t="str">
        <f t="shared" si="170"/>
        <v>No controla</v>
      </c>
      <c r="Z424">
        <v>2</v>
      </c>
      <c r="AA424">
        <f t="shared" si="171"/>
        <v>2</v>
      </c>
      <c r="AB424" t="str">
        <f t="shared" si="172"/>
        <v>Usualmente</v>
      </c>
      <c r="AC424">
        <v>0</v>
      </c>
      <c r="AD424">
        <f t="shared" si="173"/>
        <v>0</v>
      </c>
      <c r="AE424" t="str">
        <f t="shared" si="174"/>
        <v>Nunca</v>
      </c>
      <c r="AF424">
        <v>1</v>
      </c>
      <c r="AG424" t="str">
        <f t="shared" si="175"/>
        <v>A veces</v>
      </c>
      <c r="AH424">
        <v>0</v>
      </c>
      <c r="AI424" t="str">
        <f t="shared" si="176"/>
        <v>No usa</v>
      </c>
      <c r="AJ424">
        <v>1</v>
      </c>
      <c r="AK424" t="str">
        <f t="shared" si="177"/>
        <v>Usa Bici</v>
      </c>
      <c r="AL424">
        <v>0</v>
      </c>
      <c r="AM424" t="str">
        <f t="shared" si="178"/>
        <v>No usa</v>
      </c>
      <c r="AN424">
        <v>0</v>
      </c>
      <c r="AO424" t="str">
        <f t="shared" si="179"/>
        <v>No usa</v>
      </c>
      <c r="AP424">
        <v>0</v>
      </c>
      <c r="AQ424" t="str">
        <f t="shared" si="180"/>
        <v>No camina</v>
      </c>
      <c r="AR424">
        <v>0</v>
      </c>
      <c r="AS424" t="str">
        <f t="shared" si="181"/>
        <v>No es obeso</v>
      </c>
    </row>
    <row r="425" spans="1:45" x14ac:dyDescent="0.25">
      <c r="A425">
        <v>1</v>
      </c>
      <c r="B425" t="str">
        <f t="shared" si="156"/>
        <v>M</v>
      </c>
      <c r="C425">
        <v>33</v>
      </c>
      <c r="D425">
        <f t="shared" si="157"/>
        <v>33</v>
      </c>
      <c r="E425">
        <f t="shared" si="158"/>
        <v>33</v>
      </c>
      <c r="F425" t="str">
        <f t="shared" si="159"/>
        <v>25-50</v>
      </c>
      <c r="G425">
        <v>1</v>
      </c>
      <c r="H425" t="str">
        <f t="shared" si="160"/>
        <v>Pariente gordo</v>
      </c>
      <c r="I425">
        <v>1</v>
      </c>
      <c r="J425" t="str">
        <f t="shared" si="161"/>
        <v>Hipercaloricos</v>
      </c>
      <c r="K425">
        <v>2</v>
      </c>
      <c r="L425">
        <f t="shared" si="162"/>
        <v>1</v>
      </c>
      <c r="M425" t="str">
        <f t="shared" si="163"/>
        <v>Suele comer</v>
      </c>
      <c r="N425">
        <v>3</v>
      </c>
      <c r="O425">
        <f t="shared" si="164"/>
        <v>2</v>
      </c>
      <c r="P425" t="str">
        <f t="shared" si="165"/>
        <v>Mas de 3</v>
      </c>
      <c r="Q425">
        <v>1</v>
      </c>
      <c r="R425" t="str">
        <f t="shared" si="166"/>
        <v>A veces</v>
      </c>
      <c r="S425">
        <v>0</v>
      </c>
      <c r="T425" t="str">
        <f t="shared" si="167"/>
        <v>No fuma</v>
      </c>
      <c r="U425">
        <v>1</v>
      </c>
      <c r="V425">
        <f t="shared" si="168"/>
        <v>1</v>
      </c>
      <c r="W425" t="str">
        <f t="shared" si="169"/>
        <v>Usualmente</v>
      </c>
      <c r="X425">
        <v>0</v>
      </c>
      <c r="Y425" t="str">
        <f t="shared" si="170"/>
        <v>No controla</v>
      </c>
      <c r="Z425">
        <v>1</v>
      </c>
      <c r="AA425">
        <f t="shared" si="171"/>
        <v>1</v>
      </c>
      <c r="AB425" t="str">
        <f t="shared" si="172"/>
        <v>A veces</v>
      </c>
      <c r="AC425">
        <v>1</v>
      </c>
      <c r="AD425">
        <f t="shared" si="173"/>
        <v>1</v>
      </c>
      <c r="AE425" t="str">
        <f t="shared" si="174"/>
        <v>Usualmente</v>
      </c>
      <c r="AF425">
        <v>1</v>
      </c>
      <c r="AG425" t="str">
        <f t="shared" si="175"/>
        <v>A veces</v>
      </c>
      <c r="AH425">
        <v>0</v>
      </c>
      <c r="AI425" t="str">
        <f t="shared" si="176"/>
        <v>No usa</v>
      </c>
      <c r="AJ425">
        <v>0</v>
      </c>
      <c r="AK425" t="str">
        <f t="shared" si="177"/>
        <v>No usa</v>
      </c>
      <c r="AL425">
        <v>0</v>
      </c>
      <c r="AM425" t="str">
        <f t="shared" si="178"/>
        <v>No usa</v>
      </c>
      <c r="AN425">
        <v>0</v>
      </c>
      <c r="AO425" t="str">
        <f t="shared" si="179"/>
        <v>No usa</v>
      </c>
      <c r="AP425">
        <v>1</v>
      </c>
      <c r="AQ425" t="str">
        <f t="shared" si="180"/>
        <v>Camina</v>
      </c>
      <c r="AR425">
        <v>0</v>
      </c>
      <c r="AS425" t="str">
        <f t="shared" si="181"/>
        <v>No es obeso</v>
      </c>
    </row>
    <row r="426" spans="1:45" x14ac:dyDescent="0.25">
      <c r="A426">
        <v>1</v>
      </c>
      <c r="B426" t="str">
        <f t="shared" si="156"/>
        <v>M</v>
      </c>
      <c r="C426">
        <v>33</v>
      </c>
      <c r="D426">
        <f t="shared" si="157"/>
        <v>33</v>
      </c>
      <c r="E426">
        <f t="shared" si="158"/>
        <v>33</v>
      </c>
      <c r="F426" t="str">
        <f t="shared" si="159"/>
        <v>25-50</v>
      </c>
      <c r="G426">
        <v>0</v>
      </c>
      <c r="H426" t="str">
        <f t="shared" si="160"/>
        <v>Pariente normal</v>
      </c>
      <c r="I426">
        <v>0</v>
      </c>
      <c r="J426" t="str">
        <f t="shared" si="161"/>
        <v>Saludables</v>
      </c>
      <c r="K426">
        <v>2</v>
      </c>
      <c r="L426">
        <f t="shared" si="162"/>
        <v>1</v>
      </c>
      <c r="M426" t="str">
        <f t="shared" si="163"/>
        <v>Suele comer</v>
      </c>
      <c r="N426">
        <v>3</v>
      </c>
      <c r="O426">
        <f t="shared" si="164"/>
        <v>2</v>
      </c>
      <c r="P426" t="str">
        <f t="shared" si="165"/>
        <v>Mas de 3</v>
      </c>
      <c r="Q426">
        <v>1</v>
      </c>
      <c r="R426" t="str">
        <f t="shared" si="166"/>
        <v>A veces</v>
      </c>
      <c r="S426">
        <v>0</v>
      </c>
      <c r="T426" t="str">
        <f t="shared" si="167"/>
        <v>No fuma</v>
      </c>
      <c r="U426">
        <v>1</v>
      </c>
      <c r="V426">
        <f t="shared" si="168"/>
        <v>1</v>
      </c>
      <c r="W426" t="str">
        <f t="shared" si="169"/>
        <v>Usualmente</v>
      </c>
      <c r="X426">
        <v>0</v>
      </c>
      <c r="Y426" t="str">
        <f t="shared" si="170"/>
        <v>No controla</v>
      </c>
      <c r="Z426">
        <v>0</v>
      </c>
      <c r="AA426">
        <f t="shared" si="171"/>
        <v>0</v>
      </c>
      <c r="AB426" t="str">
        <f t="shared" si="172"/>
        <v>Nunca</v>
      </c>
      <c r="AC426">
        <v>2</v>
      </c>
      <c r="AD426">
        <f t="shared" si="173"/>
        <v>2</v>
      </c>
      <c r="AE426" t="str">
        <f t="shared" si="174"/>
        <v>Siempre</v>
      </c>
      <c r="AF426">
        <v>1</v>
      </c>
      <c r="AG426" t="str">
        <f t="shared" si="175"/>
        <v>A veces</v>
      </c>
      <c r="AH426">
        <v>0</v>
      </c>
      <c r="AI426" t="str">
        <f t="shared" si="176"/>
        <v>No usa</v>
      </c>
      <c r="AJ426">
        <v>0</v>
      </c>
      <c r="AK426" t="str">
        <f t="shared" si="177"/>
        <v>No usa</v>
      </c>
      <c r="AL426">
        <v>0</v>
      </c>
      <c r="AM426" t="str">
        <f t="shared" si="178"/>
        <v>No usa</v>
      </c>
      <c r="AN426">
        <v>0</v>
      </c>
      <c r="AO426" t="str">
        <f t="shared" si="179"/>
        <v>No usa</v>
      </c>
      <c r="AP426">
        <v>1</v>
      </c>
      <c r="AQ426" t="str">
        <f t="shared" si="180"/>
        <v>Camina</v>
      </c>
      <c r="AR426">
        <v>0</v>
      </c>
      <c r="AS426" t="str">
        <f t="shared" si="181"/>
        <v>No es obeso</v>
      </c>
    </row>
    <row r="427" spans="1:45" x14ac:dyDescent="0.25">
      <c r="A427">
        <v>0</v>
      </c>
      <c r="B427" t="str">
        <f t="shared" si="156"/>
        <v>F</v>
      </c>
      <c r="C427">
        <v>19</v>
      </c>
      <c r="D427">
        <f t="shared" si="157"/>
        <v>19</v>
      </c>
      <c r="E427">
        <f t="shared" si="158"/>
        <v>19</v>
      </c>
      <c r="F427" t="str">
        <f t="shared" si="159"/>
        <v>1-25</v>
      </c>
      <c r="G427">
        <v>1</v>
      </c>
      <c r="H427" t="str">
        <f t="shared" si="160"/>
        <v>Pariente gordo</v>
      </c>
      <c r="I427">
        <v>1</v>
      </c>
      <c r="J427" t="str">
        <f t="shared" si="161"/>
        <v>Hipercaloricos</v>
      </c>
      <c r="K427">
        <v>2</v>
      </c>
      <c r="L427">
        <f t="shared" si="162"/>
        <v>1</v>
      </c>
      <c r="M427" t="str">
        <f t="shared" si="163"/>
        <v>Suele comer</v>
      </c>
      <c r="N427">
        <v>3</v>
      </c>
      <c r="O427">
        <f t="shared" si="164"/>
        <v>2</v>
      </c>
      <c r="P427" t="str">
        <f t="shared" si="165"/>
        <v>Mas de 3</v>
      </c>
      <c r="Q427">
        <v>3</v>
      </c>
      <c r="R427" t="str">
        <f t="shared" si="166"/>
        <v>Siempre</v>
      </c>
      <c r="S427">
        <v>0</v>
      </c>
      <c r="T427" t="str">
        <f t="shared" si="167"/>
        <v>No fuma</v>
      </c>
      <c r="U427">
        <v>2</v>
      </c>
      <c r="V427">
        <f t="shared" si="168"/>
        <v>2</v>
      </c>
      <c r="W427" t="str">
        <f t="shared" si="169"/>
        <v>Siempre</v>
      </c>
      <c r="X427">
        <v>0</v>
      </c>
      <c r="Y427" t="str">
        <f t="shared" si="170"/>
        <v>No controla</v>
      </c>
      <c r="Z427">
        <v>2</v>
      </c>
      <c r="AA427">
        <f t="shared" si="171"/>
        <v>2</v>
      </c>
      <c r="AB427" t="str">
        <f t="shared" si="172"/>
        <v>Usualmente</v>
      </c>
      <c r="AC427">
        <v>1</v>
      </c>
      <c r="AD427">
        <f t="shared" si="173"/>
        <v>1</v>
      </c>
      <c r="AE427" t="str">
        <f t="shared" si="174"/>
        <v>Usualmente</v>
      </c>
      <c r="AF427">
        <v>1</v>
      </c>
      <c r="AG427" t="str">
        <f t="shared" si="175"/>
        <v>A veces</v>
      </c>
      <c r="AH427">
        <v>0</v>
      </c>
      <c r="AI427" t="str">
        <f t="shared" si="176"/>
        <v>No usa</v>
      </c>
      <c r="AJ427">
        <v>0</v>
      </c>
      <c r="AK427" t="str">
        <f t="shared" si="177"/>
        <v>No usa</v>
      </c>
      <c r="AL427">
        <v>0</v>
      </c>
      <c r="AM427" t="str">
        <f t="shared" si="178"/>
        <v>No usa</v>
      </c>
      <c r="AN427">
        <v>1</v>
      </c>
      <c r="AO427" t="str">
        <f t="shared" si="179"/>
        <v>Usa Transporte</v>
      </c>
      <c r="AP427">
        <v>0</v>
      </c>
      <c r="AQ427" t="str">
        <f t="shared" si="180"/>
        <v>No camina</v>
      </c>
      <c r="AR427">
        <v>0</v>
      </c>
      <c r="AS427" t="str">
        <f t="shared" si="181"/>
        <v>No es obeso</v>
      </c>
    </row>
    <row r="428" spans="1:45" x14ac:dyDescent="0.25">
      <c r="A428">
        <v>1</v>
      </c>
      <c r="B428" t="str">
        <f t="shared" si="156"/>
        <v>M</v>
      </c>
      <c r="C428">
        <v>22</v>
      </c>
      <c r="D428">
        <f t="shared" si="157"/>
        <v>22</v>
      </c>
      <c r="E428">
        <f t="shared" si="158"/>
        <v>22</v>
      </c>
      <c r="F428" t="str">
        <f t="shared" si="159"/>
        <v>1-25</v>
      </c>
      <c r="G428">
        <v>0</v>
      </c>
      <c r="H428" t="str">
        <f t="shared" si="160"/>
        <v>Pariente normal</v>
      </c>
      <c r="I428">
        <v>0</v>
      </c>
      <c r="J428" t="str">
        <f t="shared" si="161"/>
        <v>Saludables</v>
      </c>
      <c r="K428">
        <v>2</v>
      </c>
      <c r="L428">
        <f t="shared" si="162"/>
        <v>1</v>
      </c>
      <c r="M428" t="str">
        <f t="shared" si="163"/>
        <v>Suele comer</v>
      </c>
      <c r="N428">
        <v>3</v>
      </c>
      <c r="O428">
        <f t="shared" si="164"/>
        <v>2</v>
      </c>
      <c r="P428" t="str">
        <f t="shared" si="165"/>
        <v>Mas de 3</v>
      </c>
      <c r="Q428">
        <v>1</v>
      </c>
      <c r="R428" t="str">
        <f t="shared" si="166"/>
        <v>A veces</v>
      </c>
      <c r="S428">
        <v>0</v>
      </c>
      <c r="T428" t="str">
        <f t="shared" si="167"/>
        <v>No fuma</v>
      </c>
      <c r="U428">
        <v>3</v>
      </c>
      <c r="V428">
        <f t="shared" si="168"/>
        <v>2</v>
      </c>
      <c r="W428" t="str">
        <f t="shared" si="169"/>
        <v>Siempre</v>
      </c>
      <c r="X428">
        <v>0</v>
      </c>
      <c r="Y428" t="str">
        <f t="shared" si="170"/>
        <v>No controla</v>
      </c>
      <c r="Z428">
        <v>1</v>
      </c>
      <c r="AA428">
        <f t="shared" si="171"/>
        <v>1</v>
      </c>
      <c r="AB428" t="str">
        <f t="shared" si="172"/>
        <v>A veces</v>
      </c>
      <c r="AC428">
        <v>1</v>
      </c>
      <c r="AD428">
        <f t="shared" si="173"/>
        <v>1</v>
      </c>
      <c r="AE428" t="str">
        <f t="shared" si="174"/>
        <v>Usualmente</v>
      </c>
      <c r="AF428">
        <v>0</v>
      </c>
      <c r="AG428" t="str">
        <f t="shared" si="175"/>
        <v>Nunca</v>
      </c>
      <c r="AH428">
        <v>0</v>
      </c>
      <c r="AI428" t="str">
        <f t="shared" si="176"/>
        <v>No usa</v>
      </c>
      <c r="AJ428">
        <v>0</v>
      </c>
      <c r="AK428" t="str">
        <f t="shared" si="177"/>
        <v>No usa</v>
      </c>
      <c r="AL428">
        <v>0</v>
      </c>
      <c r="AM428" t="str">
        <f t="shared" si="178"/>
        <v>No usa</v>
      </c>
      <c r="AN428">
        <v>1</v>
      </c>
      <c r="AO428" t="str">
        <f t="shared" si="179"/>
        <v>Usa Transporte</v>
      </c>
      <c r="AP428">
        <v>0</v>
      </c>
      <c r="AQ428" t="str">
        <f t="shared" si="180"/>
        <v>No camina</v>
      </c>
      <c r="AR428">
        <v>0</v>
      </c>
      <c r="AS428" t="str">
        <f t="shared" si="181"/>
        <v>No es obeso</v>
      </c>
    </row>
    <row r="429" spans="1:45" x14ac:dyDescent="0.25">
      <c r="A429">
        <v>0</v>
      </c>
      <c r="B429" t="str">
        <f t="shared" si="156"/>
        <v>F</v>
      </c>
      <c r="C429">
        <v>20</v>
      </c>
      <c r="D429">
        <f t="shared" si="157"/>
        <v>20</v>
      </c>
      <c r="E429">
        <f t="shared" si="158"/>
        <v>20</v>
      </c>
      <c r="F429" t="str">
        <f t="shared" si="159"/>
        <v>1-25</v>
      </c>
      <c r="G429">
        <v>0</v>
      </c>
      <c r="H429" t="str">
        <f t="shared" si="160"/>
        <v>Pariente normal</v>
      </c>
      <c r="I429">
        <v>1</v>
      </c>
      <c r="J429" t="str">
        <f t="shared" si="161"/>
        <v>Hipercaloricos</v>
      </c>
      <c r="K429">
        <v>3</v>
      </c>
      <c r="L429">
        <f t="shared" si="162"/>
        <v>1</v>
      </c>
      <c r="M429" t="str">
        <f t="shared" si="163"/>
        <v>Suele comer</v>
      </c>
      <c r="N429">
        <v>3</v>
      </c>
      <c r="O429">
        <f t="shared" si="164"/>
        <v>2</v>
      </c>
      <c r="P429" t="str">
        <f t="shared" si="165"/>
        <v>Mas de 3</v>
      </c>
      <c r="Q429">
        <v>0</v>
      </c>
      <c r="R429" t="str">
        <f t="shared" si="166"/>
        <v>Nunca</v>
      </c>
      <c r="S429">
        <v>0</v>
      </c>
      <c r="T429" t="str">
        <f t="shared" si="167"/>
        <v>No fuma</v>
      </c>
      <c r="U429">
        <v>2</v>
      </c>
      <c r="V429">
        <f t="shared" si="168"/>
        <v>2</v>
      </c>
      <c r="W429" t="str">
        <f t="shared" si="169"/>
        <v>Siempre</v>
      </c>
      <c r="X429">
        <v>0</v>
      </c>
      <c r="Y429" t="str">
        <f t="shared" si="170"/>
        <v>No controla</v>
      </c>
      <c r="Z429">
        <v>3</v>
      </c>
      <c r="AA429">
        <f t="shared" si="171"/>
        <v>3</v>
      </c>
      <c r="AB429" t="str">
        <f t="shared" si="172"/>
        <v>Siempre</v>
      </c>
      <c r="AC429">
        <v>0</v>
      </c>
      <c r="AD429">
        <f t="shared" si="173"/>
        <v>0</v>
      </c>
      <c r="AE429" t="str">
        <f t="shared" si="174"/>
        <v>Nunca</v>
      </c>
      <c r="AF429">
        <v>1</v>
      </c>
      <c r="AG429" t="str">
        <f t="shared" si="175"/>
        <v>A veces</v>
      </c>
      <c r="AH429">
        <v>0</v>
      </c>
      <c r="AI429" t="str">
        <f t="shared" si="176"/>
        <v>No usa</v>
      </c>
      <c r="AJ429">
        <v>0</v>
      </c>
      <c r="AK429" t="str">
        <f t="shared" si="177"/>
        <v>No usa</v>
      </c>
      <c r="AL429">
        <v>0</v>
      </c>
      <c r="AM429" t="str">
        <f t="shared" si="178"/>
        <v>No usa</v>
      </c>
      <c r="AN429">
        <v>1</v>
      </c>
      <c r="AO429" t="str">
        <f t="shared" si="179"/>
        <v>Usa Transporte</v>
      </c>
      <c r="AP429">
        <v>0</v>
      </c>
      <c r="AQ429" t="str">
        <f t="shared" si="180"/>
        <v>No camina</v>
      </c>
      <c r="AR429">
        <v>0</v>
      </c>
      <c r="AS429" t="str">
        <f t="shared" si="181"/>
        <v>No es obeso</v>
      </c>
    </row>
    <row r="430" spans="1:45" x14ac:dyDescent="0.25">
      <c r="A430">
        <v>1</v>
      </c>
      <c r="B430" t="str">
        <f t="shared" si="156"/>
        <v>M</v>
      </c>
      <c r="C430">
        <v>23</v>
      </c>
      <c r="D430">
        <f t="shared" si="157"/>
        <v>23</v>
      </c>
      <c r="E430">
        <f t="shared" si="158"/>
        <v>23</v>
      </c>
      <c r="F430" t="str">
        <f t="shared" si="159"/>
        <v>1-25</v>
      </c>
      <c r="G430">
        <v>0</v>
      </c>
      <c r="H430" t="str">
        <f t="shared" si="160"/>
        <v>Pariente normal</v>
      </c>
      <c r="I430">
        <v>1</v>
      </c>
      <c r="J430" t="str">
        <f t="shared" si="161"/>
        <v>Hipercaloricos</v>
      </c>
      <c r="K430">
        <v>3</v>
      </c>
      <c r="L430">
        <f t="shared" si="162"/>
        <v>1</v>
      </c>
      <c r="M430" t="str">
        <f t="shared" si="163"/>
        <v>Suele comer</v>
      </c>
      <c r="N430">
        <v>1</v>
      </c>
      <c r="O430">
        <f t="shared" si="164"/>
        <v>1</v>
      </c>
      <c r="P430">
        <f t="shared" si="165"/>
        <v>3</v>
      </c>
      <c r="Q430">
        <v>2</v>
      </c>
      <c r="R430" t="str">
        <f t="shared" si="166"/>
        <v>Usualmente</v>
      </c>
      <c r="S430">
        <v>0</v>
      </c>
      <c r="T430" t="str">
        <f t="shared" si="167"/>
        <v>No fuma</v>
      </c>
      <c r="U430">
        <v>1</v>
      </c>
      <c r="V430">
        <f t="shared" si="168"/>
        <v>1</v>
      </c>
      <c r="W430" t="str">
        <f t="shared" si="169"/>
        <v>Usualmente</v>
      </c>
      <c r="X430">
        <v>0</v>
      </c>
      <c r="Y430" t="str">
        <f t="shared" si="170"/>
        <v>No controla</v>
      </c>
      <c r="Z430">
        <v>2</v>
      </c>
      <c r="AA430">
        <f t="shared" si="171"/>
        <v>2</v>
      </c>
      <c r="AB430" t="str">
        <f t="shared" si="172"/>
        <v>Usualmente</v>
      </c>
      <c r="AC430">
        <v>1</v>
      </c>
      <c r="AD430">
        <f t="shared" si="173"/>
        <v>1</v>
      </c>
      <c r="AE430" t="str">
        <f t="shared" si="174"/>
        <v>Usualmente</v>
      </c>
      <c r="AF430">
        <v>1</v>
      </c>
      <c r="AG430" t="str">
        <f t="shared" si="175"/>
        <v>A veces</v>
      </c>
      <c r="AH430">
        <v>0</v>
      </c>
      <c r="AI430" t="str">
        <f t="shared" si="176"/>
        <v>No usa</v>
      </c>
      <c r="AJ430">
        <v>0</v>
      </c>
      <c r="AK430" t="str">
        <f t="shared" si="177"/>
        <v>No usa</v>
      </c>
      <c r="AL430">
        <v>0</v>
      </c>
      <c r="AM430" t="str">
        <f t="shared" si="178"/>
        <v>No usa</v>
      </c>
      <c r="AN430">
        <v>1</v>
      </c>
      <c r="AO430" t="str">
        <f t="shared" si="179"/>
        <v>Usa Transporte</v>
      </c>
      <c r="AP430">
        <v>0</v>
      </c>
      <c r="AQ430" t="str">
        <f t="shared" si="180"/>
        <v>No camina</v>
      </c>
      <c r="AR430">
        <v>0</v>
      </c>
      <c r="AS430" t="str">
        <f t="shared" si="181"/>
        <v>No es obeso</v>
      </c>
    </row>
    <row r="431" spans="1:45" x14ac:dyDescent="0.25">
      <c r="A431">
        <v>1</v>
      </c>
      <c r="B431" t="str">
        <f t="shared" si="156"/>
        <v>M</v>
      </c>
      <c r="C431">
        <v>26</v>
      </c>
      <c r="D431">
        <f t="shared" si="157"/>
        <v>26</v>
      </c>
      <c r="E431">
        <f t="shared" si="158"/>
        <v>26</v>
      </c>
      <c r="F431" t="str">
        <f t="shared" si="159"/>
        <v>25-50</v>
      </c>
      <c r="G431">
        <v>1</v>
      </c>
      <c r="H431" t="str">
        <f t="shared" si="160"/>
        <v>Pariente gordo</v>
      </c>
      <c r="I431">
        <v>1</v>
      </c>
      <c r="J431" t="str">
        <f t="shared" si="161"/>
        <v>Hipercaloricos</v>
      </c>
      <c r="K431">
        <v>2</v>
      </c>
      <c r="L431">
        <f t="shared" si="162"/>
        <v>1</v>
      </c>
      <c r="M431" t="str">
        <f t="shared" si="163"/>
        <v>Suele comer</v>
      </c>
      <c r="N431">
        <v>3</v>
      </c>
      <c r="O431">
        <f t="shared" si="164"/>
        <v>2</v>
      </c>
      <c r="P431" t="str">
        <f t="shared" si="165"/>
        <v>Mas de 3</v>
      </c>
      <c r="Q431">
        <v>2</v>
      </c>
      <c r="R431" t="str">
        <f t="shared" si="166"/>
        <v>Usualmente</v>
      </c>
      <c r="S431">
        <v>0</v>
      </c>
      <c r="T431" t="str">
        <f t="shared" si="167"/>
        <v>No fuma</v>
      </c>
      <c r="U431">
        <v>1</v>
      </c>
      <c r="V431">
        <f t="shared" si="168"/>
        <v>1</v>
      </c>
      <c r="W431" t="str">
        <f t="shared" si="169"/>
        <v>Usualmente</v>
      </c>
      <c r="X431">
        <v>1</v>
      </c>
      <c r="Y431" t="str">
        <f t="shared" si="170"/>
        <v>Controla</v>
      </c>
      <c r="Z431">
        <v>1</v>
      </c>
      <c r="AA431">
        <f t="shared" si="171"/>
        <v>1</v>
      </c>
      <c r="AB431" t="str">
        <f t="shared" si="172"/>
        <v>A veces</v>
      </c>
      <c r="AC431">
        <v>0</v>
      </c>
      <c r="AD431">
        <f t="shared" si="173"/>
        <v>0</v>
      </c>
      <c r="AE431" t="str">
        <f t="shared" si="174"/>
        <v>Nunca</v>
      </c>
      <c r="AF431">
        <v>1</v>
      </c>
      <c r="AG431" t="str">
        <f t="shared" si="175"/>
        <v>A veces</v>
      </c>
      <c r="AH431">
        <v>1</v>
      </c>
      <c r="AI431" t="str">
        <f t="shared" si="176"/>
        <v>Usa auto</v>
      </c>
      <c r="AJ431">
        <v>0</v>
      </c>
      <c r="AK431" t="str">
        <f t="shared" si="177"/>
        <v>No usa</v>
      </c>
      <c r="AL431">
        <v>0</v>
      </c>
      <c r="AM431" t="str">
        <f t="shared" si="178"/>
        <v>No usa</v>
      </c>
      <c r="AN431">
        <v>0</v>
      </c>
      <c r="AO431" t="str">
        <f t="shared" si="179"/>
        <v>No usa</v>
      </c>
      <c r="AP431">
        <v>0</v>
      </c>
      <c r="AQ431" t="str">
        <f t="shared" si="180"/>
        <v>No camina</v>
      </c>
      <c r="AR431">
        <v>0</v>
      </c>
      <c r="AS431" t="str">
        <f t="shared" si="181"/>
        <v>No es obeso</v>
      </c>
    </row>
    <row r="432" spans="1:45" x14ac:dyDescent="0.25">
      <c r="A432">
        <v>1</v>
      </c>
      <c r="B432" t="str">
        <f t="shared" si="156"/>
        <v>M</v>
      </c>
      <c r="C432">
        <v>18</v>
      </c>
      <c r="D432">
        <f t="shared" si="157"/>
        <v>18</v>
      </c>
      <c r="E432">
        <f t="shared" si="158"/>
        <v>18</v>
      </c>
      <c r="F432" t="str">
        <f t="shared" si="159"/>
        <v>1-25</v>
      </c>
      <c r="G432">
        <v>0</v>
      </c>
      <c r="H432" t="str">
        <f t="shared" si="160"/>
        <v>Pariente normal</v>
      </c>
      <c r="I432">
        <v>1</v>
      </c>
      <c r="J432" t="str">
        <f t="shared" si="161"/>
        <v>Hipercaloricos</v>
      </c>
      <c r="K432">
        <v>2</v>
      </c>
      <c r="L432">
        <f t="shared" si="162"/>
        <v>1</v>
      </c>
      <c r="M432" t="str">
        <f t="shared" si="163"/>
        <v>Suele comer</v>
      </c>
      <c r="N432">
        <v>3</v>
      </c>
      <c r="O432">
        <f t="shared" si="164"/>
        <v>2</v>
      </c>
      <c r="P432" t="str">
        <f t="shared" si="165"/>
        <v>Mas de 3</v>
      </c>
      <c r="Q432">
        <v>1</v>
      </c>
      <c r="R432" t="str">
        <f t="shared" si="166"/>
        <v>A veces</v>
      </c>
      <c r="S432">
        <v>0</v>
      </c>
      <c r="T432" t="str">
        <f t="shared" si="167"/>
        <v>No fuma</v>
      </c>
      <c r="U432">
        <v>1</v>
      </c>
      <c r="V432">
        <f t="shared" si="168"/>
        <v>1</v>
      </c>
      <c r="W432" t="str">
        <f t="shared" si="169"/>
        <v>Usualmente</v>
      </c>
      <c r="X432">
        <v>0</v>
      </c>
      <c r="Y432" t="str">
        <f t="shared" si="170"/>
        <v>No controla</v>
      </c>
      <c r="Z432">
        <v>1</v>
      </c>
      <c r="AA432">
        <f t="shared" si="171"/>
        <v>1</v>
      </c>
      <c r="AB432" t="str">
        <f t="shared" si="172"/>
        <v>A veces</v>
      </c>
      <c r="AC432">
        <v>0</v>
      </c>
      <c r="AD432">
        <f t="shared" si="173"/>
        <v>0</v>
      </c>
      <c r="AE432" t="str">
        <f t="shared" si="174"/>
        <v>Nunca</v>
      </c>
      <c r="AF432">
        <v>1</v>
      </c>
      <c r="AG432" t="str">
        <f t="shared" si="175"/>
        <v>A veces</v>
      </c>
      <c r="AH432">
        <v>0</v>
      </c>
      <c r="AI432" t="str">
        <f t="shared" si="176"/>
        <v>No usa</v>
      </c>
      <c r="AJ432">
        <v>0</v>
      </c>
      <c r="AK432" t="str">
        <f t="shared" si="177"/>
        <v>No usa</v>
      </c>
      <c r="AL432">
        <v>0</v>
      </c>
      <c r="AM432" t="str">
        <f t="shared" si="178"/>
        <v>No usa</v>
      </c>
      <c r="AN432">
        <v>1</v>
      </c>
      <c r="AO432" t="str">
        <f t="shared" si="179"/>
        <v>Usa Transporte</v>
      </c>
      <c r="AP432">
        <v>0</v>
      </c>
      <c r="AQ432" t="str">
        <f t="shared" si="180"/>
        <v>No camina</v>
      </c>
      <c r="AR432">
        <v>1</v>
      </c>
      <c r="AS432" t="str">
        <f t="shared" si="181"/>
        <v>Es Obeso</v>
      </c>
    </row>
    <row r="433" spans="1:45" x14ac:dyDescent="0.25">
      <c r="A433">
        <v>0</v>
      </c>
      <c r="B433" t="str">
        <f t="shared" si="156"/>
        <v>F</v>
      </c>
      <c r="C433">
        <v>18</v>
      </c>
      <c r="D433">
        <f t="shared" si="157"/>
        <v>18</v>
      </c>
      <c r="E433">
        <f t="shared" si="158"/>
        <v>18</v>
      </c>
      <c r="F433" t="str">
        <f t="shared" si="159"/>
        <v>1-25</v>
      </c>
      <c r="G433">
        <v>0</v>
      </c>
      <c r="H433" t="str">
        <f t="shared" si="160"/>
        <v>Pariente normal</v>
      </c>
      <c r="I433">
        <v>1</v>
      </c>
      <c r="J433" t="str">
        <f t="shared" si="161"/>
        <v>Hipercaloricos</v>
      </c>
      <c r="K433">
        <v>2</v>
      </c>
      <c r="L433">
        <f t="shared" si="162"/>
        <v>1</v>
      </c>
      <c r="M433" t="str">
        <f t="shared" si="163"/>
        <v>Suele comer</v>
      </c>
      <c r="N433">
        <v>4</v>
      </c>
      <c r="O433">
        <f t="shared" si="164"/>
        <v>2</v>
      </c>
      <c r="P433" t="str">
        <f t="shared" si="165"/>
        <v>Mas de 3</v>
      </c>
      <c r="Q433">
        <v>2</v>
      </c>
      <c r="R433" t="str">
        <f t="shared" si="166"/>
        <v>Usualmente</v>
      </c>
      <c r="S433">
        <v>0</v>
      </c>
      <c r="T433" t="str">
        <f t="shared" si="167"/>
        <v>No fuma</v>
      </c>
      <c r="U433">
        <v>2</v>
      </c>
      <c r="V433">
        <f t="shared" si="168"/>
        <v>2</v>
      </c>
      <c r="W433" t="str">
        <f t="shared" si="169"/>
        <v>Siempre</v>
      </c>
      <c r="X433">
        <v>0</v>
      </c>
      <c r="Y433" t="str">
        <f t="shared" si="170"/>
        <v>No controla</v>
      </c>
      <c r="Z433">
        <v>2</v>
      </c>
      <c r="AA433">
        <f t="shared" si="171"/>
        <v>2</v>
      </c>
      <c r="AB433" t="str">
        <f t="shared" si="172"/>
        <v>Usualmente</v>
      </c>
      <c r="AC433">
        <v>1</v>
      </c>
      <c r="AD433">
        <f t="shared" si="173"/>
        <v>1</v>
      </c>
      <c r="AE433" t="str">
        <f t="shared" si="174"/>
        <v>Usualmente</v>
      </c>
      <c r="AF433">
        <v>1</v>
      </c>
      <c r="AG433" t="str">
        <f t="shared" si="175"/>
        <v>A veces</v>
      </c>
      <c r="AH433">
        <v>0</v>
      </c>
      <c r="AI433" t="str">
        <f t="shared" si="176"/>
        <v>No usa</v>
      </c>
      <c r="AJ433">
        <v>0</v>
      </c>
      <c r="AK433" t="str">
        <f t="shared" si="177"/>
        <v>No usa</v>
      </c>
      <c r="AL433">
        <v>0</v>
      </c>
      <c r="AM433" t="str">
        <f t="shared" si="178"/>
        <v>No usa</v>
      </c>
      <c r="AN433">
        <v>1</v>
      </c>
      <c r="AO433" t="str">
        <f t="shared" si="179"/>
        <v>Usa Transporte</v>
      </c>
      <c r="AP433">
        <v>0</v>
      </c>
      <c r="AQ433" t="str">
        <f t="shared" si="180"/>
        <v>No camina</v>
      </c>
      <c r="AR433">
        <v>0</v>
      </c>
      <c r="AS433" t="str">
        <f t="shared" si="181"/>
        <v>No es obeso</v>
      </c>
    </row>
    <row r="434" spans="1:45" x14ac:dyDescent="0.25">
      <c r="A434">
        <v>1</v>
      </c>
      <c r="B434" t="str">
        <f t="shared" si="156"/>
        <v>M</v>
      </c>
      <c r="C434">
        <v>19</v>
      </c>
      <c r="D434">
        <f t="shared" si="157"/>
        <v>19</v>
      </c>
      <c r="E434">
        <f t="shared" si="158"/>
        <v>19</v>
      </c>
      <c r="F434" t="str">
        <f t="shared" si="159"/>
        <v>1-25</v>
      </c>
      <c r="G434">
        <v>0</v>
      </c>
      <c r="H434" t="str">
        <f t="shared" si="160"/>
        <v>Pariente normal</v>
      </c>
      <c r="I434">
        <v>1</v>
      </c>
      <c r="J434" t="str">
        <f t="shared" si="161"/>
        <v>Hipercaloricos</v>
      </c>
      <c r="K434">
        <v>3</v>
      </c>
      <c r="L434">
        <f t="shared" si="162"/>
        <v>1</v>
      </c>
      <c r="M434" t="str">
        <f t="shared" si="163"/>
        <v>Suele comer</v>
      </c>
      <c r="N434">
        <v>3</v>
      </c>
      <c r="O434">
        <f t="shared" si="164"/>
        <v>2</v>
      </c>
      <c r="P434" t="str">
        <f t="shared" si="165"/>
        <v>Mas de 3</v>
      </c>
      <c r="Q434">
        <v>2</v>
      </c>
      <c r="R434" t="str">
        <f t="shared" si="166"/>
        <v>Usualmente</v>
      </c>
      <c r="S434">
        <v>0</v>
      </c>
      <c r="T434" t="str">
        <f t="shared" si="167"/>
        <v>No fuma</v>
      </c>
      <c r="U434">
        <v>1</v>
      </c>
      <c r="V434">
        <f t="shared" si="168"/>
        <v>1</v>
      </c>
      <c r="W434" t="str">
        <f t="shared" si="169"/>
        <v>Usualmente</v>
      </c>
      <c r="X434">
        <v>0</v>
      </c>
      <c r="Y434" t="str">
        <f t="shared" si="170"/>
        <v>No controla</v>
      </c>
      <c r="Z434">
        <v>2</v>
      </c>
      <c r="AA434">
        <f t="shared" si="171"/>
        <v>2</v>
      </c>
      <c r="AB434" t="str">
        <f t="shared" si="172"/>
        <v>Usualmente</v>
      </c>
      <c r="AC434">
        <v>0</v>
      </c>
      <c r="AD434">
        <f t="shared" si="173"/>
        <v>0</v>
      </c>
      <c r="AE434" t="str">
        <f t="shared" si="174"/>
        <v>Nunca</v>
      </c>
      <c r="AF434">
        <v>0</v>
      </c>
      <c r="AG434" t="str">
        <f t="shared" si="175"/>
        <v>Nunca</v>
      </c>
      <c r="AH434">
        <v>0</v>
      </c>
      <c r="AI434" t="str">
        <f t="shared" si="176"/>
        <v>No usa</v>
      </c>
      <c r="AJ434">
        <v>0</v>
      </c>
      <c r="AK434" t="str">
        <f t="shared" si="177"/>
        <v>No usa</v>
      </c>
      <c r="AL434">
        <v>0</v>
      </c>
      <c r="AM434" t="str">
        <f t="shared" si="178"/>
        <v>No usa</v>
      </c>
      <c r="AN434">
        <v>1</v>
      </c>
      <c r="AO434" t="str">
        <f t="shared" si="179"/>
        <v>Usa Transporte</v>
      </c>
      <c r="AP434">
        <v>0</v>
      </c>
      <c r="AQ434" t="str">
        <f t="shared" si="180"/>
        <v>No camina</v>
      </c>
      <c r="AR434">
        <v>0</v>
      </c>
      <c r="AS434" t="str">
        <f t="shared" si="181"/>
        <v>No es obeso</v>
      </c>
    </row>
    <row r="435" spans="1:45" x14ac:dyDescent="0.25">
      <c r="A435">
        <v>0</v>
      </c>
      <c r="B435" t="str">
        <f t="shared" si="156"/>
        <v>F</v>
      </c>
      <c r="C435">
        <v>18</v>
      </c>
      <c r="D435">
        <f t="shared" si="157"/>
        <v>18</v>
      </c>
      <c r="E435">
        <f t="shared" si="158"/>
        <v>18</v>
      </c>
      <c r="F435" t="str">
        <f t="shared" si="159"/>
        <v>1-25</v>
      </c>
      <c r="G435">
        <v>1</v>
      </c>
      <c r="H435" t="str">
        <f t="shared" si="160"/>
        <v>Pariente gordo</v>
      </c>
      <c r="I435">
        <v>1</v>
      </c>
      <c r="J435" t="str">
        <f t="shared" si="161"/>
        <v>Hipercaloricos</v>
      </c>
      <c r="K435">
        <v>2</v>
      </c>
      <c r="L435">
        <f t="shared" si="162"/>
        <v>1</v>
      </c>
      <c r="M435" t="str">
        <f t="shared" si="163"/>
        <v>Suele comer</v>
      </c>
      <c r="N435">
        <v>3</v>
      </c>
      <c r="O435">
        <f t="shared" si="164"/>
        <v>2</v>
      </c>
      <c r="P435" t="str">
        <f t="shared" si="165"/>
        <v>Mas de 3</v>
      </c>
      <c r="Q435">
        <v>1</v>
      </c>
      <c r="R435" t="str">
        <f t="shared" si="166"/>
        <v>A veces</v>
      </c>
      <c r="S435">
        <v>0</v>
      </c>
      <c r="T435" t="str">
        <f t="shared" si="167"/>
        <v>No fuma</v>
      </c>
      <c r="U435">
        <v>1</v>
      </c>
      <c r="V435">
        <f t="shared" si="168"/>
        <v>1</v>
      </c>
      <c r="W435" t="str">
        <f t="shared" si="169"/>
        <v>Usualmente</v>
      </c>
      <c r="X435">
        <v>0</v>
      </c>
      <c r="Y435" t="str">
        <f t="shared" si="170"/>
        <v>No controla</v>
      </c>
      <c r="Z435">
        <v>1</v>
      </c>
      <c r="AA435">
        <f t="shared" si="171"/>
        <v>1</v>
      </c>
      <c r="AB435" t="str">
        <f t="shared" si="172"/>
        <v>A veces</v>
      </c>
      <c r="AC435">
        <v>1</v>
      </c>
      <c r="AD435">
        <f t="shared" si="173"/>
        <v>1</v>
      </c>
      <c r="AE435" t="str">
        <f t="shared" si="174"/>
        <v>Usualmente</v>
      </c>
      <c r="AF435">
        <v>1</v>
      </c>
      <c r="AG435" t="str">
        <f t="shared" si="175"/>
        <v>A veces</v>
      </c>
      <c r="AH435">
        <v>0</v>
      </c>
      <c r="AI435" t="str">
        <f t="shared" si="176"/>
        <v>No usa</v>
      </c>
      <c r="AJ435">
        <v>0</v>
      </c>
      <c r="AK435" t="str">
        <f t="shared" si="177"/>
        <v>No usa</v>
      </c>
      <c r="AL435">
        <v>0</v>
      </c>
      <c r="AM435" t="str">
        <f t="shared" si="178"/>
        <v>No usa</v>
      </c>
      <c r="AN435">
        <v>1</v>
      </c>
      <c r="AO435" t="str">
        <f t="shared" si="179"/>
        <v>Usa Transporte</v>
      </c>
      <c r="AP435">
        <v>0</v>
      </c>
      <c r="AQ435" t="str">
        <f t="shared" si="180"/>
        <v>No camina</v>
      </c>
      <c r="AR435">
        <v>0</v>
      </c>
      <c r="AS435" t="str">
        <f t="shared" si="181"/>
        <v>No es obeso</v>
      </c>
    </row>
    <row r="436" spans="1:45" x14ac:dyDescent="0.25">
      <c r="A436">
        <v>1</v>
      </c>
      <c r="B436" t="str">
        <f t="shared" si="156"/>
        <v>M</v>
      </c>
      <c r="C436">
        <v>19</v>
      </c>
      <c r="D436">
        <f t="shared" si="157"/>
        <v>19</v>
      </c>
      <c r="E436">
        <f t="shared" si="158"/>
        <v>19</v>
      </c>
      <c r="F436" t="str">
        <f t="shared" si="159"/>
        <v>1-25</v>
      </c>
      <c r="G436">
        <v>0</v>
      </c>
      <c r="H436" t="str">
        <f t="shared" si="160"/>
        <v>Pariente normal</v>
      </c>
      <c r="I436">
        <v>1</v>
      </c>
      <c r="J436" t="str">
        <f t="shared" si="161"/>
        <v>Hipercaloricos</v>
      </c>
      <c r="K436">
        <v>2</v>
      </c>
      <c r="L436">
        <f t="shared" si="162"/>
        <v>1</v>
      </c>
      <c r="M436" t="str">
        <f t="shared" si="163"/>
        <v>Suele comer</v>
      </c>
      <c r="N436">
        <v>4</v>
      </c>
      <c r="O436">
        <f t="shared" si="164"/>
        <v>2</v>
      </c>
      <c r="P436" t="str">
        <f t="shared" si="165"/>
        <v>Mas de 3</v>
      </c>
      <c r="Q436">
        <v>2</v>
      </c>
      <c r="R436" t="str">
        <f t="shared" si="166"/>
        <v>Usualmente</v>
      </c>
      <c r="S436">
        <v>0</v>
      </c>
      <c r="T436" t="str">
        <f t="shared" si="167"/>
        <v>No fuma</v>
      </c>
      <c r="U436">
        <v>2</v>
      </c>
      <c r="V436">
        <f t="shared" si="168"/>
        <v>2</v>
      </c>
      <c r="W436" t="str">
        <f t="shared" si="169"/>
        <v>Siempre</v>
      </c>
      <c r="X436">
        <v>0</v>
      </c>
      <c r="Y436" t="str">
        <f t="shared" si="170"/>
        <v>No controla</v>
      </c>
      <c r="Z436">
        <v>3</v>
      </c>
      <c r="AA436">
        <f t="shared" si="171"/>
        <v>3</v>
      </c>
      <c r="AB436" t="str">
        <f t="shared" si="172"/>
        <v>Siempre</v>
      </c>
      <c r="AC436">
        <v>1</v>
      </c>
      <c r="AD436">
        <f t="shared" si="173"/>
        <v>1</v>
      </c>
      <c r="AE436" t="str">
        <f t="shared" si="174"/>
        <v>Usualmente</v>
      </c>
      <c r="AF436">
        <v>2</v>
      </c>
      <c r="AG436" t="str">
        <f t="shared" si="175"/>
        <v>Usualmente</v>
      </c>
      <c r="AH436">
        <v>1</v>
      </c>
      <c r="AI436" t="str">
        <f t="shared" si="176"/>
        <v>Usa auto</v>
      </c>
      <c r="AJ436">
        <v>0</v>
      </c>
      <c r="AK436" t="str">
        <f t="shared" si="177"/>
        <v>No usa</v>
      </c>
      <c r="AL436">
        <v>0</v>
      </c>
      <c r="AM436" t="str">
        <f t="shared" si="178"/>
        <v>No usa</v>
      </c>
      <c r="AN436">
        <v>0</v>
      </c>
      <c r="AO436" t="str">
        <f t="shared" si="179"/>
        <v>No usa</v>
      </c>
      <c r="AP436">
        <v>0</v>
      </c>
      <c r="AQ436" t="str">
        <f t="shared" si="180"/>
        <v>No camina</v>
      </c>
      <c r="AR436">
        <v>0</v>
      </c>
      <c r="AS436" t="str">
        <f t="shared" si="181"/>
        <v>No es obeso</v>
      </c>
    </row>
    <row r="437" spans="1:45" x14ac:dyDescent="0.25">
      <c r="A437">
        <v>0</v>
      </c>
      <c r="B437" t="str">
        <f t="shared" si="156"/>
        <v>F</v>
      </c>
      <c r="C437">
        <v>19</v>
      </c>
      <c r="D437">
        <f t="shared" si="157"/>
        <v>19</v>
      </c>
      <c r="E437">
        <f t="shared" si="158"/>
        <v>19</v>
      </c>
      <c r="F437" t="str">
        <f t="shared" si="159"/>
        <v>1-25</v>
      </c>
      <c r="G437">
        <v>1</v>
      </c>
      <c r="H437" t="str">
        <f t="shared" si="160"/>
        <v>Pariente gordo</v>
      </c>
      <c r="I437">
        <v>1</v>
      </c>
      <c r="J437" t="str">
        <f t="shared" si="161"/>
        <v>Hipercaloricos</v>
      </c>
      <c r="K437">
        <v>2</v>
      </c>
      <c r="L437">
        <f t="shared" si="162"/>
        <v>1</v>
      </c>
      <c r="M437" t="str">
        <f t="shared" si="163"/>
        <v>Suele comer</v>
      </c>
      <c r="N437">
        <v>1</v>
      </c>
      <c r="O437">
        <f t="shared" si="164"/>
        <v>1</v>
      </c>
      <c r="P437">
        <f t="shared" si="165"/>
        <v>3</v>
      </c>
      <c r="Q437">
        <v>1</v>
      </c>
      <c r="R437" t="str">
        <f t="shared" si="166"/>
        <v>A veces</v>
      </c>
      <c r="S437">
        <v>0</v>
      </c>
      <c r="T437" t="str">
        <f t="shared" si="167"/>
        <v>No fuma</v>
      </c>
      <c r="U437">
        <v>3</v>
      </c>
      <c r="V437">
        <f t="shared" si="168"/>
        <v>2</v>
      </c>
      <c r="W437" t="str">
        <f t="shared" si="169"/>
        <v>Siempre</v>
      </c>
      <c r="X437">
        <v>0</v>
      </c>
      <c r="Y437" t="str">
        <f t="shared" si="170"/>
        <v>No controla</v>
      </c>
      <c r="Z437">
        <v>3</v>
      </c>
      <c r="AA437">
        <f t="shared" si="171"/>
        <v>3</v>
      </c>
      <c r="AB437" t="str">
        <f t="shared" si="172"/>
        <v>Siempre</v>
      </c>
      <c r="AC437">
        <v>1</v>
      </c>
      <c r="AD437">
        <f t="shared" si="173"/>
        <v>1</v>
      </c>
      <c r="AE437" t="str">
        <f t="shared" si="174"/>
        <v>Usualmente</v>
      </c>
      <c r="AF437">
        <v>0</v>
      </c>
      <c r="AG437" t="str">
        <f t="shared" si="175"/>
        <v>Nunca</v>
      </c>
      <c r="AH437">
        <v>0</v>
      </c>
      <c r="AI437" t="str">
        <f t="shared" si="176"/>
        <v>No usa</v>
      </c>
      <c r="AJ437">
        <v>0</v>
      </c>
      <c r="AK437" t="str">
        <f t="shared" si="177"/>
        <v>No usa</v>
      </c>
      <c r="AL437">
        <v>0</v>
      </c>
      <c r="AM437" t="str">
        <f t="shared" si="178"/>
        <v>No usa</v>
      </c>
      <c r="AN437">
        <v>1</v>
      </c>
      <c r="AO437" t="str">
        <f t="shared" si="179"/>
        <v>Usa Transporte</v>
      </c>
      <c r="AP437">
        <v>0</v>
      </c>
      <c r="AQ437" t="str">
        <f t="shared" si="180"/>
        <v>No camina</v>
      </c>
      <c r="AR437">
        <v>0</v>
      </c>
      <c r="AS437" t="str">
        <f t="shared" si="181"/>
        <v>No es obeso</v>
      </c>
    </row>
    <row r="438" spans="1:45" x14ac:dyDescent="0.25">
      <c r="A438">
        <v>0</v>
      </c>
      <c r="B438" t="str">
        <f t="shared" si="156"/>
        <v>F</v>
      </c>
      <c r="C438">
        <v>18</v>
      </c>
      <c r="D438">
        <f t="shared" si="157"/>
        <v>18</v>
      </c>
      <c r="E438">
        <f t="shared" si="158"/>
        <v>18</v>
      </c>
      <c r="F438" t="str">
        <f t="shared" si="159"/>
        <v>1-25</v>
      </c>
      <c r="G438">
        <v>0</v>
      </c>
      <c r="H438" t="str">
        <f t="shared" si="160"/>
        <v>Pariente normal</v>
      </c>
      <c r="I438">
        <v>1</v>
      </c>
      <c r="J438" t="str">
        <f t="shared" si="161"/>
        <v>Hipercaloricos</v>
      </c>
      <c r="K438">
        <v>2</v>
      </c>
      <c r="L438">
        <f t="shared" si="162"/>
        <v>1</v>
      </c>
      <c r="M438" t="str">
        <f t="shared" si="163"/>
        <v>Suele comer</v>
      </c>
      <c r="N438">
        <v>3</v>
      </c>
      <c r="O438">
        <f t="shared" si="164"/>
        <v>2</v>
      </c>
      <c r="P438" t="str">
        <f t="shared" si="165"/>
        <v>Mas de 3</v>
      </c>
      <c r="Q438">
        <v>1</v>
      </c>
      <c r="R438" t="str">
        <f t="shared" si="166"/>
        <v>A veces</v>
      </c>
      <c r="S438">
        <v>0</v>
      </c>
      <c r="T438" t="str">
        <f t="shared" si="167"/>
        <v>No fuma</v>
      </c>
      <c r="U438">
        <v>1</v>
      </c>
      <c r="V438">
        <f t="shared" si="168"/>
        <v>1</v>
      </c>
      <c r="W438" t="str">
        <f t="shared" si="169"/>
        <v>Usualmente</v>
      </c>
      <c r="X438">
        <v>0</v>
      </c>
      <c r="Y438" t="str">
        <f t="shared" si="170"/>
        <v>No controla</v>
      </c>
      <c r="Z438">
        <v>0</v>
      </c>
      <c r="AA438">
        <f t="shared" si="171"/>
        <v>0</v>
      </c>
      <c r="AB438" t="str">
        <f t="shared" si="172"/>
        <v>Nunca</v>
      </c>
      <c r="AC438">
        <v>0</v>
      </c>
      <c r="AD438">
        <f t="shared" si="173"/>
        <v>0</v>
      </c>
      <c r="AE438" t="str">
        <f t="shared" si="174"/>
        <v>Nunca</v>
      </c>
      <c r="AF438">
        <v>2</v>
      </c>
      <c r="AG438" t="str">
        <f t="shared" si="175"/>
        <v>Usualmente</v>
      </c>
      <c r="AH438">
        <v>1</v>
      </c>
      <c r="AI438" t="str">
        <f t="shared" si="176"/>
        <v>Usa auto</v>
      </c>
      <c r="AJ438">
        <v>0</v>
      </c>
      <c r="AK438" t="str">
        <f t="shared" si="177"/>
        <v>No usa</v>
      </c>
      <c r="AL438">
        <v>0</v>
      </c>
      <c r="AM438" t="str">
        <f t="shared" si="178"/>
        <v>No usa</v>
      </c>
      <c r="AN438">
        <v>0</v>
      </c>
      <c r="AO438" t="str">
        <f t="shared" si="179"/>
        <v>No usa</v>
      </c>
      <c r="AP438">
        <v>0</v>
      </c>
      <c r="AQ438" t="str">
        <f t="shared" si="180"/>
        <v>No camina</v>
      </c>
      <c r="AR438">
        <v>0</v>
      </c>
      <c r="AS438" t="str">
        <f t="shared" si="181"/>
        <v>No es obeso</v>
      </c>
    </row>
    <row r="439" spans="1:45" x14ac:dyDescent="0.25">
      <c r="A439">
        <v>0</v>
      </c>
      <c r="B439" t="str">
        <f t="shared" si="156"/>
        <v>F</v>
      </c>
      <c r="C439">
        <v>18</v>
      </c>
      <c r="D439">
        <f t="shared" si="157"/>
        <v>18</v>
      </c>
      <c r="E439">
        <f t="shared" si="158"/>
        <v>18</v>
      </c>
      <c r="F439" t="str">
        <f t="shared" si="159"/>
        <v>1-25</v>
      </c>
      <c r="G439">
        <v>1</v>
      </c>
      <c r="H439" t="str">
        <f t="shared" si="160"/>
        <v>Pariente gordo</v>
      </c>
      <c r="I439">
        <v>1</v>
      </c>
      <c r="J439" t="str">
        <f t="shared" si="161"/>
        <v>Hipercaloricos</v>
      </c>
      <c r="K439">
        <v>2</v>
      </c>
      <c r="L439">
        <f t="shared" si="162"/>
        <v>1</v>
      </c>
      <c r="M439" t="str">
        <f t="shared" si="163"/>
        <v>Suele comer</v>
      </c>
      <c r="N439">
        <v>1</v>
      </c>
      <c r="O439">
        <f t="shared" si="164"/>
        <v>1</v>
      </c>
      <c r="P439">
        <f t="shared" si="165"/>
        <v>3</v>
      </c>
      <c r="Q439">
        <v>3</v>
      </c>
      <c r="R439" t="str">
        <f t="shared" si="166"/>
        <v>Siempre</v>
      </c>
      <c r="S439">
        <v>0</v>
      </c>
      <c r="T439" t="str">
        <f t="shared" si="167"/>
        <v>No fuma</v>
      </c>
      <c r="U439">
        <v>2</v>
      </c>
      <c r="V439">
        <f t="shared" si="168"/>
        <v>2</v>
      </c>
      <c r="W439" t="str">
        <f t="shared" si="169"/>
        <v>Siempre</v>
      </c>
      <c r="X439">
        <v>0</v>
      </c>
      <c r="Y439" t="str">
        <f t="shared" si="170"/>
        <v>No controla</v>
      </c>
      <c r="Z439">
        <v>1</v>
      </c>
      <c r="AA439">
        <f t="shared" si="171"/>
        <v>1</v>
      </c>
      <c r="AB439" t="str">
        <f t="shared" si="172"/>
        <v>A veces</v>
      </c>
      <c r="AC439">
        <v>0</v>
      </c>
      <c r="AD439">
        <f t="shared" si="173"/>
        <v>0</v>
      </c>
      <c r="AE439" t="str">
        <f t="shared" si="174"/>
        <v>Nunca</v>
      </c>
      <c r="AF439">
        <v>1</v>
      </c>
      <c r="AG439" t="str">
        <f t="shared" si="175"/>
        <v>A veces</v>
      </c>
      <c r="AH439">
        <v>0</v>
      </c>
      <c r="AI439" t="str">
        <f t="shared" si="176"/>
        <v>No usa</v>
      </c>
      <c r="AJ439">
        <v>0</v>
      </c>
      <c r="AK439" t="str">
        <f t="shared" si="177"/>
        <v>No usa</v>
      </c>
      <c r="AL439">
        <v>0</v>
      </c>
      <c r="AM439" t="str">
        <f t="shared" si="178"/>
        <v>No usa</v>
      </c>
      <c r="AN439">
        <v>0</v>
      </c>
      <c r="AO439" t="str">
        <f t="shared" si="179"/>
        <v>No usa</v>
      </c>
      <c r="AP439">
        <v>1</v>
      </c>
      <c r="AQ439" t="str">
        <f t="shared" si="180"/>
        <v>Camina</v>
      </c>
      <c r="AR439">
        <v>0</v>
      </c>
      <c r="AS439" t="str">
        <f t="shared" si="181"/>
        <v>No es obeso</v>
      </c>
    </row>
    <row r="440" spans="1:45" x14ac:dyDescent="0.25">
      <c r="A440">
        <v>0</v>
      </c>
      <c r="B440" t="str">
        <f t="shared" si="156"/>
        <v>F</v>
      </c>
      <c r="C440">
        <v>19</v>
      </c>
      <c r="D440">
        <f t="shared" si="157"/>
        <v>19</v>
      </c>
      <c r="E440">
        <f t="shared" si="158"/>
        <v>19</v>
      </c>
      <c r="F440" t="str">
        <f t="shared" si="159"/>
        <v>1-25</v>
      </c>
      <c r="G440">
        <v>0</v>
      </c>
      <c r="H440" t="str">
        <f t="shared" si="160"/>
        <v>Pariente normal</v>
      </c>
      <c r="I440">
        <v>1</v>
      </c>
      <c r="J440" t="str">
        <f t="shared" si="161"/>
        <v>Hipercaloricos</v>
      </c>
      <c r="K440">
        <v>3</v>
      </c>
      <c r="L440">
        <f t="shared" si="162"/>
        <v>1</v>
      </c>
      <c r="M440" t="str">
        <f t="shared" si="163"/>
        <v>Suele comer</v>
      </c>
      <c r="N440">
        <v>3</v>
      </c>
      <c r="O440">
        <f t="shared" si="164"/>
        <v>2</v>
      </c>
      <c r="P440" t="str">
        <f t="shared" si="165"/>
        <v>Mas de 3</v>
      </c>
      <c r="Q440">
        <v>1</v>
      </c>
      <c r="R440" t="str">
        <f t="shared" si="166"/>
        <v>A veces</v>
      </c>
      <c r="S440">
        <v>0</v>
      </c>
      <c r="T440" t="str">
        <f t="shared" si="167"/>
        <v>No fuma</v>
      </c>
      <c r="U440">
        <v>2</v>
      </c>
      <c r="V440">
        <f t="shared" si="168"/>
        <v>2</v>
      </c>
      <c r="W440" t="str">
        <f t="shared" si="169"/>
        <v>Siempre</v>
      </c>
      <c r="X440">
        <v>0</v>
      </c>
      <c r="Y440" t="str">
        <f t="shared" si="170"/>
        <v>No controla</v>
      </c>
      <c r="Z440">
        <v>2</v>
      </c>
      <c r="AA440">
        <f t="shared" si="171"/>
        <v>2</v>
      </c>
      <c r="AB440" t="str">
        <f t="shared" si="172"/>
        <v>Usualmente</v>
      </c>
      <c r="AC440">
        <v>1</v>
      </c>
      <c r="AD440">
        <f t="shared" si="173"/>
        <v>1</v>
      </c>
      <c r="AE440" t="str">
        <f t="shared" si="174"/>
        <v>Usualmente</v>
      </c>
      <c r="AF440">
        <v>1</v>
      </c>
      <c r="AG440" t="str">
        <f t="shared" si="175"/>
        <v>A veces</v>
      </c>
      <c r="AH440">
        <v>1</v>
      </c>
      <c r="AI440" t="str">
        <f t="shared" si="176"/>
        <v>Usa auto</v>
      </c>
      <c r="AJ440">
        <v>0</v>
      </c>
      <c r="AK440" t="str">
        <f t="shared" si="177"/>
        <v>No usa</v>
      </c>
      <c r="AL440">
        <v>0</v>
      </c>
      <c r="AM440" t="str">
        <f t="shared" si="178"/>
        <v>No usa</v>
      </c>
      <c r="AN440">
        <v>0</v>
      </c>
      <c r="AO440" t="str">
        <f t="shared" si="179"/>
        <v>No usa</v>
      </c>
      <c r="AP440">
        <v>0</v>
      </c>
      <c r="AQ440" t="str">
        <f t="shared" si="180"/>
        <v>No camina</v>
      </c>
      <c r="AR440">
        <v>0</v>
      </c>
      <c r="AS440" t="str">
        <f t="shared" si="181"/>
        <v>No es obeso</v>
      </c>
    </row>
    <row r="441" spans="1:45" x14ac:dyDescent="0.25">
      <c r="A441">
        <v>0</v>
      </c>
      <c r="B441" t="str">
        <f t="shared" si="156"/>
        <v>F</v>
      </c>
      <c r="C441">
        <v>19</v>
      </c>
      <c r="D441">
        <f t="shared" si="157"/>
        <v>19</v>
      </c>
      <c r="E441">
        <f t="shared" si="158"/>
        <v>19</v>
      </c>
      <c r="F441" t="str">
        <f t="shared" si="159"/>
        <v>1-25</v>
      </c>
      <c r="G441">
        <v>0</v>
      </c>
      <c r="H441" t="str">
        <f t="shared" si="160"/>
        <v>Pariente normal</v>
      </c>
      <c r="I441">
        <v>1</v>
      </c>
      <c r="J441" t="str">
        <f t="shared" si="161"/>
        <v>Hipercaloricos</v>
      </c>
      <c r="K441">
        <v>2</v>
      </c>
      <c r="L441">
        <f t="shared" si="162"/>
        <v>1</v>
      </c>
      <c r="M441" t="str">
        <f t="shared" si="163"/>
        <v>Suele comer</v>
      </c>
      <c r="N441">
        <v>3</v>
      </c>
      <c r="O441">
        <f t="shared" si="164"/>
        <v>2</v>
      </c>
      <c r="P441" t="str">
        <f t="shared" si="165"/>
        <v>Mas de 3</v>
      </c>
      <c r="Q441">
        <v>2</v>
      </c>
      <c r="R441" t="str">
        <f t="shared" si="166"/>
        <v>Usualmente</v>
      </c>
      <c r="S441">
        <v>0</v>
      </c>
      <c r="T441" t="str">
        <f t="shared" si="167"/>
        <v>No fuma</v>
      </c>
      <c r="U441">
        <v>2</v>
      </c>
      <c r="V441">
        <f t="shared" si="168"/>
        <v>2</v>
      </c>
      <c r="W441" t="str">
        <f t="shared" si="169"/>
        <v>Siempre</v>
      </c>
      <c r="X441">
        <v>0</v>
      </c>
      <c r="Y441" t="str">
        <f t="shared" si="170"/>
        <v>No controla</v>
      </c>
      <c r="Z441">
        <v>0</v>
      </c>
      <c r="AA441">
        <f t="shared" si="171"/>
        <v>0</v>
      </c>
      <c r="AB441" t="str">
        <f t="shared" si="172"/>
        <v>Nunca</v>
      </c>
      <c r="AC441">
        <v>1</v>
      </c>
      <c r="AD441">
        <f t="shared" si="173"/>
        <v>1</v>
      </c>
      <c r="AE441" t="str">
        <f t="shared" si="174"/>
        <v>Usualmente</v>
      </c>
      <c r="AF441">
        <v>1</v>
      </c>
      <c r="AG441" t="str">
        <f t="shared" si="175"/>
        <v>A veces</v>
      </c>
      <c r="AH441">
        <v>0</v>
      </c>
      <c r="AI441" t="str">
        <f t="shared" si="176"/>
        <v>No usa</v>
      </c>
      <c r="AJ441">
        <v>0</v>
      </c>
      <c r="AK441" t="str">
        <f t="shared" si="177"/>
        <v>No usa</v>
      </c>
      <c r="AL441">
        <v>0</v>
      </c>
      <c r="AM441" t="str">
        <f t="shared" si="178"/>
        <v>No usa</v>
      </c>
      <c r="AN441">
        <v>1</v>
      </c>
      <c r="AO441" t="str">
        <f t="shared" si="179"/>
        <v>Usa Transporte</v>
      </c>
      <c r="AP441">
        <v>0</v>
      </c>
      <c r="AQ441" t="str">
        <f t="shared" si="180"/>
        <v>No camina</v>
      </c>
      <c r="AR441">
        <v>0</v>
      </c>
      <c r="AS441" t="str">
        <f t="shared" si="181"/>
        <v>No es obeso</v>
      </c>
    </row>
    <row r="442" spans="1:45" x14ac:dyDescent="0.25">
      <c r="A442">
        <v>0</v>
      </c>
      <c r="B442" t="str">
        <f t="shared" si="156"/>
        <v>F</v>
      </c>
      <c r="C442">
        <v>18</v>
      </c>
      <c r="D442">
        <f t="shared" si="157"/>
        <v>18</v>
      </c>
      <c r="E442">
        <f t="shared" si="158"/>
        <v>18</v>
      </c>
      <c r="F442" t="str">
        <f t="shared" si="159"/>
        <v>1-25</v>
      </c>
      <c r="G442">
        <v>0</v>
      </c>
      <c r="H442" t="str">
        <f t="shared" si="160"/>
        <v>Pariente normal</v>
      </c>
      <c r="I442">
        <v>1</v>
      </c>
      <c r="J442" t="str">
        <f t="shared" si="161"/>
        <v>Hipercaloricos</v>
      </c>
      <c r="K442">
        <v>2</v>
      </c>
      <c r="L442">
        <f t="shared" si="162"/>
        <v>1</v>
      </c>
      <c r="M442" t="str">
        <f t="shared" si="163"/>
        <v>Suele comer</v>
      </c>
      <c r="N442">
        <v>3</v>
      </c>
      <c r="O442">
        <f t="shared" si="164"/>
        <v>2</v>
      </c>
      <c r="P442" t="str">
        <f t="shared" si="165"/>
        <v>Mas de 3</v>
      </c>
      <c r="Q442">
        <v>1</v>
      </c>
      <c r="R442" t="str">
        <f t="shared" si="166"/>
        <v>A veces</v>
      </c>
      <c r="S442">
        <v>0</v>
      </c>
      <c r="T442" t="str">
        <f t="shared" si="167"/>
        <v>No fuma</v>
      </c>
      <c r="U442">
        <v>1</v>
      </c>
      <c r="V442">
        <f t="shared" si="168"/>
        <v>1</v>
      </c>
      <c r="W442" t="str">
        <f t="shared" si="169"/>
        <v>Usualmente</v>
      </c>
      <c r="X442">
        <v>0</v>
      </c>
      <c r="Y442" t="str">
        <f t="shared" si="170"/>
        <v>No controla</v>
      </c>
      <c r="Z442">
        <v>0</v>
      </c>
      <c r="AA442">
        <f t="shared" si="171"/>
        <v>0</v>
      </c>
      <c r="AB442" t="str">
        <f t="shared" si="172"/>
        <v>Nunca</v>
      </c>
      <c r="AC442">
        <v>0</v>
      </c>
      <c r="AD442">
        <f t="shared" si="173"/>
        <v>0</v>
      </c>
      <c r="AE442" t="str">
        <f t="shared" si="174"/>
        <v>Nunca</v>
      </c>
      <c r="AF442">
        <v>0</v>
      </c>
      <c r="AG442" t="str">
        <f t="shared" si="175"/>
        <v>Nunca</v>
      </c>
      <c r="AH442">
        <v>1</v>
      </c>
      <c r="AI442" t="str">
        <f t="shared" si="176"/>
        <v>Usa auto</v>
      </c>
      <c r="AJ442">
        <v>0</v>
      </c>
      <c r="AK442" t="str">
        <f t="shared" si="177"/>
        <v>No usa</v>
      </c>
      <c r="AL442">
        <v>0</v>
      </c>
      <c r="AM442" t="str">
        <f t="shared" si="178"/>
        <v>No usa</v>
      </c>
      <c r="AN442">
        <v>0</v>
      </c>
      <c r="AO442" t="str">
        <f t="shared" si="179"/>
        <v>No usa</v>
      </c>
      <c r="AP442">
        <v>0</v>
      </c>
      <c r="AQ442" t="str">
        <f t="shared" si="180"/>
        <v>No camina</v>
      </c>
      <c r="AR442">
        <v>0</v>
      </c>
      <c r="AS442" t="str">
        <f t="shared" si="181"/>
        <v>No es obeso</v>
      </c>
    </row>
    <row r="443" spans="1:45" x14ac:dyDescent="0.25">
      <c r="A443">
        <v>0</v>
      </c>
      <c r="B443" t="str">
        <f t="shared" si="156"/>
        <v>F</v>
      </c>
      <c r="C443">
        <v>18</v>
      </c>
      <c r="D443">
        <f t="shared" si="157"/>
        <v>18</v>
      </c>
      <c r="E443">
        <f t="shared" si="158"/>
        <v>18</v>
      </c>
      <c r="F443" t="str">
        <f t="shared" si="159"/>
        <v>1-25</v>
      </c>
      <c r="G443">
        <v>1</v>
      </c>
      <c r="H443" t="str">
        <f t="shared" si="160"/>
        <v>Pariente gordo</v>
      </c>
      <c r="I443">
        <v>1</v>
      </c>
      <c r="J443" t="str">
        <f t="shared" si="161"/>
        <v>Hipercaloricos</v>
      </c>
      <c r="K443">
        <v>3</v>
      </c>
      <c r="L443">
        <f t="shared" si="162"/>
        <v>1</v>
      </c>
      <c r="M443" t="str">
        <f t="shared" si="163"/>
        <v>Suele comer</v>
      </c>
      <c r="N443">
        <v>3</v>
      </c>
      <c r="O443">
        <f t="shared" si="164"/>
        <v>2</v>
      </c>
      <c r="P443" t="str">
        <f t="shared" si="165"/>
        <v>Mas de 3</v>
      </c>
      <c r="Q443">
        <v>2</v>
      </c>
      <c r="R443" t="str">
        <f t="shared" si="166"/>
        <v>Usualmente</v>
      </c>
      <c r="S443">
        <v>0</v>
      </c>
      <c r="T443" t="str">
        <f t="shared" si="167"/>
        <v>No fuma</v>
      </c>
      <c r="U443">
        <v>1</v>
      </c>
      <c r="V443">
        <f t="shared" si="168"/>
        <v>1</v>
      </c>
      <c r="W443" t="str">
        <f t="shared" si="169"/>
        <v>Usualmente</v>
      </c>
      <c r="X443">
        <v>0</v>
      </c>
      <c r="Y443" t="str">
        <f t="shared" si="170"/>
        <v>No controla</v>
      </c>
      <c r="Z443">
        <v>1</v>
      </c>
      <c r="AA443">
        <f t="shared" si="171"/>
        <v>1</v>
      </c>
      <c r="AB443" t="str">
        <f t="shared" si="172"/>
        <v>A veces</v>
      </c>
      <c r="AC443">
        <v>2</v>
      </c>
      <c r="AD443">
        <f t="shared" si="173"/>
        <v>2</v>
      </c>
      <c r="AE443" t="str">
        <f t="shared" si="174"/>
        <v>Siempre</v>
      </c>
      <c r="AF443">
        <v>0</v>
      </c>
      <c r="AG443" t="str">
        <f t="shared" si="175"/>
        <v>Nunca</v>
      </c>
      <c r="AH443">
        <v>0</v>
      </c>
      <c r="AI443" t="str">
        <f t="shared" si="176"/>
        <v>No usa</v>
      </c>
      <c r="AJ443">
        <v>0</v>
      </c>
      <c r="AK443" t="str">
        <f t="shared" si="177"/>
        <v>No usa</v>
      </c>
      <c r="AL443">
        <v>0</v>
      </c>
      <c r="AM443" t="str">
        <f t="shared" si="178"/>
        <v>No usa</v>
      </c>
      <c r="AN443">
        <v>1</v>
      </c>
      <c r="AO443" t="str">
        <f t="shared" si="179"/>
        <v>Usa Transporte</v>
      </c>
      <c r="AP443">
        <v>0</v>
      </c>
      <c r="AQ443" t="str">
        <f t="shared" si="180"/>
        <v>No camina</v>
      </c>
      <c r="AR443">
        <v>0</v>
      </c>
      <c r="AS443" t="str">
        <f t="shared" si="181"/>
        <v>No es obeso</v>
      </c>
    </row>
    <row r="444" spans="1:45" x14ac:dyDescent="0.25">
      <c r="A444">
        <v>1</v>
      </c>
      <c r="B444" t="str">
        <f t="shared" si="156"/>
        <v>M</v>
      </c>
      <c r="C444">
        <v>26</v>
      </c>
      <c r="D444">
        <f t="shared" si="157"/>
        <v>26</v>
      </c>
      <c r="E444">
        <f t="shared" si="158"/>
        <v>26</v>
      </c>
      <c r="F444" t="str">
        <f t="shared" si="159"/>
        <v>25-50</v>
      </c>
      <c r="G444">
        <v>1</v>
      </c>
      <c r="H444" t="str">
        <f t="shared" si="160"/>
        <v>Pariente gordo</v>
      </c>
      <c r="I444">
        <v>1</v>
      </c>
      <c r="J444" t="str">
        <f t="shared" si="161"/>
        <v>Hipercaloricos</v>
      </c>
      <c r="K444">
        <v>2</v>
      </c>
      <c r="L444">
        <f t="shared" si="162"/>
        <v>1</v>
      </c>
      <c r="M444" t="str">
        <f t="shared" si="163"/>
        <v>Suele comer</v>
      </c>
      <c r="N444">
        <v>3</v>
      </c>
      <c r="O444">
        <f t="shared" si="164"/>
        <v>2</v>
      </c>
      <c r="P444" t="str">
        <f t="shared" si="165"/>
        <v>Mas de 3</v>
      </c>
      <c r="Q444">
        <v>1</v>
      </c>
      <c r="R444" t="str">
        <f t="shared" si="166"/>
        <v>A veces</v>
      </c>
      <c r="S444">
        <v>0</v>
      </c>
      <c r="T444" t="str">
        <f t="shared" si="167"/>
        <v>No fuma</v>
      </c>
      <c r="U444">
        <v>2</v>
      </c>
      <c r="V444">
        <f t="shared" si="168"/>
        <v>2</v>
      </c>
      <c r="W444" t="str">
        <f t="shared" si="169"/>
        <v>Siempre</v>
      </c>
      <c r="X444">
        <v>0</v>
      </c>
      <c r="Y444" t="str">
        <f t="shared" si="170"/>
        <v>No controla</v>
      </c>
      <c r="Z444">
        <v>0</v>
      </c>
      <c r="AA444">
        <f t="shared" si="171"/>
        <v>0</v>
      </c>
      <c r="AB444" t="str">
        <f t="shared" si="172"/>
        <v>Nunca</v>
      </c>
      <c r="AC444">
        <v>1</v>
      </c>
      <c r="AD444">
        <f t="shared" si="173"/>
        <v>1</v>
      </c>
      <c r="AE444" t="str">
        <f t="shared" si="174"/>
        <v>Usualmente</v>
      </c>
      <c r="AF444">
        <v>1</v>
      </c>
      <c r="AG444" t="str">
        <f t="shared" si="175"/>
        <v>A veces</v>
      </c>
      <c r="AH444">
        <v>0</v>
      </c>
      <c r="AI444" t="str">
        <f t="shared" si="176"/>
        <v>No usa</v>
      </c>
      <c r="AJ444">
        <v>0</v>
      </c>
      <c r="AK444" t="str">
        <f t="shared" si="177"/>
        <v>No usa</v>
      </c>
      <c r="AL444">
        <v>0</v>
      </c>
      <c r="AM444" t="str">
        <f t="shared" si="178"/>
        <v>No usa</v>
      </c>
      <c r="AN444">
        <v>0</v>
      </c>
      <c r="AO444" t="str">
        <f t="shared" si="179"/>
        <v>No usa</v>
      </c>
      <c r="AP444">
        <v>1</v>
      </c>
      <c r="AQ444" t="str">
        <f t="shared" si="180"/>
        <v>Camina</v>
      </c>
      <c r="AR444">
        <v>0</v>
      </c>
      <c r="AS444" t="str">
        <f t="shared" si="181"/>
        <v>No es obeso</v>
      </c>
    </row>
    <row r="445" spans="1:45" x14ac:dyDescent="0.25">
      <c r="A445">
        <v>1</v>
      </c>
      <c r="B445" t="str">
        <f t="shared" si="156"/>
        <v>M</v>
      </c>
      <c r="C445">
        <v>18</v>
      </c>
      <c r="D445">
        <f t="shared" si="157"/>
        <v>18</v>
      </c>
      <c r="E445">
        <f t="shared" si="158"/>
        <v>18</v>
      </c>
      <c r="F445" t="str">
        <f t="shared" si="159"/>
        <v>1-25</v>
      </c>
      <c r="G445">
        <v>1</v>
      </c>
      <c r="H445" t="str">
        <f t="shared" si="160"/>
        <v>Pariente gordo</v>
      </c>
      <c r="I445">
        <v>1</v>
      </c>
      <c r="J445" t="str">
        <f t="shared" si="161"/>
        <v>Hipercaloricos</v>
      </c>
      <c r="K445">
        <v>2</v>
      </c>
      <c r="L445">
        <f t="shared" si="162"/>
        <v>1</v>
      </c>
      <c r="M445" t="str">
        <f t="shared" si="163"/>
        <v>Suele comer</v>
      </c>
      <c r="N445">
        <v>3</v>
      </c>
      <c r="O445">
        <f t="shared" si="164"/>
        <v>2</v>
      </c>
      <c r="P445" t="str">
        <f t="shared" si="165"/>
        <v>Mas de 3</v>
      </c>
      <c r="Q445">
        <v>1</v>
      </c>
      <c r="R445" t="str">
        <f t="shared" si="166"/>
        <v>A veces</v>
      </c>
      <c r="S445">
        <v>0</v>
      </c>
      <c r="T445" t="str">
        <f t="shared" si="167"/>
        <v>No fuma</v>
      </c>
      <c r="U445">
        <v>2</v>
      </c>
      <c r="V445">
        <f t="shared" si="168"/>
        <v>2</v>
      </c>
      <c r="W445" t="str">
        <f t="shared" si="169"/>
        <v>Siempre</v>
      </c>
      <c r="X445">
        <v>0</v>
      </c>
      <c r="Y445" t="str">
        <f t="shared" si="170"/>
        <v>No controla</v>
      </c>
      <c r="Z445">
        <v>0</v>
      </c>
      <c r="AA445">
        <f t="shared" si="171"/>
        <v>0</v>
      </c>
      <c r="AB445" t="str">
        <f t="shared" si="172"/>
        <v>Nunca</v>
      </c>
      <c r="AC445">
        <v>2</v>
      </c>
      <c r="AD445">
        <f t="shared" si="173"/>
        <v>2</v>
      </c>
      <c r="AE445" t="str">
        <f t="shared" si="174"/>
        <v>Siempre</v>
      </c>
      <c r="AF445">
        <v>1</v>
      </c>
      <c r="AG445" t="str">
        <f t="shared" si="175"/>
        <v>A veces</v>
      </c>
      <c r="AH445">
        <v>0</v>
      </c>
      <c r="AI445" t="str">
        <f t="shared" si="176"/>
        <v>No usa</v>
      </c>
      <c r="AJ445">
        <v>0</v>
      </c>
      <c r="AK445" t="str">
        <f t="shared" si="177"/>
        <v>No usa</v>
      </c>
      <c r="AL445">
        <v>0</v>
      </c>
      <c r="AM445" t="str">
        <f t="shared" si="178"/>
        <v>No usa</v>
      </c>
      <c r="AN445">
        <v>1</v>
      </c>
      <c r="AO445" t="str">
        <f t="shared" si="179"/>
        <v>Usa Transporte</v>
      </c>
      <c r="AP445">
        <v>0</v>
      </c>
      <c r="AQ445" t="str">
        <f t="shared" si="180"/>
        <v>No camina</v>
      </c>
      <c r="AR445">
        <v>0</v>
      </c>
      <c r="AS445" t="str">
        <f t="shared" si="181"/>
        <v>No es obeso</v>
      </c>
    </row>
    <row r="446" spans="1:45" x14ac:dyDescent="0.25">
      <c r="A446">
        <v>1</v>
      </c>
      <c r="B446" t="str">
        <f t="shared" si="156"/>
        <v>M</v>
      </c>
      <c r="C446">
        <v>19</v>
      </c>
      <c r="D446">
        <f t="shared" si="157"/>
        <v>19</v>
      </c>
      <c r="E446">
        <f t="shared" si="158"/>
        <v>19</v>
      </c>
      <c r="F446" t="str">
        <f t="shared" si="159"/>
        <v>1-25</v>
      </c>
      <c r="G446">
        <v>1</v>
      </c>
      <c r="H446" t="str">
        <f t="shared" si="160"/>
        <v>Pariente gordo</v>
      </c>
      <c r="I446">
        <v>1</v>
      </c>
      <c r="J446" t="str">
        <f t="shared" si="161"/>
        <v>Hipercaloricos</v>
      </c>
      <c r="K446">
        <v>2</v>
      </c>
      <c r="L446">
        <f t="shared" si="162"/>
        <v>1</v>
      </c>
      <c r="M446" t="str">
        <f t="shared" si="163"/>
        <v>Suele comer</v>
      </c>
      <c r="N446">
        <v>1</v>
      </c>
      <c r="O446">
        <f t="shared" si="164"/>
        <v>1</v>
      </c>
      <c r="P446">
        <f t="shared" si="165"/>
        <v>3</v>
      </c>
      <c r="Q446">
        <v>1</v>
      </c>
      <c r="R446" t="str">
        <f t="shared" si="166"/>
        <v>A veces</v>
      </c>
      <c r="S446">
        <v>0</v>
      </c>
      <c r="T446" t="str">
        <f t="shared" si="167"/>
        <v>No fuma</v>
      </c>
      <c r="U446">
        <v>2</v>
      </c>
      <c r="V446">
        <f t="shared" si="168"/>
        <v>2</v>
      </c>
      <c r="W446" t="str">
        <f t="shared" si="169"/>
        <v>Siempre</v>
      </c>
      <c r="X446">
        <v>0</v>
      </c>
      <c r="Y446" t="str">
        <f t="shared" si="170"/>
        <v>No controla</v>
      </c>
      <c r="Z446">
        <v>2</v>
      </c>
      <c r="AA446">
        <f t="shared" si="171"/>
        <v>2</v>
      </c>
      <c r="AB446" t="str">
        <f t="shared" si="172"/>
        <v>Usualmente</v>
      </c>
      <c r="AC446">
        <v>0</v>
      </c>
      <c r="AD446">
        <f t="shared" si="173"/>
        <v>0</v>
      </c>
      <c r="AE446" t="str">
        <f t="shared" si="174"/>
        <v>Nunca</v>
      </c>
      <c r="AF446">
        <v>1</v>
      </c>
      <c r="AG446" t="str">
        <f t="shared" si="175"/>
        <v>A veces</v>
      </c>
      <c r="AH446">
        <v>0</v>
      </c>
      <c r="AI446" t="str">
        <f t="shared" si="176"/>
        <v>No usa</v>
      </c>
      <c r="AJ446">
        <v>0</v>
      </c>
      <c r="AK446" t="str">
        <f t="shared" si="177"/>
        <v>No usa</v>
      </c>
      <c r="AL446">
        <v>0</v>
      </c>
      <c r="AM446" t="str">
        <f t="shared" si="178"/>
        <v>No usa</v>
      </c>
      <c r="AN446">
        <v>1</v>
      </c>
      <c r="AO446" t="str">
        <f t="shared" si="179"/>
        <v>Usa Transporte</v>
      </c>
      <c r="AP446">
        <v>0</v>
      </c>
      <c r="AQ446" t="str">
        <f t="shared" si="180"/>
        <v>No camina</v>
      </c>
      <c r="AR446">
        <v>0</v>
      </c>
      <c r="AS446" t="str">
        <f t="shared" si="181"/>
        <v>No es obeso</v>
      </c>
    </row>
    <row r="447" spans="1:45" x14ac:dyDescent="0.25">
      <c r="A447">
        <v>0</v>
      </c>
      <c r="B447" t="str">
        <f t="shared" si="156"/>
        <v>F</v>
      </c>
      <c r="C447">
        <v>19</v>
      </c>
      <c r="D447">
        <f t="shared" si="157"/>
        <v>19</v>
      </c>
      <c r="E447">
        <f t="shared" si="158"/>
        <v>19</v>
      </c>
      <c r="F447" t="str">
        <f t="shared" si="159"/>
        <v>1-25</v>
      </c>
      <c r="G447">
        <v>0</v>
      </c>
      <c r="H447" t="str">
        <f t="shared" si="160"/>
        <v>Pariente normal</v>
      </c>
      <c r="I447">
        <v>1</v>
      </c>
      <c r="J447" t="str">
        <f t="shared" si="161"/>
        <v>Hipercaloricos</v>
      </c>
      <c r="K447">
        <v>2</v>
      </c>
      <c r="L447">
        <f t="shared" si="162"/>
        <v>1</v>
      </c>
      <c r="M447" t="str">
        <f t="shared" si="163"/>
        <v>Suele comer</v>
      </c>
      <c r="N447">
        <v>4</v>
      </c>
      <c r="O447">
        <f t="shared" si="164"/>
        <v>2</v>
      </c>
      <c r="P447" t="str">
        <f t="shared" si="165"/>
        <v>Mas de 3</v>
      </c>
      <c r="Q447">
        <v>1</v>
      </c>
      <c r="R447" t="str">
        <f t="shared" si="166"/>
        <v>A veces</v>
      </c>
      <c r="S447">
        <v>0</v>
      </c>
      <c r="T447" t="str">
        <f t="shared" si="167"/>
        <v>No fuma</v>
      </c>
      <c r="U447">
        <v>1</v>
      </c>
      <c r="V447">
        <f t="shared" si="168"/>
        <v>1</v>
      </c>
      <c r="W447" t="str">
        <f t="shared" si="169"/>
        <v>Usualmente</v>
      </c>
      <c r="X447">
        <v>0</v>
      </c>
      <c r="Y447" t="str">
        <f t="shared" si="170"/>
        <v>No controla</v>
      </c>
      <c r="Z447">
        <v>3</v>
      </c>
      <c r="AA447">
        <f t="shared" si="171"/>
        <v>3</v>
      </c>
      <c r="AB447" t="str">
        <f t="shared" si="172"/>
        <v>Siempre</v>
      </c>
      <c r="AC447">
        <v>0</v>
      </c>
      <c r="AD447">
        <f t="shared" si="173"/>
        <v>0</v>
      </c>
      <c r="AE447" t="str">
        <f t="shared" si="174"/>
        <v>Nunca</v>
      </c>
      <c r="AF447">
        <v>1</v>
      </c>
      <c r="AG447" t="str">
        <f t="shared" si="175"/>
        <v>A veces</v>
      </c>
      <c r="AH447">
        <v>0</v>
      </c>
      <c r="AI447" t="str">
        <f t="shared" si="176"/>
        <v>No usa</v>
      </c>
      <c r="AJ447">
        <v>0</v>
      </c>
      <c r="AK447" t="str">
        <f t="shared" si="177"/>
        <v>No usa</v>
      </c>
      <c r="AL447">
        <v>0</v>
      </c>
      <c r="AM447" t="str">
        <f t="shared" si="178"/>
        <v>No usa</v>
      </c>
      <c r="AN447">
        <v>1</v>
      </c>
      <c r="AO447" t="str">
        <f t="shared" si="179"/>
        <v>Usa Transporte</v>
      </c>
      <c r="AP447">
        <v>0</v>
      </c>
      <c r="AQ447" t="str">
        <f t="shared" si="180"/>
        <v>No camina</v>
      </c>
      <c r="AR447">
        <v>0</v>
      </c>
      <c r="AS447" t="str">
        <f t="shared" si="181"/>
        <v>No es obeso</v>
      </c>
    </row>
    <row r="448" spans="1:45" x14ac:dyDescent="0.25">
      <c r="A448">
        <v>1</v>
      </c>
      <c r="B448" t="str">
        <f t="shared" si="156"/>
        <v>M</v>
      </c>
      <c r="C448">
        <v>19</v>
      </c>
      <c r="D448">
        <f t="shared" si="157"/>
        <v>19</v>
      </c>
      <c r="E448">
        <f t="shared" si="158"/>
        <v>19</v>
      </c>
      <c r="F448" t="str">
        <f t="shared" si="159"/>
        <v>1-25</v>
      </c>
      <c r="G448">
        <v>1</v>
      </c>
      <c r="H448" t="str">
        <f t="shared" si="160"/>
        <v>Pariente gordo</v>
      </c>
      <c r="I448">
        <v>1</v>
      </c>
      <c r="J448" t="str">
        <f t="shared" si="161"/>
        <v>Hipercaloricos</v>
      </c>
      <c r="K448">
        <v>3</v>
      </c>
      <c r="L448">
        <f t="shared" si="162"/>
        <v>1</v>
      </c>
      <c r="M448" t="str">
        <f t="shared" si="163"/>
        <v>Suele comer</v>
      </c>
      <c r="N448">
        <v>3</v>
      </c>
      <c r="O448">
        <f t="shared" si="164"/>
        <v>2</v>
      </c>
      <c r="P448" t="str">
        <f t="shared" si="165"/>
        <v>Mas de 3</v>
      </c>
      <c r="Q448">
        <v>2</v>
      </c>
      <c r="R448" t="str">
        <f t="shared" si="166"/>
        <v>Usualmente</v>
      </c>
      <c r="S448">
        <v>0</v>
      </c>
      <c r="T448" t="str">
        <f t="shared" si="167"/>
        <v>No fuma</v>
      </c>
      <c r="U448">
        <v>2</v>
      </c>
      <c r="V448">
        <f t="shared" si="168"/>
        <v>2</v>
      </c>
      <c r="W448" t="str">
        <f t="shared" si="169"/>
        <v>Siempre</v>
      </c>
      <c r="X448">
        <v>0</v>
      </c>
      <c r="Y448" t="str">
        <f t="shared" si="170"/>
        <v>No controla</v>
      </c>
      <c r="Z448">
        <v>2</v>
      </c>
      <c r="AA448">
        <f t="shared" si="171"/>
        <v>2</v>
      </c>
      <c r="AB448" t="str">
        <f t="shared" si="172"/>
        <v>Usualmente</v>
      </c>
      <c r="AC448">
        <v>0</v>
      </c>
      <c r="AD448">
        <f t="shared" si="173"/>
        <v>0</v>
      </c>
      <c r="AE448" t="str">
        <f t="shared" si="174"/>
        <v>Nunca</v>
      </c>
      <c r="AF448">
        <v>1</v>
      </c>
      <c r="AG448" t="str">
        <f t="shared" si="175"/>
        <v>A veces</v>
      </c>
      <c r="AH448">
        <v>0</v>
      </c>
      <c r="AI448" t="str">
        <f t="shared" si="176"/>
        <v>No usa</v>
      </c>
      <c r="AJ448">
        <v>0</v>
      </c>
      <c r="AK448" t="str">
        <f t="shared" si="177"/>
        <v>No usa</v>
      </c>
      <c r="AL448">
        <v>0</v>
      </c>
      <c r="AM448" t="str">
        <f t="shared" si="178"/>
        <v>No usa</v>
      </c>
      <c r="AN448">
        <v>1</v>
      </c>
      <c r="AO448" t="str">
        <f t="shared" si="179"/>
        <v>Usa Transporte</v>
      </c>
      <c r="AP448">
        <v>0</v>
      </c>
      <c r="AQ448" t="str">
        <f t="shared" si="180"/>
        <v>No camina</v>
      </c>
      <c r="AR448">
        <v>0</v>
      </c>
      <c r="AS448" t="str">
        <f t="shared" si="181"/>
        <v>No es obeso</v>
      </c>
    </row>
    <row r="449" spans="1:45" x14ac:dyDescent="0.25">
      <c r="A449">
        <v>1</v>
      </c>
      <c r="B449" t="str">
        <f t="shared" si="156"/>
        <v>M</v>
      </c>
      <c r="C449">
        <v>19</v>
      </c>
      <c r="D449">
        <f t="shared" si="157"/>
        <v>19</v>
      </c>
      <c r="E449">
        <f t="shared" si="158"/>
        <v>19</v>
      </c>
      <c r="F449" t="str">
        <f t="shared" si="159"/>
        <v>1-25</v>
      </c>
      <c r="G449">
        <v>1</v>
      </c>
      <c r="H449" t="str">
        <f t="shared" si="160"/>
        <v>Pariente gordo</v>
      </c>
      <c r="I449">
        <v>1</v>
      </c>
      <c r="J449" t="str">
        <f t="shared" si="161"/>
        <v>Hipercaloricos</v>
      </c>
      <c r="K449">
        <v>2</v>
      </c>
      <c r="L449">
        <f t="shared" si="162"/>
        <v>1</v>
      </c>
      <c r="M449" t="str">
        <f t="shared" si="163"/>
        <v>Suele comer</v>
      </c>
      <c r="N449">
        <v>4</v>
      </c>
      <c r="O449">
        <f t="shared" si="164"/>
        <v>2</v>
      </c>
      <c r="P449" t="str">
        <f t="shared" si="165"/>
        <v>Mas de 3</v>
      </c>
      <c r="Q449">
        <v>1</v>
      </c>
      <c r="R449" t="str">
        <f t="shared" si="166"/>
        <v>A veces</v>
      </c>
      <c r="S449">
        <v>0</v>
      </c>
      <c r="T449" t="str">
        <f t="shared" si="167"/>
        <v>No fuma</v>
      </c>
      <c r="U449">
        <v>2</v>
      </c>
      <c r="V449">
        <f t="shared" si="168"/>
        <v>2</v>
      </c>
      <c r="W449" t="str">
        <f t="shared" si="169"/>
        <v>Siempre</v>
      </c>
      <c r="X449">
        <v>0</v>
      </c>
      <c r="Y449" t="str">
        <f t="shared" si="170"/>
        <v>No controla</v>
      </c>
      <c r="Z449">
        <v>2</v>
      </c>
      <c r="AA449">
        <f t="shared" si="171"/>
        <v>2</v>
      </c>
      <c r="AB449" t="str">
        <f t="shared" si="172"/>
        <v>Usualmente</v>
      </c>
      <c r="AC449">
        <v>1</v>
      </c>
      <c r="AD449">
        <f t="shared" si="173"/>
        <v>1</v>
      </c>
      <c r="AE449" t="str">
        <f t="shared" si="174"/>
        <v>Usualmente</v>
      </c>
      <c r="AF449">
        <v>1</v>
      </c>
      <c r="AG449" t="str">
        <f t="shared" si="175"/>
        <v>A veces</v>
      </c>
      <c r="AH449">
        <v>0</v>
      </c>
      <c r="AI449" t="str">
        <f t="shared" si="176"/>
        <v>No usa</v>
      </c>
      <c r="AJ449">
        <v>0</v>
      </c>
      <c r="AK449" t="str">
        <f t="shared" si="177"/>
        <v>No usa</v>
      </c>
      <c r="AL449">
        <v>0</v>
      </c>
      <c r="AM449" t="str">
        <f t="shared" si="178"/>
        <v>No usa</v>
      </c>
      <c r="AN449">
        <v>1</v>
      </c>
      <c r="AO449" t="str">
        <f t="shared" si="179"/>
        <v>Usa Transporte</v>
      </c>
      <c r="AP449">
        <v>0</v>
      </c>
      <c r="AQ449" t="str">
        <f t="shared" si="180"/>
        <v>No camina</v>
      </c>
      <c r="AR449">
        <v>0</v>
      </c>
      <c r="AS449" t="str">
        <f t="shared" si="181"/>
        <v>No es obeso</v>
      </c>
    </row>
    <row r="450" spans="1:45" x14ac:dyDescent="0.25">
      <c r="A450">
        <v>0</v>
      </c>
      <c r="B450" t="str">
        <f t="shared" si="156"/>
        <v>F</v>
      </c>
      <c r="C450">
        <v>24</v>
      </c>
      <c r="D450">
        <f t="shared" si="157"/>
        <v>24</v>
      </c>
      <c r="E450">
        <f t="shared" si="158"/>
        <v>24</v>
      </c>
      <c r="F450" t="str">
        <f t="shared" si="159"/>
        <v>1-25</v>
      </c>
      <c r="G450">
        <v>1</v>
      </c>
      <c r="H450" t="str">
        <f t="shared" si="160"/>
        <v>Pariente gordo</v>
      </c>
      <c r="I450">
        <v>1</v>
      </c>
      <c r="J450" t="str">
        <f t="shared" si="161"/>
        <v>Hipercaloricos</v>
      </c>
      <c r="K450">
        <v>3</v>
      </c>
      <c r="L450">
        <f t="shared" si="162"/>
        <v>1</v>
      </c>
      <c r="M450" t="str">
        <f t="shared" si="163"/>
        <v>Suele comer</v>
      </c>
      <c r="N450">
        <v>1</v>
      </c>
      <c r="O450">
        <f t="shared" si="164"/>
        <v>1</v>
      </c>
      <c r="P450">
        <f t="shared" si="165"/>
        <v>3</v>
      </c>
      <c r="Q450">
        <v>1</v>
      </c>
      <c r="R450" t="str">
        <f t="shared" si="166"/>
        <v>A veces</v>
      </c>
      <c r="S450">
        <v>0</v>
      </c>
      <c r="T450" t="str">
        <f t="shared" si="167"/>
        <v>No fuma</v>
      </c>
      <c r="U450">
        <v>1</v>
      </c>
      <c r="V450">
        <f t="shared" si="168"/>
        <v>1</v>
      </c>
      <c r="W450" t="str">
        <f t="shared" si="169"/>
        <v>Usualmente</v>
      </c>
      <c r="X450">
        <v>0</v>
      </c>
      <c r="Y450" t="str">
        <f t="shared" si="170"/>
        <v>No controla</v>
      </c>
      <c r="Z450">
        <v>0</v>
      </c>
      <c r="AA450">
        <f t="shared" si="171"/>
        <v>0</v>
      </c>
      <c r="AB450" t="str">
        <f t="shared" si="172"/>
        <v>Nunca</v>
      </c>
      <c r="AC450">
        <v>2</v>
      </c>
      <c r="AD450">
        <f t="shared" si="173"/>
        <v>2</v>
      </c>
      <c r="AE450" t="str">
        <f t="shared" si="174"/>
        <v>Siempre</v>
      </c>
      <c r="AF450">
        <v>1</v>
      </c>
      <c r="AG450" t="str">
        <f t="shared" si="175"/>
        <v>A veces</v>
      </c>
      <c r="AH450">
        <v>0</v>
      </c>
      <c r="AI450" t="str">
        <f t="shared" si="176"/>
        <v>No usa</v>
      </c>
      <c r="AJ450">
        <v>0</v>
      </c>
      <c r="AK450" t="str">
        <f t="shared" si="177"/>
        <v>No usa</v>
      </c>
      <c r="AL450">
        <v>0</v>
      </c>
      <c r="AM450" t="str">
        <f t="shared" si="178"/>
        <v>No usa</v>
      </c>
      <c r="AN450">
        <v>1</v>
      </c>
      <c r="AO450" t="str">
        <f t="shared" si="179"/>
        <v>Usa Transporte</v>
      </c>
      <c r="AP450">
        <v>0</v>
      </c>
      <c r="AQ450" t="str">
        <f t="shared" si="180"/>
        <v>No camina</v>
      </c>
      <c r="AR450">
        <v>1</v>
      </c>
      <c r="AS450" t="str">
        <f t="shared" si="181"/>
        <v>Es Obeso</v>
      </c>
    </row>
    <row r="451" spans="1:45" x14ac:dyDescent="0.25">
      <c r="A451">
        <v>0</v>
      </c>
      <c r="B451" t="str">
        <f t="shared" ref="B451:B514" si="182">IF(A451=1,"M","F")</f>
        <v>F</v>
      </c>
      <c r="C451">
        <v>18</v>
      </c>
      <c r="D451">
        <f t="shared" ref="D451:D514" si="183">IF(C451&lt;100,C451,ROUNDDOWN((C451/1000)/365,0))</f>
        <v>18</v>
      </c>
      <c r="E451">
        <f t="shared" ref="E451:E514" si="184">IF(AND(D451&gt;1,D451&lt;=100),D451,IF(D451&gt;100,100,5))</f>
        <v>18</v>
      </c>
      <c r="F451" t="str">
        <f t="shared" ref="F451:F514" si="185">IF(AND(E451&gt;=1,E451&lt;=25),"1-25",IF(AND(E451&gt;25,E451&lt;=50),"25-50",IF(AND(E451&gt;50,E451&lt;=75),"50-75","75-100")))</f>
        <v>1-25</v>
      </c>
      <c r="G451">
        <v>1</v>
      </c>
      <c r="H451" t="str">
        <f t="shared" ref="H451:H514" si="186">IF(G451=1,"Pariente gordo","Pariente normal")</f>
        <v>Pariente gordo</v>
      </c>
      <c r="I451">
        <v>1</v>
      </c>
      <c r="J451" t="str">
        <f t="shared" ref="J451:J514" si="187">IF(I451=1,"Hipercaloricos","Saludables")</f>
        <v>Hipercaloricos</v>
      </c>
      <c r="K451">
        <v>1</v>
      </c>
      <c r="L451">
        <f t="shared" ref="L451:L514" si="188">IF(AND(K451&gt;=1,K451&lt;=3),1,IF(AND(K451&gt;3,K451&lt;3000000),1))</f>
        <v>1</v>
      </c>
      <c r="M451" t="str">
        <f t="shared" ref="M451:M514" si="189">IF(L451=1,"Suele comer","No come")</f>
        <v>Suele comer</v>
      </c>
      <c r="N451">
        <v>3</v>
      </c>
      <c r="O451">
        <f t="shared" ref="O451:O514" si="190">IF(N451=1,N451,IF(AND(N451&gt;=2,N451&lt;4000000),2))</f>
        <v>2</v>
      </c>
      <c r="P451" t="str">
        <f t="shared" ref="P451:P514" si="191">IF(O451=0,"1-2",IF(O451=1,3,"Mas de 3"))</f>
        <v>Mas de 3</v>
      </c>
      <c r="Q451">
        <v>1</v>
      </c>
      <c r="R451" t="str">
        <f t="shared" ref="R451:R514" si="192">IF(Q451=0,"Nunca",IF(Q451=1,"A veces",IF(Q451=2,"Usualmente","Siempre")))</f>
        <v>A veces</v>
      </c>
      <c r="S451">
        <v>0</v>
      </c>
      <c r="T451" t="str">
        <f t="shared" ref="T451:T514" si="193">IF(S451=1,"Fuma","No fuma")</f>
        <v>No fuma</v>
      </c>
      <c r="U451">
        <v>2</v>
      </c>
      <c r="V451">
        <f t="shared" ref="V451:V514" si="194">IF(U451=1,U451,IF(U451=2,U451,IF(AND(U451&gt;=3,U451&lt;3000000),2)))</f>
        <v>2</v>
      </c>
      <c r="W451" t="str">
        <f t="shared" ref="W451:W514" si="195">IF(V451=0,"Nunca",IF(V451=1,"Usualmente","Siempre"))</f>
        <v>Siempre</v>
      </c>
      <c r="X451">
        <v>0</v>
      </c>
      <c r="Y451" t="str">
        <f t="shared" ref="Y451:Y514" si="196">IF(X451=1,"Controla","No controla")</f>
        <v>No controla</v>
      </c>
      <c r="Z451">
        <v>2</v>
      </c>
      <c r="AA451">
        <f t="shared" ref="AA451:AA514" si="197">IF(Z451=0,Z451,IF(Z451=1,Z451,IF(Z451=2,Z451,IF(Z451=3,Z451,IF(AND(Z451&gt;3,Z451&lt;300000),2,IF(AND(Z451&gt;300000,Z451&lt;3000000),3,IF(AND(Z451&gt;0,Z451&lt;1),0)))))))</f>
        <v>2</v>
      </c>
      <c r="AB451" t="str">
        <f t="shared" ref="AB451:AB514" si="198">IF(AA451=0,"Nunca",IF(AA451=1,"A veces",IF(AA451=2,"Usualmente","Siempre")))</f>
        <v>Usualmente</v>
      </c>
      <c r="AC451">
        <v>2</v>
      </c>
      <c r="AD451">
        <f t="shared" ref="AD451:AD514" si="199">IF(AC451= 0,AC451,IF(AC451=1,AC451,IF(AC451=2,AC451,IF(AND(AC451&gt;2,AC451&lt;200000),1,IF(AND(AC451&gt;200000,AC451&lt;2000000),2,IF(AND(AC451&gt;0,AC451&lt;1),0))))))</f>
        <v>2</v>
      </c>
      <c r="AE451" t="str">
        <f t="shared" ref="AE451:AE514" si="200">IF(AD451=0,"Nunca",IF(AD451=1,"Usualmente","Siempre"))</f>
        <v>Siempre</v>
      </c>
      <c r="AF451">
        <v>1</v>
      </c>
      <c r="AG451" t="str">
        <f t="shared" ref="AG451:AG514" si="201">IF(AF451=0,"Nunca",IF(AF451=1,"A veces",IF(AF451=2,"Usualmente","Siempre")))</f>
        <v>A veces</v>
      </c>
      <c r="AH451">
        <v>0</v>
      </c>
      <c r="AI451" t="str">
        <f t="shared" ref="AI451:AI514" si="202">IF(AH451=1,"Usa auto","No usa")</f>
        <v>No usa</v>
      </c>
      <c r="AJ451">
        <v>0</v>
      </c>
      <c r="AK451" t="str">
        <f t="shared" ref="AK451:AK514" si="203">IF(AJ451=1,"Usa Bici","No usa")</f>
        <v>No usa</v>
      </c>
      <c r="AL451">
        <v>0</v>
      </c>
      <c r="AM451" t="str">
        <f t="shared" ref="AM451:AM514" si="204">IF(AL451=1,"Usa Moto","No usa")</f>
        <v>No usa</v>
      </c>
      <c r="AN451">
        <v>1</v>
      </c>
      <c r="AO451" t="str">
        <f t="shared" ref="AO451:AO514" si="205">IF(AN451=1,"Usa Transporte","No usa")</f>
        <v>Usa Transporte</v>
      </c>
      <c r="AP451">
        <v>0</v>
      </c>
      <c r="AQ451" t="str">
        <f t="shared" ref="AQ451:AQ514" si="206">IF(AP451=1,"Camina","No camina")</f>
        <v>No camina</v>
      </c>
      <c r="AR451">
        <v>0</v>
      </c>
      <c r="AS451" t="str">
        <f t="shared" ref="AS451:AS514" si="207">IF(AR451=1,"Es Obeso","No es obeso")</f>
        <v>No es obeso</v>
      </c>
    </row>
    <row r="452" spans="1:45" x14ac:dyDescent="0.25">
      <c r="A452">
        <v>1</v>
      </c>
      <c r="B452" t="str">
        <f t="shared" si="182"/>
        <v>M</v>
      </c>
      <c r="C452">
        <v>19</v>
      </c>
      <c r="D452">
        <f t="shared" si="183"/>
        <v>19</v>
      </c>
      <c r="E452">
        <f t="shared" si="184"/>
        <v>19</v>
      </c>
      <c r="F452" t="str">
        <f t="shared" si="185"/>
        <v>1-25</v>
      </c>
      <c r="G452">
        <v>0</v>
      </c>
      <c r="H452" t="str">
        <f t="shared" si="186"/>
        <v>Pariente normal</v>
      </c>
      <c r="I452">
        <v>1</v>
      </c>
      <c r="J452" t="str">
        <f t="shared" si="187"/>
        <v>Hipercaloricos</v>
      </c>
      <c r="K452">
        <v>3</v>
      </c>
      <c r="L452">
        <f t="shared" si="188"/>
        <v>1</v>
      </c>
      <c r="M452" t="str">
        <f t="shared" si="189"/>
        <v>Suele comer</v>
      </c>
      <c r="N452">
        <v>3</v>
      </c>
      <c r="O452">
        <f t="shared" si="190"/>
        <v>2</v>
      </c>
      <c r="P452" t="str">
        <f t="shared" si="191"/>
        <v>Mas de 3</v>
      </c>
      <c r="Q452">
        <v>1</v>
      </c>
      <c r="R452" t="str">
        <f t="shared" si="192"/>
        <v>A veces</v>
      </c>
      <c r="S452">
        <v>0</v>
      </c>
      <c r="T452" t="str">
        <f t="shared" si="193"/>
        <v>No fuma</v>
      </c>
      <c r="U452">
        <v>2</v>
      </c>
      <c r="V452">
        <f t="shared" si="194"/>
        <v>2</v>
      </c>
      <c r="W452" t="str">
        <f t="shared" si="195"/>
        <v>Siempre</v>
      </c>
      <c r="X452">
        <v>0</v>
      </c>
      <c r="Y452" t="str">
        <f t="shared" si="196"/>
        <v>No controla</v>
      </c>
      <c r="Z452">
        <v>1</v>
      </c>
      <c r="AA452">
        <f t="shared" si="197"/>
        <v>1</v>
      </c>
      <c r="AB452" t="str">
        <f t="shared" si="198"/>
        <v>A veces</v>
      </c>
      <c r="AC452">
        <v>1</v>
      </c>
      <c r="AD452">
        <f t="shared" si="199"/>
        <v>1</v>
      </c>
      <c r="AE452" t="str">
        <f t="shared" si="200"/>
        <v>Usualmente</v>
      </c>
      <c r="AF452">
        <v>1</v>
      </c>
      <c r="AG452" t="str">
        <f t="shared" si="201"/>
        <v>A veces</v>
      </c>
      <c r="AH452">
        <v>0</v>
      </c>
      <c r="AI452" t="str">
        <f t="shared" si="202"/>
        <v>No usa</v>
      </c>
      <c r="AJ452">
        <v>0</v>
      </c>
      <c r="AK452" t="str">
        <f t="shared" si="203"/>
        <v>No usa</v>
      </c>
      <c r="AL452">
        <v>0</v>
      </c>
      <c r="AM452" t="str">
        <f t="shared" si="204"/>
        <v>No usa</v>
      </c>
      <c r="AN452">
        <v>1</v>
      </c>
      <c r="AO452" t="str">
        <f t="shared" si="205"/>
        <v>Usa Transporte</v>
      </c>
      <c r="AP452">
        <v>0</v>
      </c>
      <c r="AQ452" t="str">
        <f t="shared" si="206"/>
        <v>No camina</v>
      </c>
      <c r="AR452">
        <v>0</v>
      </c>
      <c r="AS452" t="str">
        <f t="shared" si="207"/>
        <v>No es obeso</v>
      </c>
    </row>
    <row r="453" spans="1:45" x14ac:dyDescent="0.25">
      <c r="A453">
        <v>1</v>
      </c>
      <c r="B453" t="str">
        <f t="shared" si="182"/>
        <v>M</v>
      </c>
      <c r="C453">
        <v>19</v>
      </c>
      <c r="D453">
        <f t="shared" si="183"/>
        <v>19</v>
      </c>
      <c r="E453">
        <f t="shared" si="184"/>
        <v>19</v>
      </c>
      <c r="F453" t="str">
        <f t="shared" si="185"/>
        <v>1-25</v>
      </c>
      <c r="G453">
        <v>1</v>
      </c>
      <c r="H453" t="str">
        <f t="shared" si="186"/>
        <v>Pariente gordo</v>
      </c>
      <c r="I453">
        <v>0</v>
      </c>
      <c r="J453" t="str">
        <f t="shared" si="187"/>
        <v>Saludables</v>
      </c>
      <c r="K453">
        <v>2</v>
      </c>
      <c r="L453">
        <f t="shared" si="188"/>
        <v>1</v>
      </c>
      <c r="M453" t="str">
        <f t="shared" si="189"/>
        <v>Suele comer</v>
      </c>
      <c r="N453">
        <v>3</v>
      </c>
      <c r="O453">
        <f t="shared" si="190"/>
        <v>2</v>
      </c>
      <c r="P453" t="str">
        <f t="shared" si="191"/>
        <v>Mas de 3</v>
      </c>
      <c r="Q453">
        <v>2</v>
      </c>
      <c r="R453" t="str">
        <f t="shared" si="192"/>
        <v>Usualmente</v>
      </c>
      <c r="S453">
        <v>0</v>
      </c>
      <c r="T453" t="str">
        <f t="shared" si="193"/>
        <v>No fuma</v>
      </c>
      <c r="U453">
        <v>2</v>
      </c>
      <c r="V453">
        <f t="shared" si="194"/>
        <v>2</v>
      </c>
      <c r="W453" t="str">
        <f t="shared" si="195"/>
        <v>Siempre</v>
      </c>
      <c r="X453">
        <v>0</v>
      </c>
      <c r="Y453" t="str">
        <f t="shared" si="196"/>
        <v>No controla</v>
      </c>
      <c r="Z453">
        <v>1</v>
      </c>
      <c r="AA453">
        <f t="shared" si="197"/>
        <v>1</v>
      </c>
      <c r="AB453" t="str">
        <f t="shared" si="198"/>
        <v>A veces</v>
      </c>
      <c r="AC453">
        <v>0</v>
      </c>
      <c r="AD453">
        <f t="shared" si="199"/>
        <v>0</v>
      </c>
      <c r="AE453" t="str">
        <f t="shared" si="200"/>
        <v>Nunca</v>
      </c>
      <c r="AF453">
        <v>0</v>
      </c>
      <c r="AG453" t="str">
        <f t="shared" si="201"/>
        <v>Nunca</v>
      </c>
      <c r="AH453">
        <v>0</v>
      </c>
      <c r="AI453" t="str">
        <f t="shared" si="202"/>
        <v>No usa</v>
      </c>
      <c r="AJ453">
        <v>0</v>
      </c>
      <c r="AK453" t="str">
        <f t="shared" si="203"/>
        <v>No usa</v>
      </c>
      <c r="AL453">
        <v>0</v>
      </c>
      <c r="AM453" t="str">
        <f t="shared" si="204"/>
        <v>No usa</v>
      </c>
      <c r="AN453">
        <v>1</v>
      </c>
      <c r="AO453" t="str">
        <f t="shared" si="205"/>
        <v>Usa Transporte</v>
      </c>
      <c r="AP453">
        <v>0</v>
      </c>
      <c r="AQ453" t="str">
        <f t="shared" si="206"/>
        <v>No camina</v>
      </c>
      <c r="AR453">
        <v>0</v>
      </c>
      <c r="AS453" t="str">
        <f t="shared" si="207"/>
        <v>No es obeso</v>
      </c>
    </row>
    <row r="454" spans="1:45" x14ac:dyDescent="0.25">
      <c r="A454">
        <v>1</v>
      </c>
      <c r="B454" t="str">
        <f t="shared" si="182"/>
        <v>M</v>
      </c>
      <c r="C454">
        <v>23</v>
      </c>
      <c r="D454">
        <f t="shared" si="183"/>
        <v>23</v>
      </c>
      <c r="E454">
        <f t="shared" si="184"/>
        <v>23</v>
      </c>
      <c r="F454" t="str">
        <f t="shared" si="185"/>
        <v>1-25</v>
      </c>
      <c r="G454">
        <v>0</v>
      </c>
      <c r="H454" t="str">
        <f t="shared" si="186"/>
        <v>Pariente normal</v>
      </c>
      <c r="I454">
        <v>0</v>
      </c>
      <c r="J454" t="str">
        <f t="shared" si="187"/>
        <v>Saludables</v>
      </c>
      <c r="K454">
        <v>3</v>
      </c>
      <c r="L454">
        <f t="shared" si="188"/>
        <v>1</v>
      </c>
      <c r="M454" t="str">
        <f t="shared" si="189"/>
        <v>Suele comer</v>
      </c>
      <c r="N454">
        <v>3</v>
      </c>
      <c r="O454">
        <f t="shared" si="190"/>
        <v>2</v>
      </c>
      <c r="P454" t="str">
        <f t="shared" si="191"/>
        <v>Mas de 3</v>
      </c>
      <c r="Q454">
        <v>0</v>
      </c>
      <c r="R454" t="str">
        <f t="shared" si="192"/>
        <v>Nunca</v>
      </c>
      <c r="S454">
        <v>0</v>
      </c>
      <c r="T454" t="str">
        <f t="shared" si="193"/>
        <v>No fuma</v>
      </c>
      <c r="U454">
        <v>2</v>
      </c>
      <c r="V454">
        <f t="shared" si="194"/>
        <v>2</v>
      </c>
      <c r="W454" t="str">
        <f t="shared" si="195"/>
        <v>Siempre</v>
      </c>
      <c r="X454">
        <v>0</v>
      </c>
      <c r="Y454" t="str">
        <f t="shared" si="196"/>
        <v>No controla</v>
      </c>
      <c r="Z454">
        <v>2</v>
      </c>
      <c r="AA454">
        <f t="shared" si="197"/>
        <v>2</v>
      </c>
      <c r="AB454" t="str">
        <f t="shared" si="198"/>
        <v>Usualmente</v>
      </c>
      <c r="AC454">
        <v>1</v>
      </c>
      <c r="AD454">
        <f t="shared" si="199"/>
        <v>1</v>
      </c>
      <c r="AE454" t="str">
        <f t="shared" si="200"/>
        <v>Usualmente</v>
      </c>
      <c r="AF454">
        <v>1</v>
      </c>
      <c r="AG454" t="str">
        <f t="shared" si="201"/>
        <v>A veces</v>
      </c>
      <c r="AH454">
        <v>1</v>
      </c>
      <c r="AI454" t="str">
        <f t="shared" si="202"/>
        <v>Usa auto</v>
      </c>
      <c r="AJ454">
        <v>0</v>
      </c>
      <c r="AK454" t="str">
        <f t="shared" si="203"/>
        <v>No usa</v>
      </c>
      <c r="AL454">
        <v>0</v>
      </c>
      <c r="AM454" t="str">
        <f t="shared" si="204"/>
        <v>No usa</v>
      </c>
      <c r="AN454">
        <v>0</v>
      </c>
      <c r="AO454" t="str">
        <f t="shared" si="205"/>
        <v>No usa</v>
      </c>
      <c r="AP454">
        <v>0</v>
      </c>
      <c r="AQ454" t="str">
        <f t="shared" si="206"/>
        <v>No camina</v>
      </c>
      <c r="AR454">
        <v>0</v>
      </c>
      <c r="AS454" t="str">
        <f t="shared" si="207"/>
        <v>No es obeso</v>
      </c>
    </row>
    <row r="455" spans="1:45" x14ac:dyDescent="0.25">
      <c r="A455">
        <v>0</v>
      </c>
      <c r="B455" t="str">
        <f t="shared" si="182"/>
        <v>F</v>
      </c>
      <c r="C455">
        <v>18</v>
      </c>
      <c r="D455">
        <f t="shared" si="183"/>
        <v>18</v>
      </c>
      <c r="E455">
        <f t="shared" si="184"/>
        <v>18</v>
      </c>
      <c r="F455" t="str">
        <f t="shared" si="185"/>
        <v>1-25</v>
      </c>
      <c r="G455">
        <v>0</v>
      </c>
      <c r="H455" t="str">
        <f t="shared" si="186"/>
        <v>Pariente normal</v>
      </c>
      <c r="I455">
        <v>1</v>
      </c>
      <c r="J455" t="str">
        <f t="shared" si="187"/>
        <v>Hipercaloricos</v>
      </c>
      <c r="K455">
        <v>3</v>
      </c>
      <c r="L455">
        <f t="shared" si="188"/>
        <v>1</v>
      </c>
      <c r="M455" t="str">
        <f t="shared" si="189"/>
        <v>Suele comer</v>
      </c>
      <c r="N455">
        <v>3</v>
      </c>
      <c r="O455">
        <f t="shared" si="190"/>
        <v>2</v>
      </c>
      <c r="P455" t="str">
        <f t="shared" si="191"/>
        <v>Mas de 3</v>
      </c>
      <c r="Q455">
        <v>1</v>
      </c>
      <c r="R455" t="str">
        <f t="shared" si="192"/>
        <v>A veces</v>
      </c>
      <c r="S455">
        <v>0</v>
      </c>
      <c r="T455" t="str">
        <f t="shared" si="193"/>
        <v>No fuma</v>
      </c>
      <c r="U455">
        <v>1</v>
      </c>
      <c r="V455">
        <f t="shared" si="194"/>
        <v>1</v>
      </c>
      <c r="W455" t="str">
        <f t="shared" si="195"/>
        <v>Usualmente</v>
      </c>
      <c r="X455">
        <v>0</v>
      </c>
      <c r="Y455" t="str">
        <f t="shared" si="196"/>
        <v>No controla</v>
      </c>
      <c r="Z455">
        <v>0</v>
      </c>
      <c r="AA455">
        <f t="shared" si="197"/>
        <v>0</v>
      </c>
      <c r="AB455" t="str">
        <f t="shared" si="198"/>
        <v>Nunca</v>
      </c>
      <c r="AC455">
        <v>0</v>
      </c>
      <c r="AD455">
        <f t="shared" si="199"/>
        <v>0</v>
      </c>
      <c r="AE455" t="str">
        <f t="shared" si="200"/>
        <v>Nunca</v>
      </c>
      <c r="AF455">
        <v>1</v>
      </c>
      <c r="AG455" t="str">
        <f t="shared" si="201"/>
        <v>A veces</v>
      </c>
      <c r="AH455">
        <v>1</v>
      </c>
      <c r="AI455" t="str">
        <f t="shared" si="202"/>
        <v>Usa auto</v>
      </c>
      <c r="AJ455">
        <v>0</v>
      </c>
      <c r="AK455" t="str">
        <f t="shared" si="203"/>
        <v>No usa</v>
      </c>
      <c r="AL455">
        <v>0</v>
      </c>
      <c r="AM455" t="str">
        <f t="shared" si="204"/>
        <v>No usa</v>
      </c>
      <c r="AN455">
        <v>0</v>
      </c>
      <c r="AO455" t="str">
        <f t="shared" si="205"/>
        <v>No usa</v>
      </c>
      <c r="AP455">
        <v>0</v>
      </c>
      <c r="AQ455" t="str">
        <f t="shared" si="206"/>
        <v>No camina</v>
      </c>
      <c r="AR455">
        <v>0</v>
      </c>
      <c r="AS455" t="str">
        <f t="shared" si="207"/>
        <v>No es obeso</v>
      </c>
    </row>
    <row r="456" spans="1:45" x14ac:dyDescent="0.25">
      <c r="A456">
        <v>0</v>
      </c>
      <c r="B456" t="str">
        <f t="shared" si="182"/>
        <v>F</v>
      </c>
      <c r="C456">
        <v>20</v>
      </c>
      <c r="D456">
        <f t="shared" si="183"/>
        <v>20</v>
      </c>
      <c r="E456">
        <f t="shared" si="184"/>
        <v>20</v>
      </c>
      <c r="F456" t="str">
        <f t="shared" si="185"/>
        <v>1-25</v>
      </c>
      <c r="G456">
        <v>0</v>
      </c>
      <c r="H456" t="str">
        <f t="shared" si="186"/>
        <v>Pariente normal</v>
      </c>
      <c r="I456">
        <v>1</v>
      </c>
      <c r="J456" t="str">
        <f t="shared" si="187"/>
        <v>Hipercaloricos</v>
      </c>
      <c r="K456">
        <v>3</v>
      </c>
      <c r="L456">
        <f t="shared" si="188"/>
        <v>1</v>
      </c>
      <c r="M456" t="str">
        <f t="shared" si="189"/>
        <v>Suele comer</v>
      </c>
      <c r="N456">
        <v>1</v>
      </c>
      <c r="O456">
        <f t="shared" si="190"/>
        <v>1</v>
      </c>
      <c r="P456">
        <f t="shared" si="191"/>
        <v>3</v>
      </c>
      <c r="Q456">
        <v>1</v>
      </c>
      <c r="R456" t="str">
        <f t="shared" si="192"/>
        <v>A veces</v>
      </c>
      <c r="S456">
        <v>0</v>
      </c>
      <c r="T456" t="str">
        <f t="shared" si="193"/>
        <v>No fuma</v>
      </c>
      <c r="U456">
        <v>1</v>
      </c>
      <c r="V456">
        <f t="shared" si="194"/>
        <v>1</v>
      </c>
      <c r="W456" t="str">
        <f t="shared" si="195"/>
        <v>Usualmente</v>
      </c>
      <c r="X456">
        <v>0</v>
      </c>
      <c r="Y456" t="str">
        <f t="shared" si="196"/>
        <v>No controla</v>
      </c>
      <c r="Z456">
        <v>1</v>
      </c>
      <c r="AA456">
        <f t="shared" si="197"/>
        <v>1</v>
      </c>
      <c r="AB456" t="str">
        <f t="shared" si="198"/>
        <v>A veces</v>
      </c>
      <c r="AC456">
        <v>0</v>
      </c>
      <c r="AD456">
        <f t="shared" si="199"/>
        <v>0</v>
      </c>
      <c r="AE456" t="str">
        <f t="shared" si="200"/>
        <v>Nunca</v>
      </c>
      <c r="AF456">
        <v>0</v>
      </c>
      <c r="AG456" t="str">
        <f t="shared" si="201"/>
        <v>Nunca</v>
      </c>
      <c r="AH456">
        <v>0</v>
      </c>
      <c r="AI456" t="str">
        <f t="shared" si="202"/>
        <v>No usa</v>
      </c>
      <c r="AJ456">
        <v>0</v>
      </c>
      <c r="AK456" t="str">
        <f t="shared" si="203"/>
        <v>No usa</v>
      </c>
      <c r="AL456">
        <v>0</v>
      </c>
      <c r="AM456" t="str">
        <f t="shared" si="204"/>
        <v>No usa</v>
      </c>
      <c r="AN456">
        <v>1</v>
      </c>
      <c r="AO456" t="str">
        <f t="shared" si="205"/>
        <v>Usa Transporte</v>
      </c>
      <c r="AP456">
        <v>0</v>
      </c>
      <c r="AQ456" t="str">
        <f t="shared" si="206"/>
        <v>No camina</v>
      </c>
      <c r="AR456">
        <v>0</v>
      </c>
      <c r="AS456" t="str">
        <f t="shared" si="207"/>
        <v>No es obeso</v>
      </c>
    </row>
    <row r="457" spans="1:45" x14ac:dyDescent="0.25">
      <c r="A457">
        <v>1</v>
      </c>
      <c r="B457" t="str">
        <f t="shared" si="182"/>
        <v>M</v>
      </c>
      <c r="C457">
        <v>18</v>
      </c>
      <c r="D457">
        <f t="shared" si="183"/>
        <v>18</v>
      </c>
      <c r="E457">
        <f t="shared" si="184"/>
        <v>18</v>
      </c>
      <c r="F457" t="str">
        <f t="shared" si="185"/>
        <v>1-25</v>
      </c>
      <c r="G457">
        <v>0</v>
      </c>
      <c r="H457" t="str">
        <f t="shared" si="186"/>
        <v>Pariente normal</v>
      </c>
      <c r="I457">
        <v>1</v>
      </c>
      <c r="J457" t="str">
        <f t="shared" si="187"/>
        <v>Hipercaloricos</v>
      </c>
      <c r="K457">
        <v>2</v>
      </c>
      <c r="L457">
        <f t="shared" si="188"/>
        <v>1</v>
      </c>
      <c r="M457" t="str">
        <f t="shared" si="189"/>
        <v>Suele comer</v>
      </c>
      <c r="N457">
        <v>3</v>
      </c>
      <c r="O457">
        <f t="shared" si="190"/>
        <v>2</v>
      </c>
      <c r="P457" t="str">
        <f t="shared" si="191"/>
        <v>Mas de 3</v>
      </c>
      <c r="Q457">
        <v>2</v>
      </c>
      <c r="R457" t="str">
        <f t="shared" si="192"/>
        <v>Usualmente</v>
      </c>
      <c r="S457">
        <v>0</v>
      </c>
      <c r="T457" t="str">
        <f t="shared" si="193"/>
        <v>No fuma</v>
      </c>
      <c r="U457">
        <v>1</v>
      </c>
      <c r="V457">
        <f t="shared" si="194"/>
        <v>1</v>
      </c>
      <c r="W457" t="str">
        <f t="shared" si="195"/>
        <v>Usualmente</v>
      </c>
      <c r="X457">
        <v>0</v>
      </c>
      <c r="Y457" t="str">
        <f t="shared" si="196"/>
        <v>No controla</v>
      </c>
      <c r="Z457">
        <v>1</v>
      </c>
      <c r="AA457">
        <f t="shared" si="197"/>
        <v>1</v>
      </c>
      <c r="AB457" t="str">
        <f t="shared" si="198"/>
        <v>A veces</v>
      </c>
      <c r="AC457">
        <v>1</v>
      </c>
      <c r="AD457">
        <f t="shared" si="199"/>
        <v>1</v>
      </c>
      <c r="AE457" t="str">
        <f t="shared" si="200"/>
        <v>Usualmente</v>
      </c>
      <c r="AF457">
        <v>1</v>
      </c>
      <c r="AG457" t="str">
        <f t="shared" si="201"/>
        <v>A veces</v>
      </c>
      <c r="AH457">
        <v>0</v>
      </c>
      <c r="AI457" t="str">
        <f t="shared" si="202"/>
        <v>No usa</v>
      </c>
      <c r="AJ457">
        <v>0</v>
      </c>
      <c r="AK457" t="str">
        <f t="shared" si="203"/>
        <v>No usa</v>
      </c>
      <c r="AL457">
        <v>0</v>
      </c>
      <c r="AM457" t="str">
        <f t="shared" si="204"/>
        <v>No usa</v>
      </c>
      <c r="AN457">
        <v>1</v>
      </c>
      <c r="AO457" t="str">
        <f t="shared" si="205"/>
        <v>Usa Transporte</v>
      </c>
      <c r="AP457">
        <v>0</v>
      </c>
      <c r="AQ457" t="str">
        <f t="shared" si="206"/>
        <v>No camina</v>
      </c>
      <c r="AR457">
        <v>0</v>
      </c>
      <c r="AS457" t="str">
        <f t="shared" si="207"/>
        <v>No es obeso</v>
      </c>
    </row>
    <row r="458" spans="1:45" x14ac:dyDescent="0.25">
      <c r="A458">
        <v>0</v>
      </c>
      <c r="B458" t="str">
        <f t="shared" si="182"/>
        <v>F</v>
      </c>
      <c r="C458">
        <v>33</v>
      </c>
      <c r="D458">
        <f t="shared" si="183"/>
        <v>33</v>
      </c>
      <c r="E458">
        <f t="shared" si="184"/>
        <v>33</v>
      </c>
      <c r="F458" t="str">
        <f t="shared" si="185"/>
        <v>25-50</v>
      </c>
      <c r="G458">
        <v>0</v>
      </c>
      <c r="H458" t="str">
        <f t="shared" si="186"/>
        <v>Pariente normal</v>
      </c>
      <c r="I458">
        <v>1</v>
      </c>
      <c r="J458" t="str">
        <f t="shared" si="187"/>
        <v>Hipercaloricos</v>
      </c>
      <c r="K458">
        <v>3</v>
      </c>
      <c r="L458">
        <f t="shared" si="188"/>
        <v>1</v>
      </c>
      <c r="M458" t="str">
        <f t="shared" si="189"/>
        <v>Suele comer</v>
      </c>
      <c r="N458">
        <v>1</v>
      </c>
      <c r="O458">
        <f t="shared" si="190"/>
        <v>1</v>
      </c>
      <c r="P458">
        <f t="shared" si="191"/>
        <v>3</v>
      </c>
      <c r="Q458">
        <v>2</v>
      </c>
      <c r="R458" t="str">
        <f t="shared" si="192"/>
        <v>Usualmente</v>
      </c>
      <c r="S458">
        <v>0</v>
      </c>
      <c r="T458" t="str">
        <f t="shared" si="193"/>
        <v>No fuma</v>
      </c>
      <c r="U458">
        <v>2</v>
      </c>
      <c r="V458">
        <f t="shared" si="194"/>
        <v>2</v>
      </c>
      <c r="W458" t="str">
        <f t="shared" si="195"/>
        <v>Siempre</v>
      </c>
      <c r="X458">
        <v>0</v>
      </c>
      <c r="Y458" t="str">
        <f t="shared" si="196"/>
        <v>No controla</v>
      </c>
      <c r="Z458">
        <v>0</v>
      </c>
      <c r="AA458">
        <f t="shared" si="197"/>
        <v>0</v>
      </c>
      <c r="AB458" t="str">
        <f t="shared" si="198"/>
        <v>Nunca</v>
      </c>
      <c r="AC458">
        <v>0</v>
      </c>
      <c r="AD458">
        <f t="shared" si="199"/>
        <v>0</v>
      </c>
      <c r="AE458" t="str">
        <f t="shared" si="200"/>
        <v>Nunca</v>
      </c>
      <c r="AF458">
        <v>0</v>
      </c>
      <c r="AG458" t="str">
        <f t="shared" si="201"/>
        <v>Nunca</v>
      </c>
      <c r="AH458">
        <v>0</v>
      </c>
      <c r="AI458" t="str">
        <f t="shared" si="202"/>
        <v>No usa</v>
      </c>
      <c r="AJ458">
        <v>0</v>
      </c>
      <c r="AK458" t="str">
        <f t="shared" si="203"/>
        <v>No usa</v>
      </c>
      <c r="AL458">
        <v>0</v>
      </c>
      <c r="AM458" t="str">
        <f t="shared" si="204"/>
        <v>No usa</v>
      </c>
      <c r="AN458">
        <v>1</v>
      </c>
      <c r="AO458" t="str">
        <f t="shared" si="205"/>
        <v>Usa Transporte</v>
      </c>
      <c r="AP458">
        <v>0</v>
      </c>
      <c r="AQ458" t="str">
        <f t="shared" si="206"/>
        <v>No camina</v>
      </c>
      <c r="AR458">
        <v>0</v>
      </c>
      <c r="AS458" t="str">
        <f t="shared" si="207"/>
        <v>No es obeso</v>
      </c>
    </row>
    <row r="459" spans="1:45" x14ac:dyDescent="0.25">
      <c r="A459">
        <v>0</v>
      </c>
      <c r="B459" t="str">
        <f t="shared" si="182"/>
        <v>F</v>
      </c>
      <c r="C459">
        <v>19</v>
      </c>
      <c r="D459">
        <f t="shared" si="183"/>
        <v>19</v>
      </c>
      <c r="E459">
        <f t="shared" si="184"/>
        <v>19</v>
      </c>
      <c r="F459" t="str">
        <f t="shared" si="185"/>
        <v>1-25</v>
      </c>
      <c r="G459">
        <v>0</v>
      </c>
      <c r="H459" t="str">
        <f t="shared" si="186"/>
        <v>Pariente normal</v>
      </c>
      <c r="I459">
        <v>1</v>
      </c>
      <c r="J459" t="str">
        <f t="shared" si="187"/>
        <v>Hipercaloricos</v>
      </c>
      <c r="K459">
        <v>2</v>
      </c>
      <c r="L459">
        <f t="shared" si="188"/>
        <v>1</v>
      </c>
      <c r="M459" t="str">
        <f t="shared" si="189"/>
        <v>Suele comer</v>
      </c>
      <c r="N459">
        <v>3</v>
      </c>
      <c r="O459">
        <f t="shared" si="190"/>
        <v>2</v>
      </c>
      <c r="P459" t="str">
        <f t="shared" si="191"/>
        <v>Mas de 3</v>
      </c>
      <c r="Q459">
        <v>1</v>
      </c>
      <c r="R459" t="str">
        <f t="shared" si="192"/>
        <v>A veces</v>
      </c>
      <c r="S459">
        <v>0</v>
      </c>
      <c r="T459" t="str">
        <f t="shared" si="193"/>
        <v>No fuma</v>
      </c>
      <c r="U459">
        <v>1</v>
      </c>
      <c r="V459">
        <f t="shared" si="194"/>
        <v>1</v>
      </c>
      <c r="W459" t="str">
        <f t="shared" si="195"/>
        <v>Usualmente</v>
      </c>
      <c r="X459">
        <v>0</v>
      </c>
      <c r="Y459" t="str">
        <f t="shared" si="196"/>
        <v>No controla</v>
      </c>
      <c r="Z459">
        <v>0</v>
      </c>
      <c r="AA459">
        <f t="shared" si="197"/>
        <v>0</v>
      </c>
      <c r="AB459" t="str">
        <f t="shared" si="198"/>
        <v>Nunca</v>
      </c>
      <c r="AC459">
        <v>0</v>
      </c>
      <c r="AD459">
        <f t="shared" si="199"/>
        <v>0</v>
      </c>
      <c r="AE459" t="str">
        <f t="shared" si="200"/>
        <v>Nunca</v>
      </c>
      <c r="AF459">
        <v>1</v>
      </c>
      <c r="AG459" t="str">
        <f t="shared" si="201"/>
        <v>A veces</v>
      </c>
      <c r="AH459">
        <v>0</v>
      </c>
      <c r="AI459" t="str">
        <f t="shared" si="202"/>
        <v>No usa</v>
      </c>
      <c r="AJ459">
        <v>0</v>
      </c>
      <c r="AK459" t="str">
        <f t="shared" si="203"/>
        <v>No usa</v>
      </c>
      <c r="AL459">
        <v>0</v>
      </c>
      <c r="AM459" t="str">
        <f t="shared" si="204"/>
        <v>No usa</v>
      </c>
      <c r="AN459">
        <v>1</v>
      </c>
      <c r="AO459" t="str">
        <f t="shared" si="205"/>
        <v>Usa Transporte</v>
      </c>
      <c r="AP459">
        <v>0</v>
      </c>
      <c r="AQ459" t="str">
        <f t="shared" si="206"/>
        <v>No camina</v>
      </c>
      <c r="AR459">
        <v>0</v>
      </c>
      <c r="AS459" t="str">
        <f t="shared" si="207"/>
        <v>No es obeso</v>
      </c>
    </row>
    <row r="460" spans="1:45" x14ac:dyDescent="0.25">
      <c r="A460">
        <v>1</v>
      </c>
      <c r="B460" t="str">
        <f t="shared" si="182"/>
        <v>M</v>
      </c>
      <c r="C460">
        <v>19</v>
      </c>
      <c r="D460">
        <f t="shared" si="183"/>
        <v>19</v>
      </c>
      <c r="E460">
        <f t="shared" si="184"/>
        <v>19</v>
      </c>
      <c r="F460" t="str">
        <f t="shared" si="185"/>
        <v>1-25</v>
      </c>
      <c r="G460">
        <v>0</v>
      </c>
      <c r="H460" t="str">
        <f t="shared" si="186"/>
        <v>Pariente normal</v>
      </c>
      <c r="I460">
        <v>1</v>
      </c>
      <c r="J460" t="str">
        <f t="shared" si="187"/>
        <v>Hipercaloricos</v>
      </c>
      <c r="K460">
        <v>2</v>
      </c>
      <c r="L460">
        <f t="shared" si="188"/>
        <v>1</v>
      </c>
      <c r="M460" t="str">
        <f t="shared" si="189"/>
        <v>Suele comer</v>
      </c>
      <c r="N460">
        <v>3</v>
      </c>
      <c r="O460">
        <f t="shared" si="190"/>
        <v>2</v>
      </c>
      <c r="P460" t="str">
        <f t="shared" si="191"/>
        <v>Mas de 3</v>
      </c>
      <c r="Q460">
        <v>3</v>
      </c>
      <c r="R460" t="str">
        <f t="shared" si="192"/>
        <v>Siempre</v>
      </c>
      <c r="S460">
        <v>0</v>
      </c>
      <c r="T460" t="str">
        <f t="shared" si="193"/>
        <v>No fuma</v>
      </c>
      <c r="U460">
        <v>1</v>
      </c>
      <c r="V460">
        <f t="shared" si="194"/>
        <v>1</v>
      </c>
      <c r="W460" t="str">
        <f t="shared" si="195"/>
        <v>Usualmente</v>
      </c>
      <c r="X460">
        <v>0</v>
      </c>
      <c r="Y460" t="str">
        <f t="shared" si="196"/>
        <v>No controla</v>
      </c>
      <c r="Z460">
        <v>1</v>
      </c>
      <c r="AA460">
        <f t="shared" si="197"/>
        <v>1</v>
      </c>
      <c r="AB460" t="str">
        <f t="shared" si="198"/>
        <v>A veces</v>
      </c>
      <c r="AC460">
        <v>1</v>
      </c>
      <c r="AD460">
        <f t="shared" si="199"/>
        <v>1</v>
      </c>
      <c r="AE460" t="str">
        <f t="shared" si="200"/>
        <v>Usualmente</v>
      </c>
      <c r="AF460">
        <v>1</v>
      </c>
      <c r="AG460" t="str">
        <f t="shared" si="201"/>
        <v>A veces</v>
      </c>
      <c r="AH460">
        <v>0</v>
      </c>
      <c r="AI460" t="str">
        <f t="shared" si="202"/>
        <v>No usa</v>
      </c>
      <c r="AJ460">
        <v>0</v>
      </c>
      <c r="AK460" t="str">
        <f t="shared" si="203"/>
        <v>No usa</v>
      </c>
      <c r="AL460">
        <v>0</v>
      </c>
      <c r="AM460" t="str">
        <f t="shared" si="204"/>
        <v>No usa</v>
      </c>
      <c r="AN460">
        <v>1</v>
      </c>
      <c r="AO460" t="str">
        <f t="shared" si="205"/>
        <v>Usa Transporte</v>
      </c>
      <c r="AP460">
        <v>0</v>
      </c>
      <c r="AQ460" t="str">
        <f t="shared" si="206"/>
        <v>No camina</v>
      </c>
      <c r="AR460">
        <v>0</v>
      </c>
      <c r="AS460" t="str">
        <f t="shared" si="207"/>
        <v>No es obeso</v>
      </c>
    </row>
    <row r="461" spans="1:45" x14ac:dyDescent="0.25">
      <c r="A461">
        <v>1</v>
      </c>
      <c r="B461" t="str">
        <f t="shared" si="182"/>
        <v>M</v>
      </c>
      <c r="C461">
        <v>19</v>
      </c>
      <c r="D461">
        <f t="shared" si="183"/>
        <v>19</v>
      </c>
      <c r="E461">
        <f t="shared" si="184"/>
        <v>19</v>
      </c>
      <c r="F461" t="str">
        <f t="shared" si="185"/>
        <v>1-25</v>
      </c>
      <c r="G461">
        <v>1</v>
      </c>
      <c r="H461" t="str">
        <f t="shared" si="186"/>
        <v>Pariente gordo</v>
      </c>
      <c r="I461">
        <v>1</v>
      </c>
      <c r="J461" t="str">
        <f t="shared" si="187"/>
        <v>Hipercaloricos</v>
      </c>
      <c r="K461">
        <v>2</v>
      </c>
      <c r="L461">
        <f t="shared" si="188"/>
        <v>1</v>
      </c>
      <c r="M461" t="str">
        <f t="shared" si="189"/>
        <v>Suele comer</v>
      </c>
      <c r="N461">
        <v>3</v>
      </c>
      <c r="O461">
        <f t="shared" si="190"/>
        <v>2</v>
      </c>
      <c r="P461" t="str">
        <f t="shared" si="191"/>
        <v>Mas de 3</v>
      </c>
      <c r="Q461">
        <v>2</v>
      </c>
      <c r="R461" t="str">
        <f t="shared" si="192"/>
        <v>Usualmente</v>
      </c>
      <c r="S461">
        <v>0</v>
      </c>
      <c r="T461" t="str">
        <f t="shared" si="193"/>
        <v>No fuma</v>
      </c>
      <c r="U461">
        <v>3</v>
      </c>
      <c r="V461">
        <f t="shared" si="194"/>
        <v>2</v>
      </c>
      <c r="W461" t="str">
        <f t="shared" si="195"/>
        <v>Siempre</v>
      </c>
      <c r="X461">
        <v>0</v>
      </c>
      <c r="Y461" t="str">
        <f t="shared" si="196"/>
        <v>No controla</v>
      </c>
      <c r="Z461">
        <v>1</v>
      </c>
      <c r="AA461">
        <f t="shared" si="197"/>
        <v>1</v>
      </c>
      <c r="AB461" t="str">
        <f t="shared" si="198"/>
        <v>A veces</v>
      </c>
      <c r="AC461">
        <v>2</v>
      </c>
      <c r="AD461">
        <f t="shared" si="199"/>
        <v>2</v>
      </c>
      <c r="AE461" t="str">
        <f t="shared" si="200"/>
        <v>Siempre</v>
      </c>
      <c r="AF461">
        <v>2</v>
      </c>
      <c r="AG461" t="str">
        <f t="shared" si="201"/>
        <v>Usualmente</v>
      </c>
      <c r="AH461">
        <v>0</v>
      </c>
      <c r="AI461" t="str">
        <f t="shared" si="202"/>
        <v>No usa</v>
      </c>
      <c r="AJ461">
        <v>0</v>
      </c>
      <c r="AK461" t="str">
        <f t="shared" si="203"/>
        <v>No usa</v>
      </c>
      <c r="AL461">
        <v>0</v>
      </c>
      <c r="AM461" t="str">
        <f t="shared" si="204"/>
        <v>No usa</v>
      </c>
      <c r="AN461">
        <v>1</v>
      </c>
      <c r="AO461" t="str">
        <f t="shared" si="205"/>
        <v>Usa Transporte</v>
      </c>
      <c r="AP461">
        <v>0</v>
      </c>
      <c r="AQ461" t="str">
        <f t="shared" si="206"/>
        <v>No camina</v>
      </c>
      <c r="AR461">
        <v>0</v>
      </c>
      <c r="AS461" t="str">
        <f t="shared" si="207"/>
        <v>No es obeso</v>
      </c>
    </row>
    <row r="462" spans="1:45" x14ac:dyDescent="0.25">
      <c r="A462">
        <v>0</v>
      </c>
      <c r="B462" t="str">
        <f t="shared" si="182"/>
        <v>F</v>
      </c>
      <c r="C462">
        <v>18</v>
      </c>
      <c r="D462">
        <f t="shared" si="183"/>
        <v>18</v>
      </c>
      <c r="E462">
        <f t="shared" si="184"/>
        <v>18</v>
      </c>
      <c r="F462" t="str">
        <f t="shared" si="185"/>
        <v>1-25</v>
      </c>
      <c r="G462">
        <v>1</v>
      </c>
      <c r="H462" t="str">
        <f t="shared" si="186"/>
        <v>Pariente gordo</v>
      </c>
      <c r="I462">
        <v>1</v>
      </c>
      <c r="J462" t="str">
        <f t="shared" si="187"/>
        <v>Hipercaloricos</v>
      </c>
      <c r="K462">
        <v>2</v>
      </c>
      <c r="L462">
        <f t="shared" si="188"/>
        <v>1</v>
      </c>
      <c r="M462" t="str">
        <f t="shared" si="189"/>
        <v>Suele comer</v>
      </c>
      <c r="N462">
        <v>3</v>
      </c>
      <c r="O462">
        <f t="shared" si="190"/>
        <v>2</v>
      </c>
      <c r="P462" t="str">
        <f t="shared" si="191"/>
        <v>Mas de 3</v>
      </c>
      <c r="Q462">
        <v>2</v>
      </c>
      <c r="R462" t="str">
        <f t="shared" si="192"/>
        <v>Usualmente</v>
      </c>
      <c r="S462">
        <v>0</v>
      </c>
      <c r="T462" t="str">
        <f t="shared" si="193"/>
        <v>No fuma</v>
      </c>
      <c r="U462">
        <v>1</v>
      </c>
      <c r="V462">
        <f t="shared" si="194"/>
        <v>1</v>
      </c>
      <c r="W462" t="str">
        <f t="shared" si="195"/>
        <v>Usualmente</v>
      </c>
      <c r="X462">
        <v>0</v>
      </c>
      <c r="Y462" t="str">
        <f t="shared" si="196"/>
        <v>No controla</v>
      </c>
      <c r="Z462">
        <v>1</v>
      </c>
      <c r="AA462">
        <f t="shared" si="197"/>
        <v>1</v>
      </c>
      <c r="AB462" t="str">
        <f t="shared" si="198"/>
        <v>A veces</v>
      </c>
      <c r="AC462">
        <v>1</v>
      </c>
      <c r="AD462">
        <f t="shared" si="199"/>
        <v>1</v>
      </c>
      <c r="AE462" t="str">
        <f t="shared" si="200"/>
        <v>Usualmente</v>
      </c>
      <c r="AF462">
        <v>0</v>
      </c>
      <c r="AG462" t="str">
        <f t="shared" si="201"/>
        <v>Nunca</v>
      </c>
      <c r="AH462">
        <v>0</v>
      </c>
      <c r="AI462" t="str">
        <f t="shared" si="202"/>
        <v>No usa</v>
      </c>
      <c r="AJ462">
        <v>0</v>
      </c>
      <c r="AK462" t="str">
        <f t="shared" si="203"/>
        <v>No usa</v>
      </c>
      <c r="AL462">
        <v>0</v>
      </c>
      <c r="AM462" t="str">
        <f t="shared" si="204"/>
        <v>No usa</v>
      </c>
      <c r="AN462">
        <v>1</v>
      </c>
      <c r="AO462" t="str">
        <f t="shared" si="205"/>
        <v>Usa Transporte</v>
      </c>
      <c r="AP462">
        <v>0</v>
      </c>
      <c r="AQ462" t="str">
        <f t="shared" si="206"/>
        <v>No camina</v>
      </c>
      <c r="AR462">
        <v>0</v>
      </c>
      <c r="AS462" t="str">
        <f t="shared" si="207"/>
        <v>No es obeso</v>
      </c>
    </row>
    <row r="463" spans="1:45" x14ac:dyDescent="0.25">
      <c r="A463">
        <v>1</v>
      </c>
      <c r="B463" t="str">
        <f t="shared" si="182"/>
        <v>M</v>
      </c>
      <c r="C463">
        <v>21</v>
      </c>
      <c r="D463">
        <f t="shared" si="183"/>
        <v>21</v>
      </c>
      <c r="E463">
        <f t="shared" si="184"/>
        <v>21</v>
      </c>
      <c r="F463" t="str">
        <f t="shared" si="185"/>
        <v>1-25</v>
      </c>
      <c r="G463">
        <v>1</v>
      </c>
      <c r="H463" t="str">
        <f t="shared" si="186"/>
        <v>Pariente gordo</v>
      </c>
      <c r="I463">
        <v>1</v>
      </c>
      <c r="J463" t="str">
        <f t="shared" si="187"/>
        <v>Hipercaloricos</v>
      </c>
      <c r="K463">
        <v>2</v>
      </c>
      <c r="L463">
        <f t="shared" si="188"/>
        <v>1</v>
      </c>
      <c r="M463" t="str">
        <f t="shared" si="189"/>
        <v>Suele comer</v>
      </c>
      <c r="N463">
        <v>1</v>
      </c>
      <c r="O463">
        <f t="shared" si="190"/>
        <v>1</v>
      </c>
      <c r="P463">
        <f t="shared" si="191"/>
        <v>3</v>
      </c>
      <c r="Q463">
        <v>1</v>
      </c>
      <c r="R463" t="str">
        <f t="shared" si="192"/>
        <v>A veces</v>
      </c>
      <c r="S463">
        <v>0</v>
      </c>
      <c r="T463" t="str">
        <f t="shared" si="193"/>
        <v>No fuma</v>
      </c>
      <c r="U463">
        <v>2</v>
      </c>
      <c r="V463">
        <f t="shared" si="194"/>
        <v>2</v>
      </c>
      <c r="W463" t="str">
        <f t="shared" si="195"/>
        <v>Siempre</v>
      </c>
      <c r="X463">
        <v>0</v>
      </c>
      <c r="Y463" t="str">
        <f t="shared" si="196"/>
        <v>No controla</v>
      </c>
      <c r="Z463">
        <v>0</v>
      </c>
      <c r="AA463">
        <f t="shared" si="197"/>
        <v>0</v>
      </c>
      <c r="AB463" t="str">
        <f t="shared" si="198"/>
        <v>Nunca</v>
      </c>
      <c r="AC463">
        <v>2</v>
      </c>
      <c r="AD463">
        <f t="shared" si="199"/>
        <v>2</v>
      </c>
      <c r="AE463" t="str">
        <f t="shared" si="200"/>
        <v>Siempre</v>
      </c>
      <c r="AF463">
        <v>0</v>
      </c>
      <c r="AG463" t="str">
        <f t="shared" si="201"/>
        <v>Nunca</v>
      </c>
      <c r="AH463">
        <v>0</v>
      </c>
      <c r="AI463" t="str">
        <f t="shared" si="202"/>
        <v>No usa</v>
      </c>
      <c r="AJ463">
        <v>0</v>
      </c>
      <c r="AK463" t="str">
        <f t="shared" si="203"/>
        <v>No usa</v>
      </c>
      <c r="AL463">
        <v>0</v>
      </c>
      <c r="AM463" t="str">
        <f t="shared" si="204"/>
        <v>No usa</v>
      </c>
      <c r="AN463">
        <v>1</v>
      </c>
      <c r="AO463" t="str">
        <f t="shared" si="205"/>
        <v>Usa Transporte</v>
      </c>
      <c r="AP463">
        <v>0</v>
      </c>
      <c r="AQ463" t="str">
        <f t="shared" si="206"/>
        <v>No camina</v>
      </c>
      <c r="AR463">
        <v>1</v>
      </c>
      <c r="AS463" t="str">
        <f t="shared" si="207"/>
        <v>Es Obeso</v>
      </c>
    </row>
    <row r="464" spans="1:45" x14ac:dyDescent="0.25">
      <c r="A464">
        <v>1</v>
      </c>
      <c r="B464" t="str">
        <f t="shared" si="182"/>
        <v>M</v>
      </c>
      <c r="C464">
        <v>27</v>
      </c>
      <c r="D464">
        <f t="shared" si="183"/>
        <v>27</v>
      </c>
      <c r="E464">
        <f t="shared" si="184"/>
        <v>27</v>
      </c>
      <c r="F464" t="str">
        <f t="shared" si="185"/>
        <v>25-50</v>
      </c>
      <c r="G464">
        <v>1</v>
      </c>
      <c r="H464" t="str">
        <f t="shared" si="186"/>
        <v>Pariente gordo</v>
      </c>
      <c r="I464">
        <v>1</v>
      </c>
      <c r="J464" t="str">
        <f t="shared" si="187"/>
        <v>Hipercaloricos</v>
      </c>
      <c r="K464">
        <v>2</v>
      </c>
      <c r="L464">
        <f t="shared" si="188"/>
        <v>1</v>
      </c>
      <c r="M464" t="str">
        <f t="shared" si="189"/>
        <v>Suele comer</v>
      </c>
      <c r="N464">
        <v>1</v>
      </c>
      <c r="O464">
        <f t="shared" si="190"/>
        <v>1</v>
      </c>
      <c r="P464">
        <f t="shared" si="191"/>
        <v>3</v>
      </c>
      <c r="Q464">
        <v>3</v>
      </c>
      <c r="R464" t="str">
        <f t="shared" si="192"/>
        <v>Siempre</v>
      </c>
      <c r="S464">
        <v>0</v>
      </c>
      <c r="T464" t="str">
        <f t="shared" si="193"/>
        <v>No fuma</v>
      </c>
      <c r="U464">
        <v>2</v>
      </c>
      <c r="V464">
        <f t="shared" si="194"/>
        <v>2</v>
      </c>
      <c r="W464" t="str">
        <f t="shared" si="195"/>
        <v>Siempre</v>
      </c>
      <c r="X464">
        <v>0</v>
      </c>
      <c r="Y464" t="str">
        <f t="shared" si="196"/>
        <v>No controla</v>
      </c>
      <c r="Z464">
        <v>0</v>
      </c>
      <c r="AA464">
        <f t="shared" si="197"/>
        <v>0</v>
      </c>
      <c r="AB464" t="str">
        <f t="shared" si="198"/>
        <v>Nunca</v>
      </c>
      <c r="AC464">
        <v>0</v>
      </c>
      <c r="AD464">
        <f t="shared" si="199"/>
        <v>0</v>
      </c>
      <c r="AE464" t="str">
        <f t="shared" si="200"/>
        <v>Nunca</v>
      </c>
      <c r="AF464">
        <v>1</v>
      </c>
      <c r="AG464" t="str">
        <f t="shared" si="201"/>
        <v>A veces</v>
      </c>
      <c r="AH464">
        <v>1</v>
      </c>
      <c r="AI464" t="str">
        <f t="shared" si="202"/>
        <v>Usa auto</v>
      </c>
      <c r="AJ464">
        <v>0</v>
      </c>
      <c r="AK464" t="str">
        <f t="shared" si="203"/>
        <v>No usa</v>
      </c>
      <c r="AL464">
        <v>0</v>
      </c>
      <c r="AM464" t="str">
        <f t="shared" si="204"/>
        <v>No usa</v>
      </c>
      <c r="AN464">
        <v>0</v>
      </c>
      <c r="AO464" t="str">
        <f t="shared" si="205"/>
        <v>No usa</v>
      </c>
      <c r="AP464">
        <v>0</v>
      </c>
      <c r="AQ464" t="str">
        <f t="shared" si="206"/>
        <v>No camina</v>
      </c>
      <c r="AR464">
        <v>0</v>
      </c>
      <c r="AS464" t="str">
        <f t="shared" si="207"/>
        <v>No es obeso</v>
      </c>
    </row>
    <row r="465" spans="1:45" x14ac:dyDescent="0.25">
      <c r="A465">
        <v>1</v>
      </c>
      <c r="B465" t="str">
        <f t="shared" si="182"/>
        <v>M</v>
      </c>
      <c r="C465">
        <v>17</v>
      </c>
      <c r="D465">
        <f t="shared" si="183"/>
        <v>17</v>
      </c>
      <c r="E465">
        <f t="shared" si="184"/>
        <v>17</v>
      </c>
      <c r="F465" t="str">
        <f t="shared" si="185"/>
        <v>1-25</v>
      </c>
      <c r="G465">
        <v>1</v>
      </c>
      <c r="H465" t="str">
        <f t="shared" si="186"/>
        <v>Pariente gordo</v>
      </c>
      <c r="I465">
        <v>0</v>
      </c>
      <c r="J465" t="str">
        <f t="shared" si="187"/>
        <v>Saludables</v>
      </c>
      <c r="K465">
        <v>2</v>
      </c>
      <c r="L465">
        <f t="shared" si="188"/>
        <v>1</v>
      </c>
      <c r="M465" t="str">
        <f t="shared" si="189"/>
        <v>Suele comer</v>
      </c>
      <c r="N465">
        <v>3</v>
      </c>
      <c r="O465">
        <f t="shared" si="190"/>
        <v>2</v>
      </c>
      <c r="P465" t="str">
        <f t="shared" si="191"/>
        <v>Mas de 3</v>
      </c>
      <c r="Q465">
        <v>1</v>
      </c>
      <c r="R465" t="str">
        <f t="shared" si="192"/>
        <v>A veces</v>
      </c>
      <c r="S465">
        <v>0</v>
      </c>
      <c r="T465" t="str">
        <f t="shared" si="193"/>
        <v>No fuma</v>
      </c>
      <c r="U465">
        <v>1</v>
      </c>
      <c r="V465">
        <f t="shared" si="194"/>
        <v>1</v>
      </c>
      <c r="W465" t="str">
        <f t="shared" si="195"/>
        <v>Usualmente</v>
      </c>
      <c r="X465">
        <v>0</v>
      </c>
      <c r="Y465" t="str">
        <f t="shared" si="196"/>
        <v>No controla</v>
      </c>
      <c r="Z465">
        <v>2</v>
      </c>
      <c r="AA465">
        <f t="shared" si="197"/>
        <v>2</v>
      </c>
      <c r="AB465" t="str">
        <f t="shared" si="198"/>
        <v>Usualmente</v>
      </c>
      <c r="AC465">
        <v>1</v>
      </c>
      <c r="AD465">
        <f t="shared" si="199"/>
        <v>1</v>
      </c>
      <c r="AE465" t="str">
        <f t="shared" si="200"/>
        <v>Usualmente</v>
      </c>
      <c r="AF465">
        <v>1</v>
      </c>
      <c r="AG465" t="str">
        <f t="shared" si="201"/>
        <v>A veces</v>
      </c>
      <c r="AH465">
        <v>0</v>
      </c>
      <c r="AI465" t="str">
        <f t="shared" si="202"/>
        <v>No usa</v>
      </c>
      <c r="AJ465">
        <v>0</v>
      </c>
      <c r="AK465" t="str">
        <f t="shared" si="203"/>
        <v>No usa</v>
      </c>
      <c r="AL465">
        <v>0</v>
      </c>
      <c r="AM465" t="str">
        <f t="shared" si="204"/>
        <v>No usa</v>
      </c>
      <c r="AN465">
        <v>1</v>
      </c>
      <c r="AO465" t="str">
        <f t="shared" si="205"/>
        <v>Usa Transporte</v>
      </c>
      <c r="AP465">
        <v>0</v>
      </c>
      <c r="AQ465" t="str">
        <f t="shared" si="206"/>
        <v>No camina</v>
      </c>
      <c r="AR465">
        <v>0</v>
      </c>
      <c r="AS465" t="str">
        <f t="shared" si="207"/>
        <v>No es obeso</v>
      </c>
    </row>
    <row r="466" spans="1:45" x14ac:dyDescent="0.25">
      <c r="A466">
        <v>1</v>
      </c>
      <c r="B466" t="str">
        <f t="shared" si="182"/>
        <v>M</v>
      </c>
      <c r="C466">
        <v>18</v>
      </c>
      <c r="D466">
        <f t="shared" si="183"/>
        <v>18</v>
      </c>
      <c r="E466">
        <f t="shared" si="184"/>
        <v>18</v>
      </c>
      <c r="F466" t="str">
        <f t="shared" si="185"/>
        <v>1-25</v>
      </c>
      <c r="G466">
        <v>0</v>
      </c>
      <c r="H466" t="str">
        <f t="shared" si="186"/>
        <v>Pariente normal</v>
      </c>
      <c r="I466">
        <v>0</v>
      </c>
      <c r="J466" t="str">
        <f t="shared" si="187"/>
        <v>Saludables</v>
      </c>
      <c r="K466">
        <v>3</v>
      </c>
      <c r="L466">
        <f t="shared" si="188"/>
        <v>1</v>
      </c>
      <c r="M466" t="str">
        <f t="shared" si="189"/>
        <v>Suele comer</v>
      </c>
      <c r="N466">
        <v>4</v>
      </c>
      <c r="O466">
        <f t="shared" si="190"/>
        <v>2</v>
      </c>
      <c r="P466" t="str">
        <f t="shared" si="191"/>
        <v>Mas de 3</v>
      </c>
      <c r="Q466">
        <v>3</v>
      </c>
      <c r="R466" t="str">
        <f t="shared" si="192"/>
        <v>Siempre</v>
      </c>
      <c r="S466">
        <v>0</v>
      </c>
      <c r="T466" t="str">
        <f t="shared" si="193"/>
        <v>No fuma</v>
      </c>
      <c r="U466">
        <v>2</v>
      </c>
      <c r="V466">
        <f t="shared" si="194"/>
        <v>2</v>
      </c>
      <c r="W466" t="str">
        <f t="shared" si="195"/>
        <v>Siempre</v>
      </c>
      <c r="X466">
        <v>0</v>
      </c>
      <c r="Y466" t="str">
        <f t="shared" si="196"/>
        <v>No controla</v>
      </c>
      <c r="Z466">
        <v>2</v>
      </c>
      <c r="AA466">
        <f t="shared" si="197"/>
        <v>2</v>
      </c>
      <c r="AB466" t="str">
        <f t="shared" si="198"/>
        <v>Usualmente</v>
      </c>
      <c r="AC466">
        <v>0</v>
      </c>
      <c r="AD466">
        <f t="shared" si="199"/>
        <v>0</v>
      </c>
      <c r="AE466" t="str">
        <f t="shared" si="200"/>
        <v>Nunca</v>
      </c>
      <c r="AF466">
        <v>1</v>
      </c>
      <c r="AG466" t="str">
        <f t="shared" si="201"/>
        <v>A veces</v>
      </c>
      <c r="AH466">
        <v>0</v>
      </c>
      <c r="AI466" t="str">
        <f t="shared" si="202"/>
        <v>No usa</v>
      </c>
      <c r="AJ466">
        <v>0</v>
      </c>
      <c r="AK466" t="str">
        <f t="shared" si="203"/>
        <v>No usa</v>
      </c>
      <c r="AL466">
        <v>0</v>
      </c>
      <c r="AM466" t="str">
        <f t="shared" si="204"/>
        <v>No usa</v>
      </c>
      <c r="AN466">
        <v>0</v>
      </c>
      <c r="AO466" t="str">
        <f t="shared" si="205"/>
        <v>No usa</v>
      </c>
      <c r="AP466">
        <v>1</v>
      </c>
      <c r="AQ466" t="str">
        <f t="shared" si="206"/>
        <v>Camina</v>
      </c>
      <c r="AR466">
        <v>0</v>
      </c>
      <c r="AS466" t="str">
        <f t="shared" si="207"/>
        <v>No es obeso</v>
      </c>
    </row>
    <row r="467" spans="1:45" x14ac:dyDescent="0.25">
      <c r="A467">
        <v>0</v>
      </c>
      <c r="B467" t="str">
        <f t="shared" si="182"/>
        <v>F</v>
      </c>
      <c r="C467">
        <v>18</v>
      </c>
      <c r="D467">
        <f t="shared" si="183"/>
        <v>18</v>
      </c>
      <c r="E467">
        <f t="shared" si="184"/>
        <v>18</v>
      </c>
      <c r="F467" t="str">
        <f t="shared" si="185"/>
        <v>1-25</v>
      </c>
      <c r="G467">
        <v>1</v>
      </c>
      <c r="H467" t="str">
        <f t="shared" si="186"/>
        <v>Pariente gordo</v>
      </c>
      <c r="I467">
        <v>1</v>
      </c>
      <c r="J467" t="str">
        <f t="shared" si="187"/>
        <v>Hipercaloricos</v>
      </c>
      <c r="K467">
        <v>2</v>
      </c>
      <c r="L467">
        <f t="shared" si="188"/>
        <v>1</v>
      </c>
      <c r="M467" t="str">
        <f t="shared" si="189"/>
        <v>Suele comer</v>
      </c>
      <c r="N467">
        <v>3</v>
      </c>
      <c r="O467">
        <f t="shared" si="190"/>
        <v>2</v>
      </c>
      <c r="P467" t="str">
        <f t="shared" si="191"/>
        <v>Mas de 3</v>
      </c>
      <c r="Q467">
        <v>2</v>
      </c>
      <c r="R467" t="str">
        <f t="shared" si="192"/>
        <v>Usualmente</v>
      </c>
      <c r="S467">
        <v>0</v>
      </c>
      <c r="T467" t="str">
        <f t="shared" si="193"/>
        <v>No fuma</v>
      </c>
      <c r="U467">
        <v>1</v>
      </c>
      <c r="V467">
        <f t="shared" si="194"/>
        <v>1</v>
      </c>
      <c r="W467" t="str">
        <f t="shared" si="195"/>
        <v>Usualmente</v>
      </c>
      <c r="X467">
        <v>0</v>
      </c>
      <c r="Y467" t="str">
        <f t="shared" si="196"/>
        <v>No controla</v>
      </c>
      <c r="Z467">
        <v>1</v>
      </c>
      <c r="AA467">
        <f t="shared" si="197"/>
        <v>1</v>
      </c>
      <c r="AB467" t="str">
        <f t="shared" si="198"/>
        <v>A veces</v>
      </c>
      <c r="AC467">
        <v>1</v>
      </c>
      <c r="AD467">
        <f t="shared" si="199"/>
        <v>1</v>
      </c>
      <c r="AE467" t="str">
        <f t="shared" si="200"/>
        <v>Usualmente</v>
      </c>
      <c r="AF467">
        <v>1</v>
      </c>
      <c r="AG467" t="str">
        <f t="shared" si="201"/>
        <v>A veces</v>
      </c>
      <c r="AH467">
        <v>0</v>
      </c>
      <c r="AI467" t="str">
        <f t="shared" si="202"/>
        <v>No usa</v>
      </c>
      <c r="AJ467">
        <v>0</v>
      </c>
      <c r="AK467" t="str">
        <f t="shared" si="203"/>
        <v>No usa</v>
      </c>
      <c r="AL467">
        <v>0</v>
      </c>
      <c r="AM467" t="str">
        <f t="shared" si="204"/>
        <v>No usa</v>
      </c>
      <c r="AN467">
        <v>1</v>
      </c>
      <c r="AO467" t="str">
        <f t="shared" si="205"/>
        <v>Usa Transporte</v>
      </c>
      <c r="AP467">
        <v>0</v>
      </c>
      <c r="AQ467" t="str">
        <f t="shared" si="206"/>
        <v>No camina</v>
      </c>
      <c r="AR467">
        <v>0</v>
      </c>
      <c r="AS467" t="str">
        <f t="shared" si="207"/>
        <v>No es obeso</v>
      </c>
    </row>
    <row r="468" spans="1:45" x14ac:dyDescent="0.25">
      <c r="A468">
        <v>1</v>
      </c>
      <c r="B468" t="str">
        <f t="shared" si="182"/>
        <v>M</v>
      </c>
      <c r="C468">
        <v>22</v>
      </c>
      <c r="D468">
        <f t="shared" si="183"/>
        <v>22</v>
      </c>
      <c r="E468">
        <f t="shared" si="184"/>
        <v>22</v>
      </c>
      <c r="F468" t="str">
        <f t="shared" si="185"/>
        <v>1-25</v>
      </c>
      <c r="G468">
        <v>1</v>
      </c>
      <c r="H468" t="str">
        <f t="shared" si="186"/>
        <v>Pariente gordo</v>
      </c>
      <c r="I468">
        <v>1</v>
      </c>
      <c r="J468" t="str">
        <f t="shared" si="187"/>
        <v>Hipercaloricos</v>
      </c>
      <c r="K468">
        <v>3</v>
      </c>
      <c r="L468">
        <f t="shared" si="188"/>
        <v>1</v>
      </c>
      <c r="M468" t="str">
        <f t="shared" si="189"/>
        <v>Suele comer</v>
      </c>
      <c r="N468">
        <v>3</v>
      </c>
      <c r="O468">
        <f t="shared" si="190"/>
        <v>2</v>
      </c>
      <c r="P468" t="str">
        <f t="shared" si="191"/>
        <v>Mas de 3</v>
      </c>
      <c r="Q468">
        <v>2</v>
      </c>
      <c r="R468" t="str">
        <f t="shared" si="192"/>
        <v>Usualmente</v>
      </c>
      <c r="S468">
        <v>0</v>
      </c>
      <c r="T468" t="str">
        <f t="shared" si="193"/>
        <v>No fuma</v>
      </c>
      <c r="U468">
        <v>1</v>
      </c>
      <c r="V468">
        <f t="shared" si="194"/>
        <v>1</v>
      </c>
      <c r="W468" t="str">
        <f t="shared" si="195"/>
        <v>Usualmente</v>
      </c>
      <c r="X468">
        <v>0</v>
      </c>
      <c r="Y468" t="str">
        <f t="shared" si="196"/>
        <v>No controla</v>
      </c>
      <c r="Z468">
        <v>1</v>
      </c>
      <c r="AA468">
        <f t="shared" si="197"/>
        <v>1</v>
      </c>
      <c r="AB468" t="str">
        <f t="shared" si="198"/>
        <v>A veces</v>
      </c>
      <c r="AC468">
        <v>0</v>
      </c>
      <c r="AD468">
        <f t="shared" si="199"/>
        <v>0</v>
      </c>
      <c r="AE468" t="str">
        <f t="shared" si="200"/>
        <v>Nunca</v>
      </c>
      <c r="AF468">
        <v>0</v>
      </c>
      <c r="AG468" t="str">
        <f t="shared" si="201"/>
        <v>Nunca</v>
      </c>
      <c r="AH468">
        <v>1</v>
      </c>
      <c r="AI468" t="str">
        <f t="shared" si="202"/>
        <v>Usa auto</v>
      </c>
      <c r="AJ468">
        <v>0</v>
      </c>
      <c r="AK468" t="str">
        <f t="shared" si="203"/>
        <v>No usa</v>
      </c>
      <c r="AL468">
        <v>0</v>
      </c>
      <c r="AM468" t="str">
        <f t="shared" si="204"/>
        <v>No usa</v>
      </c>
      <c r="AN468">
        <v>0</v>
      </c>
      <c r="AO468" t="str">
        <f t="shared" si="205"/>
        <v>No usa</v>
      </c>
      <c r="AP468">
        <v>0</v>
      </c>
      <c r="AQ468" t="str">
        <f t="shared" si="206"/>
        <v>No camina</v>
      </c>
      <c r="AR468">
        <v>0</v>
      </c>
      <c r="AS468" t="str">
        <f t="shared" si="207"/>
        <v>No es obeso</v>
      </c>
    </row>
    <row r="469" spans="1:45" x14ac:dyDescent="0.25">
      <c r="A469">
        <v>1</v>
      </c>
      <c r="B469" t="str">
        <f t="shared" si="182"/>
        <v>M</v>
      </c>
      <c r="C469">
        <v>22</v>
      </c>
      <c r="D469">
        <f t="shared" si="183"/>
        <v>22</v>
      </c>
      <c r="E469">
        <f t="shared" si="184"/>
        <v>22</v>
      </c>
      <c r="F469" t="str">
        <f t="shared" si="185"/>
        <v>1-25</v>
      </c>
      <c r="G469">
        <v>1</v>
      </c>
      <c r="H469" t="str">
        <f t="shared" si="186"/>
        <v>Pariente gordo</v>
      </c>
      <c r="I469">
        <v>1</v>
      </c>
      <c r="J469" t="str">
        <f t="shared" si="187"/>
        <v>Hipercaloricos</v>
      </c>
      <c r="K469">
        <v>3</v>
      </c>
      <c r="L469">
        <f t="shared" si="188"/>
        <v>1</v>
      </c>
      <c r="M469" t="str">
        <f t="shared" si="189"/>
        <v>Suele comer</v>
      </c>
      <c r="N469">
        <v>3</v>
      </c>
      <c r="O469">
        <f t="shared" si="190"/>
        <v>2</v>
      </c>
      <c r="P469" t="str">
        <f t="shared" si="191"/>
        <v>Mas de 3</v>
      </c>
      <c r="Q469">
        <v>2</v>
      </c>
      <c r="R469" t="str">
        <f t="shared" si="192"/>
        <v>Usualmente</v>
      </c>
      <c r="S469">
        <v>0</v>
      </c>
      <c r="T469" t="str">
        <f t="shared" si="193"/>
        <v>No fuma</v>
      </c>
      <c r="U469">
        <v>1</v>
      </c>
      <c r="V469">
        <f t="shared" si="194"/>
        <v>1</v>
      </c>
      <c r="W469" t="str">
        <f t="shared" si="195"/>
        <v>Usualmente</v>
      </c>
      <c r="X469">
        <v>0</v>
      </c>
      <c r="Y469" t="str">
        <f t="shared" si="196"/>
        <v>No controla</v>
      </c>
      <c r="Z469">
        <v>1</v>
      </c>
      <c r="AA469">
        <f t="shared" si="197"/>
        <v>1</v>
      </c>
      <c r="AB469" t="str">
        <f t="shared" si="198"/>
        <v>A veces</v>
      </c>
      <c r="AC469">
        <v>0</v>
      </c>
      <c r="AD469">
        <f t="shared" si="199"/>
        <v>0</v>
      </c>
      <c r="AE469" t="str">
        <f t="shared" si="200"/>
        <v>Nunca</v>
      </c>
      <c r="AF469">
        <v>0</v>
      </c>
      <c r="AG469" t="str">
        <f t="shared" si="201"/>
        <v>Nunca</v>
      </c>
      <c r="AH469">
        <v>1</v>
      </c>
      <c r="AI469" t="str">
        <f t="shared" si="202"/>
        <v>Usa auto</v>
      </c>
      <c r="AJ469">
        <v>0</v>
      </c>
      <c r="AK469" t="str">
        <f t="shared" si="203"/>
        <v>No usa</v>
      </c>
      <c r="AL469">
        <v>0</v>
      </c>
      <c r="AM469" t="str">
        <f t="shared" si="204"/>
        <v>No usa</v>
      </c>
      <c r="AN469">
        <v>0</v>
      </c>
      <c r="AO469" t="str">
        <f t="shared" si="205"/>
        <v>No usa</v>
      </c>
      <c r="AP469">
        <v>0</v>
      </c>
      <c r="AQ469" t="str">
        <f t="shared" si="206"/>
        <v>No camina</v>
      </c>
      <c r="AR469">
        <v>0</v>
      </c>
      <c r="AS469" t="str">
        <f t="shared" si="207"/>
        <v>No es obeso</v>
      </c>
    </row>
    <row r="470" spans="1:45" x14ac:dyDescent="0.25">
      <c r="A470">
        <v>0</v>
      </c>
      <c r="B470" t="str">
        <f t="shared" si="182"/>
        <v>F</v>
      </c>
      <c r="C470">
        <v>20</v>
      </c>
      <c r="D470">
        <f t="shared" si="183"/>
        <v>20</v>
      </c>
      <c r="E470">
        <f t="shared" si="184"/>
        <v>20</v>
      </c>
      <c r="F470" t="str">
        <f t="shared" si="185"/>
        <v>1-25</v>
      </c>
      <c r="G470">
        <v>0</v>
      </c>
      <c r="H470" t="str">
        <f t="shared" si="186"/>
        <v>Pariente normal</v>
      </c>
      <c r="I470">
        <v>1</v>
      </c>
      <c r="J470" t="str">
        <f t="shared" si="187"/>
        <v>Hipercaloricos</v>
      </c>
      <c r="K470">
        <v>3</v>
      </c>
      <c r="L470">
        <f t="shared" si="188"/>
        <v>1</v>
      </c>
      <c r="M470" t="str">
        <f t="shared" si="189"/>
        <v>Suele comer</v>
      </c>
      <c r="N470">
        <v>3</v>
      </c>
      <c r="O470">
        <f t="shared" si="190"/>
        <v>2</v>
      </c>
      <c r="P470" t="str">
        <f t="shared" si="191"/>
        <v>Mas de 3</v>
      </c>
      <c r="Q470">
        <v>2</v>
      </c>
      <c r="R470" t="str">
        <f t="shared" si="192"/>
        <v>Usualmente</v>
      </c>
      <c r="S470">
        <v>0</v>
      </c>
      <c r="T470" t="str">
        <f t="shared" si="193"/>
        <v>No fuma</v>
      </c>
      <c r="U470">
        <v>1</v>
      </c>
      <c r="V470">
        <f t="shared" si="194"/>
        <v>1</v>
      </c>
      <c r="W470" t="str">
        <f t="shared" si="195"/>
        <v>Usualmente</v>
      </c>
      <c r="X470">
        <v>0</v>
      </c>
      <c r="Y470" t="str">
        <f t="shared" si="196"/>
        <v>No controla</v>
      </c>
      <c r="Z470">
        <v>1</v>
      </c>
      <c r="AA470">
        <f t="shared" si="197"/>
        <v>1</v>
      </c>
      <c r="AB470" t="str">
        <f t="shared" si="198"/>
        <v>A veces</v>
      </c>
      <c r="AC470">
        <v>0</v>
      </c>
      <c r="AD470">
        <f t="shared" si="199"/>
        <v>0</v>
      </c>
      <c r="AE470" t="str">
        <f t="shared" si="200"/>
        <v>Nunca</v>
      </c>
      <c r="AF470">
        <v>1</v>
      </c>
      <c r="AG470" t="str">
        <f t="shared" si="201"/>
        <v>A veces</v>
      </c>
      <c r="AH470">
        <v>0</v>
      </c>
      <c r="AI470" t="str">
        <f t="shared" si="202"/>
        <v>No usa</v>
      </c>
      <c r="AJ470">
        <v>0</v>
      </c>
      <c r="AK470" t="str">
        <f t="shared" si="203"/>
        <v>No usa</v>
      </c>
      <c r="AL470">
        <v>0</v>
      </c>
      <c r="AM470" t="str">
        <f t="shared" si="204"/>
        <v>No usa</v>
      </c>
      <c r="AN470">
        <v>1</v>
      </c>
      <c r="AO470" t="str">
        <f t="shared" si="205"/>
        <v>Usa Transporte</v>
      </c>
      <c r="AP470">
        <v>0</v>
      </c>
      <c r="AQ470" t="str">
        <f t="shared" si="206"/>
        <v>No camina</v>
      </c>
      <c r="AR470">
        <v>0</v>
      </c>
      <c r="AS470" t="str">
        <f t="shared" si="207"/>
        <v>No es obeso</v>
      </c>
    </row>
    <row r="471" spans="1:45" x14ac:dyDescent="0.25">
      <c r="A471">
        <v>0</v>
      </c>
      <c r="B471" t="str">
        <f t="shared" si="182"/>
        <v>F</v>
      </c>
      <c r="C471">
        <v>19</v>
      </c>
      <c r="D471">
        <f t="shared" si="183"/>
        <v>19</v>
      </c>
      <c r="E471">
        <f t="shared" si="184"/>
        <v>19</v>
      </c>
      <c r="F471" t="str">
        <f t="shared" si="185"/>
        <v>1-25</v>
      </c>
      <c r="G471">
        <v>0</v>
      </c>
      <c r="H471" t="str">
        <f t="shared" si="186"/>
        <v>Pariente normal</v>
      </c>
      <c r="I471">
        <v>1</v>
      </c>
      <c r="J471" t="str">
        <f t="shared" si="187"/>
        <v>Hipercaloricos</v>
      </c>
      <c r="K471">
        <v>3</v>
      </c>
      <c r="L471">
        <f t="shared" si="188"/>
        <v>1</v>
      </c>
      <c r="M471" t="str">
        <f t="shared" si="189"/>
        <v>Suele comer</v>
      </c>
      <c r="N471">
        <v>1</v>
      </c>
      <c r="O471">
        <f t="shared" si="190"/>
        <v>1</v>
      </c>
      <c r="P471">
        <f t="shared" si="191"/>
        <v>3</v>
      </c>
      <c r="Q471">
        <v>1</v>
      </c>
      <c r="R471" t="str">
        <f t="shared" si="192"/>
        <v>A veces</v>
      </c>
      <c r="S471">
        <v>0</v>
      </c>
      <c r="T471" t="str">
        <f t="shared" si="193"/>
        <v>No fuma</v>
      </c>
      <c r="U471">
        <v>2</v>
      </c>
      <c r="V471">
        <f t="shared" si="194"/>
        <v>2</v>
      </c>
      <c r="W471" t="str">
        <f t="shared" si="195"/>
        <v>Siempre</v>
      </c>
      <c r="X471">
        <v>0</v>
      </c>
      <c r="Y471" t="str">
        <f t="shared" si="196"/>
        <v>No controla</v>
      </c>
      <c r="Z471">
        <v>0</v>
      </c>
      <c r="AA471">
        <f t="shared" si="197"/>
        <v>0</v>
      </c>
      <c r="AB471" t="str">
        <f t="shared" si="198"/>
        <v>Nunca</v>
      </c>
      <c r="AC471">
        <v>1</v>
      </c>
      <c r="AD471">
        <f t="shared" si="199"/>
        <v>1</v>
      </c>
      <c r="AE471" t="str">
        <f t="shared" si="200"/>
        <v>Usualmente</v>
      </c>
      <c r="AF471">
        <v>0</v>
      </c>
      <c r="AG471" t="str">
        <f t="shared" si="201"/>
        <v>Nunca</v>
      </c>
      <c r="AH471">
        <v>0</v>
      </c>
      <c r="AI471" t="str">
        <f t="shared" si="202"/>
        <v>No usa</v>
      </c>
      <c r="AJ471">
        <v>0</v>
      </c>
      <c r="AK471" t="str">
        <f t="shared" si="203"/>
        <v>No usa</v>
      </c>
      <c r="AL471">
        <v>0</v>
      </c>
      <c r="AM471" t="str">
        <f t="shared" si="204"/>
        <v>No usa</v>
      </c>
      <c r="AN471">
        <v>1</v>
      </c>
      <c r="AO471" t="str">
        <f t="shared" si="205"/>
        <v>Usa Transporte</v>
      </c>
      <c r="AP471">
        <v>0</v>
      </c>
      <c r="AQ471" t="str">
        <f t="shared" si="206"/>
        <v>No camina</v>
      </c>
      <c r="AR471">
        <v>0</v>
      </c>
      <c r="AS471" t="str">
        <f t="shared" si="207"/>
        <v>No es obeso</v>
      </c>
    </row>
    <row r="472" spans="1:45" x14ac:dyDescent="0.25">
      <c r="A472">
        <v>0</v>
      </c>
      <c r="B472" t="str">
        <f t="shared" si="182"/>
        <v>F</v>
      </c>
      <c r="C472">
        <v>20</v>
      </c>
      <c r="D472">
        <f t="shared" si="183"/>
        <v>20</v>
      </c>
      <c r="E472">
        <f t="shared" si="184"/>
        <v>20</v>
      </c>
      <c r="F472" t="str">
        <f t="shared" si="185"/>
        <v>1-25</v>
      </c>
      <c r="G472">
        <v>0</v>
      </c>
      <c r="H472" t="str">
        <f t="shared" si="186"/>
        <v>Pariente normal</v>
      </c>
      <c r="I472">
        <v>1</v>
      </c>
      <c r="J472" t="str">
        <f t="shared" si="187"/>
        <v>Hipercaloricos</v>
      </c>
      <c r="K472">
        <v>2</v>
      </c>
      <c r="L472">
        <f t="shared" si="188"/>
        <v>1</v>
      </c>
      <c r="M472" t="str">
        <f t="shared" si="189"/>
        <v>Suele comer</v>
      </c>
      <c r="N472">
        <v>3</v>
      </c>
      <c r="O472">
        <f t="shared" si="190"/>
        <v>2</v>
      </c>
      <c r="P472" t="str">
        <f t="shared" si="191"/>
        <v>Mas de 3</v>
      </c>
      <c r="Q472">
        <v>2</v>
      </c>
      <c r="R472" t="str">
        <f t="shared" si="192"/>
        <v>Usualmente</v>
      </c>
      <c r="S472">
        <v>0</v>
      </c>
      <c r="T472" t="str">
        <f t="shared" si="193"/>
        <v>No fuma</v>
      </c>
      <c r="U472">
        <v>2</v>
      </c>
      <c r="V472">
        <f t="shared" si="194"/>
        <v>2</v>
      </c>
      <c r="W472" t="str">
        <f t="shared" si="195"/>
        <v>Siempre</v>
      </c>
      <c r="X472">
        <v>0</v>
      </c>
      <c r="Y472" t="str">
        <f t="shared" si="196"/>
        <v>No controla</v>
      </c>
      <c r="Z472">
        <v>3</v>
      </c>
      <c r="AA472">
        <f t="shared" si="197"/>
        <v>3</v>
      </c>
      <c r="AB472" t="str">
        <f t="shared" si="198"/>
        <v>Siempre</v>
      </c>
      <c r="AC472">
        <v>0</v>
      </c>
      <c r="AD472">
        <f t="shared" si="199"/>
        <v>0</v>
      </c>
      <c r="AE472" t="str">
        <f t="shared" si="200"/>
        <v>Nunca</v>
      </c>
      <c r="AF472">
        <v>1</v>
      </c>
      <c r="AG472" t="str">
        <f t="shared" si="201"/>
        <v>A veces</v>
      </c>
      <c r="AH472">
        <v>0</v>
      </c>
      <c r="AI472" t="str">
        <f t="shared" si="202"/>
        <v>No usa</v>
      </c>
      <c r="AJ472">
        <v>0</v>
      </c>
      <c r="AK472" t="str">
        <f t="shared" si="203"/>
        <v>No usa</v>
      </c>
      <c r="AL472">
        <v>0</v>
      </c>
      <c r="AM472" t="str">
        <f t="shared" si="204"/>
        <v>No usa</v>
      </c>
      <c r="AN472">
        <v>1</v>
      </c>
      <c r="AO472" t="str">
        <f t="shared" si="205"/>
        <v>Usa Transporte</v>
      </c>
      <c r="AP472">
        <v>0</v>
      </c>
      <c r="AQ472" t="str">
        <f t="shared" si="206"/>
        <v>No camina</v>
      </c>
      <c r="AR472">
        <v>0</v>
      </c>
      <c r="AS472" t="str">
        <f t="shared" si="207"/>
        <v>No es obeso</v>
      </c>
    </row>
    <row r="473" spans="1:45" x14ac:dyDescent="0.25">
      <c r="A473">
        <v>0</v>
      </c>
      <c r="B473" t="str">
        <f t="shared" si="182"/>
        <v>F</v>
      </c>
      <c r="C473">
        <v>18</v>
      </c>
      <c r="D473">
        <f t="shared" si="183"/>
        <v>18</v>
      </c>
      <c r="E473">
        <f t="shared" si="184"/>
        <v>18</v>
      </c>
      <c r="F473" t="str">
        <f t="shared" si="185"/>
        <v>1-25</v>
      </c>
      <c r="G473">
        <v>1</v>
      </c>
      <c r="H473" t="str">
        <f t="shared" si="186"/>
        <v>Pariente gordo</v>
      </c>
      <c r="I473">
        <v>1</v>
      </c>
      <c r="J473" t="str">
        <f t="shared" si="187"/>
        <v>Hipercaloricos</v>
      </c>
      <c r="K473">
        <v>2</v>
      </c>
      <c r="L473">
        <f t="shared" si="188"/>
        <v>1</v>
      </c>
      <c r="M473" t="str">
        <f t="shared" si="189"/>
        <v>Suele comer</v>
      </c>
      <c r="N473">
        <v>3</v>
      </c>
      <c r="O473">
        <f t="shared" si="190"/>
        <v>2</v>
      </c>
      <c r="P473" t="str">
        <f t="shared" si="191"/>
        <v>Mas de 3</v>
      </c>
      <c r="Q473">
        <v>1</v>
      </c>
      <c r="R473" t="str">
        <f t="shared" si="192"/>
        <v>A veces</v>
      </c>
      <c r="S473">
        <v>0</v>
      </c>
      <c r="T473" t="str">
        <f t="shared" si="193"/>
        <v>No fuma</v>
      </c>
      <c r="U473">
        <v>2</v>
      </c>
      <c r="V473">
        <f t="shared" si="194"/>
        <v>2</v>
      </c>
      <c r="W473" t="str">
        <f t="shared" si="195"/>
        <v>Siempre</v>
      </c>
      <c r="X473">
        <v>1</v>
      </c>
      <c r="Y473" t="str">
        <f t="shared" si="196"/>
        <v>Controla</v>
      </c>
      <c r="Z473">
        <v>1</v>
      </c>
      <c r="AA473">
        <f t="shared" si="197"/>
        <v>1</v>
      </c>
      <c r="AB473" t="str">
        <f t="shared" si="198"/>
        <v>A veces</v>
      </c>
      <c r="AC473">
        <v>0</v>
      </c>
      <c r="AD473">
        <f t="shared" si="199"/>
        <v>0</v>
      </c>
      <c r="AE473" t="str">
        <f t="shared" si="200"/>
        <v>Nunca</v>
      </c>
      <c r="AF473">
        <v>0</v>
      </c>
      <c r="AG473" t="str">
        <f t="shared" si="201"/>
        <v>Nunca</v>
      </c>
      <c r="AH473">
        <v>0</v>
      </c>
      <c r="AI473" t="str">
        <f t="shared" si="202"/>
        <v>No usa</v>
      </c>
      <c r="AJ473">
        <v>0</v>
      </c>
      <c r="AK473" t="str">
        <f t="shared" si="203"/>
        <v>No usa</v>
      </c>
      <c r="AL473">
        <v>0</v>
      </c>
      <c r="AM473" t="str">
        <f t="shared" si="204"/>
        <v>No usa</v>
      </c>
      <c r="AN473">
        <v>1</v>
      </c>
      <c r="AO473" t="str">
        <f t="shared" si="205"/>
        <v>Usa Transporte</v>
      </c>
      <c r="AP473">
        <v>0</v>
      </c>
      <c r="AQ473" t="str">
        <f t="shared" si="206"/>
        <v>No camina</v>
      </c>
      <c r="AR473">
        <v>1</v>
      </c>
      <c r="AS473" t="str">
        <f t="shared" si="207"/>
        <v>Es Obeso</v>
      </c>
    </row>
    <row r="474" spans="1:45" x14ac:dyDescent="0.25">
      <c r="A474">
        <v>0</v>
      </c>
      <c r="B474" t="str">
        <f t="shared" si="182"/>
        <v>F</v>
      </c>
      <c r="C474">
        <v>18</v>
      </c>
      <c r="D474">
        <f t="shared" si="183"/>
        <v>18</v>
      </c>
      <c r="E474">
        <f t="shared" si="184"/>
        <v>18</v>
      </c>
      <c r="F474" t="str">
        <f t="shared" si="185"/>
        <v>1-25</v>
      </c>
      <c r="G474">
        <v>0</v>
      </c>
      <c r="H474" t="str">
        <f t="shared" si="186"/>
        <v>Pariente normal</v>
      </c>
      <c r="I474">
        <v>0</v>
      </c>
      <c r="J474" t="str">
        <f t="shared" si="187"/>
        <v>Saludables</v>
      </c>
      <c r="K474">
        <v>3</v>
      </c>
      <c r="L474">
        <f t="shared" si="188"/>
        <v>1</v>
      </c>
      <c r="M474" t="str">
        <f t="shared" si="189"/>
        <v>Suele comer</v>
      </c>
      <c r="N474">
        <v>4</v>
      </c>
      <c r="O474">
        <f t="shared" si="190"/>
        <v>2</v>
      </c>
      <c r="P474" t="str">
        <f t="shared" si="191"/>
        <v>Mas de 3</v>
      </c>
      <c r="Q474">
        <v>2</v>
      </c>
      <c r="R474" t="str">
        <f t="shared" si="192"/>
        <v>Usualmente</v>
      </c>
      <c r="S474">
        <v>0</v>
      </c>
      <c r="T474" t="str">
        <f t="shared" si="193"/>
        <v>No fuma</v>
      </c>
      <c r="U474">
        <v>2</v>
      </c>
      <c r="V474">
        <f t="shared" si="194"/>
        <v>2</v>
      </c>
      <c r="W474" t="str">
        <f t="shared" si="195"/>
        <v>Siempre</v>
      </c>
      <c r="X474">
        <v>0</v>
      </c>
      <c r="Y474" t="str">
        <f t="shared" si="196"/>
        <v>No controla</v>
      </c>
      <c r="Z474">
        <v>1</v>
      </c>
      <c r="AA474">
        <f t="shared" si="197"/>
        <v>1</v>
      </c>
      <c r="AB474" t="str">
        <f t="shared" si="198"/>
        <v>A veces</v>
      </c>
      <c r="AC474">
        <v>1</v>
      </c>
      <c r="AD474">
        <f t="shared" si="199"/>
        <v>1</v>
      </c>
      <c r="AE474" t="str">
        <f t="shared" si="200"/>
        <v>Usualmente</v>
      </c>
      <c r="AF474">
        <v>0</v>
      </c>
      <c r="AG474" t="str">
        <f t="shared" si="201"/>
        <v>Nunca</v>
      </c>
      <c r="AH474">
        <v>0</v>
      </c>
      <c r="AI474" t="str">
        <f t="shared" si="202"/>
        <v>No usa</v>
      </c>
      <c r="AJ474">
        <v>0</v>
      </c>
      <c r="AK474" t="str">
        <f t="shared" si="203"/>
        <v>No usa</v>
      </c>
      <c r="AL474">
        <v>0</v>
      </c>
      <c r="AM474" t="str">
        <f t="shared" si="204"/>
        <v>No usa</v>
      </c>
      <c r="AN474">
        <v>1</v>
      </c>
      <c r="AO474" t="str">
        <f t="shared" si="205"/>
        <v>Usa Transporte</v>
      </c>
      <c r="AP474">
        <v>0</v>
      </c>
      <c r="AQ474" t="str">
        <f t="shared" si="206"/>
        <v>No camina</v>
      </c>
      <c r="AR474">
        <v>0</v>
      </c>
      <c r="AS474" t="str">
        <f t="shared" si="207"/>
        <v>No es obeso</v>
      </c>
    </row>
    <row r="475" spans="1:45" x14ac:dyDescent="0.25">
      <c r="A475">
        <v>0</v>
      </c>
      <c r="B475" t="str">
        <f t="shared" si="182"/>
        <v>F</v>
      </c>
      <c r="C475">
        <v>18</v>
      </c>
      <c r="D475">
        <f t="shared" si="183"/>
        <v>18</v>
      </c>
      <c r="E475">
        <f t="shared" si="184"/>
        <v>18</v>
      </c>
      <c r="F475" t="str">
        <f t="shared" si="185"/>
        <v>1-25</v>
      </c>
      <c r="G475">
        <v>1</v>
      </c>
      <c r="H475" t="str">
        <f t="shared" si="186"/>
        <v>Pariente gordo</v>
      </c>
      <c r="I475">
        <v>1</v>
      </c>
      <c r="J475" t="str">
        <f t="shared" si="187"/>
        <v>Hipercaloricos</v>
      </c>
      <c r="K475">
        <v>1</v>
      </c>
      <c r="L475">
        <f t="shared" si="188"/>
        <v>1</v>
      </c>
      <c r="M475" t="str">
        <f t="shared" si="189"/>
        <v>Suele comer</v>
      </c>
      <c r="N475">
        <v>3</v>
      </c>
      <c r="O475">
        <f t="shared" si="190"/>
        <v>2</v>
      </c>
      <c r="P475" t="str">
        <f t="shared" si="191"/>
        <v>Mas de 3</v>
      </c>
      <c r="Q475">
        <v>2</v>
      </c>
      <c r="R475" t="str">
        <f t="shared" si="192"/>
        <v>Usualmente</v>
      </c>
      <c r="S475">
        <v>0</v>
      </c>
      <c r="T475" t="str">
        <f t="shared" si="193"/>
        <v>No fuma</v>
      </c>
      <c r="U475">
        <v>1</v>
      </c>
      <c r="V475">
        <f t="shared" si="194"/>
        <v>1</v>
      </c>
      <c r="W475" t="str">
        <f t="shared" si="195"/>
        <v>Usualmente</v>
      </c>
      <c r="X475">
        <v>0</v>
      </c>
      <c r="Y475" t="str">
        <f t="shared" si="196"/>
        <v>No controla</v>
      </c>
      <c r="Z475">
        <v>1</v>
      </c>
      <c r="AA475">
        <f t="shared" si="197"/>
        <v>1</v>
      </c>
      <c r="AB475" t="str">
        <f t="shared" si="198"/>
        <v>A veces</v>
      </c>
      <c r="AC475">
        <v>0</v>
      </c>
      <c r="AD475">
        <f t="shared" si="199"/>
        <v>0</v>
      </c>
      <c r="AE475" t="str">
        <f t="shared" si="200"/>
        <v>Nunca</v>
      </c>
      <c r="AF475">
        <v>1</v>
      </c>
      <c r="AG475" t="str">
        <f t="shared" si="201"/>
        <v>A veces</v>
      </c>
      <c r="AH475">
        <v>0</v>
      </c>
      <c r="AI475" t="str">
        <f t="shared" si="202"/>
        <v>No usa</v>
      </c>
      <c r="AJ475">
        <v>0</v>
      </c>
      <c r="AK475" t="str">
        <f t="shared" si="203"/>
        <v>No usa</v>
      </c>
      <c r="AL475">
        <v>0</v>
      </c>
      <c r="AM475" t="str">
        <f t="shared" si="204"/>
        <v>No usa</v>
      </c>
      <c r="AN475">
        <v>1</v>
      </c>
      <c r="AO475" t="str">
        <f t="shared" si="205"/>
        <v>Usa Transporte</v>
      </c>
      <c r="AP475">
        <v>0</v>
      </c>
      <c r="AQ475" t="str">
        <f t="shared" si="206"/>
        <v>No camina</v>
      </c>
      <c r="AR475">
        <v>0</v>
      </c>
      <c r="AS475" t="str">
        <f t="shared" si="207"/>
        <v>No es obeso</v>
      </c>
    </row>
    <row r="476" spans="1:45" x14ac:dyDescent="0.25">
      <c r="A476">
        <v>1</v>
      </c>
      <c r="B476" t="str">
        <f t="shared" si="182"/>
        <v>M</v>
      </c>
      <c r="C476">
        <v>19</v>
      </c>
      <c r="D476">
        <f t="shared" si="183"/>
        <v>19</v>
      </c>
      <c r="E476">
        <f t="shared" si="184"/>
        <v>19</v>
      </c>
      <c r="F476" t="str">
        <f t="shared" si="185"/>
        <v>1-25</v>
      </c>
      <c r="G476">
        <v>0</v>
      </c>
      <c r="H476" t="str">
        <f t="shared" si="186"/>
        <v>Pariente normal</v>
      </c>
      <c r="I476">
        <v>1</v>
      </c>
      <c r="J476" t="str">
        <f t="shared" si="187"/>
        <v>Hipercaloricos</v>
      </c>
      <c r="K476">
        <v>2</v>
      </c>
      <c r="L476">
        <f t="shared" si="188"/>
        <v>1</v>
      </c>
      <c r="M476" t="str">
        <f t="shared" si="189"/>
        <v>Suele comer</v>
      </c>
      <c r="N476">
        <v>3</v>
      </c>
      <c r="O476">
        <f t="shared" si="190"/>
        <v>2</v>
      </c>
      <c r="P476" t="str">
        <f t="shared" si="191"/>
        <v>Mas de 3</v>
      </c>
      <c r="Q476">
        <v>1</v>
      </c>
      <c r="R476" t="str">
        <f t="shared" si="192"/>
        <v>A veces</v>
      </c>
      <c r="S476">
        <v>0</v>
      </c>
      <c r="T476" t="str">
        <f t="shared" si="193"/>
        <v>No fuma</v>
      </c>
      <c r="U476">
        <v>1</v>
      </c>
      <c r="V476">
        <f t="shared" si="194"/>
        <v>1</v>
      </c>
      <c r="W476" t="str">
        <f t="shared" si="195"/>
        <v>Usualmente</v>
      </c>
      <c r="X476">
        <v>0</v>
      </c>
      <c r="Y476" t="str">
        <f t="shared" si="196"/>
        <v>No controla</v>
      </c>
      <c r="Z476">
        <v>1</v>
      </c>
      <c r="AA476">
        <f t="shared" si="197"/>
        <v>1</v>
      </c>
      <c r="AB476" t="str">
        <f t="shared" si="198"/>
        <v>A veces</v>
      </c>
      <c r="AC476">
        <v>0</v>
      </c>
      <c r="AD476">
        <f t="shared" si="199"/>
        <v>0</v>
      </c>
      <c r="AE476" t="str">
        <f t="shared" si="200"/>
        <v>Nunca</v>
      </c>
      <c r="AF476">
        <v>0</v>
      </c>
      <c r="AG476" t="str">
        <f t="shared" si="201"/>
        <v>Nunca</v>
      </c>
      <c r="AH476">
        <v>0</v>
      </c>
      <c r="AI476" t="str">
        <f t="shared" si="202"/>
        <v>No usa</v>
      </c>
      <c r="AJ476">
        <v>0</v>
      </c>
      <c r="AK476" t="str">
        <f t="shared" si="203"/>
        <v>No usa</v>
      </c>
      <c r="AL476">
        <v>0</v>
      </c>
      <c r="AM476" t="str">
        <f t="shared" si="204"/>
        <v>No usa</v>
      </c>
      <c r="AN476">
        <v>1</v>
      </c>
      <c r="AO476" t="str">
        <f t="shared" si="205"/>
        <v>Usa Transporte</v>
      </c>
      <c r="AP476">
        <v>0</v>
      </c>
      <c r="AQ476" t="str">
        <f t="shared" si="206"/>
        <v>No camina</v>
      </c>
      <c r="AR476">
        <v>0</v>
      </c>
      <c r="AS476" t="str">
        <f t="shared" si="207"/>
        <v>No es obeso</v>
      </c>
    </row>
    <row r="477" spans="1:45" x14ac:dyDescent="0.25">
      <c r="A477">
        <v>0</v>
      </c>
      <c r="B477" t="str">
        <f t="shared" si="182"/>
        <v>F</v>
      </c>
      <c r="C477">
        <v>18</v>
      </c>
      <c r="D477">
        <f t="shared" si="183"/>
        <v>18</v>
      </c>
      <c r="E477">
        <f t="shared" si="184"/>
        <v>18</v>
      </c>
      <c r="F477" t="str">
        <f t="shared" si="185"/>
        <v>1-25</v>
      </c>
      <c r="G477">
        <v>0</v>
      </c>
      <c r="H477" t="str">
        <f t="shared" si="186"/>
        <v>Pariente normal</v>
      </c>
      <c r="I477">
        <v>0</v>
      </c>
      <c r="J477" t="str">
        <f t="shared" si="187"/>
        <v>Saludables</v>
      </c>
      <c r="K477">
        <v>2</v>
      </c>
      <c r="L477">
        <f t="shared" si="188"/>
        <v>1</v>
      </c>
      <c r="M477" t="str">
        <f t="shared" si="189"/>
        <v>Suele comer</v>
      </c>
      <c r="N477">
        <v>1</v>
      </c>
      <c r="O477">
        <f t="shared" si="190"/>
        <v>1</v>
      </c>
      <c r="P477">
        <f t="shared" si="191"/>
        <v>3</v>
      </c>
      <c r="Q477">
        <v>1</v>
      </c>
      <c r="R477" t="str">
        <f t="shared" si="192"/>
        <v>A veces</v>
      </c>
      <c r="S477">
        <v>0</v>
      </c>
      <c r="T477" t="str">
        <f t="shared" si="193"/>
        <v>No fuma</v>
      </c>
      <c r="U477">
        <v>1</v>
      </c>
      <c r="V477">
        <f t="shared" si="194"/>
        <v>1</v>
      </c>
      <c r="W477" t="str">
        <f t="shared" si="195"/>
        <v>Usualmente</v>
      </c>
      <c r="X477">
        <v>0</v>
      </c>
      <c r="Y477" t="str">
        <f t="shared" si="196"/>
        <v>No controla</v>
      </c>
      <c r="Z477">
        <v>0</v>
      </c>
      <c r="AA477">
        <f t="shared" si="197"/>
        <v>0</v>
      </c>
      <c r="AB477" t="str">
        <f t="shared" si="198"/>
        <v>Nunca</v>
      </c>
      <c r="AC477">
        <v>2</v>
      </c>
      <c r="AD477">
        <f t="shared" si="199"/>
        <v>2</v>
      </c>
      <c r="AE477" t="str">
        <f t="shared" si="200"/>
        <v>Siempre</v>
      </c>
      <c r="AF477">
        <v>0</v>
      </c>
      <c r="AG477" t="str">
        <f t="shared" si="201"/>
        <v>Nunca</v>
      </c>
      <c r="AH477">
        <v>0</v>
      </c>
      <c r="AI477" t="str">
        <f t="shared" si="202"/>
        <v>No usa</v>
      </c>
      <c r="AJ477">
        <v>0</v>
      </c>
      <c r="AK477" t="str">
        <f t="shared" si="203"/>
        <v>No usa</v>
      </c>
      <c r="AL477">
        <v>0</v>
      </c>
      <c r="AM477" t="str">
        <f t="shared" si="204"/>
        <v>No usa</v>
      </c>
      <c r="AN477">
        <v>1</v>
      </c>
      <c r="AO477" t="str">
        <f t="shared" si="205"/>
        <v>Usa Transporte</v>
      </c>
      <c r="AP477">
        <v>0</v>
      </c>
      <c r="AQ477" t="str">
        <f t="shared" si="206"/>
        <v>No camina</v>
      </c>
      <c r="AR477">
        <v>0</v>
      </c>
      <c r="AS477" t="str">
        <f t="shared" si="207"/>
        <v>No es obeso</v>
      </c>
    </row>
    <row r="478" spans="1:45" x14ac:dyDescent="0.25">
      <c r="A478">
        <v>0</v>
      </c>
      <c r="B478" t="str">
        <f t="shared" si="182"/>
        <v>F</v>
      </c>
      <c r="C478">
        <v>18</v>
      </c>
      <c r="D478">
        <f t="shared" si="183"/>
        <v>18</v>
      </c>
      <c r="E478">
        <f t="shared" si="184"/>
        <v>18</v>
      </c>
      <c r="F478" t="str">
        <f t="shared" si="185"/>
        <v>1-25</v>
      </c>
      <c r="G478">
        <v>1</v>
      </c>
      <c r="H478" t="str">
        <f t="shared" si="186"/>
        <v>Pariente gordo</v>
      </c>
      <c r="I478">
        <v>1</v>
      </c>
      <c r="J478" t="str">
        <f t="shared" si="187"/>
        <v>Hipercaloricos</v>
      </c>
      <c r="K478">
        <v>3</v>
      </c>
      <c r="L478">
        <f t="shared" si="188"/>
        <v>1</v>
      </c>
      <c r="M478" t="str">
        <f t="shared" si="189"/>
        <v>Suele comer</v>
      </c>
      <c r="N478">
        <v>3</v>
      </c>
      <c r="O478">
        <f t="shared" si="190"/>
        <v>2</v>
      </c>
      <c r="P478" t="str">
        <f t="shared" si="191"/>
        <v>Mas de 3</v>
      </c>
      <c r="Q478">
        <v>1</v>
      </c>
      <c r="R478" t="str">
        <f t="shared" si="192"/>
        <v>A veces</v>
      </c>
      <c r="S478">
        <v>0</v>
      </c>
      <c r="T478" t="str">
        <f t="shared" si="193"/>
        <v>No fuma</v>
      </c>
      <c r="U478">
        <v>2</v>
      </c>
      <c r="V478">
        <f t="shared" si="194"/>
        <v>2</v>
      </c>
      <c r="W478" t="str">
        <f t="shared" si="195"/>
        <v>Siempre</v>
      </c>
      <c r="X478">
        <v>0</v>
      </c>
      <c r="Y478" t="str">
        <f t="shared" si="196"/>
        <v>No controla</v>
      </c>
      <c r="Z478">
        <v>1</v>
      </c>
      <c r="AA478">
        <f t="shared" si="197"/>
        <v>1</v>
      </c>
      <c r="AB478" t="str">
        <f t="shared" si="198"/>
        <v>A veces</v>
      </c>
      <c r="AC478">
        <v>0</v>
      </c>
      <c r="AD478">
        <f t="shared" si="199"/>
        <v>0</v>
      </c>
      <c r="AE478" t="str">
        <f t="shared" si="200"/>
        <v>Nunca</v>
      </c>
      <c r="AF478">
        <v>0</v>
      </c>
      <c r="AG478" t="str">
        <f t="shared" si="201"/>
        <v>Nunca</v>
      </c>
      <c r="AH478">
        <v>0</v>
      </c>
      <c r="AI478" t="str">
        <f t="shared" si="202"/>
        <v>No usa</v>
      </c>
      <c r="AJ478">
        <v>0</v>
      </c>
      <c r="AK478" t="str">
        <f t="shared" si="203"/>
        <v>No usa</v>
      </c>
      <c r="AL478">
        <v>0</v>
      </c>
      <c r="AM478" t="str">
        <f t="shared" si="204"/>
        <v>No usa</v>
      </c>
      <c r="AN478">
        <v>1</v>
      </c>
      <c r="AO478" t="str">
        <f t="shared" si="205"/>
        <v>Usa Transporte</v>
      </c>
      <c r="AP478">
        <v>0</v>
      </c>
      <c r="AQ478" t="str">
        <f t="shared" si="206"/>
        <v>No camina</v>
      </c>
      <c r="AR478">
        <v>0</v>
      </c>
      <c r="AS478" t="str">
        <f t="shared" si="207"/>
        <v>No es obeso</v>
      </c>
    </row>
    <row r="479" spans="1:45" x14ac:dyDescent="0.25">
      <c r="A479">
        <v>0</v>
      </c>
      <c r="B479" t="str">
        <f t="shared" si="182"/>
        <v>F</v>
      </c>
      <c r="C479">
        <v>18</v>
      </c>
      <c r="D479">
        <f t="shared" si="183"/>
        <v>18</v>
      </c>
      <c r="E479">
        <f t="shared" si="184"/>
        <v>18</v>
      </c>
      <c r="F479" t="str">
        <f t="shared" si="185"/>
        <v>1-25</v>
      </c>
      <c r="G479">
        <v>1</v>
      </c>
      <c r="H479" t="str">
        <f t="shared" si="186"/>
        <v>Pariente gordo</v>
      </c>
      <c r="I479">
        <v>1</v>
      </c>
      <c r="J479" t="str">
        <f t="shared" si="187"/>
        <v>Hipercaloricos</v>
      </c>
      <c r="K479">
        <v>3</v>
      </c>
      <c r="L479">
        <f t="shared" si="188"/>
        <v>1</v>
      </c>
      <c r="M479" t="str">
        <f t="shared" si="189"/>
        <v>Suele comer</v>
      </c>
      <c r="N479">
        <v>3</v>
      </c>
      <c r="O479">
        <f t="shared" si="190"/>
        <v>2</v>
      </c>
      <c r="P479" t="str">
        <f t="shared" si="191"/>
        <v>Mas de 3</v>
      </c>
      <c r="Q479">
        <v>2</v>
      </c>
      <c r="R479" t="str">
        <f t="shared" si="192"/>
        <v>Usualmente</v>
      </c>
      <c r="S479">
        <v>0</v>
      </c>
      <c r="T479" t="str">
        <f t="shared" si="193"/>
        <v>No fuma</v>
      </c>
      <c r="U479">
        <v>1</v>
      </c>
      <c r="V479">
        <f t="shared" si="194"/>
        <v>1</v>
      </c>
      <c r="W479" t="str">
        <f t="shared" si="195"/>
        <v>Usualmente</v>
      </c>
      <c r="X479">
        <v>1</v>
      </c>
      <c r="Y479" t="str">
        <f t="shared" si="196"/>
        <v>Controla</v>
      </c>
      <c r="Z479">
        <v>1</v>
      </c>
      <c r="AA479">
        <f t="shared" si="197"/>
        <v>1</v>
      </c>
      <c r="AB479" t="str">
        <f t="shared" si="198"/>
        <v>A veces</v>
      </c>
      <c r="AC479">
        <v>1</v>
      </c>
      <c r="AD479">
        <f t="shared" si="199"/>
        <v>1</v>
      </c>
      <c r="AE479" t="str">
        <f t="shared" si="200"/>
        <v>Usualmente</v>
      </c>
      <c r="AF479">
        <v>0</v>
      </c>
      <c r="AG479" t="str">
        <f t="shared" si="201"/>
        <v>Nunca</v>
      </c>
      <c r="AH479">
        <v>0</v>
      </c>
      <c r="AI479" t="str">
        <f t="shared" si="202"/>
        <v>No usa</v>
      </c>
      <c r="AJ479">
        <v>0</v>
      </c>
      <c r="AK479" t="str">
        <f t="shared" si="203"/>
        <v>No usa</v>
      </c>
      <c r="AL479">
        <v>0</v>
      </c>
      <c r="AM479" t="str">
        <f t="shared" si="204"/>
        <v>No usa</v>
      </c>
      <c r="AN479">
        <v>1</v>
      </c>
      <c r="AO479" t="str">
        <f t="shared" si="205"/>
        <v>Usa Transporte</v>
      </c>
      <c r="AP479">
        <v>0</v>
      </c>
      <c r="AQ479" t="str">
        <f t="shared" si="206"/>
        <v>No camina</v>
      </c>
      <c r="AR479">
        <v>0</v>
      </c>
      <c r="AS479" t="str">
        <f t="shared" si="207"/>
        <v>No es obeso</v>
      </c>
    </row>
    <row r="480" spans="1:45" x14ac:dyDescent="0.25">
      <c r="A480">
        <v>1</v>
      </c>
      <c r="B480" t="str">
        <f t="shared" si="182"/>
        <v>M</v>
      </c>
      <c r="C480">
        <v>19</v>
      </c>
      <c r="D480">
        <f t="shared" si="183"/>
        <v>19</v>
      </c>
      <c r="E480">
        <f t="shared" si="184"/>
        <v>19</v>
      </c>
      <c r="F480" t="str">
        <f t="shared" si="185"/>
        <v>1-25</v>
      </c>
      <c r="G480">
        <v>0</v>
      </c>
      <c r="H480" t="str">
        <f t="shared" si="186"/>
        <v>Pariente normal</v>
      </c>
      <c r="I480">
        <v>1</v>
      </c>
      <c r="J480" t="str">
        <f t="shared" si="187"/>
        <v>Hipercaloricos</v>
      </c>
      <c r="K480">
        <v>2</v>
      </c>
      <c r="L480">
        <f t="shared" si="188"/>
        <v>1</v>
      </c>
      <c r="M480" t="str">
        <f t="shared" si="189"/>
        <v>Suele comer</v>
      </c>
      <c r="N480">
        <v>3</v>
      </c>
      <c r="O480">
        <f t="shared" si="190"/>
        <v>2</v>
      </c>
      <c r="P480" t="str">
        <f t="shared" si="191"/>
        <v>Mas de 3</v>
      </c>
      <c r="Q480">
        <v>2</v>
      </c>
      <c r="R480" t="str">
        <f t="shared" si="192"/>
        <v>Usualmente</v>
      </c>
      <c r="S480">
        <v>0</v>
      </c>
      <c r="T480" t="str">
        <f t="shared" si="193"/>
        <v>No fuma</v>
      </c>
      <c r="U480">
        <v>1</v>
      </c>
      <c r="V480">
        <f t="shared" si="194"/>
        <v>1</v>
      </c>
      <c r="W480" t="str">
        <f t="shared" si="195"/>
        <v>Usualmente</v>
      </c>
      <c r="X480">
        <v>0</v>
      </c>
      <c r="Y480" t="str">
        <f t="shared" si="196"/>
        <v>No controla</v>
      </c>
      <c r="Z480">
        <v>1</v>
      </c>
      <c r="AA480">
        <f t="shared" si="197"/>
        <v>1</v>
      </c>
      <c r="AB480" t="str">
        <f t="shared" si="198"/>
        <v>A veces</v>
      </c>
      <c r="AC480">
        <v>1</v>
      </c>
      <c r="AD480">
        <f t="shared" si="199"/>
        <v>1</v>
      </c>
      <c r="AE480" t="str">
        <f t="shared" si="200"/>
        <v>Usualmente</v>
      </c>
      <c r="AF480">
        <v>1</v>
      </c>
      <c r="AG480" t="str">
        <f t="shared" si="201"/>
        <v>A veces</v>
      </c>
      <c r="AH480">
        <v>0</v>
      </c>
      <c r="AI480" t="str">
        <f t="shared" si="202"/>
        <v>No usa</v>
      </c>
      <c r="AJ480">
        <v>0</v>
      </c>
      <c r="AK480" t="str">
        <f t="shared" si="203"/>
        <v>No usa</v>
      </c>
      <c r="AL480">
        <v>0</v>
      </c>
      <c r="AM480" t="str">
        <f t="shared" si="204"/>
        <v>No usa</v>
      </c>
      <c r="AN480">
        <v>1</v>
      </c>
      <c r="AO480" t="str">
        <f t="shared" si="205"/>
        <v>Usa Transporte</v>
      </c>
      <c r="AP480">
        <v>0</v>
      </c>
      <c r="AQ480" t="str">
        <f t="shared" si="206"/>
        <v>No camina</v>
      </c>
      <c r="AR480">
        <v>0</v>
      </c>
      <c r="AS480" t="str">
        <f t="shared" si="207"/>
        <v>No es obeso</v>
      </c>
    </row>
    <row r="481" spans="1:45" x14ac:dyDescent="0.25">
      <c r="A481">
        <v>0</v>
      </c>
      <c r="B481" t="str">
        <f t="shared" si="182"/>
        <v>F</v>
      </c>
      <c r="C481">
        <v>17</v>
      </c>
      <c r="D481">
        <f t="shared" si="183"/>
        <v>17</v>
      </c>
      <c r="E481">
        <f t="shared" si="184"/>
        <v>17</v>
      </c>
      <c r="F481" t="str">
        <f t="shared" si="185"/>
        <v>1-25</v>
      </c>
      <c r="G481">
        <v>0</v>
      </c>
      <c r="H481" t="str">
        <f t="shared" si="186"/>
        <v>Pariente normal</v>
      </c>
      <c r="I481">
        <v>1</v>
      </c>
      <c r="J481" t="str">
        <f t="shared" si="187"/>
        <v>Hipercaloricos</v>
      </c>
      <c r="K481">
        <v>1</v>
      </c>
      <c r="L481">
        <f t="shared" si="188"/>
        <v>1</v>
      </c>
      <c r="M481" t="str">
        <f t="shared" si="189"/>
        <v>Suele comer</v>
      </c>
      <c r="N481">
        <v>4</v>
      </c>
      <c r="O481">
        <f t="shared" si="190"/>
        <v>2</v>
      </c>
      <c r="P481" t="str">
        <f t="shared" si="191"/>
        <v>Mas de 3</v>
      </c>
      <c r="Q481">
        <v>2</v>
      </c>
      <c r="R481" t="str">
        <f t="shared" si="192"/>
        <v>Usualmente</v>
      </c>
      <c r="S481">
        <v>0</v>
      </c>
      <c r="T481" t="str">
        <f t="shared" si="193"/>
        <v>No fuma</v>
      </c>
      <c r="U481">
        <v>2</v>
      </c>
      <c r="V481">
        <f t="shared" si="194"/>
        <v>2</v>
      </c>
      <c r="W481" t="str">
        <f t="shared" si="195"/>
        <v>Siempre</v>
      </c>
      <c r="X481">
        <v>0</v>
      </c>
      <c r="Y481" t="str">
        <f t="shared" si="196"/>
        <v>No controla</v>
      </c>
      <c r="Z481">
        <v>1</v>
      </c>
      <c r="AA481">
        <f t="shared" si="197"/>
        <v>1</v>
      </c>
      <c r="AB481" t="str">
        <f t="shared" si="198"/>
        <v>A veces</v>
      </c>
      <c r="AC481">
        <v>2</v>
      </c>
      <c r="AD481">
        <f t="shared" si="199"/>
        <v>2</v>
      </c>
      <c r="AE481" t="str">
        <f t="shared" si="200"/>
        <v>Siempre</v>
      </c>
      <c r="AF481">
        <v>1</v>
      </c>
      <c r="AG481" t="str">
        <f t="shared" si="201"/>
        <v>A veces</v>
      </c>
      <c r="AH481">
        <v>0</v>
      </c>
      <c r="AI481" t="str">
        <f t="shared" si="202"/>
        <v>No usa</v>
      </c>
      <c r="AJ481">
        <v>0</v>
      </c>
      <c r="AK481" t="str">
        <f t="shared" si="203"/>
        <v>No usa</v>
      </c>
      <c r="AL481">
        <v>0</v>
      </c>
      <c r="AM481" t="str">
        <f t="shared" si="204"/>
        <v>No usa</v>
      </c>
      <c r="AN481">
        <v>1</v>
      </c>
      <c r="AO481" t="str">
        <f t="shared" si="205"/>
        <v>Usa Transporte</v>
      </c>
      <c r="AP481">
        <v>0</v>
      </c>
      <c r="AQ481" t="str">
        <f t="shared" si="206"/>
        <v>No camina</v>
      </c>
      <c r="AR481">
        <v>0</v>
      </c>
      <c r="AS481" t="str">
        <f t="shared" si="207"/>
        <v>No es obeso</v>
      </c>
    </row>
    <row r="482" spans="1:45" x14ac:dyDescent="0.25">
      <c r="A482">
        <v>0</v>
      </c>
      <c r="B482" t="str">
        <f t="shared" si="182"/>
        <v>F</v>
      </c>
      <c r="C482">
        <v>18</v>
      </c>
      <c r="D482">
        <f t="shared" si="183"/>
        <v>18</v>
      </c>
      <c r="E482">
        <f t="shared" si="184"/>
        <v>18</v>
      </c>
      <c r="F482" t="str">
        <f t="shared" si="185"/>
        <v>1-25</v>
      </c>
      <c r="G482">
        <v>0</v>
      </c>
      <c r="H482" t="str">
        <f t="shared" si="186"/>
        <v>Pariente normal</v>
      </c>
      <c r="I482">
        <v>1</v>
      </c>
      <c r="J482" t="str">
        <f t="shared" si="187"/>
        <v>Hipercaloricos</v>
      </c>
      <c r="K482">
        <v>2</v>
      </c>
      <c r="L482">
        <f t="shared" si="188"/>
        <v>1</v>
      </c>
      <c r="M482" t="str">
        <f t="shared" si="189"/>
        <v>Suele comer</v>
      </c>
      <c r="N482">
        <v>3</v>
      </c>
      <c r="O482">
        <f t="shared" si="190"/>
        <v>2</v>
      </c>
      <c r="P482" t="str">
        <f t="shared" si="191"/>
        <v>Mas de 3</v>
      </c>
      <c r="Q482">
        <v>1</v>
      </c>
      <c r="R482" t="str">
        <f t="shared" si="192"/>
        <v>A veces</v>
      </c>
      <c r="S482">
        <v>0</v>
      </c>
      <c r="T482" t="str">
        <f t="shared" si="193"/>
        <v>No fuma</v>
      </c>
      <c r="U482">
        <v>1</v>
      </c>
      <c r="V482">
        <f t="shared" si="194"/>
        <v>1</v>
      </c>
      <c r="W482" t="str">
        <f t="shared" si="195"/>
        <v>Usualmente</v>
      </c>
      <c r="X482">
        <v>0</v>
      </c>
      <c r="Y482" t="str">
        <f t="shared" si="196"/>
        <v>No controla</v>
      </c>
      <c r="Z482">
        <v>0</v>
      </c>
      <c r="AA482">
        <f t="shared" si="197"/>
        <v>0</v>
      </c>
      <c r="AB482" t="str">
        <f t="shared" si="198"/>
        <v>Nunca</v>
      </c>
      <c r="AC482">
        <v>1</v>
      </c>
      <c r="AD482">
        <f t="shared" si="199"/>
        <v>1</v>
      </c>
      <c r="AE482" t="str">
        <f t="shared" si="200"/>
        <v>Usualmente</v>
      </c>
      <c r="AF482">
        <v>1</v>
      </c>
      <c r="AG482" t="str">
        <f t="shared" si="201"/>
        <v>A veces</v>
      </c>
      <c r="AH482">
        <v>0</v>
      </c>
      <c r="AI482" t="str">
        <f t="shared" si="202"/>
        <v>No usa</v>
      </c>
      <c r="AJ482">
        <v>0</v>
      </c>
      <c r="AK482" t="str">
        <f t="shared" si="203"/>
        <v>No usa</v>
      </c>
      <c r="AL482">
        <v>0</v>
      </c>
      <c r="AM482" t="str">
        <f t="shared" si="204"/>
        <v>No usa</v>
      </c>
      <c r="AN482">
        <v>1</v>
      </c>
      <c r="AO482" t="str">
        <f t="shared" si="205"/>
        <v>Usa Transporte</v>
      </c>
      <c r="AP482">
        <v>0</v>
      </c>
      <c r="AQ482" t="str">
        <f t="shared" si="206"/>
        <v>No camina</v>
      </c>
      <c r="AR482">
        <v>0</v>
      </c>
      <c r="AS482" t="str">
        <f t="shared" si="207"/>
        <v>No es obeso</v>
      </c>
    </row>
    <row r="483" spans="1:45" x14ac:dyDescent="0.25">
      <c r="A483">
        <v>1</v>
      </c>
      <c r="B483" t="str">
        <f t="shared" si="182"/>
        <v>M</v>
      </c>
      <c r="C483">
        <v>18</v>
      </c>
      <c r="D483">
        <f t="shared" si="183"/>
        <v>18</v>
      </c>
      <c r="E483">
        <f t="shared" si="184"/>
        <v>18</v>
      </c>
      <c r="F483" t="str">
        <f t="shared" si="185"/>
        <v>1-25</v>
      </c>
      <c r="G483">
        <v>1</v>
      </c>
      <c r="H483" t="str">
        <f t="shared" si="186"/>
        <v>Pariente gordo</v>
      </c>
      <c r="I483">
        <v>1</v>
      </c>
      <c r="J483" t="str">
        <f t="shared" si="187"/>
        <v>Hipercaloricos</v>
      </c>
      <c r="K483">
        <v>3</v>
      </c>
      <c r="L483">
        <f t="shared" si="188"/>
        <v>1</v>
      </c>
      <c r="M483" t="str">
        <f t="shared" si="189"/>
        <v>Suele comer</v>
      </c>
      <c r="N483">
        <v>4</v>
      </c>
      <c r="O483">
        <f t="shared" si="190"/>
        <v>2</v>
      </c>
      <c r="P483" t="str">
        <f t="shared" si="191"/>
        <v>Mas de 3</v>
      </c>
      <c r="Q483">
        <v>1</v>
      </c>
      <c r="R483" t="str">
        <f t="shared" si="192"/>
        <v>A veces</v>
      </c>
      <c r="S483">
        <v>0</v>
      </c>
      <c r="T483" t="str">
        <f t="shared" si="193"/>
        <v>No fuma</v>
      </c>
      <c r="U483">
        <v>1</v>
      </c>
      <c r="V483">
        <f t="shared" si="194"/>
        <v>1</v>
      </c>
      <c r="W483" t="str">
        <f t="shared" si="195"/>
        <v>Usualmente</v>
      </c>
      <c r="X483">
        <v>1</v>
      </c>
      <c r="Y483" t="str">
        <f t="shared" si="196"/>
        <v>Controla</v>
      </c>
      <c r="Z483">
        <v>2</v>
      </c>
      <c r="AA483">
        <f t="shared" si="197"/>
        <v>2</v>
      </c>
      <c r="AB483" t="str">
        <f t="shared" si="198"/>
        <v>Usualmente</v>
      </c>
      <c r="AC483">
        <v>0</v>
      </c>
      <c r="AD483">
        <f t="shared" si="199"/>
        <v>0</v>
      </c>
      <c r="AE483" t="str">
        <f t="shared" si="200"/>
        <v>Nunca</v>
      </c>
      <c r="AF483">
        <v>1</v>
      </c>
      <c r="AG483" t="str">
        <f t="shared" si="201"/>
        <v>A veces</v>
      </c>
      <c r="AH483">
        <v>0</v>
      </c>
      <c r="AI483" t="str">
        <f t="shared" si="202"/>
        <v>No usa</v>
      </c>
      <c r="AJ483">
        <v>0</v>
      </c>
      <c r="AK483" t="str">
        <f t="shared" si="203"/>
        <v>No usa</v>
      </c>
      <c r="AL483">
        <v>0</v>
      </c>
      <c r="AM483" t="str">
        <f t="shared" si="204"/>
        <v>No usa</v>
      </c>
      <c r="AN483">
        <v>1</v>
      </c>
      <c r="AO483" t="str">
        <f t="shared" si="205"/>
        <v>Usa Transporte</v>
      </c>
      <c r="AP483">
        <v>0</v>
      </c>
      <c r="AQ483" t="str">
        <f t="shared" si="206"/>
        <v>No camina</v>
      </c>
      <c r="AR483">
        <v>0</v>
      </c>
      <c r="AS483" t="str">
        <f t="shared" si="207"/>
        <v>No es obeso</v>
      </c>
    </row>
    <row r="484" spans="1:45" x14ac:dyDescent="0.25">
      <c r="A484">
        <v>0</v>
      </c>
      <c r="B484" t="str">
        <f t="shared" si="182"/>
        <v>F</v>
      </c>
      <c r="C484">
        <v>20</v>
      </c>
      <c r="D484">
        <f t="shared" si="183"/>
        <v>20</v>
      </c>
      <c r="E484">
        <f t="shared" si="184"/>
        <v>20</v>
      </c>
      <c r="F484" t="str">
        <f t="shared" si="185"/>
        <v>1-25</v>
      </c>
      <c r="G484">
        <v>1</v>
      </c>
      <c r="H484" t="str">
        <f t="shared" si="186"/>
        <v>Pariente gordo</v>
      </c>
      <c r="I484">
        <v>1</v>
      </c>
      <c r="J484" t="str">
        <f t="shared" si="187"/>
        <v>Hipercaloricos</v>
      </c>
      <c r="K484">
        <v>2</v>
      </c>
      <c r="L484">
        <f t="shared" si="188"/>
        <v>1</v>
      </c>
      <c r="M484" t="str">
        <f t="shared" si="189"/>
        <v>Suele comer</v>
      </c>
      <c r="N484">
        <v>1</v>
      </c>
      <c r="O484">
        <f t="shared" si="190"/>
        <v>1</v>
      </c>
      <c r="P484">
        <f t="shared" si="191"/>
        <v>3</v>
      </c>
      <c r="Q484">
        <v>2</v>
      </c>
      <c r="R484" t="str">
        <f t="shared" si="192"/>
        <v>Usualmente</v>
      </c>
      <c r="S484">
        <v>0</v>
      </c>
      <c r="T484" t="str">
        <f t="shared" si="193"/>
        <v>No fuma</v>
      </c>
      <c r="U484">
        <v>2</v>
      </c>
      <c r="V484">
        <f t="shared" si="194"/>
        <v>2</v>
      </c>
      <c r="W484" t="str">
        <f t="shared" si="195"/>
        <v>Siempre</v>
      </c>
      <c r="X484">
        <v>0</v>
      </c>
      <c r="Y484" t="str">
        <f t="shared" si="196"/>
        <v>No controla</v>
      </c>
      <c r="Z484">
        <v>1</v>
      </c>
      <c r="AA484">
        <f t="shared" si="197"/>
        <v>1</v>
      </c>
      <c r="AB484" t="str">
        <f t="shared" si="198"/>
        <v>A veces</v>
      </c>
      <c r="AC484">
        <v>1</v>
      </c>
      <c r="AD484">
        <f t="shared" si="199"/>
        <v>1</v>
      </c>
      <c r="AE484" t="str">
        <f t="shared" si="200"/>
        <v>Usualmente</v>
      </c>
      <c r="AF484">
        <v>1</v>
      </c>
      <c r="AG484" t="str">
        <f t="shared" si="201"/>
        <v>A veces</v>
      </c>
      <c r="AH484">
        <v>0</v>
      </c>
      <c r="AI484" t="str">
        <f t="shared" si="202"/>
        <v>No usa</v>
      </c>
      <c r="AJ484">
        <v>0</v>
      </c>
      <c r="AK484" t="str">
        <f t="shared" si="203"/>
        <v>No usa</v>
      </c>
      <c r="AL484">
        <v>0</v>
      </c>
      <c r="AM484" t="str">
        <f t="shared" si="204"/>
        <v>No usa</v>
      </c>
      <c r="AN484">
        <v>1</v>
      </c>
      <c r="AO484" t="str">
        <f t="shared" si="205"/>
        <v>Usa Transporte</v>
      </c>
      <c r="AP484">
        <v>0</v>
      </c>
      <c r="AQ484" t="str">
        <f t="shared" si="206"/>
        <v>No camina</v>
      </c>
      <c r="AR484">
        <v>0</v>
      </c>
      <c r="AS484" t="str">
        <f t="shared" si="207"/>
        <v>No es obeso</v>
      </c>
    </row>
    <row r="485" spans="1:45" x14ac:dyDescent="0.25">
      <c r="A485">
        <v>0</v>
      </c>
      <c r="B485" t="str">
        <f t="shared" si="182"/>
        <v>F</v>
      </c>
      <c r="C485">
        <v>18</v>
      </c>
      <c r="D485">
        <f t="shared" si="183"/>
        <v>18</v>
      </c>
      <c r="E485">
        <f t="shared" si="184"/>
        <v>18</v>
      </c>
      <c r="F485" t="str">
        <f t="shared" si="185"/>
        <v>1-25</v>
      </c>
      <c r="G485">
        <v>0</v>
      </c>
      <c r="H485" t="str">
        <f t="shared" si="186"/>
        <v>Pariente normal</v>
      </c>
      <c r="I485">
        <v>1</v>
      </c>
      <c r="J485" t="str">
        <f t="shared" si="187"/>
        <v>Hipercaloricos</v>
      </c>
      <c r="K485">
        <v>2</v>
      </c>
      <c r="L485">
        <f t="shared" si="188"/>
        <v>1</v>
      </c>
      <c r="M485" t="str">
        <f t="shared" si="189"/>
        <v>Suele comer</v>
      </c>
      <c r="N485">
        <v>3</v>
      </c>
      <c r="O485">
        <f t="shared" si="190"/>
        <v>2</v>
      </c>
      <c r="P485" t="str">
        <f t="shared" si="191"/>
        <v>Mas de 3</v>
      </c>
      <c r="Q485">
        <v>1</v>
      </c>
      <c r="R485" t="str">
        <f t="shared" si="192"/>
        <v>A veces</v>
      </c>
      <c r="S485">
        <v>0</v>
      </c>
      <c r="T485" t="str">
        <f t="shared" si="193"/>
        <v>No fuma</v>
      </c>
      <c r="U485">
        <v>1</v>
      </c>
      <c r="V485">
        <f t="shared" si="194"/>
        <v>1</v>
      </c>
      <c r="W485" t="str">
        <f t="shared" si="195"/>
        <v>Usualmente</v>
      </c>
      <c r="X485">
        <v>0</v>
      </c>
      <c r="Y485" t="str">
        <f t="shared" si="196"/>
        <v>No controla</v>
      </c>
      <c r="Z485">
        <v>0</v>
      </c>
      <c r="AA485">
        <f t="shared" si="197"/>
        <v>0</v>
      </c>
      <c r="AB485" t="str">
        <f t="shared" si="198"/>
        <v>Nunca</v>
      </c>
      <c r="AC485">
        <v>0</v>
      </c>
      <c r="AD485">
        <f t="shared" si="199"/>
        <v>0</v>
      </c>
      <c r="AE485" t="str">
        <f t="shared" si="200"/>
        <v>Nunca</v>
      </c>
      <c r="AF485">
        <v>0</v>
      </c>
      <c r="AG485" t="str">
        <f t="shared" si="201"/>
        <v>Nunca</v>
      </c>
      <c r="AH485">
        <v>0</v>
      </c>
      <c r="AI485" t="str">
        <f t="shared" si="202"/>
        <v>No usa</v>
      </c>
      <c r="AJ485">
        <v>0</v>
      </c>
      <c r="AK485" t="str">
        <f t="shared" si="203"/>
        <v>No usa</v>
      </c>
      <c r="AL485">
        <v>0</v>
      </c>
      <c r="AM485" t="str">
        <f t="shared" si="204"/>
        <v>No usa</v>
      </c>
      <c r="AN485">
        <v>1</v>
      </c>
      <c r="AO485" t="str">
        <f t="shared" si="205"/>
        <v>Usa Transporte</v>
      </c>
      <c r="AP485">
        <v>0</v>
      </c>
      <c r="AQ485" t="str">
        <f t="shared" si="206"/>
        <v>No camina</v>
      </c>
      <c r="AR485">
        <v>0</v>
      </c>
      <c r="AS485" t="str">
        <f t="shared" si="207"/>
        <v>No es obeso</v>
      </c>
    </row>
    <row r="486" spans="1:45" x14ac:dyDescent="0.25">
      <c r="A486">
        <v>0</v>
      </c>
      <c r="B486" t="str">
        <f t="shared" si="182"/>
        <v>F</v>
      </c>
      <c r="C486">
        <v>36</v>
      </c>
      <c r="D486">
        <f t="shared" si="183"/>
        <v>36</v>
      </c>
      <c r="E486">
        <f t="shared" si="184"/>
        <v>36</v>
      </c>
      <c r="F486" t="str">
        <f t="shared" si="185"/>
        <v>25-50</v>
      </c>
      <c r="G486">
        <v>1</v>
      </c>
      <c r="H486" t="str">
        <f t="shared" si="186"/>
        <v>Pariente gordo</v>
      </c>
      <c r="I486">
        <v>1</v>
      </c>
      <c r="J486" t="str">
        <f t="shared" si="187"/>
        <v>Hipercaloricos</v>
      </c>
      <c r="K486">
        <v>2</v>
      </c>
      <c r="L486">
        <f t="shared" si="188"/>
        <v>1</v>
      </c>
      <c r="M486" t="str">
        <f t="shared" si="189"/>
        <v>Suele comer</v>
      </c>
      <c r="N486">
        <v>3</v>
      </c>
      <c r="O486">
        <f t="shared" si="190"/>
        <v>2</v>
      </c>
      <c r="P486" t="str">
        <f t="shared" si="191"/>
        <v>Mas de 3</v>
      </c>
      <c r="Q486">
        <v>1</v>
      </c>
      <c r="R486" t="str">
        <f t="shared" si="192"/>
        <v>A veces</v>
      </c>
      <c r="S486">
        <v>0</v>
      </c>
      <c r="T486" t="str">
        <f t="shared" si="193"/>
        <v>No fuma</v>
      </c>
      <c r="U486">
        <v>1</v>
      </c>
      <c r="V486">
        <f t="shared" si="194"/>
        <v>1</v>
      </c>
      <c r="W486" t="str">
        <f t="shared" si="195"/>
        <v>Usualmente</v>
      </c>
      <c r="X486">
        <v>0</v>
      </c>
      <c r="Y486" t="str">
        <f t="shared" si="196"/>
        <v>No controla</v>
      </c>
      <c r="Z486">
        <v>0</v>
      </c>
      <c r="AA486">
        <f t="shared" si="197"/>
        <v>0</v>
      </c>
      <c r="AB486" t="str">
        <f t="shared" si="198"/>
        <v>Nunca</v>
      </c>
      <c r="AC486">
        <v>2</v>
      </c>
      <c r="AD486">
        <f t="shared" si="199"/>
        <v>2</v>
      </c>
      <c r="AE486" t="str">
        <f t="shared" si="200"/>
        <v>Siempre</v>
      </c>
      <c r="AF486">
        <v>0</v>
      </c>
      <c r="AG486" t="str">
        <f t="shared" si="201"/>
        <v>Nunca</v>
      </c>
      <c r="AH486">
        <v>1</v>
      </c>
      <c r="AI486" t="str">
        <f t="shared" si="202"/>
        <v>Usa auto</v>
      </c>
      <c r="AJ486">
        <v>0</v>
      </c>
      <c r="AK486" t="str">
        <f t="shared" si="203"/>
        <v>No usa</v>
      </c>
      <c r="AL486">
        <v>0</v>
      </c>
      <c r="AM486" t="str">
        <f t="shared" si="204"/>
        <v>No usa</v>
      </c>
      <c r="AN486">
        <v>0</v>
      </c>
      <c r="AO486" t="str">
        <f t="shared" si="205"/>
        <v>No usa</v>
      </c>
      <c r="AP486">
        <v>0</v>
      </c>
      <c r="AQ486" t="str">
        <f t="shared" si="206"/>
        <v>No camina</v>
      </c>
      <c r="AR486">
        <v>0</v>
      </c>
      <c r="AS486" t="str">
        <f t="shared" si="207"/>
        <v>No es obeso</v>
      </c>
    </row>
    <row r="487" spans="1:45" x14ac:dyDescent="0.25">
      <c r="A487">
        <v>1</v>
      </c>
      <c r="B487" t="str">
        <f t="shared" si="182"/>
        <v>M</v>
      </c>
      <c r="C487">
        <v>21</v>
      </c>
      <c r="D487">
        <f t="shared" si="183"/>
        <v>21</v>
      </c>
      <c r="E487">
        <f t="shared" si="184"/>
        <v>21</v>
      </c>
      <c r="F487" t="str">
        <f t="shared" si="185"/>
        <v>1-25</v>
      </c>
      <c r="G487">
        <v>1</v>
      </c>
      <c r="H487" t="str">
        <f t="shared" si="186"/>
        <v>Pariente gordo</v>
      </c>
      <c r="I487">
        <v>1</v>
      </c>
      <c r="J487" t="str">
        <f t="shared" si="187"/>
        <v>Hipercaloricos</v>
      </c>
      <c r="K487">
        <v>1</v>
      </c>
      <c r="L487">
        <f t="shared" si="188"/>
        <v>1</v>
      </c>
      <c r="M487" t="str">
        <f t="shared" si="189"/>
        <v>Suele comer</v>
      </c>
      <c r="N487">
        <v>3</v>
      </c>
      <c r="O487">
        <f t="shared" si="190"/>
        <v>2</v>
      </c>
      <c r="P487" t="str">
        <f t="shared" si="191"/>
        <v>Mas de 3</v>
      </c>
      <c r="Q487">
        <v>3</v>
      </c>
      <c r="R487" t="str">
        <f t="shared" si="192"/>
        <v>Siempre</v>
      </c>
      <c r="S487">
        <v>0</v>
      </c>
      <c r="T487" t="str">
        <f t="shared" si="193"/>
        <v>No fuma</v>
      </c>
      <c r="U487">
        <v>2</v>
      </c>
      <c r="V487">
        <f t="shared" si="194"/>
        <v>2</v>
      </c>
      <c r="W487" t="str">
        <f t="shared" si="195"/>
        <v>Siempre</v>
      </c>
      <c r="X487">
        <v>0</v>
      </c>
      <c r="Y487" t="str">
        <f t="shared" si="196"/>
        <v>No controla</v>
      </c>
      <c r="Z487">
        <v>3</v>
      </c>
      <c r="AA487">
        <f t="shared" si="197"/>
        <v>3</v>
      </c>
      <c r="AB487" t="str">
        <f t="shared" si="198"/>
        <v>Siempre</v>
      </c>
      <c r="AC487">
        <v>1</v>
      </c>
      <c r="AD487">
        <f t="shared" si="199"/>
        <v>1</v>
      </c>
      <c r="AE487" t="str">
        <f t="shared" si="200"/>
        <v>Usualmente</v>
      </c>
      <c r="AF487">
        <v>1</v>
      </c>
      <c r="AG487" t="str">
        <f t="shared" si="201"/>
        <v>A veces</v>
      </c>
      <c r="AH487">
        <v>0</v>
      </c>
      <c r="AI487" t="str">
        <f t="shared" si="202"/>
        <v>No usa</v>
      </c>
      <c r="AJ487">
        <v>0</v>
      </c>
      <c r="AK487" t="str">
        <f t="shared" si="203"/>
        <v>No usa</v>
      </c>
      <c r="AL487">
        <v>0</v>
      </c>
      <c r="AM487" t="str">
        <f t="shared" si="204"/>
        <v>No usa</v>
      </c>
      <c r="AN487">
        <v>1</v>
      </c>
      <c r="AO487" t="str">
        <f t="shared" si="205"/>
        <v>Usa Transporte</v>
      </c>
      <c r="AP487">
        <v>0</v>
      </c>
      <c r="AQ487" t="str">
        <f t="shared" si="206"/>
        <v>No camina</v>
      </c>
      <c r="AR487">
        <v>0</v>
      </c>
      <c r="AS487" t="str">
        <f t="shared" si="207"/>
        <v>No es obeso</v>
      </c>
    </row>
    <row r="488" spans="1:45" x14ac:dyDescent="0.25">
      <c r="A488">
        <v>1</v>
      </c>
      <c r="B488" t="str">
        <f t="shared" si="182"/>
        <v>M</v>
      </c>
      <c r="C488">
        <v>23</v>
      </c>
      <c r="D488">
        <f t="shared" si="183"/>
        <v>23</v>
      </c>
      <c r="E488">
        <f t="shared" si="184"/>
        <v>23</v>
      </c>
      <c r="F488" t="str">
        <f t="shared" si="185"/>
        <v>1-25</v>
      </c>
      <c r="G488">
        <v>0</v>
      </c>
      <c r="H488" t="str">
        <f t="shared" si="186"/>
        <v>Pariente normal</v>
      </c>
      <c r="I488">
        <v>1</v>
      </c>
      <c r="J488" t="str">
        <f t="shared" si="187"/>
        <v>Hipercaloricos</v>
      </c>
      <c r="K488">
        <v>2</v>
      </c>
      <c r="L488">
        <f t="shared" si="188"/>
        <v>1</v>
      </c>
      <c r="M488" t="str">
        <f t="shared" si="189"/>
        <v>Suele comer</v>
      </c>
      <c r="N488">
        <v>3</v>
      </c>
      <c r="O488">
        <f t="shared" si="190"/>
        <v>2</v>
      </c>
      <c r="P488" t="str">
        <f t="shared" si="191"/>
        <v>Mas de 3</v>
      </c>
      <c r="Q488">
        <v>1</v>
      </c>
      <c r="R488" t="str">
        <f t="shared" si="192"/>
        <v>A veces</v>
      </c>
      <c r="S488">
        <v>0</v>
      </c>
      <c r="T488" t="str">
        <f t="shared" si="193"/>
        <v>No fuma</v>
      </c>
      <c r="U488">
        <v>2</v>
      </c>
      <c r="V488">
        <f t="shared" si="194"/>
        <v>2</v>
      </c>
      <c r="W488" t="str">
        <f t="shared" si="195"/>
        <v>Siempre</v>
      </c>
      <c r="X488">
        <v>0</v>
      </c>
      <c r="Y488" t="str">
        <f t="shared" si="196"/>
        <v>No controla</v>
      </c>
      <c r="Z488">
        <v>1</v>
      </c>
      <c r="AA488">
        <f t="shared" si="197"/>
        <v>1</v>
      </c>
      <c r="AB488" t="str">
        <f t="shared" si="198"/>
        <v>A veces</v>
      </c>
      <c r="AC488">
        <v>0</v>
      </c>
      <c r="AD488">
        <f t="shared" si="199"/>
        <v>0</v>
      </c>
      <c r="AE488" t="str">
        <f t="shared" si="200"/>
        <v>Nunca</v>
      </c>
      <c r="AF488">
        <v>2</v>
      </c>
      <c r="AG488" t="str">
        <f t="shared" si="201"/>
        <v>Usualmente</v>
      </c>
      <c r="AH488">
        <v>0</v>
      </c>
      <c r="AI488" t="str">
        <f t="shared" si="202"/>
        <v>No usa</v>
      </c>
      <c r="AJ488">
        <v>0</v>
      </c>
      <c r="AK488" t="str">
        <f t="shared" si="203"/>
        <v>No usa</v>
      </c>
      <c r="AL488">
        <v>0</v>
      </c>
      <c r="AM488" t="str">
        <f t="shared" si="204"/>
        <v>No usa</v>
      </c>
      <c r="AN488">
        <v>1</v>
      </c>
      <c r="AO488" t="str">
        <f t="shared" si="205"/>
        <v>Usa Transporte</v>
      </c>
      <c r="AP488">
        <v>0</v>
      </c>
      <c r="AQ488" t="str">
        <f t="shared" si="206"/>
        <v>No camina</v>
      </c>
      <c r="AR488">
        <v>0</v>
      </c>
      <c r="AS488" t="str">
        <f t="shared" si="207"/>
        <v>No es obeso</v>
      </c>
    </row>
    <row r="489" spans="1:45" x14ac:dyDescent="0.25">
      <c r="A489">
        <v>1</v>
      </c>
      <c r="B489" t="str">
        <f t="shared" si="182"/>
        <v>M</v>
      </c>
      <c r="C489">
        <v>20</v>
      </c>
      <c r="D489">
        <f t="shared" si="183"/>
        <v>20</v>
      </c>
      <c r="E489">
        <f t="shared" si="184"/>
        <v>20</v>
      </c>
      <c r="F489" t="str">
        <f t="shared" si="185"/>
        <v>1-25</v>
      </c>
      <c r="G489">
        <v>1</v>
      </c>
      <c r="H489" t="str">
        <f t="shared" si="186"/>
        <v>Pariente gordo</v>
      </c>
      <c r="I489">
        <v>0</v>
      </c>
      <c r="J489" t="str">
        <f t="shared" si="187"/>
        <v>Saludables</v>
      </c>
      <c r="K489">
        <v>2</v>
      </c>
      <c r="L489">
        <f t="shared" si="188"/>
        <v>1</v>
      </c>
      <c r="M489" t="str">
        <f t="shared" si="189"/>
        <v>Suele comer</v>
      </c>
      <c r="N489">
        <v>3</v>
      </c>
      <c r="O489">
        <f t="shared" si="190"/>
        <v>2</v>
      </c>
      <c r="P489" t="str">
        <f t="shared" si="191"/>
        <v>Mas de 3</v>
      </c>
      <c r="Q489">
        <v>1</v>
      </c>
      <c r="R489" t="str">
        <f t="shared" si="192"/>
        <v>A veces</v>
      </c>
      <c r="S489">
        <v>0</v>
      </c>
      <c r="T489" t="str">
        <f t="shared" si="193"/>
        <v>No fuma</v>
      </c>
      <c r="U489">
        <v>3</v>
      </c>
      <c r="V489">
        <f t="shared" si="194"/>
        <v>2</v>
      </c>
      <c r="W489" t="str">
        <f t="shared" si="195"/>
        <v>Siempre</v>
      </c>
      <c r="X489">
        <v>0</v>
      </c>
      <c r="Y489" t="str">
        <f t="shared" si="196"/>
        <v>No controla</v>
      </c>
      <c r="Z489">
        <v>3</v>
      </c>
      <c r="AA489">
        <f t="shared" si="197"/>
        <v>3</v>
      </c>
      <c r="AB489" t="str">
        <f t="shared" si="198"/>
        <v>Siempre</v>
      </c>
      <c r="AC489">
        <v>0</v>
      </c>
      <c r="AD489">
        <f t="shared" si="199"/>
        <v>0</v>
      </c>
      <c r="AE489" t="str">
        <f t="shared" si="200"/>
        <v>Nunca</v>
      </c>
      <c r="AF489">
        <v>0</v>
      </c>
      <c r="AG489" t="str">
        <f t="shared" si="201"/>
        <v>Nunca</v>
      </c>
      <c r="AH489">
        <v>0</v>
      </c>
      <c r="AI489" t="str">
        <f t="shared" si="202"/>
        <v>No usa</v>
      </c>
      <c r="AJ489">
        <v>0</v>
      </c>
      <c r="AK489" t="str">
        <f t="shared" si="203"/>
        <v>No usa</v>
      </c>
      <c r="AL489">
        <v>1</v>
      </c>
      <c r="AM489" t="str">
        <f t="shared" si="204"/>
        <v>Usa Moto</v>
      </c>
      <c r="AN489">
        <v>0</v>
      </c>
      <c r="AO489" t="str">
        <f t="shared" si="205"/>
        <v>No usa</v>
      </c>
      <c r="AP489">
        <v>0</v>
      </c>
      <c r="AQ489" t="str">
        <f t="shared" si="206"/>
        <v>No camina</v>
      </c>
      <c r="AR489">
        <v>1</v>
      </c>
      <c r="AS489" t="str">
        <f t="shared" si="207"/>
        <v>Es Obeso</v>
      </c>
    </row>
    <row r="490" spans="1:45" x14ac:dyDescent="0.25">
      <c r="A490">
        <v>1</v>
      </c>
      <c r="B490" t="str">
        <f t="shared" si="182"/>
        <v>M</v>
      </c>
      <c r="C490">
        <v>21</v>
      </c>
      <c r="D490">
        <f t="shared" si="183"/>
        <v>21</v>
      </c>
      <c r="E490">
        <f t="shared" si="184"/>
        <v>21</v>
      </c>
      <c r="F490" t="str">
        <f t="shared" si="185"/>
        <v>1-25</v>
      </c>
      <c r="G490">
        <v>1</v>
      </c>
      <c r="H490" t="str">
        <f t="shared" si="186"/>
        <v>Pariente gordo</v>
      </c>
      <c r="I490">
        <v>1</v>
      </c>
      <c r="J490" t="str">
        <f t="shared" si="187"/>
        <v>Hipercaloricos</v>
      </c>
      <c r="K490">
        <v>3</v>
      </c>
      <c r="L490">
        <f t="shared" si="188"/>
        <v>1</v>
      </c>
      <c r="M490" t="str">
        <f t="shared" si="189"/>
        <v>Suele comer</v>
      </c>
      <c r="N490">
        <v>3</v>
      </c>
      <c r="O490">
        <f t="shared" si="190"/>
        <v>2</v>
      </c>
      <c r="P490" t="str">
        <f t="shared" si="191"/>
        <v>Mas de 3</v>
      </c>
      <c r="Q490">
        <v>1</v>
      </c>
      <c r="R490" t="str">
        <f t="shared" si="192"/>
        <v>A veces</v>
      </c>
      <c r="S490">
        <v>0</v>
      </c>
      <c r="T490" t="str">
        <f t="shared" si="193"/>
        <v>No fuma</v>
      </c>
      <c r="U490">
        <v>3</v>
      </c>
      <c r="V490">
        <f t="shared" si="194"/>
        <v>2</v>
      </c>
      <c r="W490" t="str">
        <f t="shared" si="195"/>
        <v>Siempre</v>
      </c>
      <c r="X490">
        <v>0</v>
      </c>
      <c r="Y490" t="str">
        <f t="shared" si="196"/>
        <v>No controla</v>
      </c>
      <c r="Z490">
        <v>2</v>
      </c>
      <c r="AA490">
        <f t="shared" si="197"/>
        <v>2</v>
      </c>
      <c r="AB490" t="str">
        <f t="shared" si="198"/>
        <v>Usualmente</v>
      </c>
      <c r="AC490">
        <v>1</v>
      </c>
      <c r="AD490">
        <f t="shared" si="199"/>
        <v>1</v>
      </c>
      <c r="AE490" t="str">
        <f t="shared" si="200"/>
        <v>Usualmente</v>
      </c>
      <c r="AF490">
        <v>1</v>
      </c>
      <c r="AG490" t="str">
        <f t="shared" si="201"/>
        <v>A veces</v>
      </c>
      <c r="AH490">
        <v>0</v>
      </c>
      <c r="AI490" t="str">
        <f t="shared" si="202"/>
        <v>No usa</v>
      </c>
      <c r="AJ490">
        <v>0</v>
      </c>
      <c r="AK490" t="str">
        <f t="shared" si="203"/>
        <v>No usa</v>
      </c>
      <c r="AL490">
        <v>0</v>
      </c>
      <c r="AM490" t="str">
        <f t="shared" si="204"/>
        <v>No usa</v>
      </c>
      <c r="AN490">
        <v>0</v>
      </c>
      <c r="AO490" t="str">
        <f t="shared" si="205"/>
        <v>No usa</v>
      </c>
      <c r="AP490">
        <v>1</v>
      </c>
      <c r="AQ490" t="str">
        <f t="shared" si="206"/>
        <v>Camina</v>
      </c>
      <c r="AR490">
        <v>0</v>
      </c>
      <c r="AS490" t="str">
        <f t="shared" si="207"/>
        <v>No es obeso</v>
      </c>
    </row>
    <row r="491" spans="1:45" x14ac:dyDescent="0.25">
      <c r="A491">
        <v>0</v>
      </c>
      <c r="B491" t="str">
        <f t="shared" si="182"/>
        <v>F</v>
      </c>
      <c r="C491">
        <v>19</v>
      </c>
      <c r="D491">
        <f t="shared" si="183"/>
        <v>19</v>
      </c>
      <c r="E491">
        <f t="shared" si="184"/>
        <v>19</v>
      </c>
      <c r="F491" t="str">
        <f t="shared" si="185"/>
        <v>1-25</v>
      </c>
      <c r="G491">
        <v>0</v>
      </c>
      <c r="H491" t="str">
        <f t="shared" si="186"/>
        <v>Pariente normal</v>
      </c>
      <c r="I491">
        <v>1</v>
      </c>
      <c r="J491" t="str">
        <f t="shared" si="187"/>
        <v>Hipercaloricos</v>
      </c>
      <c r="K491">
        <v>2</v>
      </c>
      <c r="L491">
        <f t="shared" si="188"/>
        <v>1</v>
      </c>
      <c r="M491" t="str">
        <f t="shared" si="189"/>
        <v>Suele comer</v>
      </c>
      <c r="N491">
        <v>1</v>
      </c>
      <c r="O491">
        <f t="shared" si="190"/>
        <v>1</v>
      </c>
      <c r="P491">
        <f t="shared" si="191"/>
        <v>3</v>
      </c>
      <c r="Q491">
        <v>1</v>
      </c>
      <c r="R491" t="str">
        <f t="shared" si="192"/>
        <v>A veces</v>
      </c>
      <c r="S491">
        <v>0</v>
      </c>
      <c r="T491" t="str">
        <f t="shared" si="193"/>
        <v>No fuma</v>
      </c>
      <c r="U491">
        <v>1</v>
      </c>
      <c r="V491">
        <f t="shared" si="194"/>
        <v>1</v>
      </c>
      <c r="W491" t="str">
        <f t="shared" si="195"/>
        <v>Usualmente</v>
      </c>
      <c r="X491">
        <v>0</v>
      </c>
      <c r="Y491" t="str">
        <f t="shared" si="196"/>
        <v>No controla</v>
      </c>
      <c r="Z491">
        <v>0</v>
      </c>
      <c r="AA491">
        <f t="shared" si="197"/>
        <v>0</v>
      </c>
      <c r="AB491" t="str">
        <f t="shared" si="198"/>
        <v>Nunca</v>
      </c>
      <c r="AC491">
        <v>2</v>
      </c>
      <c r="AD491">
        <f t="shared" si="199"/>
        <v>2</v>
      </c>
      <c r="AE491" t="str">
        <f t="shared" si="200"/>
        <v>Siempre</v>
      </c>
      <c r="AF491">
        <v>0</v>
      </c>
      <c r="AG491" t="str">
        <f t="shared" si="201"/>
        <v>Nunca</v>
      </c>
      <c r="AH491">
        <v>0</v>
      </c>
      <c r="AI491" t="str">
        <f t="shared" si="202"/>
        <v>No usa</v>
      </c>
      <c r="AJ491">
        <v>0</v>
      </c>
      <c r="AK491" t="str">
        <f t="shared" si="203"/>
        <v>No usa</v>
      </c>
      <c r="AL491">
        <v>0</v>
      </c>
      <c r="AM491" t="str">
        <f t="shared" si="204"/>
        <v>No usa</v>
      </c>
      <c r="AN491">
        <v>1</v>
      </c>
      <c r="AO491" t="str">
        <f t="shared" si="205"/>
        <v>Usa Transporte</v>
      </c>
      <c r="AP491">
        <v>0</v>
      </c>
      <c r="AQ491" t="str">
        <f t="shared" si="206"/>
        <v>No camina</v>
      </c>
      <c r="AR491">
        <v>0</v>
      </c>
      <c r="AS491" t="str">
        <f t="shared" si="207"/>
        <v>No es obeso</v>
      </c>
    </row>
    <row r="492" spans="1:45" x14ac:dyDescent="0.25">
      <c r="A492">
        <v>1</v>
      </c>
      <c r="B492" t="str">
        <f t="shared" si="182"/>
        <v>M</v>
      </c>
      <c r="C492">
        <v>24</v>
      </c>
      <c r="D492">
        <f t="shared" si="183"/>
        <v>24</v>
      </c>
      <c r="E492">
        <f t="shared" si="184"/>
        <v>24</v>
      </c>
      <c r="F492" t="str">
        <f t="shared" si="185"/>
        <v>1-25</v>
      </c>
      <c r="G492">
        <v>0</v>
      </c>
      <c r="H492" t="str">
        <f t="shared" si="186"/>
        <v>Pariente normal</v>
      </c>
      <c r="I492">
        <v>1</v>
      </c>
      <c r="J492" t="str">
        <f t="shared" si="187"/>
        <v>Hipercaloricos</v>
      </c>
      <c r="K492">
        <v>3</v>
      </c>
      <c r="L492">
        <f t="shared" si="188"/>
        <v>1</v>
      </c>
      <c r="M492" t="str">
        <f t="shared" si="189"/>
        <v>Suele comer</v>
      </c>
      <c r="N492">
        <v>3</v>
      </c>
      <c r="O492">
        <f t="shared" si="190"/>
        <v>2</v>
      </c>
      <c r="P492" t="str">
        <f t="shared" si="191"/>
        <v>Mas de 3</v>
      </c>
      <c r="Q492">
        <v>0</v>
      </c>
      <c r="R492" t="str">
        <f t="shared" si="192"/>
        <v>Nunca</v>
      </c>
      <c r="S492">
        <v>0</v>
      </c>
      <c r="T492" t="str">
        <f t="shared" si="193"/>
        <v>No fuma</v>
      </c>
      <c r="U492">
        <v>2</v>
      </c>
      <c r="V492">
        <f t="shared" si="194"/>
        <v>2</v>
      </c>
      <c r="W492" t="str">
        <f t="shared" si="195"/>
        <v>Siempre</v>
      </c>
      <c r="X492">
        <v>1</v>
      </c>
      <c r="Y492" t="str">
        <f t="shared" si="196"/>
        <v>Controla</v>
      </c>
      <c r="Z492">
        <v>1</v>
      </c>
      <c r="AA492">
        <f t="shared" si="197"/>
        <v>1</v>
      </c>
      <c r="AB492" t="str">
        <f t="shared" si="198"/>
        <v>A veces</v>
      </c>
      <c r="AC492">
        <v>0</v>
      </c>
      <c r="AD492">
        <f t="shared" si="199"/>
        <v>0</v>
      </c>
      <c r="AE492" t="str">
        <f t="shared" si="200"/>
        <v>Nunca</v>
      </c>
      <c r="AF492">
        <v>1</v>
      </c>
      <c r="AG492" t="str">
        <f t="shared" si="201"/>
        <v>A veces</v>
      </c>
      <c r="AH492">
        <v>0</v>
      </c>
      <c r="AI492" t="str">
        <f t="shared" si="202"/>
        <v>No usa</v>
      </c>
      <c r="AJ492">
        <v>0</v>
      </c>
      <c r="AK492" t="str">
        <f t="shared" si="203"/>
        <v>No usa</v>
      </c>
      <c r="AL492">
        <v>0</v>
      </c>
      <c r="AM492" t="str">
        <f t="shared" si="204"/>
        <v>No usa</v>
      </c>
      <c r="AN492">
        <v>1</v>
      </c>
      <c r="AO492" t="str">
        <f t="shared" si="205"/>
        <v>Usa Transporte</v>
      </c>
      <c r="AP492">
        <v>0</v>
      </c>
      <c r="AQ492" t="str">
        <f t="shared" si="206"/>
        <v>No camina</v>
      </c>
      <c r="AR492">
        <v>0</v>
      </c>
      <c r="AS492" t="str">
        <f t="shared" si="207"/>
        <v>No es obeso</v>
      </c>
    </row>
    <row r="493" spans="1:45" x14ac:dyDescent="0.25">
      <c r="A493">
        <v>1</v>
      </c>
      <c r="B493" t="str">
        <f t="shared" si="182"/>
        <v>M</v>
      </c>
      <c r="C493">
        <v>25</v>
      </c>
      <c r="D493">
        <f t="shared" si="183"/>
        <v>25</v>
      </c>
      <c r="E493">
        <f t="shared" si="184"/>
        <v>25</v>
      </c>
      <c r="F493" t="str">
        <f t="shared" si="185"/>
        <v>1-25</v>
      </c>
      <c r="G493">
        <v>0</v>
      </c>
      <c r="H493" t="str">
        <f t="shared" si="186"/>
        <v>Pariente normal</v>
      </c>
      <c r="I493">
        <v>1</v>
      </c>
      <c r="J493" t="str">
        <f t="shared" si="187"/>
        <v>Hipercaloricos</v>
      </c>
      <c r="K493">
        <v>2</v>
      </c>
      <c r="L493">
        <f t="shared" si="188"/>
        <v>1</v>
      </c>
      <c r="M493" t="str">
        <f t="shared" si="189"/>
        <v>Suele comer</v>
      </c>
      <c r="N493">
        <v>3</v>
      </c>
      <c r="O493">
        <f t="shared" si="190"/>
        <v>2</v>
      </c>
      <c r="P493" t="str">
        <f t="shared" si="191"/>
        <v>Mas de 3</v>
      </c>
      <c r="Q493">
        <v>1</v>
      </c>
      <c r="R493" t="str">
        <f t="shared" si="192"/>
        <v>A veces</v>
      </c>
      <c r="S493">
        <v>1</v>
      </c>
      <c r="T493" t="str">
        <f t="shared" si="193"/>
        <v>Fuma</v>
      </c>
      <c r="U493">
        <v>1</v>
      </c>
      <c r="V493">
        <f t="shared" si="194"/>
        <v>1</v>
      </c>
      <c r="W493" t="str">
        <f t="shared" si="195"/>
        <v>Usualmente</v>
      </c>
      <c r="X493">
        <v>0</v>
      </c>
      <c r="Y493" t="str">
        <f t="shared" si="196"/>
        <v>No controla</v>
      </c>
      <c r="Z493">
        <v>1</v>
      </c>
      <c r="AA493">
        <f t="shared" si="197"/>
        <v>1</v>
      </c>
      <c r="AB493" t="str">
        <f t="shared" si="198"/>
        <v>A veces</v>
      </c>
      <c r="AC493">
        <v>1</v>
      </c>
      <c r="AD493">
        <f t="shared" si="199"/>
        <v>1</v>
      </c>
      <c r="AE493" t="str">
        <f t="shared" si="200"/>
        <v>Usualmente</v>
      </c>
      <c r="AF493">
        <v>1</v>
      </c>
      <c r="AG493" t="str">
        <f t="shared" si="201"/>
        <v>A veces</v>
      </c>
      <c r="AH493">
        <v>0</v>
      </c>
      <c r="AI493" t="str">
        <f t="shared" si="202"/>
        <v>No usa</v>
      </c>
      <c r="AJ493">
        <v>0</v>
      </c>
      <c r="AK493" t="str">
        <f t="shared" si="203"/>
        <v>No usa</v>
      </c>
      <c r="AL493">
        <v>0</v>
      </c>
      <c r="AM493" t="str">
        <f t="shared" si="204"/>
        <v>No usa</v>
      </c>
      <c r="AN493">
        <v>1</v>
      </c>
      <c r="AO493" t="str">
        <f t="shared" si="205"/>
        <v>Usa Transporte</v>
      </c>
      <c r="AP493">
        <v>0</v>
      </c>
      <c r="AQ493" t="str">
        <f t="shared" si="206"/>
        <v>No camina</v>
      </c>
      <c r="AR493">
        <v>0</v>
      </c>
      <c r="AS493" t="str">
        <f t="shared" si="207"/>
        <v>No es obeso</v>
      </c>
    </row>
    <row r="494" spans="1:45" x14ac:dyDescent="0.25">
      <c r="A494">
        <v>1</v>
      </c>
      <c r="B494" t="str">
        <f t="shared" si="182"/>
        <v>M</v>
      </c>
      <c r="C494">
        <v>45</v>
      </c>
      <c r="D494">
        <f t="shared" si="183"/>
        <v>45</v>
      </c>
      <c r="E494">
        <f t="shared" si="184"/>
        <v>45</v>
      </c>
      <c r="F494" t="str">
        <f t="shared" si="185"/>
        <v>25-50</v>
      </c>
      <c r="G494">
        <v>0</v>
      </c>
      <c r="H494" t="str">
        <f t="shared" si="186"/>
        <v>Pariente normal</v>
      </c>
      <c r="I494">
        <v>1</v>
      </c>
      <c r="J494" t="str">
        <f t="shared" si="187"/>
        <v>Hipercaloricos</v>
      </c>
      <c r="K494">
        <v>3</v>
      </c>
      <c r="L494">
        <f t="shared" si="188"/>
        <v>1</v>
      </c>
      <c r="M494" t="str">
        <f t="shared" si="189"/>
        <v>Suele comer</v>
      </c>
      <c r="N494">
        <v>3</v>
      </c>
      <c r="O494">
        <f t="shared" si="190"/>
        <v>2</v>
      </c>
      <c r="P494" t="str">
        <f t="shared" si="191"/>
        <v>Mas de 3</v>
      </c>
      <c r="Q494">
        <v>2</v>
      </c>
      <c r="R494" t="str">
        <f t="shared" si="192"/>
        <v>Usualmente</v>
      </c>
      <c r="S494">
        <v>0</v>
      </c>
      <c r="T494" t="str">
        <f t="shared" si="193"/>
        <v>No fuma</v>
      </c>
      <c r="U494">
        <v>1</v>
      </c>
      <c r="V494">
        <f t="shared" si="194"/>
        <v>1</v>
      </c>
      <c r="W494" t="str">
        <f t="shared" si="195"/>
        <v>Usualmente</v>
      </c>
      <c r="X494">
        <v>0</v>
      </c>
      <c r="Y494" t="str">
        <f t="shared" si="196"/>
        <v>No controla</v>
      </c>
      <c r="Z494">
        <v>0</v>
      </c>
      <c r="AA494">
        <f t="shared" si="197"/>
        <v>0</v>
      </c>
      <c r="AB494" t="str">
        <f t="shared" si="198"/>
        <v>Nunca</v>
      </c>
      <c r="AC494">
        <v>0</v>
      </c>
      <c r="AD494">
        <f t="shared" si="199"/>
        <v>0</v>
      </c>
      <c r="AE494" t="str">
        <f t="shared" si="200"/>
        <v>Nunca</v>
      </c>
      <c r="AF494">
        <v>0</v>
      </c>
      <c r="AG494" t="str">
        <f t="shared" si="201"/>
        <v>Nunca</v>
      </c>
      <c r="AH494">
        <v>1</v>
      </c>
      <c r="AI494" t="str">
        <f t="shared" si="202"/>
        <v>Usa auto</v>
      </c>
      <c r="AJ494">
        <v>0</v>
      </c>
      <c r="AK494" t="str">
        <f t="shared" si="203"/>
        <v>No usa</v>
      </c>
      <c r="AL494">
        <v>0</v>
      </c>
      <c r="AM494" t="str">
        <f t="shared" si="204"/>
        <v>No usa</v>
      </c>
      <c r="AN494">
        <v>0</v>
      </c>
      <c r="AO494" t="str">
        <f t="shared" si="205"/>
        <v>No usa</v>
      </c>
      <c r="AP494">
        <v>0</v>
      </c>
      <c r="AQ494" t="str">
        <f t="shared" si="206"/>
        <v>No camina</v>
      </c>
      <c r="AR494">
        <v>0</v>
      </c>
      <c r="AS494" t="str">
        <f t="shared" si="207"/>
        <v>No es obeso</v>
      </c>
    </row>
    <row r="495" spans="1:45" x14ac:dyDescent="0.25">
      <c r="A495">
        <v>1</v>
      </c>
      <c r="B495" t="str">
        <f t="shared" si="182"/>
        <v>M</v>
      </c>
      <c r="C495">
        <v>20</v>
      </c>
      <c r="D495">
        <f t="shared" si="183"/>
        <v>20</v>
      </c>
      <c r="E495">
        <f t="shared" si="184"/>
        <v>20</v>
      </c>
      <c r="F495" t="str">
        <f t="shared" si="185"/>
        <v>1-25</v>
      </c>
      <c r="G495">
        <v>0</v>
      </c>
      <c r="H495" t="str">
        <f t="shared" si="186"/>
        <v>Pariente normal</v>
      </c>
      <c r="I495">
        <v>1</v>
      </c>
      <c r="J495" t="str">
        <f t="shared" si="187"/>
        <v>Hipercaloricos</v>
      </c>
      <c r="K495">
        <v>2</v>
      </c>
      <c r="L495">
        <f t="shared" si="188"/>
        <v>1</v>
      </c>
      <c r="M495" t="str">
        <f t="shared" si="189"/>
        <v>Suele comer</v>
      </c>
      <c r="N495">
        <v>3</v>
      </c>
      <c r="O495">
        <f t="shared" si="190"/>
        <v>2</v>
      </c>
      <c r="P495" t="str">
        <f t="shared" si="191"/>
        <v>Mas de 3</v>
      </c>
      <c r="Q495">
        <v>2</v>
      </c>
      <c r="R495" t="str">
        <f t="shared" si="192"/>
        <v>Usualmente</v>
      </c>
      <c r="S495">
        <v>0</v>
      </c>
      <c r="T495" t="str">
        <f t="shared" si="193"/>
        <v>No fuma</v>
      </c>
      <c r="U495">
        <v>1</v>
      </c>
      <c r="V495">
        <f t="shared" si="194"/>
        <v>1</v>
      </c>
      <c r="W495" t="str">
        <f t="shared" si="195"/>
        <v>Usualmente</v>
      </c>
      <c r="X495">
        <v>0</v>
      </c>
      <c r="Y495" t="str">
        <f t="shared" si="196"/>
        <v>No controla</v>
      </c>
      <c r="Z495">
        <v>2</v>
      </c>
      <c r="AA495">
        <f t="shared" si="197"/>
        <v>2</v>
      </c>
      <c r="AB495" t="str">
        <f t="shared" si="198"/>
        <v>Usualmente</v>
      </c>
      <c r="AC495">
        <v>0</v>
      </c>
      <c r="AD495">
        <f t="shared" si="199"/>
        <v>0</v>
      </c>
      <c r="AE495" t="str">
        <f t="shared" si="200"/>
        <v>Nunca</v>
      </c>
      <c r="AF495">
        <v>1</v>
      </c>
      <c r="AG495" t="str">
        <f t="shared" si="201"/>
        <v>A veces</v>
      </c>
      <c r="AH495">
        <v>0</v>
      </c>
      <c r="AI495" t="str">
        <f t="shared" si="202"/>
        <v>No usa</v>
      </c>
      <c r="AJ495">
        <v>0</v>
      </c>
      <c r="AK495" t="str">
        <f t="shared" si="203"/>
        <v>No usa</v>
      </c>
      <c r="AL495">
        <v>1</v>
      </c>
      <c r="AM495" t="str">
        <f t="shared" si="204"/>
        <v>Usa Moto</v>
      </c>
      <c r="AN495">
        <v>0</v>
      </c>
      <c r="AO495" t="str">
        <f t="shared" si="205"/>
        <v>No usa</v>
      </c>
      <c r="AP495">
        <v>0</v>
      </c>
      <c r="AQ495" t="str">
        <f t="shared" si="206"/>
        <v>No camina</v>
      </c>
      <c r="AR495">
        <v>0</v>
      </c>
      <c r="AS495" t="str">
        <f t="shared" si="207"/>
        <v>No es obeso</v>
      </c>
    </row>
    <row r="496" spans="1:45" x14ac:dyDescent="0.25">
      <c r="A496">
        <v>0</v>
      </c>
      <c r="B496" t="str">
        <f t="shared" si="182"/>
        <v>F</v>
      </c>
      <c r="C496">
        <v>18</v>
      </c>
      <c r="D496">
        <f t="shared" si="183"/>
        <v>18</v>
      </c>
      <c r="E496">
        <f t="shared" si="184"/>
        <v>18</v>
      </c>
      <c r="F496" t="str">
        <f t="shared" si="185"/>
        <v>1-25</v>
      </c>
      <c r="G496">
        <v>0</v>
      </c>
      <c r="H496" t="str">
        <f t="shared" si="186"/>
        <v>Pariente normal</v>
      </c>
      <c r="I496">
        <v>1</v>
      </c>
      <c r="J496" t="str">
        <f t="shared" si="187"/>
        <v>Hipercaloricos</v>
      </c>
      <c r="K496">
        <v>3</v>
      </c>
      <c r="L496">
        <f t="shared" si="188"/>
        <v>1</v>
      </c>
      <c r="M496" t="str">
        <f t="shared" si="189"/>
        <v>Suele comer</v>
      </c>
      <c r="N496">
        <v>3</v>
      </c>
      <c r="O496">
        <f t="shared" si="190"/>
        <v>2</v>
      </c>
      <c r="P496" t="str">
        <f t="shared" si="191"/>
        <v>Mas de 3</v>
      </c>
      <c r="Q496">
        <v>1</v>
      </c>
      <c r="R496" t="str">
        <f t="shared" si="192"/>
        <v>A veces</v>
      </c>
      <c r="S496">
        <v>0</v>
      </c>
      <c r="T496" t="str">
        <f t="shared" si="193"/>
        <v>No fuma</v>
      </c>
      <c r="U496">
        <v>2</v>
      </c>
      <c r="V496">
        <f t="shared" si="194"/>
        <v>2</v>
      </c>
      <c r="W496" t="str">
        <f t="shared" si="195"/>
        <v>Siempre</v>
      </c>
      <c r="X496">
        <v>0</v>
      </c>
      <c r="Y496" t="str">
        <f t="shared" si="196"/>
        <v>No controla</v>
      </c>
      <c r="Z496">
        <v>0</v>
      </c>
      <c r="AA496">
        <f t="shared" si="197"/>
        <v>0</v>
      </c>
      <c r="AB496" t="str">
        <f t="shared" si="198"/>
        <v>Nunca</v>
      </c>
      <c r="AC496">
        <v>0</v>
      </c>
      <c r="AD496">
        <f t="shared" si="199"/>
        <v>0</v>
      </c>
      <c r="AE496" t="str">
        <f t="shared" si="200"/>
        <v>Nunca</v>
      </c>
      <c r="AF496">
        <v>1</v>
      </c>
      <c r="AG496" t="str">
        <f t="shared" si="201"/>
        <v>A veces</v>
      </c>
      <c r="AH496">
        <v>0</v>
      </c>
      <c r="AI496" t="str">
        <f t="shared" si="202"/>
        <v>No usa</v>
      </c>
      <c r="AJ496">
        <v>0</v>
      </c>
      <c r="AK496" t="str">
        <f t="shared" si="203"/>
        <v>No usa</v>
      </c>
      <c r="AL496">
        <v>0</v>
      </c>
      <c r="AM496" t="str">
        <f t="shared" si="204"/>
        <v>No usa</v>
      </c>
      <c r="AN496">
        <v>1</v>
      </c>
      <c r="AO496" t="str">
        <f t="shared" si="205"/>
        <v>Usa Transporte</v>
      </c>
      <c r="AP496">
        <v>0</v>
      </c>
      <c r="AQ496" t="str">
        <f t="shared" si="206"/>
        <v>No camina</v>
      </c>
      <c r="AR496">
        <v>0</v>
      </c>
      <c r="AS496" t="str">
        <f t="shared" si="207"/>
        <v>No es obeso</v>
      </c>
    </row>
    <row r="497" spans="1:45" x14ac:dyDescent="0.25">
      <c r="A497">
        <v>1</v>
      </c>
      <c r="B497" t="str">
        <f t="shared" si="182"/>
        <v>M</v>
      </c>
      <c r="C497">
        <v>19</v>
      </c>
      <c r="D497">
        <f t="shared" si="183"/>
        <v>19</v>
      </c>
      <c r="E497">
        <f t="shared" si="184"/>
        <v>19</v>
      </c>
      <c r="F497" t="str">
        <f t="shared" si="185"/>
        <v>1-25</v>
      </c>
      <c r="G497">
        <v>1</v>
      </c>
      <c r="H497" t="str">
        <f t="shared" si="186"/>
        <v>Pariente gordo</v>
      </c>
      <c r="I497">
        <v>1</v>
      </c>
      <c r="J497" t="str">
        <f t="shared" si="187"/>
        <v>Hipercaloricos</v>
      </c>
      <c r="K497">
        <v>3</v>
      </c>
      <c r="L497">
        <f t="shared" si="188"/>
        <v>1</v>
      </c>
      <c r="M497" t="str">
        <f t="shared" si="189"/>
        <v>Suele comer</v>
      </c>
      <c r="N497">
        <v>1</v>
      </c>
      <c r="O497">
        <f t="shared" si="190"/>
        <v>1</v>
      </c>
      <c r="P497">
        <f t="shared" si="191"/>
        <v>3</v>
      </c>
      <c r="Q497">
        <v>3</v>
      </c>
      <c r="R497" t="str">
        <f t="shared" si="192"/>
        <v>Siempre</v>
      </c>
      <c r="S497">
        <v>0</v>
      </c>
      <c r="T497" t="str">
        <f t="shared" si="193"/>
        <v>No fuma</v>
      </c>
      <c r="U497">
        <v>1</v>
      </c>
      <c r="V497">
        <f t="shared" si="194"/>
        <v>1</v>
      </c>
      <c r="W497" t="str">
        <f t="shared" si="195"/>
        <v>Usualmente</v>
      </c>
      <c r="X497">
        <v>1</v>
      </c>
      <c r="Y497" t="str">
        <f t="shared" si="196"/>
        <v>Controla</v>
      </c>
      <c r="Z497">
        <v>0</v>
      </c>
      <c r="AA497">
        <f t="shared" si="197"/>
        <v>0</v>
      </c>
      <c r="AB497" t="str">
        <f t="shared" si="198"/>
        <v>Nunca</v>
      </c>
      <c r="AC497">
        <v>0</v>
      </c>
      <c r="AD497">
        <f t="shared" si="199"/>
        <v>0</v>
      </c>
      <c r="AE497" t="str">
        <f t="shared" si="200"/>
        <v>Nunca</v>
      </c>
      <c r="AF497">
        <v>0</v>
      </c>
      <c r="AG497" t="str">
        <f t="shared" si="201"/>
        <v>Nunca</v>
      </c>
      <c r="AH497">
        <v>0</v>
      </c>
      <c r="AI497" t="str">
        <f t="shared" si="202"/>
        <v>No usa</v>
      </c>
      <c r="AJ497">
        <v>0</v>
      </c>
      <c r="AK497" t="str">
        <f t="shared" si="203"/>
        <v>No usa</v>
      </c>
      <c r="AL497">
        <v>1</v>
      </c>
      <c r="AM497" t="str">
        <f t="shared" si="204"/>
        <v>Usa Moto</v>
      </c>
      <c r="AN497">
        <v>0</v>
      </c>
      <c r="AO497" t="str">
        <f t="shared" si="205"/>
        <v>No usa</v>
      </c>
      <c r="AP497">
        <v>0</v>
      </c>
      <c r="AQ497" t="str">
        <f t="shared" si="206"/>
        <v>No camina</v>
      </c>
      <c r="AR497">
        <v>0</v>
      </c>
      <c r="AS497" t="str">
        <f t="shared" si="207"/>
        <v>No es obeso</v>
      </c>
    </row>
    <row r="498" spans="1:45" x14ac:dyDescent="0.25">
      <c r="A498">
        <v>1</v>
      </c>
      <c r="B498" t="str">
        <f t="shared" si="182"/>
        <v>M</v>
      </c>
      <c r="C498">
        <v>18</v>
      </c>
      <c r="D498">
        <f t="shared" si="183"/>
        <v>18</v>
      </c>
      <c r="E498">
        <f t="shared" si="184"/>
        <v>18</v>
      </c>
      <c r="F498" t="str">
        <f t="shared" si="185"/>
        <v>1-25</v>
      </c>
      <c r="G498">
        <v>1</v>
      </c>
      <c r="H498" t="str">
        <f t="shared" si="186"/>
        <v>Pariente gordo</v>
      </c>
      <c r="I498">
        <v>1</v>
      </c>
      <c r="J498" t="str">
        <f t="shared" si="187"/>
        <v>Hipercaloricos</v>
      </c>
      <c r="K498">
        <v>2</v>
      </c>
      <c r="L498">
        <f t="shared" si="188"/>
        <v>1</v>
      </c>
      <c r="M498" t="str">
        <f t="shared" si="189"/>
        <v>Suele comer</v>
      </c>
      <c r="N498">
        <v>3</v>
      </c>
      <c r="O498">
        <f t="shared" si="190"/>
        <v>2</v>
      </c>
      <c r="P498" t="str">
        <f t="shared" si="191"/>
        <v>Mas de 3</v>
      </c>
      <c r="Q498">
        <v>1</v>
      </c>
      <c r="R498" t="str">
        <f t="shared" si="192"/>
        <v>A veces</v>
      </c>
      <c r="S498">
        <v>0</v>
      </c>
      <c r="T498" t="str">
        <f t="shared" si="193"/>
        <v>No fuma</v>
      </c>
      <c r="U498">
        <v>2</v>
      </c>
      <c r="V498">
        <f t="shared" si="194"/>
        <v>2</v>
      </c>
      <c r="W498" t="str">
        <f t="shared" si="195"/>
        <v>Siempre</v>
      </c>
      <c r="X498">
        <v>0</v>
      </c>
      <c r="Y498" t="str">
        <f t="shared" si="196"/>
        <v>No controla</v>
      </c>
      <c r="Z498">
        <v>0</v>
      </c>
      <c r="AA498">
        <f t="shared" si="197"/>
        <v>0</v>
      </c>
      <c r="AB498" t="str">
        <f t="shared" si="198"/>
        <v>Nunca</v>
      </c>
      <c r="AC498">
        <v>2</v>
      </c>
      <c r="AD498">
        <f t="shared" si="199"/>
        <v>2</v>
      </c>
      <c r="AE498" t="str">
        <f t="shared" si="200"/>
        <v>Siempre</v>
      </c>
      <c r="AF498">
        <v>1</v>
      </c>
      <c r="AG498" t="str">
        <f t="shared" si="201"/>
        <v>A veces</v>
      </c>
      <c r="AH498">
        <v>0</v>
      </c>
      <c r="AI498" t="str">
        <f t="shared" si="202"/>
        <v>No usa</v>
      </c>
      <c r="AJ498">
        <v>0</v>
      </c>
      <c r="AK498" t="str">
        <f t="shared" si="203"/>
        <v>No usa</v>
      </c>
      <c r="AL498">
        <v>0</v>
      </c>
      <c r="AM498" t="str">
        <f t="shared" si="204"/>
        <v>No usa</v>
      </c>
      <c r="AN498">
        <v>1</v>
      </c>
      <c r="AO498" t="str">
        <f t="shared" si="205"/>
        <v>Usa Transporte</v>
      </c>
      <c r="AP498">
        <v>0</v>
      </c>
      <c r="AQ498" t="str">
        <f t="shared" si="206"/>
        <v>No camina</v>
      </c>
      <c r="AR498">
        <v>0</v>
      </c>
      <c r="AS498" t="str">
        <f t="shared" si="207"/>
        <v>No es obeso</v>
      </c>
    </row>
    <row r="499" spans="1:45" x14ac:dyDescent="0.25">
      <c r="A499">
        <v>1</v>
      </c>
      <c r="B499" t="str">
        <f t="shared" si="182"/>
        <v>M</v>
      </c>
      <c r="C499">
        <v>20</v>
      </c>
      <c r="D499">
        <f t="shared" si="183"/>
        <v>20</v>
      </c>
      <c r="E499">
        <f t="shared" si="184"/>
        <v>20</v>
      </c>
      <c r="F499" t="str">
        <f t="shared" si="185"/>
        <v>1-25</v>
      </c>
      <c r="G499">
        <v>0</v>
      </c>
      <c r="H499" t="str">
        <f t="shared" si="186"/>
        <v>Pariente normal</v>
      </c>
      <c r="I499">
        <v>0</v>
      </c>
      <c r="J499" t="str">
        <f t="shared" si="187"/>
        <v>Saludables</v>
      </c>
      <c r="K499">
        <v>2</v>
      </c>
      <c r="L499">
        <f t="shared" si="188"/>
        <v>1</v>
      </c>
      <c r="M499" t="str">
        <f t="shared" si="189"/>
        <v>Suele comer</v>
      </c>
      <c r="N499">
        <v>3</v>
      </c>
      <c r="O499">
        <f t="shared" si="190"/>
        <v>2</v>
      </c>
      <c r="P499" t="str">
        <f t="shared" si="191"/>
        <v>Mas de 3</v>
      </c>
      <c r="Q499">
        <v>1</v>
      </c>
      <c r="R499" t="str">
        <f t="shared" si="192"/>
        <v>A veces</v>
      </c>
      <c r="S499">
        <v>0</v>
      </c>
      <c r="T499" t="str">
        <f t="shared" si="193"/>
        <v>No fuma</v>
      </c>
      <c r="U499">
        <v>2</v>
      </c>
      <c r="V499">
        <f t="shared" si="194"/>
        <v>2</v>
      </c>
      <c r="W499" t="str">
        <f t="shared" si="195"/>
        <v>Siempre</v>
      </c>
      <c r="X499">
        <v>0</v>
      </c>
      <c r="Y499" t="str">
        <f t="shared" si="196"/>
        <v>No controla</v>
      </c>
      <c r="Z499">
        <v>1</v>
      </c>
      <c r="AA499">
        <f t="shared" si="197"/>
        <v>1</v>
      </c>
      <c r="AB499" t="str">
        <f t="shared" si="198"/>
        <v>A veces</v>
      </c>
      <c r="AC499">
        <v>1</v>
      </c>
      <c r="AD499">
        <f t="shared" si="199"/>
        <v>1</v>
      </c>
      <c r="AE499" t="str">
        <f t="shared" si="200"/>
        <v>Usualmente</v>
      </c>
      <c r="AF499">
        <v>1</v>
      </c>
      <c r="AG499" t="str">
        <f t="shared" si="201"/>
        <v>A veces</v>
      </c>
      <c r="AH499">
        <v>0</v>
      </c>
      <c r="AI499" t="str">
        <f t="shared" si="202"/>
        <v>No usa</v>
      </c>
      <c r="AJ499">
        <v>0</v>
      </c>
      <c r="AK499" t="str">
        <f t="shared" si="203"/>
        <v>No usa</v>
      </c>
      <c r="AL499">
        <v>0</v>
      </c>
      <c r="AM499" t="str">
        <f t="shared" si="204"/>
        <v>No usa</v>
      </c>
      <c r="AN499">
        <v>1</v>
      </c>
      <c r="AO499" t="str">
        <f t="shared" si="205"/>
        <v>Usa Transporte</v>
      </c>
      <c r="AP499">
        <v>0</v>
      </c>
      <c r="AQ499" t="str">
        <f t="shared" si="206"/>
        <v>No camina</v>
      </c>
      <c r="AR499">
        <v>0</v>
      </c>
      <c r="AS499" t="str">
        <f t="shared" si="207"/>
        <v>No es obeso</v>
      </c>
    </row>
    <row r="500" spans="1:45" x14ac:dyDescent="0.25">
      <c r="A500">
        <v>0</v>
      </c>
      <c r="B500" t="str">
        <f t="shared" si="182"/>
        <v>F</v>
      </c>
      <c r="C500">
        <v>25196214</v>
      </c>
      <c r="D500">
        <f t="shared" si="183"/>
        <v>69</v>
      </c>
      <c r="E500">
        <f t="shared" si="184"/>
        <v>69</v>
      </c>
      <c r="F500" t="str">
        <f t="shared" si="185"/>
        <v>50-75</v>
      </c>
      <c r="G500">
        <v>1</v>
      </c>
      <c r="H500" t="str">
        <f t="shared" si="186"/>
        <v>Pariente gordo</v>
      </c>
      <c r="I500">
        <v>1</v>
      </c>
      <c r="J500" t="str">
        <f t="shared" si="187"/>
        <v>Hipercaloricos</v>
      </c>
      <c r="K500">
        <v>3</v>
      </c>
      <c r="L500">
        <f t="shared" si="188"/>
        <v>1</v>
      </c>
      <c r="M500" t="str">
        <f t="shared" si="189"/>
        <v>Suele comer</v>
      </c>
      <c r="N500">
        <v>3</v>
      </c>
      <c r="O500">
        <f t="shared" si="190"/>
        <v>2</v>
      </c>
      <c r="P500" t="str">
        <f t="shared" si="191"/>
        <v>Mas de 3</v>
      </c>
      <c r="Q500">
        <v>1</v>
      </c>
      <c r="R500" t="str">
        <f t="shared" si="192"/>
        <v>A veces</v>
      </c>
      <c r="S500">
        <v>0</v>
      </c>
      <c r="T500" t="str">
        <f t="shared" si="193"/>
        <v>No fuma</v>
      </c>
      <c r="U500">
        <v>1152736</v>
      </c>
      <c r="V500">
        <f t="shared" si="194"/>
        <v>2</v>
      </c>
      <c r="W500" t="str">
        <f t="shared" si="195"/>
        <v>Siempre</v>
      </c>
      <c r="X500">
        <v>0</v>
      </c>
      <c r="Y500" t="str">
        <f t="shared" si="196"/>
        <v>No controla</v>
      </c>
      <c r="Z500">
        <v>0.319156</v>
      </c>
      <c r="AA500">
        <f t="shared" si="197"/>
        <v>0</v>
      </c>
      <c r="AB500" t="str">
        <f t="shared" si="198"/>
        <v>Nunca</v>
      </c>
      <c r="AC500">
        <v>1</v>
      </c>
      <c r="AD500">
        <f t="shared" si="199"/>
        <v>1</v>
      </c>
      <c r="AE500" t="str">
        <f t="shared" si="200"/>
        <v>Usualmente</v>
      </c>
      <c r="AF500">
        <v>1</v>
      </c>
      <c r="AG500" t="str">
        <f t="shared" si="201"/>
        <v>A veces</v>
      </c>
      <c r="AH500">
        <v>0</v>
      </c>
      <c r="AI500" t="str">
        <f t="shared" si="202"/>
        <v>No usa</v>
      </c>
      <c r="AJ500">
        <v>0</v>
      </c>
      <c r="AK500" t="str">
        <f t="shared" si="203"/>
        <v>No usa</v>
      </c>
      <c r="AL500">
        <v>0</v>
      </c>
      <c r="AM500" t="str">
        <f t="shared" si="204"/>
        <v>No usa</v>
      </c>
      <c r="AN500">
        <v>1</v>
      </c>
      <c r="AO500" t="str">
        <f t="shared" si="205"/>
        <v>Usa Transporte</v>
      </c>
      <c r="AP500">
        <v>0</v>
      </c>
      <c r="AQ500" t="str">
        <f t="shared" si="206"/>
        <v>No camina</v>
      </c>
      <c r="AR500">
        <v>1</v>
      </c>
      <c r="AS500" t="str">
        <f t="shared" si="207"/>
        <v>Es Obeso</v>
      </c>
    </row>
    <row r="501" spans="1:45" x14ac:dyDescent="0.25">
      <c r="A501">
        <v>0</v>
      </c>
      <c r="B501" t="str">
        <f t="shared" si="182"/>
        <v>F</v>
      </c>
      <c r="C501">
        <v>18503343</v>
      </c>
      <c r="D501">
        <f t="shared" si="183"/>
        <v>50</v>
      </c>
      <c r="E501">
        <f t="shared" si="184"/>
        <v>50</v>
      </c>
      <c r="F501" t="str">
        <f t="shared" si="185"/>
        <v>25-50</v>
      </c>
      <c r="G501">
        <v>1</v>
      </c>
      <c r="H501" t="str">
        <f t="shared" si="186"/>
        <v>Pariente gordo</v>
      </c>
      <c r="I501">
        <v>1</v>
      </c>
      <c r="J501" t="str">
        <f t="shared" si="187"/>
        <v>Hipercaloricos</v>
      </c>
      <c r="K501">
        <v>3</v>
      </c>
      <c r="L501">
        <f t="shared" si="188"/>
        <v>1</v>
      </c>
      <c r="M501" t="str">
        <f t="shared" si="189"/>
        <v>Suele comer</v>
      </c>
      <c r="N501">
        <v>3</v>
      </c>
      <c r="O501">
        <f t="shared" si="190"/>
        <v>2</v>
      </c>
      <c r="P501" t="str">
        <f t="shared" si="191"/>
        <v>Mas de 3</v>
      </c>
      <c r="Q501">
        <v>1</v>
      </c>
      <c r="R501" t="str">
        <f t="shared" si="192"/>
        <v>A veces</v>
      </c>
      <c r="S501">
        <v>0</v>
      </c>
      <c r="T501" t="str">
        <f t="shared" si="193"/>
        <v>No fuma</v>
      </c>
      <c r="U501">
        <v>1115967</v>
      </c>
      <c r="V501">
        <f t="shared" si="194"/>
        <v>2</v>
      </c>
      <c r="W501" t="str">
        <f t="shared" si="195"/>
        <v>Siempre</v>
      </c>
      <c r="X501">
        <v>0</v>
      </c>
      <c r="Y501" t="str">
        <f t="shared" si="196"/>
        <v>No controla</v>
      </c>
      <c r="Z501">
        <v>1541072</v>
      </c>
      <c r="AA501">
        <f t="shared" si="197"/>
        <v>3</v>
      </c>
      <c r="AB501" t="str">
        <f t="shared" si="198"/>
        <v>Siempre</v>
      </c>
      <c r="AC501">
        <v>1</v>
      </c>
      <c r="AD501">
        <f t="shared" si="199"/>
        <v>1</v>
      </c>
      <c r="AE501" t="str">
        <f t="shared" si="200"/>
        <v>Usualmente</v>
      </c>
      <c r="AF501">
        <v>1</v>
      </c>
      <c r="AG501" t="str">
        <f t="shared" si="201"/>
        <v>A veces</v>
      </c>
      <c r="AH501">
        <v>0</v>
      </c>
      <c r="AI501" t="str">
        <f t="shared" si="202"/>
        <v>No usa</v>
      </c>
      <c r="AJ501">
        <v>0</v>
      </c>
      <c r="AK501" t="str">
        <f t="shared" si="203"/>
        <v>No usa</v>
      </c>
      <c r="AL501">
        <v>0</v>
      </c>
      <c r="AM501" t="str">
        <f t="shared" si="204"/>
        <v>No usa</v>
      </c>
      <c r="AN501">
        <v>1</v>
      </c>
      <c r="AO501" t="str">
        <f t="shared" si="205"/>
        <v>Usa Transporte</v>
      </c>
      <c r="AP501">
        <v>0</v>
      </c>
      <c r="AQ501" t="str">
        <f t="shared" si="206"/>
        <v>No camina</v>
      </c>
      <c r="AR501">
        <v>1</v>
      </c>
      <c r="AS501" t="str">
        <f t="shared" si="207"/>
        <v>Es Obeso</v>
      </c>
    </row>
    <row r="502" spans="1:45" x14ac:dyDescent="0.25">
      <c r="A502">
        <v>0</v>
      </c>
      <c r="B502" t="str">
        <f t="shared" si="182"/>
        <v>F</v>
      </c>
      <c r="C502">
        <v>26</v>
      </c>
      <c r="D502">
        <f t="shared" si="183"/>
        <v>26</v>
      </c>
      <c r="E502">
        <f t="shared" si="184"/>
        <v>26</v>
      </c>
      <c r="F502" t="str">
        <f t="shared" si="185"/>
        <v>25-50</v>
      </c>
      <c r="G502">
        <v>1</v>
      </c>
      <c r="H502" t="str">
        <f t="shared" si="186"/>
        <v>Pariente gordo</v>
      </c>
      <c r="I502">
        <v>1</v>
      </c>
      <c r="J502" t="str">
        <f t="shared" si="187"/>
        <v>Hipercaloricos</v>
      </c>
      <c r="K502">
        <v>3</v>
      </c>
      <c r="L502">
        <f t="shared" si="188"/>
        <v>1</v>
      </c>
      <c r="M502" t="str">
        <f t="shared" si="189"/>
        <v>Suele comer</v>
      </c>
      <c r="N502">
        <v>3</v>
      </c>
      <c r="O502">
        <f t="shared" si="190"/>
        <v>2</v>
      </c>
      <c r="P502" t="str">
        <f t="shared" si="191"/>
        <v>Mas de 3</v>
      </c>
      <c r="Q502">
        <v>1</v>
      </c>
      <c r="R502" t="str">
        <f t="shared" si="192"/>
        <v>A veces</v>
      </c>
      <c r="S502">
        <v>0</v>
      </c>
      <c r="T502" t="str">
        <f t="shared" si="193"/>
        <v>No fuma</v>
      </c>
      <c r="U502">
        <v>2704507</v>
      </c>
      <c r="V502">
        <f t="shared" si="194"/>
        <v>2</v>
      </c>
      <c r="W502" t="str">
        <f t="shared" si="195"/>
        <v>Siempre</v>
      </c>
      <c r="X502">
        <v>0</v>
      </c>
      <c r="Y502" t="str">
        <f t="shared" si="196"/>
        <v>No controla</v>
      </c>
      <c r="Z502">
        <v>0</v>
      </c>
      <c r="AA502">
        <f t="shared" si="197"/>
        <v>0</v>
      </c>
      <c r="AB502" t="str">
        <f t="shared" si="198"/>
        <v>Nunca</v>
      </c>
      <c r="AC502">
        <v>0.29498999999999997</v>
      </c>
      <c r="AD502">
        <f t="shared" si="199"/>
        <v>0</v>
      </c>
      <c r="AE502" t="str">
        <f t="shared" si="200"/>
        <v>Nunca</v>
      </c>
      <c r="AF502">
        <v>1</v>
      </c>
      <c r="AG502" t="str">
        <f t="shared" si="201"/>
        <v>A veces</v>
      </c>
      <c r="AH502">
        <v>0</v>
      </c>
      <c r="AI502" t="str">
        <f t="shared" si="202"/>
        <v>No usa</v>
      </c>
      <c r="AJ502">
        <v>0</v>
      </c>
      <c r="AK502" t="str">
        <f t="shared" si="203"/>
        <v>No usa</v>
      </c>
      <c r="AL502">
        <v>0</v>
      </c>
      <c r="AM502" t="str">
        <f t="shared" si="204"/>
        <v>No usa</v>
      </c>
      <c r="AN502">
        <v>1</v>
      </c>
      <c r="AO502" t="str">
        <f t="shared" si="205"/>
        <v>Usa Transporte</v>
      </c>
      <c r="AP502">
        <v>0</v>
      </c>
      <c r="AQ502" t="str">
        <f t="shared" si="206"/>
        <v>No camina</v>
      </c>
      <c r="AR502">
        <v>1</v>
      </c>
      <c r="AS502" t="str">
        <f t="shared" si="207"/>
        <v>Es Obeso</v>
      </c>
    </row>
    <row r="503" spans="1:45" x14ac:dyDescent="0.25">
      <c r="A503">
        <v>0</v>
      </c>
      <c r="B503" t="str">
        <f t="shared" si="182"/>
        <v>F</v>
      </c>
      <c r="C503">
        <v>21853826</v>
      </c>
      <c r="D503">
        <f t="shared" si="183"/>
        <v>59</v>
      </c>
      <c r="E503">
        <f t="shared" si="184"/>
        <v>59</v>
      </c>
      <c r="F503" t="str">
        <f t="shared" si="185"/>
        <v>50-75</v>
      </c>
      <c r="G503">
        <v>1</v>
      </c>
      <c r="H503" t="str">
        <f t="shared" si="186"/>
        <v>Pariente gordo</v>
      </c>
      <c r="I503">
        <v>1</v>
      </c>
      <c r="J503" t="str">
        <f t="shared" si="187"/>
        <v>Hipercaloricos</v>
      </c>
      <c r="K503">
        <v>3</v>
      </c>
      <c r="L503">
        <f t="shared" si="188"/>
        <v>1</v>
      </c>
      <c r="M503" t="str">
        <f t="shared" si="189"/>
        <v>Suele comer</v>
      </c>
      <c r="N503">
        <v>3</v>
      </c>
      <c r="O503">
        <f t="shared" si="190"/>
        <v>2</v>
      </c>
      <c r="P503" t="str">
        <f t="shared" si="191"/>
        <v>Mas de 3</v>
      </c>
      <c r="Q503">
        <v>1</v>
      </c>
      <c r="R503" t="str">
        <f t="shared" si="192"/>
        <v>A veces</v>
      </c>
      <c r="S503">
        <v>0</v>
      </c>
      <c r="T503" t="str">
        <f t="shared" si="193"/>
        <v>No fuma</v>
      </c>
      <c r="U503">
        <v>2184707</v>
      </c>
      <c r="V503">
        <f t="shared" si="194"/>
        <v>2</v>
      </c>
      <c r="W503" t="str">
        <f t="shared" si="195"/>
        <v>Siempre</v>
      </c>
      <c r="X503">
        <v>0</v>
      </c>
      <c r="Y503" t="str">
        <f t="shared" si="196"/>
        <v>No controla</v>
      </c>
      <c r="Z503">
        <v>1978631</v>
      </c>
      <c r="AA503">
        <f t="shared" si="197"/>
        <v>3</v>
      </c>
      <c r="AB503" t="str">
        <f t="shared" si="198"/>
        <v>Siempre</v>
      </c>
      <c r="AC503">
        <v>0.83895699999999995</v>
      </c>
      <c r="AD503">
        <f t="shared" si="199"/>
        <v>0</v>
      </c>
      <c r="AE503" t="str">
        <f t="shared" si="200"/>
        <v>Nunca</v>
      </c>
      <c r="AF503">
        <v>1</v>
      </c>
      <c r="AG503" t="str">
        <f t="shared" si="201"/>
        <v>A veces</v>
      </c>
      <c r="AH503">
        <v>0</v>
      </c>
      <c r="AI503" t="str">
        <f t="shared" si="202"/>
        <v>No usa</v>
      </c>
      <c r="AJ503">
        <v>0</v>
      </c>
      <c r="AK503" t="str">
        <f t="shared" si="203"/>
        <v>No usa</v>
      </c>
      <c r="AL503">
        <v>0</v>
      </c>
      <c r="AM503" t="str">
        <f t="shared" si="204"/>
        <v>No usa</v>
      </c>
      <c r="AN503">
        <v>1</v>
      </c>
      <c r="AO503" t="str">
        <f t="shared" si="205"/>
        <v>Usa Transporte</v>
      </c>
      <c r="AP503">
        <v>0</v>
      </c>
      <c r="AQ503" t="str">
        <f t="shared" si="206"/>
        <v>No camina</v>
      </c>
      <c r="AR503">
        <v>1</v>
      </c>
      <c r="AS503" t="str">
        <f t="shared" si="207"/>
        <v>Es Obeso</v>
      </c>
    </row>
    <row r="504" spans="1:45" x14ac:dyDescent="0.25">
      <c r="A504">
        <v>0</v>
      </c>
      <c r="B504" t="str">
        <f t="shared" si="182"/>
        <v>F</v>
      </c>
      <c r="C504">
        <v>2190012</v>
      </c>
      <c r="D504">
        <f t="shared" si="183"/>
        <v>6</v>
      </c>
      <c r="E504">
        <f t="shared" si="184"/>
        <v>6</v>
      </c>
      <c r="F504" t="str">
        <f t="shared" si="185"/>
        <v>1-25</v>
      </c>
      <c r="G504">
        <v>1</v>
      </c>
      <c r="H504" t="str">
        <f t="shared" si="186"/>
        <v>Pariente gordo</v>
      </c>
      <c r="I504">
        <v>1</v>
      </c>
      <c r="J504" t="str">
        <f t="shared" si="187"/>
        <v>Hipercaloricos</v>
      </c>
      <c r="K504">
        <v>3</v>
      </c>
      <c r="L504">
        <f t="shared" si="188"/>
        <v>1</v>
      </c>
      <c r="M504" t="str">
        <f t="shared" si="189"/>
        <v>Suele comer</v>
      </c>
      <c r="N504">
        <v>3</v>
      </c>
      <c r="O504">
        <f t="shared" si="190"/>
        <v>2</v>
      </c>
      <c r="P504" t="str">
        <f t="shared" si="191"/>
        <v>Mas de 3</v>
      </c>
      <c r="Q504">
        <v>1</v>
      </c>
      <c r="R504" t="str">
        <f t="shared" si="192"/>
        <v>A veces</v>
      </c>
      <c r="S504">
        <v>0</v>
      </c>
      <c r="T504" t="str">
        <f t="shared" si="193"/>
        <v>No fuma</v>
      </c>
      <c r="U504">
        <v>2406541</v>
      </c>
      <c r="V504">
        <f t="shared" si="194"/>
        <v>2</v>
      </c>
      <c r="W504" t="str">
        <f t="shared" si="195"/>
        <v>Siempre</v>
      </c>
      <c r="X504">
        <v>0</v>
      </c>
      <c r="Y504" t="str">
        <f t="shared" si="196"/>
        <v>No controla</v>
      </c>
      <c r="Z504">
        <v>0.10032000000000001</v>
      </c>
      <c r="AA504">
        <f t="shared" si="197"/>
        <v>0</v>
      </c>
      <c r="AB504" t="str">
        <f t="shared" si="198"/>
        <v>Nunca</v>
      </c>
      <c r="AC504">
        <v>0.47922100000000001</v>
      </c>
      <c r="AD504">
        <f t="shared" si="199"/>
        <v>0</v>
      </c>
      <c r="AE504" t="str">
        <f t="shared" si="200"/>
        <v>Nunca</v>
      </c>
      <c r="AF504">
        <v>1</v>
      </c>
      <c r="AG504" t="str">
        <f t="shared" si="201"/>
        <v>A veces</v>
      </c>
      <c r="AH504">
        <v>0</v>
      </c>
      <c r="AI504" t="str">
        <f t="shared" si="202"/>
        <v>No usa</v>
      </c>
      <c r="AJ504">
        <v>0</v>
      </c>
      <c r="AK504" t="str">
        <f t="shared" si="203"/>
        <v>No usa</v>
      </c>
      <c r="AL504">
        <v>0</v>
      </c>
      <c r="AM504" t="str">
        <f t="shared" si="204"/>
        <v>No usa</v>
      </c>
      <c r="AN504">
        <v>1</v>
      </c>
      <c r="AO504" t="str">
        <f t="shared" si="205"/>
        <v>Usa Transporte</v>
      </c>
      <c r="AP504">
        <v>0</v>
      </c>
      <c r="AQ504" t="str">
        <f t="shared" si="206"/>
        <v>No camina</v>
      </c>
      <c r="AR504">
        <v>1</v>
      </c>
      <c r="AS504" t="str">
        <f t="shared" si="207"/>
        <v>Es Obeso</v>
      </c>
    </row>
    <row r="505" spans="1:45" x14ac:dyDescent="0.25">
      <c r="A505">
        <v>0</v>
      </c>
      <c r="B505" t="str">
        <f t="shared" si="182"/>
        <v>F</v>
      </c>
      <c r="C505">
        <v>18306615</v>
      </c>
      <c r="D505">
        <f t="shared" si="183"/>
        <v>50</v>
      </c>
      <c r="E505">
        <f t="shared" si="184"/>
        <v>50</v>
      </c>
      <c r="F505" t="str">
        <f t="shared" si="185"/>
        <v>25-50</v>
      </c>
      <c r="G505">
        <v>1</v>
      </c>
      <c r="H505" t="str">
        <f t="shared" si="186"/>
        <v>Pariente gordo</v>
      </c>
      <c r="I505">
        <v>1</v>
      </c>
      <c r="J505" t="str">
        <f t="shared" si="187"/>
        <v>Hipercaloricos</v>
      </c>
      <c r="K505">
        <v>3</v>
      </c>
      <c r="L505">
        <f t="shared" si="188"/>
        <v>1</v>
      </c>
      <c r="M505" t="str">
        <f t="shared" si="189"/>
        <v>Suele comer</v>
      </c>
      <c r="N505">
        <v>3</v>
      </c>
      <c r="O505">
        <f t="shared" si="190"/>
        <v>2</v>
      </c>
      <c r="P505" t="str">
        <f t="shared" si="191"/>
        <v>Mas de 3</v>
      </c>
      <c r="Q505">
        <v>1</v>
      </c>
      <c r="R505" t="str">
        <f t="shared" si="192"/>
        <v>A veces</v>
      </c>
      <c r="S505">
        <v>0</v>
      </c>
      <c r="T505" t="str">
        <f t="shared" si="193"/>
        <v>No fuma</v>
      </c>
      <c r="U505">
        <v>2984323</v>
      </c>
      <c r="V505">
        <f t="shared" si="194"/>
        <v>2</v>
      </c>
      <c r="W505" t="str">
        <f t="shared" si="195"/>
        <v>Siempre</v>
      </c>
      <c r="X505">
        <v>0</v>
      </c>
      <c r="Y505" t="str">
        <f t="shared" si="196"/>
        <v>No controla</v>
      </c>
      <c r="Z505">
        <v>1586525</v>
      </c>
      <c r="AA505">
        <f t="shared" si="197"/>
        <v>3</v>
      </c>
      <c r="AB505" t="str">
        <f t="shared" si="198"/>
        <v>Siempre</v>
      </c>
      <c r="AC505">
        <v>0.62534999999999996</v>
      </c>
      <c r="AD505">
        <f t="shared" si="199"/>
        <v>0</v>
      </c>
      <c r="AE505" t="str">
        <f t="shared" si="200"/>
        <v>Nunca</v>
      </c>
      <c r="AF505">
        <v>1</v>
      </c>
      <c r="AG505" t="str">
        <f t="shared" si="201"/>
        <v>A veces</v>
      </c>
      <c r="AH505">
        <v>0</v>
      </c>
      <c r="AI505" t="str">
        <f t="shared" si="202"/>
        <v>No usa</v>
      </c>
      <c r="AJ505">
        <v>0</v>
      </c>
      <c r="AK505" t="str">
        <f t="shared" si="203"/>
        <v>No usa</v>
      </c>
      <c r="AL505">
        <v>0</v>
      </c>
      <c r="AM505" t="str">
        <f t="shared" si="204"/>
        <v>No usa</v>
      </c>
      <c r="AN505">
        <v>1</v>
      </c>
      <c r="AO505" t="str">
        <f t="shared" si="205"/>
        <v>Usa Transporte</v>
      </c>
      <c r="AP505">
        <v>0</v>
      </c>
      <c r="AQ505" t="str">
        <f t="shared" si="206"/>
        <v>No camina</v>
      </c>
      <c r="AR505">
        <v>1</v>
      </c>
      <c r="AS505" t="str">
        <f t="shared" si="207"/>
        <v>Es Obeso</v>
      </c>
    </row>
    <row r="506" spans="1:45" x14ac:dyDescent="0.25">
      <c r="A506">
        <v>0</v>
      </c>
      <c r="B506" t="str">
        <f t="shared" si="182"/>
        <v>F</v>
      </c>
      <c r="C506">
        <v>26</v>
      </c>
      <c r="D506">
        <f t="shared" si="183"/>
        <v>26</v>
      </c>
      <c r="E506">
        <f t="shared" si="184"/>
        <v>26</v>
      </c>
      <c r="F506" t="str">
        <f t="shared" si="185"/>
        <v>25-50</v>
      </c>
      <c r="G506">
        <v>1</v>
      </c>
      <c r="H506" t="str">
        <f t="shared" si="186"/>
        <v>Pariente gordo</v>
      </c>
      <c r="I506">
        <v>1</v>
      </c>
      <c r="J506" t="str">
        <f t="shared" si="187"/>
        <v>Hipercaloricos</v>
      </c>
      <c r="K506">
        <v>3</v>
      </c>
      <c r="L506">
        <f t="shared" si="188"/>
        <v>1</v>
      </c>
      <c r="M506" t="str">
        <f t="shared" si="189"/>
        <v>Suele comer</v>
      </c>
      <c r="N506">
        <v>3</v>
      </c>
      <c r="O506">
        <f t="shared" si="190"/>
        <v>2</v>
      </c>
      <c r="P506" t="str">
        <f t="shared" si="191"/>
        <v>Mas de 3</v>
      </c>
      <c r="Q506">
        <v>1</v>
      </c>
      <c r="R506" t="str">
        <f t="shared" si="192"/>
        <v>A veces</v>
      </c>
      <c r="S506">
        <v>0</v>
      </c>
      <c r="T506" t="str">
        <f t="shared" si="193"/>
        <v>No fuma</v>
      </c>
      <c r="U506">
        <v>2444125</v>
      </c>
      <c r="V506">
        <f t="shared" si="194"/>
        <v>2</v>
      </c>
      <c r="W506" t="str">
        <f t="shared" si="195"/>
        <v>Siempre</v>
      </c>
      <c r="X506">
        <v>0</v>
      </c>
      <c r="Y506" t="str">
        <f t="shared" si="196"/>
        <v>No controla</v>
      </c>
      <c r="Z506">
        <v>0</v>
      </c>
      <c r="AA506">
        <f t="shared" si="197"/>
        <v>0</v>
      </c>
      <c r="AB506" t="str">
        <f t="shared" si="198"/>
        <v>Nunca</v>
      </c>
      <c r="AC506">
        <v>0.26579000000000003</v>
      </c>
      <c r="AD506">
        <f t="shared" si="199"/>
        <v>0</v>
      </c>
      <c r="AE506" t="str">
        <f t="shared" si="200"/>
        <v>Nunca</v>
      </c>
      <c r="AF506">
        <v>1</v>
      </c>
      <c r="AG506" t="str">
        <f t="shared" si="201"/>
        <v>A veces</v>
      </c>
      <c r="AH506">
        <v>0</v>
      </c>
      <c r="AI506" t="str">
        <f t="shared" si="202"/>
        <v>No usa</v>
      </c>
      <c r="AJ506">
        <v>0</v>
      </c>
      <c r="AK506" t="str">
        <f t="shared" si="203"/>
        <v>No usa</v>
      </c>
      <c r="AL506">
        <v>0</v>
      </c>
      <c r="AM506" t="str">
        <f t="shared" si="204"/>
        <v>No usa</v>
      </c>
      <c r="AN506">
        <v>1</v>
      </c>
      <c r="AO506" t="str">
        <f t="shared" si="205"/>
        <v>Usa Transporte</v>
      </c>
      <c r="AP506">
        <v>0</v>
      </c>
      <c r="AQ506" t="str">
        <f t="shared" si="206"/>
        <v>No camina</v>
      </c>
      <c r="AR506">
        <v>1</v>
      </c>
      <c r="AS506" t="str">
        <f t="shared" si="207"/>
        <v>Es Obeso</v>
      </c>
    </row>
    <row r="507" spans="1:45" x14ac:dyDescent="0.25">
      <c r="A507">
        <v>0</v>
      </c>
      <c r="B507" t="str">
        <f t="shared" si="182"/>
        <v>F</v>
      </c>
      <c r="C507">
        <v>26</v>
      </c>
      <c r="D507">
        <f t="shared" si="183"/>
        <v>26</v>
      </c>
      <c r="E507">
        <f t="shared" si="184"/>
        <v>26</v>
      </c>
      <c r="F507" t="str">
        <f t="shared" si="185"/>
        <v>25-50</v>
      </c>
      <c r="G507">
        <v>1</v>
      </c>
      <c r="H507" t="str">
        <f t="shared" si="186"/>
        <v>Pariente gordo</v>
      </c>
      <c r="I507">
        <v>1</v>
      </c>
      <c r="J507" t="str">
        <f t="shared" si="187"/>
        <v>Hipercaloricos</v>
      </c>
      <c r="K507">
        <v>3</v>
      </c>
      <c r="L507">
        <f t="shared" si="188"/>
        <v>1</v>
      </c>
      <c r="M507" t="str">
        <f t="shared" si="189"/>
        <v>Suele comer</v>
      </c>
      <c r="N507">
        <v>3</v>
      </c>
      <c r="O507">
        <f t="shared" si="190"/>
        <v>2</v>
      </c>
      <c r="P507" t="str">
        <f t="shared" si="191"/>
        <v>Mas de 3</v>
      </c>
      <c r="Q507">
        <v>1</v>
      </c>
      <c r="R507" t="str">
        <f t="shared" si="192"/>
        <v>A veces</v>
      </c>
      <c r="S507">
        <v>0</v>
      </c>
      <c r="T507" t="str">
        <f t="shared" si="193"/>
        <v>No fuma</v>
      </c>
      <c r="U507">
        <v>2654702</v>
      </c>
      <c r="V507">
        <f t="shared" si="194"/>
        <v>2</v>
      </c>
      <c r="W507" t="str">
        <f t="shared" si="195"/>
        <v>Siempre</v>
      </c>
      <c r="X507">
        <v>0</v>
      </c>
      <c r="Y507" t="str">
        <f t="shared" si="196"/>
        <v>No controla</v>
      </c>
      <c r="Z507">
        <v>0</v>
      </c>
      <c r="AA507">
        <f t="shared" si="197"/>
        <v>0</v>
      </c>
      <c r="AB507" t="str">
        <f t="shared" si="198"/>
        <v>Nunca</v>
      </c>
      <c r="AC507">
        <v>0.55546799999999996</v>
      </c>
      <c r="AD507">
        <f t="shared" si="199"/>
        <v>0</v>
      </c>
      <c r="AE507" t="str">
        <f t="shared" si="200"/>
        <v>Nunca</v>
      </c>
      <c r="AF507">
        <v>1</v>
      </c>
      <c r="AG507" t="str">
        <f t="shared" si="201"/>
        <v>A veces</v>
      </c>
      <c r="AH507">
        <v>0</v>
      </c>
      <c r="AI507" t="str">
        <f t="shared" si="202"/>
        <v>No usa</v>
      </c>
      <c r="AJ507">
        <v>0</v>
      </c>
      <c r="AK507" t="str">
        <f t="shared" si="203"/>
        <v>No usa</v>
      </c>
      <c r="AL507">
        <v>0</v>
      </c>
      <c r="AM507" t="str">
        <f t="shared" si="204"/>
        <v>No usa</v>
      </c>
      <c r="AN507">
        <v>1</v>
      </c>
      <c r="AO507" t="str">
        <f t="shared" si="205"/>
        <v>Usa Transporte</v>
      </c>
      <c r="AP507">
        <v>0</v>
      </c>
      <c r="AQ507" t="str">
        <f t="shared" si="206"/>
        <v>No camina</v>
      </c>
      <c r="AR507">
        <v>1</v>
      </c>
      <c r="AS507" t="str">
        <f t="shared" si="207"/>
        <v>Es Obeso</v>
      </c>
    </row>
    <row r="508" spans="1:45" x14ac:dyDescent="0.25">
      <c r="A508">
        <v>0</v>
      </c>
      <c r="B508" t="str">
        <f t="shared" si="182"/>
        <v>F</v>
      </c>
      <c r="C508">
        <v>21849705</v>
      </c>
      <c r="D508">
        <f t="shared" si="183"/>
        <v>59</v>
      </c>
      <c r="E508">
        <f t="shared" si="184"/>
        <v>59</v>
      </c>
      <c r="F508" t="str">
        <f t="shared" si="185"/>
        <v>50-75</v>
      </c>
      <c r="G508">
        <v>1</v>
      </c>
      <c r="H508" t="str">
        <f t="shared" si="186"/>
        <v>Pariente gordo</v>
      </c>
      <c r="I508">
        <v>1</v>
      </c>
      <c r="J508" t="str">
        <f t="shared" si="187"/>
        <v>Hipercaloricos</v>
      </c>
      <c r="K508">
        <v>3</v>
      </c>
      <c r="L508">
        <f t="shared" si="188"/>
        <v>1</v>
      </c>
      <c r="M508" t="str">
        <f t="shared" si="189"/>
        <v>Suele comer</v>
      </c>
      <c r="N508">
        <v>3</v>
      </c>
      <c r="O508">
        <f t="shared" si="190"/>
        <v>2</v>
      </c>
      <c r="P508" t="str">
        <f t="shared" si="191"/>
        <v>Mas de 3</v>
      </c>
      <c r="Q508">
        <v>1</v>
      </c>
      <c r="R508" t="str">
        <f t="shared" si="192"/>
        <v>A veces</v>
      </c>
      <c r="S508">
        <v>0</v>
      </c>
      <c r="T508" t="str">
        <f t="shared" si="193"/>
        <v>No fuma</v>
      </c>
      <c r="U508">
        <v>2825629</v>
      </c>
      <c r="V508">
        <f t="shared" si="194"/>
        <v>2</v>
      </c>
      <c r="W508" t="str">
        <f t="shared" si="195"/>
        <v>Siempre</v>
      </c>
      <c r="X508">
        <v>0</v>
      </c>
      <c r="Y508" t="str">
        <f t="shared" si="196"/>
        <v>No controla</v>
      </c>
      <c r="Z508">
        <v>1399183</v>
      </c>
      <c r="AA508">
        <f t="shared" si="197"/>
        <v>3</v>
      </c>
      <c r="AB508" t="str">
        <f t="shared" si="198"/>
        <v>Siempre</v>
      </c>
      <c r="AC508">
        <v>0.92897200000000002</v>
      </c>
      <c r="AD508">
        <f t="shared" si="199"/>
        <v>0</v>
      </c>
      <c r="AE508" t="str">
        <f t="shared" si="200"/>
        <v>Nunca</v>
      </c>
      <c r="AF508">
        <v>1</v>
      </c>
      <c r="AG508" t="str">
        <f t="shared" si="201"/>
        <v>A veces</v>
      </c>
      <c r="AH508">
        <v>0</v>
      </c>
      <c r="AI508" t="str">
        <f t="shared" si="202"/>
        <v>No usa</v>
      </c>
      <c r="AJ508">
        <v>0</v>
      </c>
      <c r="AK508" t="str">
        <f t="shared" si="203"/>
        <v>No usa</v>
      </c>
      <c r="AL508">
        <v>0</v>
      </c>
      <c r="AM508" t="str">
        <f t="shared" si="204"/>
        <v>No usa</v>
      </c>
      <c r="AN508">
        <v>1</v>
      </c>
      <c r="AO508" t="str">
        <f t="shared" si="205"/>
        <v>Usa Transporte</v>
      </c>
      <c r="AP508">
        <v>0</v>
      </c>
      <c r="AQ508" t="str">
        <f t="shared" si="206"/>
        <v>No camina</v>
      </c>
      <c r="AR508">
        <v>1</v>
      </c>
      <c r="AS508" t="str">
        <f t="shared" si="207"/>
        <v>Es Obeso</v>
      </c>
    </row>
    <row r="509" spans="1:45" x14ac:dyDescent="0.25">
      <c r="A509">
        <v>1</v>
      </c>
      <c r="B509" t="str">
        <f t="shared" si="182"/>
        <v>M</v>
      </c>
      <c r="C509">
        <v>19799054</v>
      </c>
      <c r="D509">
        <f t="shared" si="183"/>
        <v>54</v>
      </c>
      <c r="E509">
        <f t="shared" si="184"/>
        <v>54</v>
      </c>
      <c r="F509" t="str">
        <f t="shared" si="185"/>
        <v>50-75</v>
      </c>
      <c r="G509">
        <v>1</v>
      </c>
      <c r="H509" t="str">
        <f t="shared" si="186"/>
        <v>Pariente gordo</v>
      </c>
      <c r="I509">
        <v>1</v>
      </c>
      <c r="J509" t="str">
        <f t="shared" si="187"/>
        <v>Hipercaloricos</v>
      </c>
      <c r="K509">
        <v>2</v>
      </c>
      <c r="L509">
        <f t="shared" si="188"/>
        <v>1</v>
      </c>
      <c r="M509" t="str">
        <f t="shared" si="189"/>
        <v>Suele comer</v>
      </c>
      <c r="N509">
        <v>328926</v>
      </c>
      <c r="O509">
        <f t="shared" si="190"/>
        <v>2</v>
      </c>
      <c r="P509" t="str">
        <f t="shared" si="191"/>
        <v>Mas de 3</v>
      </c>
      <c r="Q509">
        <v>1</v>
      </c>
      <c r="R509" t="str">
        <f t="shared" si="192"/>
        <v>A veces</v>
      </c>
      <c r="S509">
        <v>0</v>
      </c>
      <c r="T509" t="str">
        <f t="shared" si="193"/>
        <v>No fuma</v>
      </c>
      <c r="U509">
        <v>2847264</v>
      </c>
      <c r="V509">
        <f t="shared" si="194"/>
        <v>2</v>
      </c>
      <c r="W509" t="str">
        <f t="shared" si="195"/>
        <v>Siempre</v>
      </c>
      <c r="X509">
        <v>0</v>
      </c>
      <c r="Y509" t="str">
        <f t="shared" si="196"/>
        <v>No controla</v>
      </c>
      <c r="Z509">
        <v>1680844</v>
      </c>
      <c r="AA509">
        <f t="shared" si="197"/>
        <v>3</v>
      </c>
      <c r="AB509" t="str">
        <f t="shared" si="198"/>
        <v>Siempre</v>
      </c>
      <c r="AC509">
        <v>2</v>
      </c>
      <c r="AD509">
        <f t="shared" si="199"/>
        <v>2</v>
      </c>
      <c r="AE509" t="str">
        <f t="shared" si="200"/>
        <v>Siempre</v>
      </c>
      <c r="AF509">
        <v>1</v>
      </c>
      <c r="AG509" t="str">
        <f t="shared" si="201"/>
        <v>A veces</v>
      </c>
      <c r="AH509">
        <v>0</v>
      </c>
      <c r="AI509" t="str">
        <f t="shared" si="202"/>
        <v>No usa</v>
      </c>
      <c r="AJ509">
        <v>0</v>
      </c>
      <c r="AK509" t="str">
        <f t="shared" si="203"/>
        <v>No usa</v>
      </c>
      <c r="AL509">
        <v>0</v>
      </c>
      <c r="AM509" t="str">
        <f t="shared" si="204"/>
        <v>No usa</v>
      </c>
      <c r="AN509">
        <v>1</v>
      </c>
      <c r="AO509" t="str">
        <f t="shared" si="205"/>
        <v>Usa Transporte</v>
      </c>
      <c r="AP509">
        <v>0</v>
      </c>
      <c r="AQ509" t="str">
        <f t="shared" si="206"/>
        <v>No camina</v>
      </c>
      <c r="AR509">
        <v>0</v>
      </c>
      <c r="AS509" t="str">
        <f t="shared" si="207"/>
        <v>No es obeso</v>
      </c>
    </row>
    <row r="510" spans="1:45" x14ac:dyDescent="0.25">
      <c r="A510">
        <v>1</v>
      </c>
      <c r="B510" t="str">
        <f t="shared" si="182"/>
        <v>M</v>
      </c>
      <c r="C510">
        <v>17188754</v>
      </c>
      <c r="D510">
        <f t="shared" si="183"/>
        <v>47</v>
      </c>
      <c r="E510">
        <f t="shared" si="184"/>
        <v>47</v>
      </c>
      <c r="F510" t="str">
        <f t="shared" si="185"/>
        <v>25-50</v>
      </c>
      <c r="G510">
        <v>1</v>
      </c>
      <c r="H510" t="str">
        <f t="shared" si="186"/>
        <v>Pariente gordo</v>
      </c>
      <c r="I510">
        <v>1</v>
      </c>
      <c r="J510" t="str">
        <f t="shared" si="187"/>
        <v>Hipercaloricos</v>
      </c>
      <c r="K510">
        <v>2</v>
      </c>
      <c r="L510">
        <f t="shared" si="188"/>
        <v>1</v>
      </c>
      <c r="M510" t="str">
        <f t="shared" si="189"/>
        <v>Suele comer</v>
      </c>
      <c r="N510">
        <v>4</v>
      </c>
      <c r="O510">
        <f t="shared" si="190"/>
        <v>2</v>
      </c>
      <c r="P510" t="str">
        <f t="shared" si="191"/>
        <v>Mas de 3</v>
      </c>
      <c r="Q510">
        <v>1</v>
      </c>
      <c r="R510" t="str">
        <f t="shared" si="192"/>
        <v>A veces</v>
      </c>
      <c r="S510">
        <v>0</v>
      </c>
      <c r="T510" t="str">
        <f t="shared" si="193"/>
        <v>No fuma</v>
      </c>
      <c r="U510">
        <v>2884033</v>
      </c>
      <c r="V510">
        <f t="shared" si="194"/>
        <v>2</v>
      </c>
      <c r="W510" t="str">
        <f t="shared" si="195"/>
        <v>Siempre</v>
      </c>
      <c r="X510">
        <v>0</v>
      </c>
      <c r="Y510" t="str">
        <f t="shared" si="196"/>
        <v>No controla</v>
      </c>
      <c r="Z510">
        <v>2</v>
      </c>
      <c r="AA510">
        <f t="shared" si="197"/>
        <v>2</v>
      </c>
      <c r="AB510" t="str">
        <f t="shared" si="198"/>
        <v>Usualmente</v>
      </c>
      <c r="AC510">
        <v>1340107</v>
      </c>
      <c r="AD510">
        <f t="shared" si="199"/>
        <v>2</v>
      </c>
      <c r="AE510" t="str">
        <f t="shared" si="200"/>
        <v>Siempre</v>
      </c>
      <c r="AF510">
        <v>1</v>
      </c>
      <c r="AG510" t="str">
        <f t="shared" si="201"/>
        <v>A veces</v>
      </c>
      <c r="AH510">
        <v>0</v>
      </c>
      <c r="AI510" t="str">
        <f t="shared" si="202"/>
        <v>No usa</v>
      </c>
      <c r="AJ510">
        <v>0</v>
      </c>
      <c r="AK510" t="str">
        <f t="shared" si="203"/>
        <v>No usa</v>
      </c>
      <c r="AL510">
        <v>0</v>
      </c>
      <c r="AM510" t="str">
        <f t="shared" si="204"/>
        <v>No usa</v>
      </c>
      <c r="AN510">
        <v>1</v>
      </c>
      <c r="AO510" t="str">
        <f t="shared" si="205"/>
        <v>Usa Transporte</v>
      </c>
      <c r="AP510">
        <v>0</v>
      </c>
      <c r="AQ510" t="str">
        <f t="shared" si="206"/>
        <v>No camina</v>
      </c>
      <c r="AR510">
        <v>0</v>
      </c>
      <c r="AS510" t="str">
        <f t="shared" si="207"/>
        <v>No es obeso</v>
      </c>
    </row>
    <row r="511" spans="1:45" x14ac:dyDescent="0.25">
      <c r="A511">
        <v>1</v>
      </c>
      <c r="B511" t="str">
        <f t="shared" si="182"/>
        <v>M</v>
      </c>
      <c r="C511">
        <v>22285024</v>
      </c>
      <c r="D511">
        <f t="shared" si="183"/>
        <v>61</v>
      </c>
      <c r="E511">
        <f t="shared" si="184"/>
        <v>61</v>
      </c>
      <c r="F511" t="str">
        <f t="shared" si="185"/>
        <v>50-75</v>
      </c>
      <c r="G511">
        <v>1</v>
      </c>
      <c r="H511" t="str">
        <f t="shared" si="186"/>
        <v>Pariente gordo</v>
      </c>
      <c r="I511">
        <v>1</v>
      </c>
      <c r="J511" t="str">
        <f t="shared" si="187"/>
        <v>Hipercaloricos</v>
      </c>
      <c r="K511">
        <v>2450218</v>
      </c>
      <c r="L511">
        <f t="shared" si="188"/>
        <v>1</v>
      </c>
      <c r="M511" t="str">
        <f t="shared" si="189"/>
        <v>Suele comer</v>
      </c>
      <c r="N511">
        <v>3995147</v>
      </c>
      <c r="O511">
        <f t="shared" si="190"/>
        <v>2</v>
      </c>
      <c r="P511" t="str">
        <f t="shared" si="191"/>
        <v>Mas de 3</v>
      </c>
      <c r="Q511">
        <v>1</v>
      </c>
      <c r="R511" t="str">
        <f t="shared" si="192"/>
        <v>A veces</v>
      </c>
      <c r="S511">
        <v>0</v>
      </c>
      <c r="T511" t="str">
        <f t="shared" si="193"/>
        <v>No fuma</v>
      </c>
      <c r="U511">
        <v>2147746</v>
      </c>
      <c r="V511">
        <f t="shared" si="194"/>
        <v>2</v>
      </c>
      <c r="W511" t="str">
        <f t="shared" si="195"/>
        <v>Siempre</v>
      </c>
      <c r="X511">
        <v>0</v>
      </c>
      <c r="Y511" t="str">
        <f t="shared" si="196"/>
        <v>No controla</v>
      </c>
      <c r="Z511">
        <v>2</v>
      </c>
      <c r="AA511">
        <f t="shared" si="197"/>
        <v>2</v>
      </c>
      <c r="AB511" t="str">
        <f t="shared" si="198"/>
        <v>Usualmente</v>
      </c>
      <c r="AC511">
        <v>0.58997999999999995</v>
      </c>
      <c r="AD511">
        <f t="shared" si="199"/>
        <v>0</v>
      </c>
      <c r="AE511" t="str">
        <f t="shared" si="200"/>
        <v>Nunca</v>
      </c>
      <c r="AF511">
        <v>1</v>
      </c>
      <c r="AG511" t="str">
        <f t="shared" si="201"/>
        <v>A veces</v>
      </c>
      <c r="AH511">
        <v>0</v>
      </c>
      <c r="AI511" t="str">
        <f t="shared" si="202"/>
        <v>No usa</v>
      </c>
      <c r="AJ511">
        <v>0</v>
      </c>
      <c r="AK511" t="str">
        <f t="shared" si="203"/>
        <v>No usa</v>
      </c>
      <c r="AL511">
        <v>0</v>
      </c>
      <c r="AM511" t="str">
        <f t="shared" si="204"/>
        <v>No usa</v>
      </c>
      <c r="AN511">
        <v>1</v>
      </c>
      <c r="AO511" t="str">
        <f t="shared" si="205"/>
        <v>Usa Transporte</v>
      </c>
      <c r="AP511">
        <v>0</v>
      </c>
      <c r="AQ511" t="str">
        <f t="shared" si="206"/>
        <v>No camina</v>
      </c>
      <c r="AR511">
        <v>0</v>
      </c>
      <c r="AS511" t="str">
        <f t="shared" si="207"/>
        <v>No es obeso</v>
      </c>
    </row>
    <row r="512" spans="1:45" x14ac:dyDescent="0.25">
      <c r="A512">
        <v>0</v>
      </c>
      <c r="B512" t="str">
        <f t="shared" si="182"/>
        <v>F</v>
      </c>
      <c r="C512">
        <v>22</v>
      </c>
      <c r="D512">
        <f t="shared" si="183"/>
        <v>22</v>
      </c>
      <c r="E512">
        <f t="shared" si="184"/>
        <v>22</v>
      </c>
      <c r="F512" t="str">
        <f t="shared" si="185"/>
        <v>1-25</v>
      </c>
      <c r="G512">
        <v>1</v>
      </c>
      <c r="H512" t="str">
        <f t="shared" si="186"/>
        <v>Pariente gordo</v>
      </c>
      <c r="I512">
        <v>1</v>
      </c>
      <c r="J512" t="str">
        <f t="shared" si="187"/>
        <v>Hipercaloricos</v>
      </c>
      <c r="K512">
        <v>3</v>
      </c>
      <c r="L512">
        <f t="shared" si="188"/>
        <v>1</v>
      </c>
      <c r="M512" t="str">
        <f t="shared" si="189"/>
        <v>Suele comer</v>
      </c>
      <c r="N512">
        <v>3</v>
      </c>
      <c r="O512">
        <f t="shared" si="190"/>
        <v>2</v>
      </c>
      <c r="P512" t="str">
        <f t="shared" si="191"/>
        <v>Mas de 3</v>
      </c>
      <c r="Q512">
        <v>2</v>
      </c>
      <c r="R512" t="str">
        <f t="shared" si="192"/>
        <v>Usualmente</v>
      </c>
      <c r="S512">
        <v>0</v>
      </c>
      <c r="T512" t="str">
        <f t="shared" si="193"/>
        <v>No fuma</v>
      </c>
      <c r="U512">
        <v>2815293</v>
      </c>
      <c r="V512">
        <f t="shared" si="194"/>
        <v>2</v>
      </c>
      <c r="W512" t="str">
        <f t="shared" si="195"/>
        <v>Siempre</v>
      </c>
      <c r="X512">
        <v>0</v>
      </c>
      <c r="Y512" t="str">
        <f t="shared" si="196"/>
        <v>No controla</v>
      </c>
      <c r="Z512">
        <v>1978631</v>
      </c>
      <c r="AA512">
        <f t="shared" si="197"/>
        <v>3</v>
      </c>
      <c r="AB512" t="str">
        <f t="shared" si="198"/>
        <v>Siempre</v>
      </c>
      <c r="AC512">
        <v>1</v>
      </c>
      <c r="AD512">
        <f t="shared" si="199"/>
        <v>1</v>
      </c>
      <c r="AE512" t="str">
        <f t="shared" si="200"/>
        <v>Usualmente</v>
      </c>
      <c r="AF512">
        <v>0</v>
      </c>
      <c r="AG512" t="str">
        <f t="shared" si="201"/>
        <v>Nunca</v>
      </c>
      <c r="AH512">
        <v>0</v>
      </c>
      <c r="AI512" t="str">
        <f t="shared" si="202"/>
        <v>No usa</v>
      </c>
      <c r="AJ512">
        <v>0</v>
      </c>
      <c r="AK512" t="str">
        <f t="shared" si="203"/>
        <v>No usa</v>
      </c>
      <c r="AL512">
        <v>0</v>
      </c>
      <c r="AM512" t="str">
        <f t="shared" si="204"/>
        <v>No usa</v>
      </c>
      <c r="AN512">
        <v>1</v>
      </c>
      <c r="AO512" t="str">
        <f t="shared" si="205"/>
        <v>Usa Transporte</v>
      </c>
      <c r="AP512">
        <v>0</v>
      </c>
      <c r="AQ512" t="str">
        <f t="shared" si="206"/>
        <v>No camina</v>
      </c>
      <c r="AR512">
        <v>0</v>
      </c>
      <c r="AS512" t="str">
        <f t="shared" si="207"/>
        <v>No es obeso</v>
      </c>
    </row>
    <row r="513" spans="1:45" x14ac:dyDescent="0.25">
      <c r="A513">
        <v>0</v>
      </c>
      <c r="B513" t="str">
        <f t="shared" si="182"/>
        <v>F</v>
      </c>
      <c r="C513">
        <v>2102497</v>
      </c>
      <c r="D513">
        <f t="shared" si="183"/>
        <v>5</v>
      </c>
      <c r="E513">
        <f t="shared" si="184"/>
        <v>5</v>
      </c>
      <c r="F513" t="str">
        <f t="shared" si="185"/>
        <v>1-25</v>
      </c>
      <c r="G513">
        <v>1</v>
      </c>
      <c r="H513" t="str">
        <f t="shared" si="186"/>
        <v>Pariente gordo</v>
      </c>
      <c r="I513">
        <v>1</v>
      </c>
      <c r="J513" t="str">
        <f t="shared" si="187"/>
        <v>Hipercaloricos</v>
      </c>
      <c r="K513">
        <v>3</v>
      </c>
      <c r="L513">
        <f t="shared" si="188"/>
        <v>1</v>
      </c>
      <c r="M513" t="str">
        <f t="shared" si="189"/>
        <v>Suele comer</v>
      </c>
      <c r="N513">
        <v>3</v>
      </c>
      <c r="O513">
        <f t="shared" si="190"/>
        <v>2</v>
      </c>
      <c r="P513" t="str">
        <f t="shared" si="191"/>
        <v>Mas de 3</v>
      </c>
      <c r="Q513">
        <v>2</v>
      </c>
      <c r="R513" t="str">
        <f t="shared" si="192"/>
        <v>Usualmente</v>
      </c>
      <c r="S513">
        <v>0</v>
      </c>
      <c r="T513" t="str">
        <f t="shared" si="193"/>
        <v>No fuma</v>
      </c>
      <c r="U513">
        <v>2593459</v>
      </c>
      <c r="V513">
        <f t="shared" si="194"/>
        <v>2</v>
      </c>
      <c r="W513" t="str">
        <f t="shared" si="195"/>
        <v>Siempre</v>
      </c>
      <c r="X513">
        <v>0</v>
      </c>
      <c r="Y513" t="str">
        <f t="shared" si="196"/>
        <v>No controla</v>
      </c>
      <c r="Z513">
        <v>2</v>
      </c>
      <c r="AA513">
        <f t="shared" si="197"/>
        <v>2</v>
      </c>
      <c r="AB513" t="str">
        <f t="shared" si="198"/>
        <v>Usualmente</v>
      </c>
      <c r="AC513">
        <v>1</v>
      </c>
      <c r="AD513">
        <f t="shared" si="199"/>
        <v>1</v>
      </c>
      <c r="AE513" t="str">
        <f t="shared" si="200"/>
        <v>Usualmente</v>
      </c>
      <c r="AF513">
        <v>0</v>
      </c>
      <c r="AG513" t="str">
        <f t="shared" si="201"/>
        <v>Nunca</v>
      </c>
      <c r="AH513">
        <v>0</v>
      </c>
      <c r="AI513" t="str">
        <f t="shared" si="202"/>
        <v>No usa</v>
      </c>
      <c r="AJ513">
        <v>0</v>
      </c>
      <c r="AK513" t="str">
        <f t="shared" si="203"/>
        <v>No usa</v>
      </c>
      <c r="AL513">
        <v>0</v>
      </c>
      <c r="AM513" t="str">
        <f t="shared" si="204"/>
        <v>No usa</v>
      </c>
      <c r="AN513">
        <v>1</v>
      </c>
      <c r="AO513" t="str">
        <f t="shared" si="205"/>
        <v>Usa Transporte</v>
      </c>
      <c r="AP513">
        <v>0</v>
      </c>
      <c r="AQ513" t="str">
        <f t="shared" si="206"/>
        <v>No camina</v>
      </c>
      <c r="AR513">
        <v>0</v>
      </c>
      <c r="AS513" t="str">
        <f t="shared" si="207"/>
        <v>No es obeso</v>
      </c>
    </row>
    <row r="514" spans="1:45" x14ac:dyDescent="0.25">
      <c r="A514">
        <v>0</v>
      </c>
      <c r="B514" t="str">
        <f t="shared" si="182"/>
        <v>F</v>
      </c>
      <c r="C514">
        <v>22038327</v>
      </c>
      <c r="D514">
        <f t="shared" si="183"/>
        <v>60</v>
      </c>
      <c r="E514">
        <f t="shared" si="184"/>
        <v>60</v>
      </c>
      <c r="F514" t="str">
        <f t="shared" si="185"/>
        <v>50-75</v>
      </c>
      <c r="G514">
        <v>1</v>
      </c>
      <c r="H514" t="str">
        <f t="shared" si="186"/>
        <v>Pariente gordo</v>
      </c>
      <c r="I514">
        <v>1</v>
      </c>
      <c r="J514" t="str">
        <f t="shared" si="187"/>
        <v>Hipercaloricos</v>
      </c>
      <c r="K514">
        <v>2880161</v>
      </c>
      <c r="L514">
        <f t="shared" si="188"/>
        <v>1</v>
      </c>
      <c r="M514" t="str">
        <f t="shared" si="189"/>
        <v>Suele comer</v>
      </c>
      <c r="N514">
        <v>3</v>
      </c>
      <c r="O514">
        <f t="shared" si="190"/>
        <v>2</v>
      </c>
      <c r="P514" t="str">
        <f t="shared" si="191"/>
        <v>Mas de 3</v>
      </c>
      <c r="Q514">
        <v>2</v>
      </c>
      <c r="R514" t="str">
        <f t="shared" si="192"/>
        <v>Usualmente</v>
      </c>
      <c r="S514">
        <v>0</v>
      </c>
      <c r="T514" t="str">
        <f t="shared" si="193"/>
        <v>No fuma</v>
      </c>
      <c r="U514">
        <v>1031354</v>
      </c>
      <c r="V514">
        <f t="shared" si="194"/>
        <v>2</v>
      </c>
      <c r="W514" t="str">
        <f t="shared" si="195"/>
        <v>Siempre</v>
      </c>
      <c r="X514">
        <v>0</v>
      </c>
      <c r="Y514" t="str">
        <f t="shared" si="196"/>
        <v>No controla</v>
      </c>
      <c r="Z514">
        <v>2206738</v>
      </c>
      <c r="AA514">
        <f t="shared" si="197"/>
        <v>3</v>
      </c>
      <c r="AB514" t="str">
        <f t="shared" si="198"/>
        <v>Siempre</v>
      </c>
      <c r="AC514">
        <v>137465</v>
      </c>
      <c r="AD514">
        <f t="shared" si="199"/>
        <v>1</v>
      </c>
      <c r="AE514" t="str">
        <f t="shared" si="200"/>
        <v>Usualmente</v>
      </c>
      <c r="AF514">
        <v>0</v>
      </c>
      <c r="AG514" t="str">
        <f t="shared" si="201"/>
        <v>Nunca</v>
      </c>
      <c r="AH514">
        <v>0</v>
      </c>
      <c r="AI514" t="str">
        <f t="shared" si="202"/>
        <v>No usa</v>
      </c>
      <c r="AJ514">
        <v>0</v>
      </c>
      <c r="AK514" t="str">
        <f t="shared" si="203"/>
        <v>No usa</v>
      </c>
      <c r="AL514">
        <v>0</v>
      </c>
      <c r="AM514" t="str">
        <f t="shared" si="204"/>
        <v>No usa</v>
      </c>
      <c r="AN514">
        <v>1</v>
      </c>
      <c r="AO514" t="str">
        <f t="shared" si="205"/>
        <v>Usa Transporte</v>
      </c>
      <c r="AP514">
        <v>0</v>
      </c>
      <c r="AQ514" t="str">
        <f t="shared" si="206"/>
        <v>No camina</v>
      </c>
      <c r="AR514">
        <v>0</v>
      </c>
      <c r="AS514" t="str">
        <f t="shared" si="207"/>
        <v>No es obeso</v>
      </c>
    </row>
    <row r="515" spans="1:45" x14ac:dyDescent="0.25">
      <c r="A515">
        <v>0</v>
      </c>
      <c r="B515" t="str">
        <f t="shared" ref="B515:B578" si="208">IF(A515=1,"M","F")</f>
        <v>F</v>
      </c>
      <c r="C515">
        <v>21243142</v>
      </c>
      <c r="D515">
        <f t="shared" ref="D515:D578" si="209">IF(C515&lt;100,C515,ROUNDDOWN((C515/1000)/365,0))</f>
        <v>58</v>
      </c>
      <c r="E515">
        <f t="shared" ref="E515:E578" si="210">IF(AND(D515&gt;1,D515&lt;=100),D515,IF(D515&gt;100,100,5))</f>
        <v>58</v>
      </c>
      <c r="F515" t="str">
        <f t="shared" ref="F515:F578" si="211">IF(AND(E515&gt;=1,E515&lt;=25),"1-25",IF(AND(E515&gt;25,E515&lt;=50),"25-50",IF(AND(E515&gt;50,E515&lt;=75),"50-75","75-100")))</f>
        <v>50-75</v>
      </c>
      <c r="G515">
        <v>0</v>
      </c>
      <c r="H515" t="str">
        <f t="shared" ref="H515:H578" si="212">IF(G515=1,"Pariente gordo","Pariente normal")</f>
        <v>Pariente normal</v>
      </c>
      <c r="I515">
        <v>0</v>
      </c>
      <c r="J515" t="str">
        <f t="shared" ref="J515:J578" si="213">IF(I515=1,"Hipercaloricos","Saludables")</f>
        <v>Saludables</v>
      </c>
      <c r="K515">
        <v>3</v>
      </c>
      <c r="L515">
        <f t="shared" ref="L515:L578" si="214">IF(AND(K515&gt;=1,K515&lt;=3),1,IF(AND(K515&gt;3,K515&lt;3000000),1))</f>
        <v>1</v>
      </c>
      <c r="M515" t="str">
        <f t="shared" ref="M515:M578" si="215">IF(L515=1,"Suele comer","No come")</f>
        <v>Suele comer</v>
      </c>
      <c r="N515">
        <v>172626</v>
      </c>
      <c r="O515">
        <f t="shared" ref="O515:O578" si="216">IF(N515=1,N515,IF(AND(N515&gt;=2,N515&lt;4000000),2))</f>
        <v>2</v>
      </c>
      <c r="P515" t="str">
        <f t="shared" ref="P515:P578" si="217">IF(O515=0,"1-2",IF(O515=1,3,"Mas de 3"))</f>
        <v>Mas de 3</v>
      </c>
      <c r="Q515">
        <v>2</v>
      </c>
      <c r="R515" t="str">
        <f t="shared" ref="R515:R578" si="218">IF(Q515=0,"Nunca",IF(Q515=1,"A veces",IF(Q515=2,"Usualmente","Siempre")))</f>
        <v>Usualmente</v>
      </c>
      <c r="S515">
        <v>0</v>
      </c>
      <c r="T515" t="str">
        <f t="shared" ref="T515:T578" si="219">IF(S515=1,"Fuma","No fuma")</f>
        <v>No fuma</v>
      </c>
      <c r="U515">
        <v>2444125</v>
      </c>
      <c r="V515">
        <f t="shared" ref="V515:V578" si="220">IF(U515=1,U515,IF(U515=2,U515,IF(AND(U515&gt;=3,U515&lt;3000000),2)))</f>
        <v>2</v>
      </c>
      <c r="W515" t="str">
        <f t="shared" ref="W515:W578" si="221">IF(V515=0,"Nunca",IF(V515=1,"Usualmente","Siempre"))</f>
        <v>Siempre</v>
      </c>
      <c r="X515">
        <v>0</v>
      </c>
      <c r="Y515" t="str">
        <f t="shared" ref="Y515:Y578" si="222">IF(X515=1,"Controla","No controla")</f>
        <v>No controla</v>
      </c>
      <c r="Z515">
        <v>131817</v>
      </c>
      <c r="AA515">
        <f t="shared" ref="AA515:AA578" si="223">IF(Z515=0,Z515,IF(Z515=1,Z515,IF(Z515=2,Z515,IF(Z515=3,Z515,IF(AND(Z515&gt;3,Z515&lt;300000),2,IF(AND(Z515&gt;300000,Z515&lt;3000000),3,IF(AND(Z515&gt;0,Z515&lt;1),0)))))))</f>
        <v>2</v>
      </c>
      <c r="AB515" t="str">
        <f t="shared" ref="AB515:AB578" si="224">IF(AA515=0,"Nunca",IF(AA515=1,"A veces",IF(AA515=2,"Usualmente","Siempre")))</f>
        <v>Usualmente</v>
      </c>
      <c r="AC515">
        <v>0</v>
      </c>
      <c r="AD515">
        <f t="shared" ref="AD515:AD578" si="225">IF(AC515= 0,AC515,IF(AC515=1,AC515,IF(AC515=2,AC515,IF(AND(AC515&gt;2,AC515&lt;200000),1,IF(AND(AC515&gt;200000,AC515&lt;2000000),2,IF(AND(AC515&gt;0,AC515&lt;1),0))))))</f>
        <v>0</v>
      </c>
      <c r="AE515" t="str">
        <f t="shared" ref="AE515:AE578" si="226">IF(AD515=0,"Nunca",IF(AD515=1,"Usualmente","Siempre"))</f>
        <v>Nunca</v>
      </c>
      <c r="AF515">
        <v>0</v>
      </c>
      <c r="AG515" t="str">
        <f t="shared" ref="AG515:AG578" si="227">IF(AF515=0,"Nunca",IF(AF515=1,"A veces",IF(AF515=2,"Usualmente","Siempre")))</f>
        <v>Nunca</v>
      </c>
      <c r="AH515">
        <v>0</v>
      </c>
      <c r="AI515" t="str">
        <f t="shared" ref="AI515:AI578" si="228">IF(AH515=1,"Usa auto","No usa")</f>
        <v>No usa</v>
      </c>
      <c r="AJ515">
        <v>0</v>
      </c>
      <c r="AK515" t="str">
        <f t="shared" ref="AK515:AK578" si="229">IF(AJ515=1,"Usa Bici","No usa")</f>
        <v>No usa</v>
      </c>
      <c r="AL515">
        <v>0</v>
      </c>
      <c r="AM515" t="str">
        <f t="shared" ref="AM515:AM578" si="230">IF(AL515=1,"Usa Moto","No usa")</f>
        <v>No usa</v>
      </c>
      <c r="AN515">
        <v>1</v>
      </c>
      <c r="AO515" t="str">
        <f t="shared" ref="AO515:AO578" si="231">IF(AN515=1,"Usa Transporte","No usa")</f>
        <v>Usa Transporte</v>
      </c>
      <c r="AP515">
        <v>0</v>
      </c>
      <c r="AQ515" t="str">
        <f t="shared" ref="AQ515:AQ578" si="232">IF(AP515=1,"Camina","No camina")</f>
        <v>No camina</v>
      </c>
      <c r="AR515">
        <v>0</v>
      </c>
      <c r="AS515" t="str">
        <f t="shared" ref="AS515:AS578" si="233">IF(AR515=1,"Es Obeso","No es obeso")</f>
        <v>No es obeso</v>
      </c>
    </row>
    <row r="516" spans="1:45" x14ac:dyDescent="0.25">
      <c r="A516">
        <v>0</v>
      </c>
      <c r="B516" t="str">
        <f t="shared" si="208"/>
        <v>F</v>
      </c>
      <c r="C516">
        <v>22142432</v>
      </c>
      <c r="D516">
        <f t="shared" si="209"/>
        <v>60</v>
      </c>
      <c r="E516">
        <f t="shared" si="210"/>
        <v>60</v>
      </c>
      <c r="F516" t="str">
        <f t="shared" si="211"/>
        <v>50-75</v>
      </c>
      <c r="G516">
        <v>0</v>
      </c>
      <c r="H516" t="str">
        <f t="shared" si="212"/>
        <v>Pariente normal</v>
      </c>
      <c r="I516">
        <v>0</v>
      </c>
      <c r="J516" t="str">
        <f t="shared" si="213"/>
        <v>Saludables</v>
      </c>
      <c r="K516">
        <v>3</v>
      </c>
      <c r="L516">
        <f t="shared" si="214"/>
        <v>1</v>
      </c>
      <c r="M516" t="str">
        <f t="shared" si="215"/>
        <v>Suele comer</v>
      </c>
      <c r="N516">
        <v>2581015</v>
      </c>
      <c r="O516">
        <f t="shared" si="216"/>
        <v>2</v>
      </c>
      <c r="P516" t="str">
        <f t="shared" si="217"/>
        <v>Mas de 3</v>
      </c>
      <c r="Q516">
        <v>2</v>
      </c>
      <c r="R516" t="str">
        <f t="shared" si="218"/>
        <v>Usualmente</v>
      </c>
      <c r="S516">
        <v>0</v>
      </c>
      <c r="T516" t="str">
        <f t="shared" si="219"/>
        <v>No fuma</v>
      </c>
      <c r="U516">
        <v>2654702</v>
      </c>
      <c r="V516">
        <f t="shared" si="220"/>
        <v>2</v>
      </c>
      <c r="W516" t="str">
        <f t="shared" si="221"/>
        <v>Siempre</v>
      </c>
      <c r="X516">
        <v>0</v>
      </c>
      <c r="Y516" t="str">
        <f t="shared" si="222"/>
        <v>No controla</v>
      </c>
      <c r="Z516">
        <v>0.90209499999999998</v>
      </c>
      <c r="AA516">
        <f t="shared" si="223"/>
        <v>0</v>
      </c>
      <c r="AB516" t="str">
        <f t="shared" si="224"/>
        <v>Nunca</v>
      </c>
      <c r="AC516">
        <v>0</v>
      </c>
      <c r="AD516">
        <f t="shared" si="225"/>
        <v>0</v>
      </c>
      <c r="AE516" t="str">
        <f t="shared" si="226"/>
        <v>Nunca</v>
      </c>
      <c r="AF516">
        <v>0</v>
      </c>
      <c r="AG516" t="str">
        <f t="shared" si="227"/>
        <v>Nunca</v>
      </c>
      <c r="AH516">
        <v>0</v>
      </c>
      <c r="AI516" t="str">
        <f t="shared" si="228"/>
        <v>No usa</v>
      </c>
      <c r="AJ516">
        <v>0</v>
      </c>
      <c r="AK516" t="str">
        <f t="shared" si="229"/>
        <v>No usa</v>
      </c>
      <c r="AL516">
        <v>0</v>
      </c>
      <c r="AM516" t="str">
        <f t="shared" si="230"/>
        <v>No usa</v>
      </c>
      <c r="AN516">
        <v>1</v>
      </c>
      <c r="AO516" t="str">
        <f t="shared" si="231"/>
        <v>Usa Transporte</v>
      </c>
      <c r="AP516">
        <v>0</v>
      </c>
      <c r="AQ516" t="str">
        <f t="shared" si="232"/>
        <v>No camina</v>
      </c>
      <c r="AR516">
        <v>0</v>
      </c>
      <c r="AS516" t="str">
        <f t="shared" si="233"/>
        <v>No es obeso</v>
      </c>
    </row>
    <row r="517" spans="1:45" x14ac:dyDescent="0.25">
      <c r="A517">
        <v>0</v>
      </c>
      <c r="B517" t="str">
        <f t="shared" si="208"/>
        <v>F</v>
      </c>
      <c r="C517">
        <v>21962426</v>
      </c>
      <c r="D517">
        <f t="shared" si="209"/>
        <v>60</v>
      </c>
      <c r="E517">
        <f t="shared" si="210"/>
        <v>60</v>
      </c>
      <c r="F517" t="str">
        <f t="shared" si="211"/>
        <v>50-75</v>
      </c>
      <c r="G517">
        <v>0</v>
      </c>
      <c r="H517" t="str">
        <f t="shared" si="212"/>
        <v>Pariente normal</v>
      </c>
      <c r="I517">
        <v>0</v>
      </c>
      <c r="J517" t="str">
        <f t="shared" si="213"/>
        <v>Saludables</v>
      </c>
      <c r="K517">
        <v>3</v>
      </c>
      <c r="L517">
        <f t="shared" si="214"/>
        <v>1</v>
      </c>
      <c r="M517" t="str">
        <f t="shared" si="215"/>
        <v>Suele comer</v>
      </c>
      <c r="N517">
        <v>1600812</v>
      </c>
      <c r="O517">
        <f t="shared" si="216"/>
        <v>2</v>
      </c>
      <c r="P517" t="str">
        <f t="shared" si="217"/>
        <v>Mas de 3</v>
      </c>
      <c r="Q517">
        <v>2</v>
      </c>
      <c r="R517" t="str">
        <f t="shared" si="218"/>
        <v>Usualmente</v>
      </c>
      <c r="S517">
        <v>0</v>
      </c>
      <c r="T517" t="str">
        <f t="shared" si="219"/>
        <v>No fuma</v>
      </c>
      <c r="U517">
        <v>2651258</v>
      </c>
      <c r="V517">
        <f t="shared" si="220"/>
        <v>2</v>
      </c>
      <c r="W517" t="str">
        <f t="shared" si="221"/>
        <v>Siempre</v>
      </c>
      <c r="X517">
        <v>0</v>
      </c>
      <c r="Y517" t="str">
        <f t="shared" si="222"/>
        <v>No controla</v>
      </c>
      <c r="Z517">
        <v>0.60081700000000005</v>
      </c>
      <c r="AA517">
        <f t="shared" si="223"/>
        <v>0</v>
      </c>
      <c r="AB517" t="str">
        <f t="shared" si="224"/>
        <v>Nunca</v>
      </c>
      <c r="AC517">
        <v>0</v>
      </c>
      <c r="AD517">
        <f t="shared" si="225"/>
        <v>0</v>
      </c>
      <c r="AE517" t="str">
        <f t="shared" si="226"/>
        <v>Nunca</v>
      </c>
      <c r="AF517">
        <v>0</v>
      </c>
      <c r="AG517" t="str">
        <f t="shared" si="227"/>
        <v>Nunca</v>
      </c>
      <c r="AH517">
        <v>0</v>
      </c>
      <c r="AI517" t="str">
        <f t="shared" si="228"/>
        <v>No usa</v>
      </c>
      <c r="AJ517">
        <v>0</v>
      </c>
      <c r="AK517" t="str">
        <f t="shared" si="229"/>
        <v>No usa</v>
      </c>
      <c r="AL517">
        <v>0</v>
      </c>
      <c r="AM517" t="str">
        <f t="shared" si="230"/>
        <v>No usa</v>
      </c>
      <c r="AN517">
        <v>1</v>
      </c>
      <c r="AO517" t="str">
        <f t="shared" si="231"/>
        <v>Usa Transporte</v>
      </c>
      <c r="AP517">
        <v>0</v>
      </c>
      <c r="AQ517" t="str">
        <f t="shared" si="232"/>
        <v>No camina</v>
      </c>
      <c r="AR517">
        <v>0</v>
      </c>
      <c r="AS517" t="str">
        <f t="shared" si="233"/>
        <v>No es obeso</v>
      </c>
    </row>
    <row r="518" spans="1:45" x14ac:dyDescent="0.25">
      <c r="A518">
        <v>0</v>
      </c>
      <c r="B518" t="str">
        <f t="shared" si="208"/>
        <v>F</v>
      </c>
      <c r="C518">
        <v>21491055</v>
      </c>
      <c r="D518">
        <f t="shared" si="209"/>
        <v>58</v>
      </c>
      <c r="E518">
        <f t="shared" si="210"/>
        <v>58</v>
      </c>
      <c r="F518" t="str">
        <f t="shared" si="211"/>
        <v>50-75</v>
      </c>
      <c r="G518">
        <v>0</v>
      </c>
      <c r="H518" t="str">
        <f t="shared" si="212"/>
        <v>Pariente normal</v>
      </c>
      <c r="I518">
        <v>0</v>
      </c>
      <c r="J518" t="str">
        <f t="shared" si="213"/>
        <v>Saludables</v>
      </c>
      <c r="K518">
        <v>200876</v>
      </c>
      <c r="L518">
        <f t="shared" si="214"/>
        <v>1</v>
      </c>
      <c r="M518" t="str">
        <f t="shared" si="215"/>
        <v>Suele comer</v>
      </c>
      <c r="N518">
        <v>173762</v>
      </c>
      <c r="O518">
        <f t="shared" si="216"/>
        <v>2</v>
      </c>
      <c r="P518" t="str">
        <f t="shared" si="217"/>
        <v>Mas de 3</v>
      </c>
      <c r="Q518">
        <v>2</v>
      </c>
      <c r="R518" t="str">
        <f t="shared" si="218"/>
        <v>Usualmente</v>
      </c>
      <c r="S518">
        <v>0</v>
      </c>
      <c r="T518" t="str">
        <f t="shared" si="219"/>
        <v>No fuma</v>
      </c>
      <c r="U518">
        <v>1792022</v>
      </c>
      <c r="V518">
        <f t="shared" si="220"/>
        <v>2</v>
      </c>
      <c r="W518" t="str">
        <f t="shared" si="221"/>
        <v>Siempre</v>
      </c>
      <c r="X518">
        <v>0</v>
      </c>
      <c r="Y518" t="str">
        <f t="shared" si="222"/>
        <v>No controla</v>
      </c>
      <c r="Z518">
        <v>0.119643</v>
      </c>
      <c r="AA518">
        <f t="shared" si="223"/>
        <v>0</v>
      </c>
      <c r="AB518" t="str">
        <f t="shared" si="224"/>
        <v>Nunca</v>
      </c>
      <c r="AC518">
        <v>0</v>
      </c>
      <c r="AD518">
        <f t="shared" si="225"/>
        <v>0</v>
      </c>
      <c r="AE518" t="str">
        <f t="shared" si="226"/>
        <v>Nunca</v>
      </c>
      <c r="AF518">
        <v>0</v>
      </c>
      <c r="AG518" t="str">
        <f t="shared" si="227"/>
        <v>Nunca</v>
      </c>
      <c r="AH518">
        <v>0</v>
      </c>
      <c r="AI518" t="str">
        <f t="shared" si="228"/>
        <v>No usa</v>
      </c>
      <c r="AJ518">
        <v>0</v>
      </c>
      <c r="AK518" t="str">
        <f t="shared" si="229"/>
        <v>No usa</v>
      </c>
      <c r="AL518">
        <v>0</v>
      </c>
      <c r="AM518" t="str">
        <f t="shared" si="230"/>
        <v>No usa</v>
      </c>
      <c r="AN518">
        <v>1</v>
      </c>
      <c r="AO518" t="str">
        <f t="shared" si="231"/>
        <v>Usa Transporte</v>
      </c>
      <c r="AP518">
        <v>0</v>
      </c>
      <c r="AQ518" t="str">
        <f t="shared" si="232"/>
        <v>No camina</v>
      </c>
      <c r="AR518">
        <v>0</v>
      </c>
      <c r="AS518" t="str">
        <f t="shared" si="233"/>
        <v>No es obeso</v>
      </c>
    </row>
    <row r="519" spans="1:45" x14ac:dyDescent="0.25">
      <c r="A519">
        <v>0</v>
      </c>
      <c r="B519" t="str">
        <f t="shared" si="208"/>
        <v>F</v>
      </c>
      <c r="C519">
        <v>22717943</v>
      </c>
      <c r="D519">
        <f t="shared" si="209"/>
        <v>62</v>
      </c>
      <c r="E519">
        <f t="shared" si="210"/>
        <v>62</v>
      </c>
      <c r="F519" t="str">
        <f t="shared" si="211"/>
        <v>50-75</v>
      </c>
      <c r="G519">
        <v>0</v>
      </c>
      <c r="H519" t="str">
        <f t="shared" si="212"/>
        <v>Pariente normal</v>
      </c>
      <c r="I519">
        <v>0</v>
      </c>
      <c r="J519" t="str">
        <f t="shared" si="213"/>
        <v>Saludables</v>
      </c>
      <c r="K519">
        <v>2596579</v>
      </c>
      <c r="L519">
        <f t="shared" si="214"/>
        <v>1</v>
      </c>
      <c r="M519" t="str">
        <f t="shared" si="215"/>
        <v>Suele comer</v>
      </c>
      <c r="N519">
        <v>110548</v>
      </c>
      <c r="O519">
        <f t="shared" si="216"/>
        <v>2</v>
      </c>
      <c r="P519" t="str">
        <f t="shared" si="217"/>
        <v>Mas de 3</v>
      </c>
      <c r="Q519">
        <v>2</v>
      </c>
      <c r="R519" t="str">
        <f t="shared" si="218"/>
        <v>Usualmente</v>
      </c>
      <c r="S519">
        <v>0</v>
      </c>
      <c r="T519" t="str">
        <f t="shared" si="219"/>
        <v>No fuma</v>
      </c>
      <c r="U519">
        <v>1490613</v>
      </c>
      <c r="V519">
        <f t="shared" si="220"/>
        <v>2</v>
      </c>
      <c r="W519" t="str">
        <f t="shared" si="221"/>
        <v>Siempre</v>
      </c>
      <c r="X519">
        <v>0</v>
      </c>
      <c r="Y519" t="str">
        <f t="shared" si="222"/>
        <v>No controla</v>
      </c>
      <c r="Z519">
        <v>0.34568399999999999</v>
      </c>
      <c r="AA519">
        <f t="shared" si="223"/>
        <v>0</v>
      </c>
      <c r="AB519" t="str">
        <f t="shared" si="224"/>
        <v>Nunca</v>
      </c>
      <c r="AC519">
        <v>0</v>
      </c>
      <c r="AD519">
        <f t="shared" si="225"/>
        <v>0</v>
      </c>
      <c r="AE519" t="str">
        <f t="shared" si="226"/>
        <v>Nunca</v>
      </c>
      <c r="AF519">
        <v>0</v>
      </c>
      <c r="AG519" t="str">
        <f t="shared" si="227"/>
        <v>Nunca</v>
      </c>
      <c r="AH519">
        <v>0</v>
      </c>
      <c r="AI519" t="str">
        <f t="shared" si="228"/>
        <v>No usa</v>
      </c>
      <c r="AJ519">
        <v>0</v>
      </c>
      <c r="AK519" t="str">
        <f t="shared" si="229"/>
        <v>No usa</v>
      </c>
      <c r="AL519">
        <v>0</v>
      </c>
      <c r="AM519" t="str">
        <f t="shared" si="230"/>
        <v>No usa</v>
      </c>
      <c r="AN519">
        <v>1</v>
      </c>
      <c r="AO519" t="str">
        <f t="shared" si="231"/>
        <v>Usa Transporte</v>
      </c>
      <c r="AP519">
        <v>0</v>
      </c>
      <c r="AQ519" t="str">
        <f t="shared" si="232"/>
        <v>No camina</v>
      </c>
      <c r="AR519">
        <v>0</v>
      </c>
      <c r="AS519" t="str">
        <f t="shared" si="233"/>
        <v>No es obeso</v>
      </c>
    </row>
    <row r="520" spans="1:45" x14ac:dyDescent="0.25">
      <c r="A520">
        <v>0</v>
      </c>
      <c r="B520" t="str">
        <f t="shared" si="208"/>
        <v>F</v>
      </c>
      <c r="C520">
        <v>23501249</v>
      </c>
      <c r="D520">
        <f t="shared" si="209"/>
        <v>64</v>
      </c>
      <c r="E520">
        <f t="shared" si="210"/>
        <v>64</v>
      </c>
      <c r="F520" t="str">
        <f t="shared" si="211"/>
        <v>50-75</v>
      </c>
      <c r="G520">
        <v>0</v>
      </c>
      <c r="H520" t="str">
        <f t="shared" si="212"/>
        <v>Pariente normal</v>
      </c>
      <c r="I520">
        <v>0</v>
      </c>
      <c r="J520" t="str">
        <f t="shared" si="213"/>
        <v>Saludables</v>
      </c>
      <c r="K520">
        <v>2591439</v>
      </c>
      <c r="L520">
        <f t="shared" si="214"/>
        <v>1</v>
      </c>
      <c r="M520" t="str">
        <f t="shared" si="215"/>
        <v>Suele comer</v>
      </c>
      <c r="N520">
        <v>3</v>
      </c>
      <c r="O520">
        <f t="shared" si="216"/>
        <v>2</v>
      </c>
      <c r="P520" t="str">
        <f t="shared" si="217"/>
        <v>Mas de 3</v>
      </c>
      <c r="Q520">
        <v>2</v>
      </c>
      <c r="R520" t="str">
        <f t="shared" si="218"/>
        <v>Usualmente</v>
      </c>
      <c r="S520">
        <v>0</v>
      </c>
      <c r="T520" t="str">
        <f t="shared" si="219"/>
        <v>No fuma</v>
      </c>
      <c r="U520">
        <v>2074048</v>
      </c>
      <c r="V520">
        <f t="shared" si="220"/>
        <v>2</v>
      </c>
      <c r="W520" t="str">
        <f t="shared" si="221"/>
        <v>Siempre</v>
      </c>
      <c r="X520">
        <v>0</v>
      </c>
      <c r="Y520" t="str">
        <f t="shared" si="222"/>
        <v>No controla</v>
      </c>
      <c r="Z520">
        <v>1679935</v>
      </c>
      <c r="AA520">
        <f t="shared" si="223"/>
        <v>3</v>
      </c>
      <c r="AB520" t="str">
        <f t="shared" si="224"/>
        <v>Siempre</v>
      </c>
      <c r="AC520">
        <v>0</v>
      </c>
      <c r="AD520">
        <f t="shared" si="225"/>
        <v>0</v>
      </c>
      <c r="AE520" t="str">
        <f t="shared" si="226"/>
        <v>Nunca</v>
      </c>
      <c r="AF520">
        <v>0</v>
      </c>
      <c r="AG520" t="str">
        <f t="shared" si="227"/>
        <v>Nunca</v>
      </c>
      <c r="AH520">
        <v>0</v>
      </c>
      <c r="AI520" t="str">
        <f t="shared" si="228"/>
        <v>No usa</v>
      </c>
      <c r="AJ520">
        <v>0</v>
      </c>
      <c r="AK520" t="str">
        <f t="shared" si="229"/>
        <v>No usa</v>
      </c>
      <c r="AL520">
        <v>0</v>
      </c>
      <c r="AM520" t="str">
        <f t="shared" si="230"/>
        <v>No usa</v>
      </c>
      <c r="AN520">
        <v>1</v>
      </c>
      <c r="AO520" t="str">
        <f t="shared" si="231"/>
        <v>Usa Transporte</v>
      </c>
      <c r="AP520">
        <v>0</v>
      </c>
      <c r="AQ520" t="str">
        <f t="shared" si="232"/>
        <v>No camina</v>
      </c>
      <c r="AR520">
        <v>0</v>
      </c>
      <c r="AS520" t="str">
        <f t="shared" si="233"/>
        <v>No es obeso</v>
      </c>
    </row>
    <row r="521" spans="1:45" x14ac:dyDescent="0.25">
      <c r="A521">
        <v>0</v>
      </c>
      <c r="B521" t="str">
        <f t="shared" si="208"/>
        <v>F</v>
      </c>
      <c r="C521">
        <v>18535075</v>
      </c>
      <c r="D521">
        <f t="shared" si="209"/>
        <v>50</v>
      </c>
      <c r="E521">
        <f t="shared" si="210"/>
        <v>50</v>
      </c>
      <c r="F521" t="str">
        <f t="shared" si="211"/>
        <v>25-50</v>
      </c>
      <c r="G521">
        <v>0</v>
      </c>
      <c r="H521" t="str">
        <f t="shared" si="212"/>
        <v>Pariente normal</v>
      </c>
      <c r="I521">
        <v>1</v>
      </c>
      <c r="J521" t="str">
        <f t="shared" si="213"/>
        <v>Hipercaloricos</v>
      </c>
      <c r="K521">
        <v>3</v>
      </c>
      <c r="L521">
        <f t="shared" si="214"/>
        <v>1</v>
      </c>
      <c r="M521" t="str">
        <f t="shared" si="215"/>
        <v>Suele comer</v>
      </c>
      <c r="N521">
        <v>3</v>
      </c>
      <c r="O521">
        <f t="shared" si="216"/>
        <v>2</v>
      </c>
      <c r="P521" t="str">
        <f t="shared" si="217"/>
        <v>Mas de 3</v>
      </c>
      <c r="Q521">
        <v>1</v>
      </c>
      <c r="R521" t="str">
        <f t="shared" si="218"/>
        <v>A veces</v>
      </c>
      <c r="S521">
        <v>0</v>
      </c>
      <c r="T521" t="str">
        <f t="shared" si="219"/>
        <v>No fuma</v>
      </c>
      <c r="U521">
        <v>3</v>
      </c>
      <c r="V521">
        <f t="shared" si="220"/>
        <v>2</v>
      </c>
      <c r="W521" t="str">
        <f t="shared" si="221"/>
        <v>Siempre</v>
      </c>
      <c r="X521">
        <v>1</v>
      </c>
      <c r="Y521" t="str">
        <f t="shared" si="222"/>
        <v>Controla</v>
      </c>
      <c r="Z521">
        <v>2539762</v>
      </c>
      <c r="AA521">
        <f t="shared" si="223"/>
        <v>3</v>
      </c>
      <c r="AB521" t="str">
        <f t="shared" si="224"/>
        <v>Siempre</v>
      </c>
      <c r="AC521">
        <v>1283673</v>
      </c>
      <c r="AD521">
        <f t="shared" si="225"/>
        <v>2</v>
      </c>
      <c r="AE521" t="str">
        <f t="shared" si="226"/>
        <v>Siempre</v>
      </c>
      <c r="AF521">
        <v>0</v>
      </c>
      <c r="AG521" t="str">
        <f t="shared" si="227"/>
        <v>Nunca</v>
      </c>
      <c r="AH521">
        <v>0</v>
      </c>
      <c r="AI521" t="str">
        <f t="shared" si="228"/>
        <v>No usa</v>
      </c>
      <c r="AJ521">
        <v>0</v>
      </c>
      <c r="AK521" t="str">
        <f t="shared" si="229"/>
        <v>No usa</v>
      </c>
      <c r="AL521">
        <v>0</v>
      </c>
      <c r="AM521" t="str">
        <f t="shared" si="230"/>
        <v>No usa</v>
      </c>
      <c r="AN521">
        <v>1</v>
      </c>
      <c r="AO521" t="str">
        <f t="shared" si="231"/>
        <v>Usa Transporte</v>
      </c>
      <c r="AP521">
        <v>0</v>
      </c>
      <c r="AQ521" t="str">
        <f t="shared" si="232"/>
        <v>No camina</v>
      </c>
      <c r="AR521">
        <v>0</v>
      </c>
      <c r="AS521" t="str">
        <f t="shared" si="233"/>
        <v>No es obeso</v>
      </c>
    </row>
    <row r="522" spans="1:45" x14ac:dyDescent="0.25">
      <c r="A522">
        <v>0</v>
      </c>
      <c r="B522" t="str">
        <f t="shared" si="208"/>
        <v>F</v>
      </c>
      <c r="C522">
        <v>19</v>
      </c>
      <c r="D522">
        <f t="shared" si="209"/>
        <v>19</v>
      </c>
      <c r="E522">
        <f t="shared" si="210"/>
        <v>19</v>
      </c>
      <c r="F522" t="str">
        <f t="shared" si="211"/>
        <v>1-25</v>
      </c>
      <c r="G522">
        <v>0</v>
      </c>
      <c r="H522" t="str">
        <f t="shared" si="212"/>
        <v>Pariente normal</v>
      </c>
      <c r="I522">
        <v>1</v>
      </c>
      <c r="J522" t="str">
        <f t="shared" si="213"/>
        <v>Hipercaloricos</v>
      </c>
      <c r="K522">
        <v>3</v>
      </c>
      <c r="L522">
        <f t="shared" si="214"/>
        <v>1</v>
      </c>
      <c r="M522" t="str">
        <f t="shared" si="215"/>
        <v>Suele comer</v>
      </c>
      <c r="N522">
        <v>20846</v>
      </c>
      <c r="O522">
        <f t="shared" si="216"/>
        <v>2</v>
      </c>
      <c r="P522" t="str">
        <f t="shared" si="217"/>
        <v>Mas de 3</v>
      </c>
      <c r="Q522">
        <v>1</v>
      </c>
      <c r="R522" t="str">
        <f t="shared" si="218"/>
        <v>A veces</v>
      </c>
      <c r="S522">
        <v>0</v>
      </c>
      <c r="T522" t="str">
        <f t="shared" si="219"/>
        <v>No fuma</v>
      </c>
      <c r="U522">
        <v>213755</v>
      </c>
      <c r="V522">
        <f t="shared" si="220"/>
        <v>2</v>
      </c>
      <c r="W522" t="str">
        <f t="shared" si="221"/>
        <v>Siempre</v>
      </c>
      <c r="X522">
        <v>1</v>
      </c>
      <c r="Y522" t="str">
        <f t="shared" si="222"/>
        <v>Controla</v>
      </c>
      <c r="Z522">
        <v>0.19615199999999999</v>
      </c>
      <c r="AA522">
        <f t="shared" si="223"/>
        <v>0</v>
      </c>
      <c r="AB522" t="str">
        <f t="shared" si="224"/>
        <v>Nunca</v>
      </c>
      <c r="AC522">
        <v>6.2488000000000002E-2</v>
      </c>
      <c r="AD522">
        <f t="shared" si="225"/>
        <v>0</v>
      </c>
      <c r="AE522" t="str">
        <f t="shared" si="226"/>
        <v>Nunca</v>
      </c>
      <c r="AF522">
        <v>0</v>
      </c>
      <c r="AG522" t="str">
        <f t="shared" si="227"/>
        <v>Nunca</v>
      </c>
      <c r="AH522">
        <v>0</v>
      </c>
      <c r="AI522" t="str">
        <f t="shared" si="228"/>
        <v>No usa</v>
      </c>
      <c r="AJ522">
        <v>0</v>
      </c>
      <c r="AK522" t="str">
        <f t="shared" si="229"/>
        <v>No usa</v>
      </c>
      <c r="AL522">
        <v>0</v>
      </c>
      <c r="AM522" t="str">
        <f t="shared" si="230"/>
        <v>No usa</v>
      </c>
      <c r="AN522">
        <v>1</v>
      </c>
      <c r="AO522" t="str">
        <f t="shared" si="231"/>
        <v>Usa Transporte</v>
      </c>
      <c r="AP522">
        <v>0</v>
      </c>
      <c r="AQ522" t="str">
        <f t="shared" si="232"/>
        <v>No camina</v>
      </c>
      <c r="AR522">
        <v>0</v>
      </c>
      <c r="AS522" t="str">
        <f t="shared" si="233"/>
        <v>No es obeso</v>
      </c>
    </row>
    <row r="523" spans="1:45" x14ac:dyDescent="0.25">
      <c r="A523">
        <v>0</v>
      </c>
      <c r="B523" t="str">
        <f t="shared" si="208"/>
        <v>F</v>
      </c>
      <c r="C523">
        <v>19</v>
      </c>
      <c r="D523">
        <f t="shared" si="209"/>
        <v>19</v>
      </c>
      <c r="E523">
        <f t="shared" si="210"/>
        <v>19</v>
      </c>
      <c r="F523" t="str">
        <f t="shared" si="211"/>
        <v>1-25</v>
      </c>
      <c r="G523">
        <v>0</v>
      </c>
      <c r="H523" t="str">
        <f t="shared" si="212"/>
        <v>Pariente normal</v>
      </c>
      <c r="I523">
        <v>1</v>
      </c>
      <c r="J523" t="str">
        <f t="shared" si="213"/>
        <v>Hipercaloricos</v>
      </c>
      <c r="K523">
        <v>3</v>
      </c>
      <c r="L523">
        <f t="shared" si="214"/>
        <v>1</v>
      </c>
      <c r="M523" t="str">
        <f t="shared" si="215"/>
        <v>Suele comer</v>
      </c>
      <c r="N523">
        <v>1894384</v>
      </c>
      <c r="O523">
        <f t="shared" si="216"/>
        <v>2</v>
      </c>
      <c r="P523" t="str">
        <f t="shared" si="217"/>
        <v>Mas de 3</v>
      </c>
      <c r="Q523">
        <v>1</v>
      </c>
      <c r="R523" t="str">
        <f t="shared" si="218"/>
        <v>A veces</v>
      </c>
      <c r="S523">
        <v>0</v>
      </c>
      <c r="T523" t="str">
        <f t="shared" si="219"/>
        <v>No fuma</v>
      </c>
      <c r="U523">
        <v>2456581</v>
      </c>
      <c r="V523">
        <f t="shared" si="220"/>
        <v>2</v>
      </c>
      <c r="W523" t="str">
        <f t="shared" si="221"/>
        <v>Siempre</v>
      </c>
      <c r="X523">
        <v>1</v>
      </c>
      <c r="Y523" t="str">
        <f t="shared" si="222"/>
        <v>Controla</v>
      </c>
      <c r="Z523">
        <v>1596576</v>
      </c>
      <c r="AA523">
        <f t="shared" si="223"/>
        <v>3</v>
      </c>
      <c r="AB523" t="str">
        <f t="shared" si="224"/>
        <v>Siempre</v>
      </c>
      <c r="AC523">
        <v>0.99739999999999995</v>
      </c>
      <c r="AD523">
        <f t="shared" si="225"/>
        <v>0</v>
      </c>
      <c r="AE523" t="str">
        <f t="shared" si="226"/>
        <v>Nunca</v>
      </c>
      <c r="AF523">
        <v>0</v>
      </c>
      <c r="AG523" t="str">
        <f t="shared" si="227"/>
        <v>Nunca</v>
      </c>
      <c r="AH523">
        <v>0</v>
      </c>
      <c r="AI523" t="str">
        <f t="shared" si="228"/>
        <v>No usa</v>
      </c>
      <c r="AJ523">
        <v>0</v>
      </c>
      <c r="AK523" t="str">
        <f t="shared" si="229"/>
        <v>No usa</v>
      </c>
      <c r="AL523">
        <v>0</v>
      </c>
      <c r="AM523" t="str">
        <f t="shared" si="230"/>
        <v>No usa</v>
      </c>
      <c r="AN523">
        <v>1</v>
      </c>
      <c r="AO523" t="str">
        <f t="shared" si="231"/>
        <v>Usa Transporte</v>
      </c>
      <c r="AP523">
        <v>0</v>
      </c>
      <c r="AQ523" t="str">
        <f t="shared" si="232"/>
        <v>No camina</v>
      </c>
      <c r="AR523">
        <v>0</v>
      </c>
      <c r="AS523" t="str">
        <f t="shared" si="233"/>
        <v>No es obeso</v>
      </c>
    </row>
    <row r="524" spans="1:45" x14ac:dyDescent="0.25">
      <c r="A524">
        <v>0</v>
      </c>
      <c r="B524" t="str">
        <f t="shared" si="208"/>
        <v>F</v>
      </c>
      <c r="C524">
        <v>20254534</v>
      </c>
      <c r="D524">
        <f t="shared" si="209"/>
        <v>55</v>
      </c>
      <c r="E524">
        <f t="shared" si="210"/>
        <v>55</v>
      </c>
      <c r="F524" t="str">
        <f t="shared" si="211"/>
        <v>50-75</v>
      </c>
      <c r="G524">
        <v>0</v>
      </c>
      <c r="H524" t="str">
        <f t="shared" si="212"/>
        <v>Pariente normal</v>
      </c>
      <c r="I524">
        <v>1</v>
      </c>
      <c r="J524" t="str">
        <f t="shared" si="213"/>
        <v>Hipercaloricos</v>
      </c>
      <c r="K524">
        <v>2392665</v>
      </c>
      <c r="L524">
        <f t="shared" si="214"/>
        <v>1</v>
      </c>
      <c r="M524" t="str">
        <f t="shared" si="215"/>
        <v>Suele comer</v>
      </c>
      <c r="N524">
        <v>1</v>
      </c>
      <c r="O524">
        <f t="shared" si="216"/>
        <v>1</v>
      </c>
      <c r="P524">
        <f t="shared" si="217"/>
        <v>3</v>
      </c>
      <c r="Q524">
        <v>2</v>
      </c>
      <c r="R524" t="str">
        <f t="shared" si="218"/>
        <v>Usualmente</v>
      </c>
      <c r="S524">
        <v>0</v>
      </c>
      <c r="T524" t="str">
        <f t="shared" si="219"/>
        <v>No fuma</v>
      </c>
      <c r="U524">
        <v>1</v>
      </c>
      <c r="V524">
        <f t="shared" si="220"/>
        <v>1</v>
      </c>
      <c r="W524" t="str">
        <f t="shared" si="221"/>
        <v>Usualmente</v>
      </c>
      <c r="X524">
        <v>0</v>
      </c>
      <c r="Y524" t="str">
        <f t="shared" si="222"/>
        <v>No controla</v>
      </c>
      <c r="Z524">
        <v>0</v>
      </c>
      <c r="AA524">
        <f t="shared" si="223"/>
        <v>0</v>
      </c>
      <c r="AB524" t="str">
        <f t="shared" si="224"/>
        <v>Nunca</v>
      </c>
      <c r="AC524">
        <v>0.73826899999999995</v>
      </c>
      <c r="AD524">
        <f t="shared" si="225"/>
        <v>0</v>
      </c>
      <c r="AE524" t="str">
        <f t="shared" si="226"/>
        <v>Nunca</v>
      </c>
      <c r="AF524">
        <v>1</v>
      </c>
      <c r="AG524" t="str">
        <f t="shared" si="227"/>
        <v>A veces</v>
      </c>
      <c r="AH524">
        <v>0</v>
      </c>
      <c r="AI524" t="str">
        <f t="shared" si="228"/>
        <v>No usa</v>
      </c>
      <c r="AJ524">
        <v>0</v>
      </c>
      <c r="AK524" t="str">
        <f t="shared" si="229"/>
        <v>No usa</v>
      </c>
      <c r="AL524">
        <v>0</v>
      </c>
      <c r="AM524" t="str">
        <f t="shared" si="230"/>
        <v>No usa</v>
      </c>
      <c r="AN524">
        <v>1</v>
      </c>
      <c r="AO524" t="str">
        <f t="shared" si="231"/>
        <v>Usa Transporte</v>
      </c>
      <c r="AP524">
        <v>0</v>
      </c>
      <c r="AQ524" t="str">
        <f t="shared" si="232"/>
        <v>No camina</v>
      </c>
      <c r="AR524">
        <v>0</v>
      </c>
      <c r="AS524" t="str">
        <f t="shared" si="233"/>
        <v>No es obeso</v>
      </c>
    </row>
    <row r="525" spans="1:45" x14ac:dyDescent="0.25">
      <c r="A525">
        <v>0</v>
      </c>
      <c r="B525" t="str">
        <f t="shared" si="208"/>
        <v>F</v>
      </c>
      <c r="C525">
        <v>21</v>
      </c>
      <c r="D525">
        <f t="shared" si="209"/>
        <v>21</v>
      </c>
      <c r="E525">
        <f t="shared" si="210"/>
        <v>21</v>
      </c>
      <c r="F525" t="str">
        <f t="shared" si="211"/>
        <v>1-25</v>
      </c>
      <c r="G525">
        <v>0</v>
      </c>
      <c r="H525" t="str">
        <f t="shared" si="212"/>
        <v>Pariente normal</v>
      </c>
      <c r="I525">
        <v>1</v>
      </c>
      <c r="J525" t="str">
        <f t="shared" si="213"/>
        <v>Hipercaloricos</v>
      </c>
      <c r="K525">
        <v>3</v>
      </c>
      <c r="L525">
        <f t="shared" si="214"/>
        <v>1</v>
      </c>
      <c r="M525" t="str">
        <f t="shared" si="215"/>
        <v>Suele comer</v>
      </c>
      <c r="N525">
        <v>1</v>
      </c>
      <c r="O525">
        <f t="shared" si="216"/>
        <v>1</v>
      </c>
      <c r="P525">
        <f t="shared" si="217"/>
        <v>3</v>
      </c>
      <c r="Q525">
        <v>2</v>
      </c>
      <c r="R525" t="str">
        <f t="shared" si="218"/>
        <v>Usualmente</v>
      </c>
      <c r="S525">
        <v>0</v>
      </c>
      <c r="T525" t="str">
        <f t="shared" si="219"/>
        <v>No fuma</v>
      </c>
      <c r="U525">
        <v>1</v>
      </c>
      <c r="V525">
        <f t="shared" si="220"/>
        <v>1</v>
      </c>
      <c r="W525" t="str">
        <f t="shared" si="221"/>
        <v>Usualmente</v>
      </c>
      <c r="X525">
        <v>0</v>
      </c>
      <c r="Y525" t="str">
        <f t="shared" si="222"/>
        <v>No controla</v>
      </c>
      <c r="Z525">
        <v>0</v>
      </c>
      <c r="AA525">
        <f t="shared" si="223"/>
        <v>0</v>
      </c>
      <c r="AB525" t="str">
        <f t="shared" si="224"/>
        <v>Nunca</v>
      </c>
      <c r="AC525">
        <v>0</v>
      </c>
      <c r="AD525">
        <f t="shared" si="225"/>
        <v>0</v>
      </c>
      <c r="AE525" t="str">
        <f t="shared" si="226"/>
        <v>Nunca</v>
      </c>
      <c r="AF525">
        <v>1</v>
      </c>
      <c r="AG525" t="str">
        <f t="shared" si="227"/>
        <v>A veces</v>
      </c>
      <c r="AH525">
        <v>0</v>
      </c>
      <c r="AI525" t="str">
        <f t="shared" si="228"/>
        <v>No usa</v>
      </c>
      <c r="AJ525">
        <v>0</v>
      </c>
      <c r="AK525" t="str">
        <f t="shared" si="229"/>
        <v>No usa</v>
      </c>
      <c r="AL525">
        <v>0</v>
      </c>
      <c r="AM525" t="str">
        <f t="shared" si="230"/>
        <v>No usa</v>
      </c>
      <c r="AN525">
        <v>1</v>
      </c>
      <c r="AO525" t="str">
        <f t="shared" si="231"/>
        <v>Usa Transporte</v>
      </c>
      <c r="AP525">
        <v>0</v>
      </c>
      <c r="AQ525" t="str">
        <f t="shared" si="232"/>
        <v>No camina</v>
      </c>
      <c r="AR525">
        <v>0</v>
      </c>
      <c r="AS525" t="str">
        <f t="shared" si="233"/>
        <v>No es obeso</v>
      </c>
    </row>
    <row r="526" spans="1:45" x14ac:dyDescent="0.25">
      <c r="A526">
        <v>0</v>
      </c>
      <c r="B526" t="str">
        <f t="shared" si="208"/>
        <v>F</v>
      </c>
      <c r="C526">
        <v>20225396</v>
      </c>
      <c r="D526">
        <f t="shared" si="209"/>
        <v>55</v>
      </c>
      <c r="E526">
        <f t="shared" si="210"/>
        <v>55</v>
      </c>
      <c r="F526" t="str">
        <f t="shared" si="211"/>
        <v>50-75</v>
      </c>
      <c r="G526">
        <v>0</v>
      </c>
      <c r="H526" t="str">
        <f t="shared" si="212"/>
        <v>Pariente normal</v>
      </c>
      <c r="I526">
        <v>1</v>
      </c>
      <c r="J526" t="str">
        <f t="shared" si="213"/>
        <v>Hipercaloricos</v>
      </c>
      <c r="K526">
        <v>3</v>
      </c>
      <c r="L526">
        <f t="shared" si="214"/>
        <v>1</v>
      </c>
      <c r="M526" t="str">
        <f t="shared" si="215"/>
        <v>Suele comer</v>
      </c>
      <c r="N526">
        <v>2857787</v>
      </c>
      <c r="O526">
        <f t="shared" si="216"/>
        <v>2</v>
      </c>
      <c r="P526" t="str">
        <f t="shared" si="217"/>
        <v>Mas de 3</v>
      </c>
      <c r="Q526">
        <v>2</v>
      </c>
      <c r="R526" t="str">
        <f t="shared" si="218"/>
        <v>Usualmente</v>
      </c>
      <c r="S526">
        <v>0</v>
      </c>
      <c r="T526" t="str">
        <f t="shared" si="219"/>
        <v>No fuma</v>
      </c>
      <c r="U526">
        <v>1</v>
      </c>
      <c r="V526">
        <f t="shared" si="220"/>
        <v>1</v>
      </c>
      <c r="W526" t="str">
        <f t="shared" si="221"/>
        <v>Usualmente</v>
      </c>
      <c r="X526">
        <v>0</v>
      </c>
      <c r="Y526" t="str">
        <f t="shared" si="222"/>
        <v>No controla</v>
      </c>
      <c r="Z526">
        <v>0.75464600000000004</v>
      </c>
      <c r="AA526">
        <f t="shared" si="223"/>
        <v>0</v>
      </c>
      <c r="AB526" t="str">
        <f t="shared" si="224"/>
        <v>Nunca</v>
      </c>
      <c r="AC526">
        <v>0</v>
      </c>
      <c r="AD526">
        <f t="shared" si="225"/>
        <v>0</v>
      </c>
      <c r="AE526" t="str">
        <f t="shared" si="226"/>
        <v>Nunca</v>
      </c>
      <c r="AF526">
        <v>1</v>
      </c>
      <c r="AG526" t="str">
        <f t="shared" si="227"/>
        <v>A veces</v>
      </c>
      <c r="AH526">
        <v>0</v>
      </c>
      <c r="AI526" t="str">
        <f t="shared" si="228"/>
        <v>No usa</v>
      </c>
      <c r="AJ526">
        <v>0</v>
      </c>
      <c r="AK526" t="str">
        <f t="shared" si="229"/>
        <v>No usa</v>
      </c>
      <c r="AL526">
        <v>0</v>
      </c>
      <c r="AM526" t="str">
        <f t="shared" si="230"/>
        <v>No usa</v>
      </c>
      <c r="AN526">
        <v>1</v>
      </c>
      <c r="AO526" t="str">
        <f t="shared" si="231"/>
        <v>Usa Transporte</v>
      </c>
      <c r="AP526">
        <v>0</v>
      </c>
      <c r="AQ526" t="str">
        <f t="shared" si="232"/>
        <v>No camina</v>
      </c>
      <c r="AR526">
        <v>0</v>
      </c>
      <c r="AS526" t="str">
        <f t="shared" si="233"/>
        <v>No es obeso</v>
      </c>
    </row>
    <row r="527" spans="1:45" x14ac:dyDescent="0.25">
      <c r="A527">
        <v>0</v>
      </c>
      <c r="B527" t="str">
        <f t="shared" si="208"/>
        <v>F</v>
      </c>
      <c r="C527">
        <v>1986997</v>
      </c>
      <c r="D527">
        <f t="shared" si="209"/>
        <v>5</v>
      </c>
      <c r="E527">
        <f t="shared" si="210"/>
        <v>5</v>
      </c>
      <c r="F527" t="str">
        <f t="shared" si="211"/>
        <v>1-25</v>
      </c>
      <c r="G527">
        <v>0</v>
      </c>
      <c r="H527" t="str">
        <f t="shared" si="212"/>
        <v>Pariente normal</v>
      </c>
      <c r="I527">
        <v>1</v>
      </c>
      <c r="J527" t="str">
        <f t="shared" si="213"/>
        <v>Hipercaloricos</v>
      </c>
      <c r="K527">
        <v>3</v>
      </c>
      <c r="L527">
        <f t="shared" si="214"/>
        <v>1</v>
      </c>
      <c r="M527" t="str">
        <f t="shared" si="215"/>
        <v>Suele comer</v>
      </c>
      <c r="N527">
        <v>1</v>
      </c>
      <c r="O527">
        <f t="shared" si="216"/>
        <v>1</v>
      </c>
      <c r="P527">
        <f t="shared" si="217"/>
        <v>3</v>
      </c>
      <c r="Q527">
        <v>2</v>
      </c>
      <c r="R527" t="str">
        <f t="shared" si="218"/>
        <v>Usualmente</v>
      </c>
      <c r="S527">
        <v>0</v>
      </c>
      <c r="T527" t="str">
        <f t="shared" si="219"/>
        <v>No fuma</v>
      </c>
      <c r="U527">
        <v>1527036</v>
      </c>
      <c r="V527">
        <f t="shared" si="220"/>
        <v>2</v>
      </c>
      <c r="W527" t="str">
        <f t="shared" si="221"/>
        <v>Siempre</v>
      </c>
      <c r="X527">
        <v>0</v>
      </c>
      <c r="Y527" t="str">
        <f t="shared" si="222"/>
        <v>No controla</v>
      </c>
      <c r="Z527">
        <v>0</v>
      </c>
      <c r="AA527">
        <f t="shared" si="223"/>
        <v>0</v>
      </c>
      <c r="AB527" t="str">
        <f t="shared" si="224"/>
        <v>Nunca</v>
      </c>
      <c r="AC527">
        <v>0.86049699999999996</v>
      </c>
      <c r="AD527">
        <f t="shared" si="225"/>
        <v>0</v>
      </c>
      <c r="AE527" t="str">
        <f t="shared" si="226"/>
        <v>Nunca</v>
      </c>
      <c r="AF527">
        <v>1</v>
      </c>
      <c r="AG527" t="str">
        <f t="shared" si="227"/>
        <v>A veces</v>
      </c>
      <c r="AH527">
        <v>0</v>
      </c>
      <c r="AI527" t="str">
        <f t="shared" si="228"/>
        <v>No usa</v>
      </c>
      <c r="AJ527">
        <v>0</v>
      </c>
      <c r="AK527" t="str">
        <f t="shared" si="229"/>
        <v>No usa</v>
      </c>
      <c r="AL527">
        <v>0</v>
      </c>
      <c r="AM527" t="str">
        <f t="shared" si="230"/>
        <v>No usa</v>
      </c>
      <c r="AN527">
        <v>1</v>
      </c>
      <c r="AO527" t="str">
        <f t="shared" si="231"/>
        <v>Usa Transporte</v>
      </c>
      <c r="AP527">
        <v>0</v>
      </c>
      <c r="AQ527" t="str">
        <f t="shared" si="232"/>
        <v>No camina</v>
      </c>
      <c r="AR527">
        <v>0</v>
      </c>
      <c r="AS527" t="str">
        <f t="shared" si="233"/>
        <v>No es obeso</v>
      </c>
    </row>
    <row r="528" spans="1:45" x14ac:dyDescent="0.25">
      <c r="A528">
        <v>0</v>
      </c>
      <c r="B528" t="str">
        <f t="shared" si="208"/>
        <v>F</v>
      </c>
      <c r="C528">
        <v>20147114</v>
      </c>
      <c r="D528">
        <f t="shared" si="209"/>
        <v>55</v>
      </c>
      <c r="E528">
        <f t="shared" si="210"/>
        <v>55</v>
      </c>
      <c r="F528" t="str">
        <f t="shared" si="211"/>
        <v>50-75</v>
      </c>
      <c r="G528">
        <v>0</v>
      </c>
      <c r="H528" t="str">
        <f t="shared" si="212"/>
        <v>Pariente normal</v>
      </c>
      <c r="I528">
        <v>1</v>
      </c>
      <c r="J528" t="str">
        <f t="shared" si="213"/>
        <v>Hipercaloricos</v>
      </c>
      <c r="K528">
        <v>3</v>
      </c>
      <c r="L528">
        <f t="shared" si="214"/>
        <v>1</v>
      </c>
      <c r="M528" t="str">
        <f t="shared" si="215"/>
        <v>Suele comer</v>
      </c>
      <c r="N528">
        <v>1</v>
      </c>
      <c r="O528">
        <f t="shared" si="216"/>
        <v>1</v>
      </c>
      <c r="P528">
        <f t="shared" si="217"/>
        <v>3</v>
      </c>
      <c r="Q528">
        <v>2</v>
      </c>
      <c r="R528" t="str">
        <f t="shared" si="218"/>
        <v>Usualmente</v>
      </c>
      <c r="S528">
        <v>0</v>
      </c>
      <c r="T528" t="str">
        <f t="shared" si="219"/>
        <v>No fuma</v>
      </c>
      <c r="U528">
        <v>1322669</v>
      </c>
      <c r="V528">
        <f t="shared" si="220"/>
        <v>2</v>
      </c>
      <c r="W528" t="str">
        <f t="shared" si="221"/>
        <v>Siempre</v>
      </c>
      <c r="X528">
        <v>0</v>
      </c>
      <c r="Y528" t="str">
        <f t="shared" si="222"/>
        <v>No controla</v>
      </c>
      <c r="Z528">
        <v>0</v>
      </c>
      <c r="AA528">
        <f t="shared" si="223"/>
        <v>0</v>
      </c>
      <c r="AB528" t="str">
        <f t="shared" si="224"/>
        <v>Nunca</v>
      </c>
      <c r="AC528">
        <v>0.47867599999999999</v>
      </c>
      <c r="AD528">
        <f t="shared" si="225"/>
        <v>0</v>
      </c>
      <c r="AE528" t="str">
        <f t="shared" si="226"/>
        <v>Nunca</v>
      </c>
      <c r="AF528">
        <v>1</v>
      </c>
      <c r="AG528" t="str">
        <f t="shared" si="227"/>
        <v>A veces</v>
      </c>
      <c r="AH528">
        <v>0</v>
      </c>
      <c r="AI528" t="str">
        <f t="shared" si="228"/>
        <v>No usa</v>
      </c>
      <c r="AJ528">
        <v>0</v>
      </c>
      <c r="AK528" t="str">
        <f t="shared" si="229"/>
        <v>No usa</v>
      </c>
      <c r="AL528">
        <v>0</v>
      </c>
      <c r="AM528" t="str">
        <f t="shared" si="230"/>
        <v>No usa</v>
      </c>
      <c r="AN528">
        <v>1</v>
      </c>
      <c r="AO528" t="str">
        <f t="shared" si="231"/>
        <v>Usa Transporte</v>
      </c>
      <c r="AP528">
        <v>0</v>
      </c>
      <c r="AQ528" t="str">
        <f t="shared" si="232"/>
        <v>No camina</v>
      </c>
      <c r="AR528">
        <v>0</v>
      </c>
      <c r="AS528" t="str">
        <f t="shared" si="233"/>
        <v>No es obeso</v>
      </c>
    </row>
    <row r="529" spans="1:45" x14ac:dyDescent="0.25">
      <c r="A529">
        <v>0</v>
      </c>
      <c r="B529" t="str">
        <f t="shared" si="208"/>
        <v>F</v>
      </c>
      <c r="C529">
        <v>21</v>
      </c>
      <c r="D529">
        <f t="shared" si="209"/>
        <v>21</v>
      </c>
      <c r="E529">
        <f t="shared" si="210"/>
        <v>21</v>
      </c>
      <c r="F529" t="str">
        <f t="shared" si="211"/>
        <v>1-25</v>
      </c>
      <c r="G529">
        <v>0</v>
      </c>
      <c r="H529" t="str">
        <f t="shared" si="212"/>
        <v>Pariente normal</v>
      </c>
      <c r="I529">
        <v>1</v>
      </c>
      <c r="J529" t="str">
        <f t="shared" si="213"/>
        <v>Hipercaloricos</v>
      </c>
      <c r="K529">
        <v>3</v>
      </c>
      <c r="L529">
        <f t="shared" si="214"/>
        <v>1</v>
      </c>
      <c r="M529" t="str">
        <f t="shared" si="215"/>
        <v>Suele comer</v>
      </c>
      <c r="N529">
        <v>1</v>
      </c>
      <c r="O529">
        <f t="shared" si="216"/>
        <v>1</v>
      </c>
      <c r="P529">
        <f t="shared" si="217"/>
        <v>3</v>
      </c>
      <c r="Q529">
        <v>2</v>
      </c>
      <c r="R529" t="str">
        <f t="shared" si="218"/>
        <v>Usualmente</v>
      </c>
      <c r="S529">
        <v>0</v>
      </c>
      <c r="T529" t="str">
        <f t="shared" si="219"/>
        <v>No fuma</v>
      </c>
      <c r="U529">
        <v>1</v>
      </c>
      <c r="V529">
        <f t="shared" si="220"/>
        <v>1</v>
      </c>
      <c r="W529" t="str">
        <f t="shared" si="221"/>
        <v>Usualmente</v>
      </c>
      <c r="X529">
        <v>0</v>
      </c>
      <c r="Y529" t="str">
        <f t="shared" si="222"/>
        <v>No controla</v>
      </c>
      <c r="Z529">
        <v>0</v>
      </c>
      <c r="AA529">
        <f t="shared" si="223"/>
        <v>0</v>
      </c>
      <c r="AB529" t="str">
        <f t="shared" si="224"/>
        <v>Nunca</v>
      </c>
      <c r="AC529">
        <v>0</v>
      </c>
      <c r="AD529">
        <f t="shared" si="225"/>
        <v>0</v>
      </c>
      <c r="AE529" t="str">
        <f t="shared" si="226"/>
        <v>Nunca</v>
      </c>
      <c r="AF529">
        <v>1</v>
      </c>
      <c r="AG529" t="str">
        <f t="shared" si="227"/>
        <v>A veces</v>
      </c>
      <c r="AH529">
        <v>0</v>
      </c>
      <c r="AI529" t="str">
        <f t="shared" si="228"/>
        <v>No usa</v>
      </c>
      <c r="AJ529">
        <v>0</v>
      </c>
      <c r="AK529" t="str">
        <f t="shared" si="229"/>
        <v>No usa</v>
      </c>
      <c r="AL529">
        <v>0</v>
      </c>
      <c r="AM529" t="str">
        <f t="shared" si="230"/>
        <v>No usa</v>
      </c>
      <c r="AN529">
        <v>1</v>
      </c>
      <c r="AO529" t="str">
        <f t="shared" si="231"/>
        <v>Usa Transporte</v>
      </c>
      <c r="AP529">
        <v>0</v>
      </c>
      <c r="AQ529" t="str">
        <f t="shared" si="232"/>
        <v>No camina</v>
      </c>
      <c r="AR529">
        <v>0</v>
      </c>
      <c r="AS529" t="str">
        <f t="shared" si="233"/>
        <v>No es obeso</v>
      </c>
    </row>
    <row r="530" spans="1:45" x14ac:dyDescent="0.25">
      <c r="A530">
        <v>0</v>
      </c>
      <c r="B530" t="str">
        <f t="shared" si="208"/>
        <v>F</v>
      </c>
      <c r="C530">
        <v>21996523</v>
      </c>
      <c r="D530">
        <f t="shared" si="209"/>
        <v>60</v>
      </c>
      <c r="E530">
        <f t="shared" si="210"/>
        <v>60</v>
      </c>
      <c r="F530" t="str">
        <f t="shared" si="211"/>
        <v>50-75</v>
      </c>
      <c r="G530">
        <v>0</v>
      </c>
      <c r="H530" t="str">
        <f t="shared" si="212"/>
        <v>Pariente normal</v>
      </c>
      <c r="I530">
        <v>0</v>
      </c>
      <c r="J530" t="str">
        <f t="shared" si="213"/>
        <v>Saludables</v>
      </c>
      <c r="K530">
        <v>3</v>
      </c>
      <c r="L530">
        <f t="shared" si="214"/>
        <v>1</v>
      </c>
      <c r="M530" t="str">
        <f t="shared" si="215"/>
        <v>Suele comer</v>
      </c>
      <c r="N530">
        <v>3765526</v>
      </c>
      <c r="O530">
        <f t="shared" si="216"/>
        <v>2</v>
      </c>
      <c r="P530" t="str">
        <f t="shared" si="217"/>
        <v>Mas de 3</v>
      </c>
      <c r="Q530">
        <v>2</v>
      </c>
      <c r="R530" t="str">
        <f t="shared" si="218"/>
        <v>Usualmente</v>
      </c>
      <c r="S530">
        <v>0</v>
      </c>
      <c r="T530" t="str">
        <f t="shared" si="219"/>
        <v>No fuma</v>
      </c>
      <c r="U530">
        <v>1656082</v>
      </c>
      <c r="V530">
        <f t="shared" si="220"/>
        <v>2</v>
      </c>
      <c r="W530" t="str">
        <f t="shared" si="221"/>
        <v>Siempre</v>
      </c>
      <c r="X530">
        <v>0</v>
      </c>
      <c r="Y530" t="str">
        <f t="shared" si="222"/>
        <v>No controla</v>
      </c>
      <c r="Z530">
        <v>0.42776999999999998</v>
      </c>
      <c r="AA530">
        <f t="shared" si="223"/>
        <v>0</v>
      </c>
      <c r="AB530" t="str">
        <f t="shared" si="224"/>
        <v>Nunca</v>
      </c>
      <c r="AC530">
        <v>0.55596699999999999</v>
      </c>
      <c r="AD530">
        <f t="shared" si="225"/>
        <v>0</v>
      </c>
      <c r="AE530" t="str">
        <f t="shared" si="226"/>
        <v>Nunca</v>
      </c>
      <c r="AF530">
        <v>1</v>
      </c>
      <c r="AG530" t="str">
        <f t="shared" si="227"/>
        <v>A veces</v>
      </c>
      <c r="AH530">
        <v>0</v>
      </c>
      <c r="AI530" t="str">
        <f t="shared" si="228"/>
        <v>No usa</v>
      </c>
      <c r="AJ530">
        <v>0</v>
      </c>
      <c r="AK530" t="str">
        <f t="shared" si="229"/>
        <v>No usa</v>
      </c>
      <c r="AL530">
        <v>0</v>
      </c>
      <c r="AM530" t="str">
        <f t="shared" si="230"/>
        <v>No usa</v>
      </c>
      <c r="AN530">
        <v>1</v>
      </c>
      <c r="AO530" t="str">
        <f t="shared" si="231"/>
        <v>Usa Transporte</v>
      </c>
      <c r="AP530">
        <v>0</v>
      </c>
      <c r="AQ530" t="str">
        <f t="shared" si="232"/>
        <v>No camina</v>
      </c>
      <c r="AR530">
        <v>0</v>
      </c>
      <c r="AS530" t="str">
        <f t="shared" si="233"/>
        <v>No es obeso</v>
      </c>
    </row>
    <row r="531" spans="1:45" x14ac:dyDescent="0.25">
      <c r="A531">
        <v>0</v>
      </c>
      <c r="B531" t="str">
        <f t="shared" si="208"/>
        <v>F</v>
      </c>
      <c r="C531">
        <v>21376426</v>
      </c>
      <c r="D531">
        <f t="shared" si="209"/>
        <v>58</v>
      </c>
      <c r="E531">
        <f t="shared" si="210"/>
        <v>58</v>
      </c>
      <c r="F531" t="str">
        <f t="shared" si="211"/>
        <v>50-75</v>
      </c>
      <c r="G531">
        <v>0</v>
      </c>
      <c r="H531" t="str">
        <f t="shared" si="212"/>
        <v>Pariente normal</v>
      </c>
      <c r="I531">
        <v>0</v>
      </c>
      <c r="J531" t="str">
        <f t="shared" si="213"/>
        <v>Saludables</v>
      </c>
      <c r="K531">
        <v>3</v>
      </c>
      <c r="L531">
        <f t="shared" si="214"/>
        <v>1</v>
      </c>
      <c r="M531" t="str">
        <f t="shared" si="215"/>
        <v>Suele comer</v>
      </c>
      <c r="N531">
        <v>3285167</v>
      </c>
      <c r="O531">
        <f t="shared" si="216"/>
        <v>2</v>
      </c>
      <c r="P531" t="str">
        <f t="shared" si="217"/>
        <v>Mas de 3</v>
      </c>
      <c r="Q531">
        <v>2</v>
      </c>
      <c r="R531" t="str">
        <f t="shared" si="218"/>
        <v>Usualmente</v>
      </c>
      <c r="S531">
        <v>0</v>
      </c>
      <c r="T531" t="str">
        <f t="shared" si="219"/>
        <v>No fuma</v>
      </c>
      <c r="U531">
        <v>1569082</v>
      </c>
      <c r="V531">
        <f t="shared" si="220"/>
        <v>2</v>
      </c>
      <c r="W531" t="str">
        <f t="shared" si="221"/>
        <v>Siempre</v>
      </c>
      <c r="X531">
        <v>0</v>
      </c>
      <c r="Y531" t="str">
        <f t="shared" si="222"/>
        <v>No controla</v>
      </c>
      <c r="Z531">
        <v>0.54593100000000006</v>
      </c>
      <c r="AA531">
        <f t="shared" si="223"/>
        <v>0</v>
      </c>
      <c r="AB531" t="str">
        <f t="shared" si="224"/>
        <v>Nunca</v>
      </c>
      <c r="AC531">
        <v>0.46973500000000001</v>
      </c>
      <c r="AD531">
        <f t="shared" si="225"/>
        <v>0</v>
      </c>
      <c r="AE531" t="str">
        <f t="shared" si="226"/>
        <v>Nunca</v>
      </c>
      <c r="AF531">
        <v>1</v>
      </c>
      <c r="AG531" t="str">
        <f t="shared" si="227"/>
        <v>A veces</v>
      </c>
      <c r="AH531">
        <v>0</v>
      </c>
      <c r="AI531" t="str">
        <f t="shared" si="228"/>
        <v>No usa</v>
      </c>
      <c r="AJ531">
        <v>0</v>
      </c>
      <c r="AK531" t="str">
        <f t="shared" si="229"/>
        <v>No usa</v>
      </c>
      <c r="AL531">
        <v>0</v>
      </c>
      <c r="AM531" t="str">
        <f t="shared" si="230"/>
        <v>No usa</v>
      </c>
      <c r="AN531">
        <v>1</v>
      </c>
      <c r="AO531" t="str">
        <f t="shared" si="231"/>
        <v>Usa Transporte</v>
      </c>
      <c r="AP531">
        <v>0</v>
      </c>
      <c r="AQ531" t="str">
        <f t="shared" si="232"/>
        <v>No camina</v>
      </c>
      <c r="AR531">
        <v>0</v>
      </c>
      <c r="AS531" t="str">
        <f t="shared" si="233"/>
        <v>No es obeso</v>
      </c>
    </row>
    <row r="532" spans="1:45" x14ac:dyDescent="0.25">
      <c r="A532">
        <v>0</v>
      </c>
      <c r="B532" t="str">
        <f t="shared" si="208"/>
        <v>F</v>
      </c>
      <c r="C532">
        <v>19724106</v>
      </c>
      <c r="D532">
        <f t="shared" si="209"/>
        <v>54</v>
      </c>
      <c r="E532">
        <f t="shared" si="210"/>
        <v>54</v>
      </c>
      <c r="F532" t="str">
        <f t="shared" si="211"/>
        <v>50-75</v>
      </c>
      <c r="G532">
        <v>0</v>
      </c>
      <c r="H532" t="str">
        <f t="shared" si="212"/>
        <v>Pariente normal</v>
      </c>
      <c r="I532">
        <v>0</v>
      </c>
      <c r="J532" t="str">
        <f t="shared" si="213"/>
        <v>Saludables</v>
      </c>
      <c r="K532">
        <v>1123939</v>
      </c>
      <c r="L532">
        <f t="shared" si="214"/>
        <v>1</v>
      </c>
      <c r="M532" t="str">
        <f t="shared" si="215"/>
        <v>Suele comer</v>
      </c>
      <c r="N532">
        <v>4</v>
      </c>
      <c r="O532">
        <f t="shared" si="216"/>
        <v>2</v>
      </c>
      <c r="P532" t="str">
        <f t="shared" si="217"/>
        <v>Mas de 3</v>
      </c>
      <c r="Q532">
        <v>2</v>
      </c>
      <c r="R532" t="str">
        <f t="shared" si="218"/>
        <v>Usualmente</v>
      </c>
      <c r="S532">
        <v>0</v>
      </c>
      <c r="T532" t="str">
        <f t="shared" si="219"/>
        <v>No fuma</v>
      </c>
      <c r="U532">
        <v>1</v>
      </c>
      <c r="V532">
        <f t="shared" si="220"/>
        <v>1</v>
      </c>
      <c r="W532" t="str">
        <f t="shared" si="221"/>
        <v>Usualmente</v>
      </c>
      <c r="X532">
        <v>0</v>
      </c>
      <c r="Y532" t="str">
        <f t="shared" si="222"/>
        <v>No controla</v>
      </c>
      <c r="Z532">
        <v>1303976</v>
      </c>
      <c r="AA532">
        <f t="shared" si="223"/>
        <v>3</v>
      </c>
      <c r="AB532" t="str">
        <f t="shared" si="224"/>
        <v>Siempre</v>
      </c>
      <c r="AC532">
        <v>0.37194100000000002</v>
      </c>
      <c r="AD532">
        <f t="shared" si="225"/>
        <v>0</v>
      </c>
      <c r="AE532" t="str">
        <f t="shared" si="226"/>
        <v>Nunca</v>
      </c>
      <c r="AF532">
        <v>1</v>
      </c>
      <c r="AG532" t="str">
        <f t="shared" si="227"/>
        <v>A veces</v>
      </c>
      <c r="AH532">
        <v>0</v>
      </c>
      <c r="AI532" t="str">
        <f t="shared" si="228"/>
        <v>No usa</v>
      </c>
      <c r="AJ532">
        <v>0</v>
      </c>
      <c r="AK532" t="str">
        <f t="shared" si="229"/>
        <v>No usa</v>
      </c>
      <c r="AL532">
        <v>0</v>
      </c>
      <c r="AM532" t="str">
        <f t="shared" si="230"/>
        <v>No usa</v>
      </c>
      <c r="AN532">
        <v>1</v>
      </c>
      <c r="AO532" t="str">
        <f t="shared" si="231"/>
        <v>Usa Transporte</v>
      </c>
      <c r="AP532">
        <v>0</v>
      </c>
      <c r="AQ532" t="str">
        <f t="shared" si="232"/>
        <v>No camina</v>
      </c>
      <c r="AR532">
        <v>0</v>
      </c>
      <c r="AS532" t="str">
        <f t="shared" si="233"/>
        <v>No es obeso</v>
      </c>
    </row>
    <row r="533" spans="1:45" x14ac:dyDescent="0.25">
      <c r="A533">
        <v>1</v>
      </c>
      <c r="B533" t="str">
        <f t="shared" si="208"/>
        <v>M</v>
      </c>
      <c r="C533">
        <v>23</v>
      </c>
      <c r="D533">
        <f t="shared" si="209"/>
        <v>23</v>
      </c>
      <c r="E533">
        <f t="shared" si="210"/>
        <v>23</v>
      </c>
      <c r="F533" t="str">
        <f t="shared" si="211"/>
        <v>1-25</v>
      </c>
      <c r="G533">
        <v>1</v>
      </c>
      <c r="H533" t="str">
        <f t="shared" si="212"/>
        <v>Pariente gordo</v>
      </c>
      <c r="I533">
        <v>1</v>
      </c>
      <c r="J533" t="str">
        <f t="shared" si="213"/>
        <v>Hipercaloricos</v>
      </c>
      <c r="K533">
        <v>3</v>
      </c>
      <c r="L533">
        <f t="shared" si="214"/>
        <v>1</v>
      </c>
      <c r="M533" t="str">
        <f t="shared" si="215"/>
        <v>Suele comer</v>
      </c>
      <c r="N533">
        <v>3</v>
      </c>
      <c r="O533">
        <f t="shared" si="216"/>
        <v>2</v>
      </c>
      <c r="P533" t="str">
        <f t="shared" si="217"/>
        <v>Mas de 3</v>
      </c>
      <c r="Q533">
        <v>1</v>
      </c>
      <c r="R533" t="str">
        <f t="shared" si="218"/>
        <v>A veces</v>
      </c>
      <c r="S533">
        <v>0</v>
      </c>
      <c r="T533" t="str">
        <f t="shared" si="219"/>
        <v>No fuma</v>
      </c>
      <c r="U533">
        <v>2843777</v>
      </c>
      <c r="V533">
        <f t="shared" si="220"/>
        <v>2</v>
      </c>
      <c r="W533" t="str">
        <f t="shared" si="221"/>
        <v>Siempre</v>
      </c>
      <c r="X533">
        <v>0</v>
      </c>
      <c r="Y533" t="str">
        <f t="shared" si="222"/>
        <v>No controla</v>
      </c>
      <c r="Z533">
        <v>1488843</v>
      </c>
      <c r="AA533">
        <f t="shared" si="223"/>
        <v>3</v>
      </c>
      <c r="AB533" t="str">
        <f t="shared" si="224"/>
        <v>Siempre</v>
      </c>
      <c r="AC533">
        <v>9.2540000000000001E-3</v>
      </c>
      <c r="AD533">
        <f t="shared" si="225"/>
        <v>0</v>
      </c>
      <c r="AE533" t="str">
        <f t="shared" si="226"/>
        <v>Nunca</v>
      </c>
      <c r="AF533">
        <v>1</v>
      </c>
      <c r="AG533" t="str">
        <f t="shared" si="227"/>
        <v>A veces</v>
      </c>
      <c r="AH533">
        <v>1</v>
      </c>
      <c r="AI533" t="str">
        <f t="shared" si="228"/>
        <v>Usa auto</v>
      </c>
      <c r="AJ533">
        <v>0</v>
      </c>
      <c r="AK533" t="str">
        <f t="shared" si="229"/>
        <v>No usa</v>
      </c>
      <c r="AL533">
        <v>0</v>
      </c>
      <c r="AM533" t="str">
        <f t="shared" si="230"/>
        <v>No usa</v>
      </c>
      <c r="AN533">
        <v>0</v>
      </c>
      <c r="AO533" t="str">
        <f t="shared" si="231"/>
        <v>No usa</v>
      </c>
      <c r="AP533">
        <v>0</v>
      </c>
      <c r="AQ533" t="str">
        <f t="shared" si="232"/>
        <v>No camina</v>
      </c>
      <c r="AR533">
        <v>0</v>
      </c>
      <c r="AS533" t="str">
        <f t="shared" si="233"/>
        <v>No es obeso</v>
      </c>
    </row>
    <row r="534" spans="1:45" x14ac:dyDescent="0.25">
      <c r="A534">
        <v>1</v>
      </c>
      <c r="B534" t="str">
        <f t="shared" si="208"/>
        <v>M</v>
      </c>
      <c r="C534">
        <v>22851834</v>
      </c>
      <c r="D534">
        <f t="shared" si="209"/>
        <v>62</v>
      </c>
      <c r="E534">
        <f t="shared" si="210"/>
        <v>62</v>
      </c>
      <c r="F534" t="str">
        <f t="shared" si="211"/>
        <v>50-75</v>
      </c>
      <c r="G534">
        <v>1</v>
      </c>
      <c r="H534" t="str">
        <f t="shared" si="212"/>
        <v>Pariente gordo</v>
      </c>
      <c r="I534">
        <v>1</v>
      </c>
      <c r="J534" t="str">
        <f t="shared" si="213"/>
        <v>Hipercaloricos</v>
      </c>
      <c r="K534">
        <v>3</v>
      </c>
      <c r="L534">
        <f t="shared" si="214"/>
        <v>1</v>
      </c>
      <c r="M534" t="str">
        <f t="shared" si="215"/>
        <v>Suele comer</v>
      </c>
      <c r="N534">
        <v>3691226</v>
      </c>
      <c r="O534">
        <f t="shared" si="216"/>
        <v>2</v>
      </c>
      <c r="P534" t="str">
        <f t="shared" si="217"/>
        <v>Mas de 3</v>
      </c>
      <c r="Q534">
        <v>1</v>
      </c>
      <c r="R534" t="str">
        <f t="shared" si="218"/>
        <v>A veces</v>
      </c>
      <c r="S534">
        <v>0</v>
      </c>
      <c r="T534" t="str">
        <f t="shared" si="219"/>
        <v>No fuma</v>
      </c>
      <c r="U534">
        <v>2650989</v>
      </c>
      <c r="V534">
        <f t="shared" si="220"/>
        <v>2</v>
      </c>
      <c r="W534" t="str">
        <f t="shared" si="221"/>
        <v>Siempre</v>
      </c>
      <c r="X534">
        <v>0</v>
      </c>
      <c r="Y534" t="str">
        <f t="shared" si="222"/>
        <v>No controla</v>
      </c>
      <c r="Z534">
        <v>1228136</v>
      </c>
      <c r="AA534">
        <f t="shared" si="223"/>
        <v>3</v>
      </c>
      <c r="AB534" t="str">
        <f t="shared" si="224"/>
        <v>Siempre</v>
      </c>
      <c r="AC534">
        <v>0.83240000000000003</v>
      </c>
      <c r="AD534">
        <f t="shared" si="225"/>
        <v>0</v>
      </c>
      <c r="AE534" t="str">
        <f t="shared" si="226"/>
        <v>Nunca</v>
      </c>
      <c r="AF534">
        <v>1</v>
      </c>
      <c r="AG534" t="str">
        <f t="shared" si="227"/>
        <v>A veces</v>
      </c>
      <c r="AH534">
        <v>1</v>
      </c>
      <c r="AI534" t="str">
        <f t="shared" si="228"/>
        <v>Usa auto</v>
      </c>
      <c r="AJ534">
        <v>0</v>
      </c>
      <c r="AK534" t="str">
        <f t="shared" si="229"/>
        <v>No usa</v>
      </c>
      <c r="AL534">
        <v>0</v>
      </c>
      <c r="AM534" t="str">
        <f t="shared" si="230"/>
        <v>No usa</v>
      </c>
      <c r="AN534">
        <v>0</v>
      </c>
      <c r="AO534" t="str">
        <f t="shared" si="231"/>
        <v>No usa</v>
      </c>
      <c r="AP534">
        <v>0</v>
      </c>
      <c r="AQ534" t="str">
        <f t="shared" si="232"/>
        <v>No camina</v>
      </c>
      <c r="AR534">
        <v>0</v>
      </c>
      <c r="AS534" t="str">
        <f t="shared" si="233"/>
        <v>No es obeso</v>
      </c>
    </row>
    <row r="535" spans="1:45" x14ac:dyDescent="0.25">
      <c r="A535">
        <v>1</v>
      </c>
      <c r="B535" t="str">
        <f t="shared" si="208"/>
        <v>M</v>
      </c>
      <c r="C535">
        <v>23</v>
      </c>
      <c r="D535">
        <f t="shared" si="209"/>
        <v>23</v>
      </c>
      <c r="E535">
        <f t="shared" si="210"/>
        <v>23</v>
      </c>
      <c r="F535" t="str">
        <f t="shared" si="211"/>
        <v>1-25</v>
      </c>
      <c r="G535">
        <v>1</v>
      </c>
      <c r="H535" t="str">
        <f t="shared" si="212"/>
        <v>Pariente gordo</v>
      </c>
      <c r="I535">
        <v>1</v>
      </c>
      <c r="J535" t="str">
        <f t="shared" si="213"/>
        <v>Hipercaloricos</v>
      </c>
      <c r="K535">
        <v>3</v>
      </c>
      <c r="L535">
        <f t="shared" si="214"/>
        <v>1</v>
      </c>
      <c r="M535" t="str">
        <f t="shared" si="215"/>
        <v>Suele comer</v>
      </c>
      <c r="N535">
        <v>3</v>
      </c>
      <c r="O535">
        <f t="shared" si="216"/>
        <v>2</v>
      </c>
      <c r="P535" t="str">
        <f t="shared" si="217"/>
        <v>Mas de 3</v>
      </c>
      <c r="Q535">
        <v>1</v>
      </c>
      <c r="R535" t="str">
        <f t="shared" si="218"/>
        <v>A veces</v>
      </c>
      <c r="S535">
        <v>0</v>
      </c>
      <c r="T535" t="str">
        <f t="shared" si="219"/>
        <v>No fuma</v>
      </c>
      <c r="U535">
        <v>2027984</v>
      </c>
      <c r="V535">
        <f t="shared" si="220"/>
        <v>2</v>
      </c>
      <c r="W535" t="str">
        <f t="shared" si="221"/>
        <v>Siempre</v>
      </c>
      <c r="X535">
        <v>0</v>
      </c>
      <c r="Y535" t="str">
        <f t="shared" si="222"/>
        <v>No controla</v>
      </c>
      <c r="Z535">
        <v>1661556</v>
      </c>
      <c r="AA535">
        <f t="shared" si="223"/>
        <v>3</v>
      </c>
      <c r="AB535" t="str">
        <f t="shared" si="224"/>
        <v>Siempre</v>
      </c>
      <c r="AC535">
        <v>0.114716</v>
      </c>
      <c r="AD535">
        <f t="shared" si="225"/>
        <v>0</v>
      </c>
      <c r="AE535" t="str">
        <f t="shared" si="226"/>
        <v>Nunca</v>
      </c>
      <c r="AF535">
        <v>1</v>
      </c>
      <c r="AG535" t="str">
        <f t="shared" si="227"/>
        <v>A veces</v>
      </c>
      <c r="AH535">
        <v>1</v>
      </c>
      <c r="AI535" t="str">
        <f t="shared" si="228"/>
        <v>Usa auto</v>
      </c>
      <c r="AJ535">
        <v>0</v>
      </c>
      <c r="AK535" t="str">
        <f t="shared" si="229"/>
        <v>No usa</v>
      </c>
      <c r="AL535">
        <v>0</v>
      </c>
      <c r="AM535" t="str">
        <f t="shared" si="230"/>
        <v>No usa</v>
      </c>
      <c r="AN535">
        <v>0</v>
      </c>
      <c r="AO535" t="str">
        <f t="shared" si="231"/>
        <v>No usa</v>
      </c>
      <c r="AP535">
        <v>0</v>
      </c>
      <c r="AQ535" t="str">
        <f t="shared" si="232"/>
        <v>No camina</v>
      </c>
      <c r="AR535">
        <v>0</v>
      </c>
      <c r="AS535" t="str">
        <f t="shared" si="233"/>
        <v>No es obeso</v>
      </c>
    </row>
    <row r="536" spans="1:45" x14ac:dyDescent="0.25">
      <c r="A536">
        <v>1</v>
      </c>
      <c r="B536" t="str">
        <f t="shared" si="208"/>
        <v>M</v>
      </c>
      <c r="C536">
        <v>18216032</v>
      </c>
      <c r="D536">
        <f t="shared" si="209"/>
        <v>49</v>
      </c>
      <c r="E536">
        <f t="shared" si="210"/>
        <v>49</v>
      </c>
      <c r="F536" t="str">
        <f t="shared" si="211"/>
        <v>25-50</v>
      </c>
      <c r="G536">
        <v>1</v>
      </c>
      <c r="H536" t="str">
        <f t="shared" si="212"/>
        <v>Pariente gordo</v>
      </c>
      <c r="I536">
        <v>1</v>
      </c>
      <c r="J536" t="str">
        <f t="shared" si="213"/>
        <v>Hipercaloricos</v>
      </c>
      <c r="K536">
        <v>3</v>
      </c>
      <c r="L536">
        <f t="shared" si="214"/>
        <v>1</v>
      </c>
      <c r="M536" t="str">
        <f t="shared" si="215"/>
        <v>Suele comer</v>
      </c>
      <c r="N536">
        <v>3</v>
      </c>
      <c r="O536">
        <f t="shared" si="216"/>
        <v>2</v>
      </c>
      <c r="P536" t="str">
        <f t="shared" si="217"/>
        <v>Mas de 3</v>
      </c>
      <c r="Q536">
        <v>2</v>
      </c>
      <c r="R536" t="str">
        <f t="shared" si="218"/>
        <v>Usualmente</v>
      </c>
      <c r="S536">
        <v>0</v>
      </c>
      <c r="T536" t="str">
        <f t="shared" si="219"/>
        <v>No fuma</v>
      </c>
      <c r="U536">
        <v>2</v>
      </c>
      <c r="V536">
        <f t="shared" si="220"/>
        <v>2</v>
      </c>
      <c r="W536" t="str">
        <f t="shared" si="221"/>
        <v>Siempre</v>
      </c>
      <c r="X536">
        <v>0</v>
      </c>
      <c r="Y536" t="str">
        <f t="shared" si="222"/>
        <v>No controla</v>
      </c>
      <c r="Z536">
        <v>0.65889399999999998</v>
      </c>
      <c r="AA536">
        <f t="shared" si="223"/>
        <v>0</v>
      </c>
      <c r="AB536" t="str">
        <f t="shared" si="224"/>
        <v>Nunca</v>
      </c>
      <c r="AC536">
        <v>1</v>
      </c>
      <c r="AD536">
        <f t="shared" si="225"/>
        <v>1</v>
      </c>
      <c r="AE536" t="str">
        <f t="shared" si="226"/>
        <v>Usualmente</v>
      </c>
      <c r="AF536">
        <v>0</v>
      </c>
      <c r="AG536" t="str">
        <f t="shared" si="227"/>
        <v>Nunca</v>
      </c>
      <c r="AH536">
        <v>0</v>
      </c>
      <c r="AI536" t="str">
        <f t="shared" si="228"/>
        <v>No usa</v>
      </c>
      <c r="AJ536">
        <v>0</v>
      </c>
      <c r="AK536" t="str">
        <f t="shared" si="229"/>
        <v>No usa</v>
      </c>
      <c r="AL536">
        <v>0</v>
      </c>
      <c r="AM536" t="str">
        <f t="shared" si="230"/>
        <v>No usa</v>
      </c>
      <c r="AN536">
        <v>1</v>
      </c>
      <c r="AO536" t="str">
        <f t="shared" si="231"/>
        <v>Usa Transporte</v>
      </c>
      <c r="AP536">
        <v>0</v>
      </c>
      <c r="AQ536" t="str">
        <f t="shared" si="232"/>
        <v>No camina</v>
      </c>
      <c r="AR536">
        <v>0</v>
      </c>
      <c r="AS536" t="str">
        <f t="shared" si="233"/>
        <v>No es obeso</v>
      </c>
    </row>
    <row r="537" spans="1:45" x14ac:dyDescent="0.25">
      <c r="A537">
        <v>1</v>
      </c>
      <c r="B537" t="str">
        <f t="shared" si="208"/>
        <v>M</v>
      </c>
      <c r="C537">
        <v>2181119</v>
      </c>
      <c r="D537">
        <f t="shared" si="209"/>
        <v>5</v>
      </c>
      <c r="E537">
        <f t="shared" si="210"/>
        <v>5</v>
      </c>
      <c r="F537" t="str">
        <f t="shared" si="211"/>
        <v>1-25</v>
      </c>
      <c r="G537">
        <v>1</v>
      </c>
      <c r="H537" t="str">
        <f t="shared" si="212"/>
        <v>Pariente gordo</v>
      </c>
      <c r="I537">
        <v>1</v>
      </c>
      <c r="J537" t="str">
        <f t="shared" si="213"/>
        <v>Hipercaloricos</v>
      </c>
      <c r="K537">
        <v>3</v>
      </c>
      <c r="L537">
        <f t="shared" si="214"/>
        <v>1</v>
      </c>
      <c r="M537" t="str">
        <f t="shared" si="215"/>
        <v>Suele comer</v>
      </c>
      <c r="N537">
        <v>3156153</v>
      </c>
      <c r="O537">
        <f t="shared" si="216"/>
        <v>2</v>
      </c>
      <c r="P537" t="str">
        <f t="shared" si="217"/>
        <v>Mas de 3</v>
      </c>
      <c r="Q537">
        <v>2</v>
      </c>
      <c r="R537" t="str">
        <f t="shared" si="218"/>
        <v>Usualmente</v>
      </c>
      <c r="S537">
        <v>0</v>
      </c>
      <c r="T537" t="str">
        <f t="shared" si="219"/>
        <v>No fuma</v>
      </c>
      <c r="U537">
        <v>1253803</v>
      </c>
      <c r="V537">
        <f t="shared" si="220"/>
        <v>2</v>
      </c>
      <c r="W537" t="str">
        <f t="shared" si="221"/>
        <v>Siempre</v>
      </c>
      <c r="X537">
        <v>0</v>
      </c>
      <c r="Y537" t="str">
        <f t="shared" si="222"/>
        <v>No controla</v>
      </c>
      <c r="Z537">
        <v>0.54478400000000005</v>
      </c>
      <c r="AA537">
        <f t="shared" si="223"/>
        <v>0</v>
      </c>
      <c r="AB537" t="str">
        <f t="shared" si="224"/>
        <v>Nunca</v>
      </c>
      <c r="AC537">
        <v>0.256382</v>
      </c>
      <c r="AD537">
        <f t="shared" si="225"/>
        <v>0</v>
      </c>
      <c r="AE537" t="str">
        <f t="shared" si="226"/>
        <v>Nunca</v>
      </c>
      <c r="AF537">
        <v>0</v>
      </c>
      <c r="AG537" t="str">
        <f t="shared" si="227"/>
        <v>Nunca</v>
      </c>
      <c r="AH537">
        <v>0</v>
      </c>
      <c r="AI537" t="str">
        <f t="shared" si="228"/>
        <v>No usa</v>
      </c>
      <c r="AJ537">
        <v>0</v>
      </c>
      <c r="AK537" t="str">
        <f t="shared" si="229"/>
        <v>No usa</v>
      </c>
      <c r="AL537">
        <v>0</v>
      </c>
      <c r="AM537" t="str">
        <f t="shared" si="230"/>
        <v>No usa</v>
      </c>
      <c r="AN537">
        <v>1</v>
      </c>
      <c r="AO537" t="str">
        <f t="shared" si="231"/>
        <v>Usa Transporte</v>
      </c>
      <c r="AP537">
        <v>0</v>
      </c>
      <c r="AQ537" t="str">
        <f t="shared" si="232"/>
        <v>No camina</v>
      </c>
      <c r="AR537">
        <v>0</v>
      </c>
      <c r="AS537" t="str">
        <f t="shared" si="233"/>
        <v>No es obeso</v>
      </c>
    </row>
    <row r="538" spans="1:45" x14ac:dyDescent="0.25">
      <c r="A538">
        <v>1</v>
      </c>
      <c r="B538" t="str">
        <f t="shared" si="208"/>
        <v>M</v>
      </c>
      <c r="C538">
        <v>18164768</v>
      </c>
      <c r="D538">
        <f t="shared" si="209"/>
        <v>49</v>
      </c>
      <c r="E538">
        <f t="shared" si="210"/>
        <v>49</v>
      </c>
      <c r="F538" t="str">
        <f t="shared" si="211"/>
        <v>25-50</v>
      </c>
      <c r="G538">
        <v>1</v>
      </c>
      <c r="H538" t="str">
        <f t="shared" si="212"/>
        <v>Pariente gordo</v>
      </c>
      <c r="I538">
        <v>1</v>
      </c>
      <c r="J538" t="str">
        <f t="shared" si="213"/>
        <v>Hipercaloricos</v>
      </c>
      <c r="K538">
        <v>3</v>
      </c>
      <c r="L538">
        <f t="shared" si="214"/>
        <v>1</v>
      </c>
      <c r="M538" t="str">
        <f t="shared" si="215"/>
        <v>Suele comer</v>
      </c>
      <c r="N538">
        <v>3</v>
      </c>
      <c r="O538">
        <f t="shared" si="216"/>
        <v>2</v>
      </c>
      <c r="P538" t="str">
        <f t="shared" si="217"/>
        <v>Mas de 3</v>
      </c>
      <c r="Q538">
        <v>2</v>
      </c>
      <c r="R538" t="str">
        <f t="shared" si="218"/>
        <v>Usualmente</v>
      </c>
      <c r="S538">
        <v>0</v>
      </c>
      <c r="T538" t="str">
        <f t="shared" si="219"/>
        <v>No fuma</v>
      </c>
      <c r="U538">
        <v>2</v>
      </c>
      <c r="V538">
        <f t="shared" si="220"/>
        <v>2</v>
      </c>
      <c r="W538" t="str">
        <f t="shared" si="221"/>
        <v>Siempre</v>
      </c>
      <c r="X538">
        <v>0</v>
      </c>
      <c r="Y538" t="str">
        <f t="shared" si="222"/>
        <v>No controla</v>
      </c>
      <c r="Z538">
        <v>0.81968200000000002</v>
      </c>
      <c r="AA538">
        <f t="shared" si="223"/>
        <v>0</v>
      </c>
      <c r="AB538" t="str">
        <f t="shared" si="224"/>
        <v>Nunca</v>
      </c>
      <c r="AC538">
        <v>1</v>
      </c>
      <c r="AD538">
        <f t="shared" si="225"/>
        <v>1</v>
      </c>
      <c r="AE538" t="str">
        <f t="shared" si="226"/>
        <v>Usualmente</v>
      </c>
      <c r="AF538">
        <v>0</v>
      </c>
      <c r="AG538" t="str">
        <f t="shared" si="227"/>
        <v>Nunca</v>
      </c>
      <c r="AH538">
        <v>0</v>
      </c>
      <c r="AI538" t="str">
        <f t="shared" si="228"/>
        <v>No usa</v>
      </c>
      <c r="AJ538">
        <v>0</v>
      </c>
      <c r="AK538" t="str">
        <f t="shared" si="229"/>
        <v>No usa</v>
      </c>
      <c r="AL538">
        <v>0</v>
      </c>
      <c r="AM538" t="str">
        <f t="shared" si="230"/>
        <v>No usa</v>
      </c>
      <c r="AN538">
        <v>1</v>
      </c>
      <c r="AO538" t="str">
        <f t="shared" si="231"/>
        <v>Usa Transporte</v>
      </c>
      <c r="AP538">
        <v>0</v>
      </c>
      <c r="AQ538" t="str">
        <f t="shared" si="232"/>
        <v>No camina</v>
      </c>
      <c r="AR538">
        <v>0</v>
      </c>
      <c r="AS538" t="str">
        <f t="shared" si="233"/>
        <v>No es obeso</v>
      </c>
    </row>
    <row r="539" spans="1:45" x14ac:dyDescent="0.25">
      <c r="A539">
        <v>0</v>
      </c>
      <c r="B539" t="str">
        <f t="shared" si="208"/>
        <v>F</v>
      </c>
      <c r="C539">
        <v>18871794</v>
      </c>
      <c r="D539">
        <f t="shared" si="209"/>
        <v>51</v>
      </c>
      <c r="E539">
        <f t="shared" si="210"/>
        <v>51</v>
      </c>
      <c r="F539" t="str">
        <f t="shared" si="211"/>
        <v>50-75</v>
      </c>
      <c r="G539">
        <v>0</v>
      </c>
      <c r="H539" t="str">
        <f t="shared" si="212"/>
        <v>Pariente normal</v>
      </c>
      <c r="I539">
        <v>1</v>
      </c>
      <c r="J539" t="str">
        <f t="shared" si="213"/>
        <v>Hipercaloricos</v>
      </c>
      <c r="K539">
        <v>2</v>
      </c>
      <c r="L539">
        <f t="shared" si="214"/>
        <v>1</v>
      </c>
      <c r="M539" t="str">
        <f t="shared" si="215"/>
        <v>Suele comer</v>
      </c>
      <c r="N539">
        <v>107976</v>
      </c>
      <c r="O539">
        <f t="shared" si="216"/>
        <v>2</v>
      </c>
      <c r="P539" t="str">
        <f t="shared" si="217"/>
        <v>Mas de 3</v>
      </c>
      <c r="Q539">
        <v>1</v>
      </c>
      <c r="R539" t="str">
        <f t="shared" si="218"/>
        <v>A veces</v>
      </c>
      <c r="S539">
        <v>0</v>
      </c>
      <c r="T539" t="str">
        <f t="shared" si="219"/>
        <v>No fuma</v>
      </c>
      <c r="U539">
        <v>1</v>
      </c>
      <c r="V539">
        <f t="shared" si="220"/>
        <v>1</v>
      </c>
      <c r="W539" t="str">
        <f t="shared" si="221"/>
        <v>Usualmente</v>
      </c>
      <c r="X539">
        <v>0</v>
      </c>
      <c r="Y539" t="str">
        <f t="shared" si="222"/>
        <v>No controla</v>
      </c>
      <c r="Z539">
        <v>0.194745</v>
      </c>
      <c r="AA539">
        <f t="shared" si="223"/>
        <v>0</v>
      </c>
      <c r="AB539" t="str">
        <f t="shared" si="224"/>
        <v>Nunca</v>
      </c>
      <c r="AC539">
        <v>1547086</v>
      </c>
      <c r="AD539">
        <f t="shared" si="225"/>
        <v>2</v>
      </c>
      <c r="AE539" t="str">
        <f t="shared" si="226"/>
        <v>Siempre</v>
      </c>
      <c r="AF539">
        <v>1</v>
      </c>
      <c r="AG539" t="str">
        <f t="shared" si="227"/>
        <v>A veces</v>
      </c>
      <c r="AH539">
        <v>0</v>
      </c>
      <c r="AI539" t="str">
        <f t="shared" si="228"/>
        <v>No usa</v>
      </c>
      <c r="AJ539">
        <v>0</v>
      </c>
      <c r="AK539" t="str">
        <f t="shared" si="229"/>
        <v>No usa</v>
      </c>
      <c r="AL539">
        <v>0</v>
      </c>
      <c r="AM539" t="str">
        <f t="shared" si="230"/>
        <v>No usa</v>
      </c>
      <c r="AN539">
        <v>1</v>
      </c>
      <c r="AO539" t="str">
        <f t="shared" si="231"/>
        <v>Usa Transporte</v>
      </c>
      <c r="AP539">
        <v>0</v>
      </c>
      <c r="AQ539" t="str">
        <f t="shared" si="232"/>
        <v>No camina</v>
      </c>
      <c r="AR539">
        <v>0</v>
      </c>
      <c r="AS539" t="str">
        <f t="shared" si="233"/>
        <v>No es obeso</v>
      </c>
    </row>
    <row r="540" spans="1:45" x14ac:dyDescent="0.25">
      <c r="A540">
        <v>0</v>
      </c>
      <c r="B540" t="str">
        <f t="shared" si="208"/>
        <v>F</v>
      </c>
      <c r="C540">
        <v>18766033</v>
      </c>
      <c r="D540">
        <f t="shared" si="209"/>
        <v>51</v>
      </c>
      <c r="E540">
        <f t="shared" si="210"/>
        <v>51</v>
      </c>
      <c r="F540" t="str">
        <f t="shared" si="211"/>
        <v>50-75</v>
      </c>
      <c r="G540">
        <v>0</v>
      </c>
      <c r="H540" t="str">
        <f t="shared" si="212"/>
        <v>Pariente normal</v>
      </c>
      <c r="I540">
        <v>1</v>
      </c>
      <c r="J540" t="str">
        <f t="shared" si="213"/>
        <v>Hipercaloricos</v>
      </c>
      <c r="K540">
        <v>2027574</v>
      </c>
      <c r="L540">
        <f t="shared" si="214"/>
        <v>1</v>
      </c>
      <c r="M540" t="str">
        <f t="shared" si="215"/>
        <v>Suele comer</v>
      </c>
      <c r="N540">
        <v>1</v>
      </c>
      <c r="O540">
        <f t="shared" si="216"/>
        <v>1</v>
      </c>
      <c r="P540">
        <f t="shared" si="217"/>
        <v>3</v>
      </c>
      <c r="Q540">
        <v>1</v>
      </c>
      <c r="R540" t="str">
        <f t="shared" si="218"/>
        <v>A veces</v>
      </c>
      <c r="S540">
        <v>0</v>
      </c>
      <c r="T540" t="str">
        <f t="shared" si="219"/>
        <v>No fuma</v>
      </c>
      <c r="U540">
        <v>1636326</v>
      </c>
      <c r="V540">
        <f t="shared" si="220"/>
        <v>2</v>
      </c>
      <c r="W540" t="str">
        <f t="shared" si="221"/>
        <v>Siempre</v>
      </c>
      <c r="X540">
        <v>0</v>
      </c>
      <c r="Y540" t="str">
        <f t="shared" si="222"/>
        <v>No controla</v>
      </c>
      <c r="Z540">
        <v>0</v>
      </c>
      <c r="AA540">
        <f t="shared" si="223"/>
        <v>0</v>
      </c>
      <c r="AB540" t="str">
        <f t="shared" si="224"/>
        <v>Nunca</v>
      </c>
      <c r="AC540">
        <v>1906141</v>
      </c>
      <c r="AD540">
        <f t="shared" si="225"/>
        <v>2</v>
      </c>
      <c r="AE540" t="str">
        <f t="shared" si="226"/>
        <v>Siempre</v>
      </c>
      <c r="AF540">
        <v>1</v>
      </c>
      <c r="AG540" t="str">
        <f t="shared" si="227"/>
        <v>A veces</v>
      </c>
      <c r="AH540">
        <v>0</v>
      </c>
      <c r="AI540" t="str">
        <f t="shared" si="228"/>
        <v>No usa</v>
      </c>
      <c r="AJ540">
        <v>0</v>
      </c>
      <c r="AK540" t="str">
        <f t="shared" si="229"/>
        <v>No usa</v>
      </c>
      <c r="AL540">
        <v>0</v>
      </c>
      <c r="AM540" t="str">
        <f t="shared" si="230"/>
        <v>No usa</v>
      </c>
      <c r="AN540">
        <v>1</v>
      </c>
      <c r="AO540" t="str">
        <f t="shared" si="231"/>
        <v>Usa Transporte</v>
      </c>
      <c r="AP540">
        <v>0</v>
      </c>
      <c r="AQ540" t="str">
        <f t="shared" si="232"/>
        <v>No camina</v>
      </c>
      <c r="AR540">
        <v>0</v>
      </c>
      <c r="AS540" t="str">
        <f t="shared" si="233"/>
        <v>No es obeso</v>
      </c>
    </row>
    <row r="541" spans="1:45" x14ac:dyDescent="0.25">
      <c r="A541">
        <v>0</v>
      </c>
      <c r="B541" t="str">
        <f t="shared" si="208"/>
        <v>F</v>
      </c>
      <c r="C541">
        <v>18540535</v>
      </c>
      <c r="D541">
        <f t="shared" si="209"/>
        <v>50</v>
      </c>
      <c r="E541">
        <f t="shared" si="210"/>
        <v>50</v>
      </c>
      <c r="F541" t="str">
        <f t="shared" si="211"/>
        <v>25-50</v>
      </c>
      <c r="G541">
        <v>0</v>
      </c>
      <c r="H541" t="str">
        <f t="shared" si="212"/>
        <v>Pariente normal</v>
      </c>
      <c r="I541">
        <v>1</v>
      </c>
      <c r="J541" t="str">
        <f t="shared" si="213"/>
        <v>Hipercaloricos</v>
      </c>
      <c r="K541">
        <v>2658112</v>
      </c>
      <c r="L541">
        <f t="shared" si="214"/>
        <v>1</v>
      </c>
      <c r="M541" t="str">
        <f t="shared" si="215"/>
        <v>Suele comer</v>
      </c>
      <c r="N541">
        <v>1</v>
      </c>
      <c r="O541">
        <f t="shared" si="216"/>
        <v>1</v>
      </c>
      <c r="P541">
        <f t="shared" si="217"/>
        <v>3</v>
      </c>
      <c r="Q541">
        <v>1</v>
      </c>
      <c r="R541" t="str">
        <f t="shared" si="218"/>
        <v>A veces</v>
      </c>
      <c r="S541">
        <v>0</v>
      </c>
      <c r="T541" t="str">
        <f t="shared" si="219"/>
        <v>No fuma</v>
      </c>
      <c r="U541">
        <v>1298165</v>
      </c>
      <c r="V541">
        <f t="shared" si="220"/>
        <v>2</v>
      </c>
      <c r="W541" t="str">
        <f t="shared" si="221"/>
        <v>Siempre</v>
      </c>
      <c r="X541">
        <v>0</v>
      </c>
      <c r="Y541" t="str">
        <f t="shared" si="222"/>
        <v>No controla</v>
      </c>
      <c r="Z541">
        <v>0</v>
      </c>
      <c r="AA541">
        <f t="shared" si="223"/>
        <v>0</v>
      </c>
      <c r="AB541" t="str">
        <f t="shared" si="224"/>
        <v>Nunca</v>
      </c>
      <c r="AC541">
        <v>1639326</v>
      </c>
      <c r="AD541">
        <f t="shared" si="225"/>
        <v>2</v>
      </c>
      <c r="AE541" t="str">
        <f t="shared" si="226"/>
        <v>Siempre</v>
      </c>
      <c r="AF541">
        <v>1</v>
      </c>
      <c r="AG541" t="str">
        <f t="shared" si="227"/>
        <v>A veces</v>
      </c>
      <c r="AH541">
        <v>0</v>
      </c>
      <c r="AI541" t="str">
        <f t="shared" si="228"/>
        <v>No usa</v>
      </c>
      <c r="AJ541">
        <v>0</v>
      </c>
      <c r="AK541" t="str">
        <f t="shared" si="229"/>
        <v>No usa</v>
      </c>
      <c r="AL541">
        <v>0</v>
      </c>
      <c r="AM541" t="str">
        <f t="shared" si="230"/>
        <v>No usa</v>
      </c>
      <c r="AN541">
        <v>1</v>
      </c>
      <c r="AO541" t="str">
        <f t="shared" si="231"/>
        <v>Usa Transporte</v>
      </c>
      <c r="AP541">
        <v>0</v>
      </c>
      <c r="AQ541" t="str">
        <f t="shared" si="232"/>
        <v>No camina</v>
      </c>
      <c r="AR541">
        <v>0</v>
      </c>
      <c r="AS541" t="str">
        <f t="shared" si="233"/>
        <v>No es obeso</v>
      </c>
    </row>
    <row r="542" spans="1:45" x14ac:dyDescent="0.25">
      <c r="A542">
        <v>0</v>
      </c>
      <c r="B542" t="str">
        <f t="shared" si="208"/>
        <v>F</v>
      </c>
      <c r="C542">
        <v>1988036</v>
      </c>
      <c r="D542">
        <f t="shared" si="209"/>
        <v>5</v>
      </c>
      <c r="E542">
        <f t="shared" si="210"/>
        <v>5</v>
      </c>
      <c r="F542" t="str">
        <f t="shared" si="211"/>
        <v>1-25</v>
      </c>
      <c r="G542">
        <v>0</v>
      </c>
      <c r="H542" t="str">
        <f t="shared" si="212"/>
        <v>Pariente normal</v>
      </c>
      <c r="I542">
        <v>0</v>
      </c>
      <c r="J542" t="str">
        <f t="shared" si="213"/>
        <v>Saludables</v>
      </c>
      <c r="K542">
        <v>288626</v>
      </c>
      <c r="L542">
        <f t="shared" si="214"/>
        <v>1</v>
      </c>
      <c r="M542" t="str">
        <f t="shared" si="215"/>
        <v>Suele comer</v>
      </c>
      <c r="N542">
        <v>3559841</v>
      </c>
      <c r="O542">
        <f t="shared" si="216"/>
        <v>2</v>
      </c>
      <c r="P542" t="str">
        <f t="shared" si="217"/>
        <v>Mas de 3</v>
      </c>
      <c r="Q542">
        <v>2</v>
      </c>
      <c r="R542" t="str">
        <f t="shared" si="218"/>
        <v>Usualmente</v>
      </c>
      <c r="S542">
        <v>0</v>
      </c>
      <c r="T542" t="str">
        <f t="shared" si="219"/>
        <v>No fuma</v>
      </c>
      <c r="U542">
        <v>1632004</v>
      </c>
      <c r="V542">
        <f t="shared" si="220"/>
        <v>2</v>
      </c>
      <c r="W542" t="str">
        <f t="shared" si="221"/>
        <v>Siempre</v>
      </c>
      <c r="X542">
        <v>0</v>
      </c>
      <c r="Y542" t="str">
        <f t="shared" si="222"/>
        <v>No controla</v>
      </c>
      <c r="Z542">
        <v>2</v>
      </c>
      <c r="AA542">
        <f t="shared" si="223"/>
        <v>2</v>
      </c>
      <c r="AB542" t="str">
        <f t="shared" si="224"/>
        <v>Usualmente</v>
      </c>
      <c r="AC542">
        <v>1</v>
      </c>
      <c r="AD542">
        <f t="shared" si="225"/>
        <v>1</v>
      </c>
      <c r="AE542" t="str">
        <f t="shared" si="226"/>
        <v>Usualmente</v>
      </c>
      <c r="AF542">
        <v>1</v>
      </c>
      <c r="AG542" t="str">
        <f t="shared" si="227"/>
        <v>A veces</v>
      </c>
      <c r="AH542">
        <v>0</v>
      </c>
      <c r="AI542" t="str">
        <f t="shared" si="228"/>
        <v>No usa</v>
      </c>
      <c r="AJ542">
        <v>0</v>
      </c>
      <c r="AK542" t="str">
        <f t="shared" si="229"/>
        <v>No usa</v>
      </c>
      <c r="AL542">
        <v>0</v>
      </c>
      <c r="AM542" t="str">
        <f t="shared" si="230"/>
        <v>No usa</v>
      </c>
      <c r="AN542">
        <v>1</v>
      </c>
      <c r="AO542" t="str">
        <f t="shared" si="231"/>
        <v>Usa Transporte</v>
      </c>
      <c r="AP542">
        <v>0</v>
      </c>
      <c r="AQ542" t="str">
        <f t="shared" si="232"/>
        <v>No camina</v>
      </c>
      <c r="AR542">
        <v>0</v>
      </c>
      <c r="AS542" t="str">
        <f t="shared" si="233"/>
        <v>No es obeso</v>
      </c>
    </row>
    <row r="543" spans="1:45" x14ac:dyDescent="0.25">
      <c r="A543">
        <v>0</v>
      </c>
      <c r="B543" t="str">
        <f t="shared" si="208"/>
        <v>F</v>
      </c>
      <c r="C543">
        <v>19717249</v>
      </c>
      <c r="D543">
        <f t="shared" si="209"/>
        <v>54</v>
      </c>
      <c r="E543">
        <f t="shared" si="210"/>
        <v>54</v>
      </c>
      <c r="F543" t="str">
        <f t="shared" si="211"/>
        <v>50-75</v>
      </c>
      <c r="G543">
        <v>0</v>
      </c>
      <c r="H543" t="str">
        <f t="shared" si="212"/>
        <v>Pariente normal</v>
      </c>
      <c r="I543">
        <v>0</v>
      </c>
      <c r="J543" t="str">
        <f t="shared" si="213"/>
        <v>Saludables</v>
      </c>
      <c r="K543">
        <v>2714447</v>
      </c>
      <c r="L543">
        <f t="shared" si="214"/>
        <v>1</v>
      </c>
      <c r="M543" t="str">
        <f t="shared" si="215"/>
        <v>Suele comer</v>
      </c>
      <c r="N543">
        <v>3</v>
      </c>
      <c r="O543">
        <f t="shared" si="216"/>
        <v>2</v>
      </c>
      <c r="P543" t="str">
        <f t="shared" si="217"/>
        <v>Mas de 3</v>
      </c>
      <c r="Q543">
        <v>2</v>
      </c>
      <c r="R543" t="str">
        <f t="shared" si="218"/>
        <v>Usualmente</v>
      </c>
      <c r="S543">
        <v>0</v>
      </c>
      <c r="T543" t="str">
        <f t="shared" si="219"/>
        <v>No fuma</v>
      </c>
      <c r="U543">
        <v>2</v>
      </c>
      <c r="V543">
        <f t="shared" si="220"/>
        <v>2</v>
      </c>
      <c r="W543" t="str">
        <f t="shared" si="221"/>
        <v>Siempre</v>
      </c>
      <c r="X543">
        <v>0</v>
      </c>
      <c r="Y543" t="str">
        <f t="shared" si="222"/>
        <v>No controla</v>
      </c>
      <c r="Z543">
        <v>1903182</v>
      </c>
      <c r="AA543">
        <f t="shared" si="223"/>
        <v>3</v>
      </c>
      <c r="AB543" t="str">
        <f t="shared" si="224"/>
        <v>Siempre</v>
      </c>
      <c r="AC543">
        <v>1</v>
      </c>
      <c r="AD543">
        <f t="shared" si="225"/>
        <v>1</v>
      </c>
      <c r="AE543" t="str">
        <f t="shared" si="226"/>
        <v>Usualmente</v>
      </c>
      <c r="AF543">
        <v>1</v>
      </c>
      <c r="AG543" t="str">
        <f t="shared" si="227"/>
        <v>A veces</v>
      </c>
      <c r="AH543">
        <v>0</v>
      </c>
      <c r="AI543" t="str">
        <f t="shared" si="228"/>
        <v>No usa</v>
      </c>
      <c r="AJ543">
        <v>0</v>
      </c>
      <c r="AK543" t="str">
        <f t="shared" si="229"/>
        <v>No usa</v>
      </c>
      <c r="AL543">
        <v>0</v>
      </c>
      <c r="AM543" t="str">
        <f t="shared" si="230"/>
        <v>No usa</v>
      </c>
      <c r="AN543">
        <v>1</v>
      </c>
      <c r="AO543" t="str">
        <f t="shared" si="231"/>
        <v>Usa Transporte</v>
      </c>
      <c r="AP543">
        <v>0</v>
      </c>
      <c r="AQ543" t="str">
        <f t="shared" si="232"/>
        <v>No camina</v>
      </c>
      <c r="AR543">
        <v>0</v>
      </c>
      <c r="AS543" t="str">
        <f t="shared" si="233"/>
        <v>No es obeso</v>
      </c>
    </row>
    <row r="544" spans="1:45" x14ac:dyDescent="0.25">
      <c r="A544">
        <v>0</v>
      </c>
      <c r="B544" t="str">
        <f t="shared" si="208"/>
        <v>F</v>
      </c>
      <c r="C544">
        <v>19633898</v>
      </c>
      <c r="D544">
        <f t="shared" si="209"/>
        <v>53</v>
      </c>
      <c r="E544">
        <f t="shared" si="210"/>
        <v>53</v>
      </c>
      <c r="F544" t="str">
        <f t="shared" si="211"/>
        <v>50-75</v>
      </c>
      <c r="G544">
        <v>0</v>
      </c>
      <c r="H544" t="str">
        <f t="shared" si="212"/>
        <v>Pariente normal</v>
      </c>
      <c r="I544">
        <v>0</v>
      </c>
      <c r="J544" t="str">
        <f t="shared" si="213"/>
        <v>Saludables</v>
      </c>
      <c r="K544">
        <v>2750715</v>
      </c>
      <c r="L544">
        <f t="shared" si="214"/>
        <v>1</v>
      </c>
      <c r="M544" t="str">
        <f t="shared" si="215"/>
        <v>Suele comer</v>
      </c>
      <c r="N544">
        <v>3</v>
      </c>
      <c r="O544">
        <f t="shared" si="216"/>
        <v>2</v>
      </c>
      <c r="P544" t="str">
        <f t="shared" si="217"/>
        <v>Mas de 3</v>
      </c>
      <c r="Q544">
        <v>2</v>
      </c>
      <c r="R544" t="str">
        <f t="shared" si="218"/>
        <v>Usualmente</v>
      </c>
      <c r="S544">
        <v>0</v>
      </c>
      <c r="T544" t="str">
        <f t="shared" si="219"/>
        <v>No fuma</v>
      </c>
      <c r="U544">
        <v>2</v>
      </c>
      <c r="V544">
        <f t="shared" si="220"/>
        <v>2</v>
      </c>
      <c r="W544" t="str">
        <f t="shared" si="221"/>
        <v>Siempre</v>
      </c>
      <c r="X544">
        <v>0</v>
      </c>
      <c r="Y544" t="str">
        <f t="shared" si="222"/>
        <v>No controla</v>
      </c>
      <c r="Z544">
        <v>1067817</v>
      </c>
      <c r="AA544">
        <f t="shared" si="223"/>
        <v>3</v>
      </c>
      <c r="AB544" t="str">
        <f t="shared" si="224"/>
        <v>Siempre</v>
      </c>
      <c r="AC544">
        <v>1</v>
      </c>
      <c r="AD544">
        <f t="shared" si="225"/>
        <v>1</v>
      </c>
      <c r="AE544" t="str">
        <f t="shared" si="226"/>
        <v>Usualmente</v>
      </c>
      <c r="AF544">
        <v>1</v>
      </c>
      <c r="AG544" t="str">
        <f t="shared" si="227"/>
        <v>A veces</v>
      </c>
      <c r="AH544">
        <v>0</v>
      </c>
      <c r="AI544" t="str">
        <f t="shared" si="228"/>
        <v>No usa</v>
      </c>
      <c r="AJ544">
        <v>0</v>
      </c>
      <c r="AK544" t="str">
        <f t="shared" si="229"/>
        <v>No usa</v>
      </c>
      <c r="AL544">
        <v>0</v>
      </c>
      <c r="AM544" t="str">
        <f t="shared" si="230"/>
        <v>No usa</v>
      </c>
      <c r="AN544">
        <v>1</v>
      </c>
      <c r="AO544" t="str">
        <f t="shared" si="231"/>
        <v>Usa Transporte</v>
      </c>
      <c r="AP544">
        <v>0</v>
      </c>
      <c r="AQ544" t="str">
        <f t="shared" si="232"/>
        <v>No camina</v>
      </c>
      <c r="AR544">
        <v>0</v>
      </c>
      <c r="AS544" t="str">
        <f t="shared" si="233"/>
        <v>No es obeso</v>
      </c>
    </row>
    <row r="545" spans="1:45" x14ac:dyDescent="0.25">
      <c r="A545">
        <v>0</v>
      </c>
      <c r="B545" t="str">
        <f t="shared" si="208"/>
        <v>F</v>
      </c>
      <c r="C545">
        <v>23</v>
      </c>
      <c r="D545">
        <f t="shared" si="209"/>
        <v>23</v>
      </c>
      <c r="E545">
        <f t="shared" si="210"/>
        <v>23</v>
      </c>
      <c r="F545" t="str">
        <f t="shared" si="211"/>
        <v>1-25</v>
      </c>
      <c r="G545">
        <v>1</v>
      </c>
      <c r="H545" t="str">
        <f t="shared" si="212"/>
        <v>Pariente gordo</v>
      </c>
      <c r="I545">
        <v>1</v>
      </c>
      <c r="J545" t="str">
        <f t="shared" si="213"/>
        <v>Hipercaloricos</v>
      </c>
      <c r="K545">
        <v>2</v>
      </c>
      <c r="L545">
        <f t="shared" si="214"/>
        <v>1</v>
      </c>
      <c r="M545" t="str">
        <f t="shared" si="215"/>
        <v>Suele comer</v>
      </c>
      <c r="N545">
        <v>3</v>
      </c>
      <c r="O545">
        <f t="shared" si="216"/>
        <v>2</v>
      </c>
      <c r="P545" t="str">
        <f t="shared" si="217"/>
        <v>Mas de 3</v>
      </c>
      <c r="Q545">
        <v>2</v>
      </c>
      <c r="R545" t="str">
        <f t="shared" si="218"/>
        <v>Usualmente</v>
      </c>
      <c r="S545">
        <v>0</v>
      </c>
      <c r="T545" t="str">
        <f t="shared" si="219"/>
        <v>No fuma</v>
      </c>
      <c r="U545">
        <v>2099863</v>
      </c>
      <c r="V545">
        <f t="shared" si="220"/>
        <v>2</v>
      </c>
      <c r="W545" t="str">
        <f t="shared" si="221"/>
        <v>Siempre</v>
      </c>
      <c r="X545">
        <v>0</v>
      </c>
      <c r="Y545" t="str">
        <f t="shared" si="222"/>
        <v>No controla</v>
      </c>
      <c r="Z545">
        <v>163581</v>
      </c>
      <c r="AA545">
        <f t="shared" si="223"/>
        <v>2</v>
      </c>
      <c r="AB545" t="str">
        <f t="shared" si="224"/>
        <v>Usualmente</v>
      </c>
      <c r="AC545">
        <v>2</v>
      </c>
      <c r="AD545">
        <f t="shared" si="225"/>
        <v>2</v>
      </c>
      <c r="AE545" t="str">
        <f t="shared" si="226"/>
        <v>Siempre</v>
      </c>
      <c r="AF545">
        <v>0</v>
      </c>
      <c r="AG545" t="str">
        <f t="shared" si="227"/>
        <v>Nunca</v>
      </c>
      <c r="AH545">
        <v>0</v>
      </c>
      <c r="AI545" t="str">
        <f t="shared" si="228"/>
        <v>No usa</v>
      </c>
      <c r="AJ545">
        <v>0</v>
      </c>
      <c r="AK545" t="str">
        <f t="shared" si="229"/>
        <v>No usa</v>
      </c>
      <c r="AL545">
        <v>0</v>
      </c>
      <c r="AM545" t="str">
        <f t="shared" si="230"/>
        <v>No usa</v>
      </c>
      <c r="AN545">
        <v>1</v>
      </c>
      <c r="AO545" t="str">
        <f t="shared" si="231"/>
        <v>Usa Transporte</v>
      </c>
      <c r="AP545">
        <v>0</v>
      </c>
      <c r="AQ545" t="str">
        <f t="shared" si="232"/>
        <v>No camina</v>
      </c>
      <c r="AR545">
        <v>0</v>
      </c>
      <c r="AS545" t="str">
        <f t="shared" si="233"/>
        <v>No es obeso</v>
      </c>
    </row>
    <row r="546" spans="1:45" x14ac:dyDescent="0.25">
      <c r="A546">
        <v>0</v>
      </c>
      <c r="B546" t="str">
        <f t="shared" si="208"/>
        <v>F</v>
      </c>
      <c r="C546">
        <v>20406871</v>
      </c>
      <c r="D546">
        <f t="shared" si="209"/>
        <v>55</v>
      </c>
      <c r="E546">
        <f t="shared" si="210"/>
        <v>55</v>
      </c>
      <c r="F546" t="str">
        <f t="shared" si="211"/>
        <v>50-75</v>
      </c>
      <c r="G546">
        <v>1</v>
      </c>
      <c r="H546" t="str">
        <f t="shared" si="212"/>
        <v>Pariente gordo</v>
      </c>
      <c r="I546">
        <v>1</v>
      </c>
      <c r="J546" t="str">
        <f t="shared" si="213"/>
        <v>Hipercaloricos</v>
      </c>
      <c r="K546">
        <v>2</v>
      </c>
      <c r="L546">
        <f t="shared" si="214"/>
        <v>1</v>
      </c>
      <c r="M546" t="str">
        <f t="shared" si="215"/>
        <v>Suele comer</v>
      </c>
      <c r="N546">
        <v>3891994</v>
      </c>
      <c r="O546">
        <f t="shared" si="216"/>
        <v>2</v>
      </c>
      <c r="P546" t="str">
        <f t="shared" si="217"/>
        <v>Mas de 3</v>
      </c>
      <c r="Q546">
        <v>2</v>
      </c>
      <c r="R546" t="str">
        <f t="shared" si="218"/>
        <v>Usualmente</v>
      </c>
      <c r="S546">
        <v>0</v>
      </c>
      <c r="T546" t="str">
        <f t="shared" si="219"/>
        <v>No fuma</v>
      </c>
      <c r="U546">
        <v>186393</v>
      </c>
      <c r="V546">
        <f t="shared" si="220"/>
        <v>2</v>
      </c>
      <c r="W546" t="str">
        <f t="shared" si="221"/>
        <v>Siempre</v>
      </c>
      <c r="X546">
        <v>0</v>
      </c>
      <c r="Y546" t="str">
        <f t="shared" si="222"/>
        <v>No controla</v>
      </c>
      <c r="Z546">
        <v>2870127</v>
      </c>
      <c r="AA546">
        <f t="shared" si="223"/>
        <v>3</v>
      </c>
      <c r="AB546" t="str">
        <f t="shared" si="224"/>
        <v>Siempre</v>
      </c>
      <c r="AC546">
        <v>2</v>
      </c>
      <c r="AD546">
        <f t="shared" si="225"/>
        <v>2</v>
      </c>
      <c r="AE546" t="str">
        <f t="shared" si="226"/>
        <v>Siempre</v>
      </c>
      <c r="AF546">
        <v>0</v>
      </c>
      <c r="AG546" t="str">
        <f t="shared" si="227"/>
        <v>Nunca</v>
      </c>
      <c r="AH546">
        <v>0</v>
      </c>
      <c r="AI546" t="str">
        <f t="shared" si="228"/>
        <v>No usa</v>
      </c>
      <c r="AJ546">
        <v>0</v>
      </c>
      <c r="AK546" t="str">
        <f t="shared" si="229"/>
        <v>No usa</v>
      </c>
      <c r="AL546">
        <v>0</v>
      </c>
      <c r="AM546" t="str">
        <f t="shared" si="230"/>
        <v>No usa</v>
      </c>
      <c r="AN546">
        <v>1</v>
      </c>
      <c r="AO546" t="str">
        <f t="shared" si="231"/>
        <v>Usa Transporte</v>
      </c>
      <c r="AP546">
        <v>0</v>
      </c>
      <c r="AQ546" t="str">
        <f t="shared" si="232"/>
        <v>No camina</v>
      </c>
      <c r="AR546">
        <v>0</v>
      </c>
      <c r="AS546" t="str">
        <f t="shared" si="233"/>
        <v>No es obeso</v>
      </c>
    </row>
    <row r="547" spans="1:45" x14ac:dyDescent="0.25">
      <c r="A547">
        <v>0</v>
      </c>
      <c r="B547" t="str">
        <f t="shared" si="208"/>
        <v>F</v>
      </c>
      <c r="C547">
        <v>23</v>
      </c>
      <c r="D547">
        <f t="shared" si="209"/>
        <v>23</v>
      </c>
      <c r="E547">
        <f t="shared" si="210"/>
        <v>23</v>
      </c>
      <c r="F547" t="str">
        <f t="shared" si="211"/>
        <v>1-25</v>
      </c>
      <c r="G547">
        <v>1</v>
      </c>
      <c r="H547" t="str">
        <f t="shared" si="212"/>
        <v>Pariente gordo</v>
      </c>
      <c r="I547">
        <v>1</v>
      </c>
      <c r="J547" t="str">
        <f t="shared" si="213"/>
        <v>Hipercaloricos</v>
      </c>
      <c r="K547">
        <v>2</v>
      </c>
      <c r="L547">
        <f t="shared" si="214"/>
        <v>1</v>
      </c>
      <c r="M547" t="str">
        <f t="shared" si="215"/>
        <v>Suele comer</v>
      </c>
      <c r="N547">
        <v>3</v>
      </c>
      <c r="O547">
        <f t="shared" si="216"/>
        <v>2</v>
      </c>
      <c r="P547" t="str">
        <f t="shared" si="217"/>
        <v>Mas de 3</v>
      </c>
      <c r="Q547">
        <v>2</v>
      </c>
      <c r="R547" t="str">
        <f t="shared" si="218"/>
        <v>Usualmente</v>
      </c>
      <c r="S547">
        <v>0</v>
      </c>
      <c r="T547" t="str">
        <f t="shared" si="219"/>
        <v>No fuma</v>
      </c>
      <c r="U547">
        <v>1229915</v>
      </c>
      <c r="V547">
        <f t="shared" si="220"/>
        <v>2</v>
      </c>
      <c r="W547" t="str">
        <f t="shared" si="221"/>
        <v>Siempre</v>
      </c>
      <c r="X547">
        <v>0</v>
      </c>
      <c r="Y547" t="str">
        <f t="shared" si="222"/>
        <v>No controla</v>
      </c>
      <c r="Z547">
        <v>0.619533</v>
      </c>
      <c r="AA547">
        <f t="shared" si="223"/>
        <v>0</v>
      </c>
      <c r="AB547" t="str">
        <f t="shared" si="224"/>
        <v>Nunca</v>
      </c>
      <c r="AC547">
        <v>2</v>
      </c>
      <c r="AD547">
        <f t="shared" si="225"/>
        <v>2</v>
      </c>
      <c r="AE547" t="str">
        <f t="shared" si="226"/>
        <v>Siempre</v>
      </c>
      <c r="AF547">
        <v>0</v>
      </c>
      <c r="AG547" t="str">
        <f t="shared" si="227"/>
        <v>Nunca</v>
      </c>
      <c r="AH547">
        <v>0</v>
      </c>
      <c r="AI547" t="str">
        <f t="shared" si="228"/>
        <v>No usa</v>
      </c>
      <c r="AJ547">
        <v>0</v>
      </c>
      <c r="AK547" t="str">
        <f t="shared" si="229"/>
        <v>No usa</v>
      </c>
      <c r="AL547">
        <v>0</v>
      </c>
      <c r="AM547" t="str">
        <f t="shared" si="230"/>
        <v>No usa</v>
      </c>
      <c r="AN547">
        <v>1</v>
      </c>
      <c r="AO547" t="str">
        <f t="shared" si="231"/>
        <v>Usa Transporte</v>
      </c>
      <c r="AP547">
        <v>0</v>
      </c>
      <c r="AQ547" t="str">
        <f t="shared" si="232"/>
        <v>No camina</v>
      </c>
      <c r="AR547">
        <v>0</v>
      </c>
      <c r="AS547" t="str">
        <f t="shared" si="233"/>
        <v>No es obeso</v>
      </c>
    </row>
    <row r="548" spans="1:45" x14ac:dyDescent="0.25">
      <c r="A548">
        <v>0</v>
      </c>
      <c r="B548" t="str">
        <f t="shared" si="208"/>
        <v>F</v>
      </c>
      <c r="C548">
        <v>19058511</v>
      </c>
      <c r="D548">
        <f t="shared" si="209"/>
        <v>52</v>
      </c>
      <c r="E548">
        <f t="shared" si="210"/>
        <v>52</v>
      </c>
      <c r="F548" t="str">
        <f t="shared" si="211"/>
        <v>50-75</v>
      </c>
      <c r="G548">
        <v>0</v>
      </c>
      <c r="H548" t="str">
        <f t="shared" si="212"/>
        <v>Pariente normal</v>
      </c>
      <c r="I548">
        <v>1</v>
      </c>
      <c r="J548" t="str">
        <f t="shared" si="213"/>
        <v>Hipercaloricos</v>
      </c>
      <c r="K548">
        <v>14925</v>
      </c>
      <c r="L548">
        <f t="shared" si="214"/>
        <v>1</v>
      </c>
      <c r="M548" t="str">
        <f t="shared" si="215"/>
        <v>Suele comer</v>
      </c>
      <c r="N548">
        <v>3</v>
      </c>
      <c r="O548">
        <f t="shared" si="216"/>
        <v>2</v>
      </c>
      <c r="P548" t="str">
        <f t="shared" si="217"/>
        <v>Mas de 3</v>
      </c>
      <c r="Q548">
        <v>1</v>
      </c>
      <c r="R548" t="str">
        <f t="shared" si="218"/>
        <v>A veces</v>
      </c>
      <c r="S548">
        <v>0</v>
      </c>
      <c r="T548" t="str">
        <f t="shared" si="219"/>
        <v>No fuma</v>
      </c>
      <c r="U548">
        <v>1049134</v>
      </c>
      <c r="V548">
        <f t="shared" si="220"/>
        <v>2</v>
      </c>
      <c r="W548" t="str">
        <f t="shared" si="221"/>
        <v>Siempre</v>
      </c>
      <c r="X548">
        <v>0</v>
      </c>
      <c r="Y548" t="str">
        <f t="shared" si="222"/>
        <v>No controla</v>
      </c>
      <c r="Z548">
        <v>2</v>
      </c>
      <c r="AA548">
        <f t="shared" si="223"/>
        <v>2</v>
      </c>
      <c r="AB548" t="str">
        <f t="shared" si="224"/>
        <v>Usualmente</v>
      </c>
      <c r="AC548">
        <v>1</v>
      </c>
      <c r="AD548">
        <f t="shared" si="225"/>
        <v>1</v>
      </c>
      <c r="AE548" t="str">
        <f t="shared" si="226"/>
        <v>Usualmente</v>
      </c>
      <c r="AF548">
        <v>1</v>
      </c>
      <c r="AG548" t="str">
        <f t="shared" si="227"/>
        <v>A veces</v>
      </c>
      <c r="AH548">
        <v>0</v>
      </c>
      <c r="AI548" t="str">
        <f t="shared" si="228"/>
        <v>No usa</v>
      </c>
      <c r="AJ548">
        <v>0</v>
      </c>
      <c r="AK548" t="str">
        <f t="shared" si="229"/>
        <v>No usa</v>
      </c>
      <c r="AL548">
        <v>0</v>
      </c>
      <c r="AM548" t="str">
        <f t="shared" si="230"/>
        <v>No usa</v>
      </c>
      <c r="AN548">
        <v>1</v>
      </c>
      <c r="AO548" t="str">
        <f t="shared" si="231"/>
        <v>Usa Transporte</v>
      </c>
      <c r="AP548">
        <v>0</v>
      </c>
      <c r="AQ548" t="str">
        <f t="shared" si="232"/>
        <v>No camina</v>
      </c>
      <c r="AR548">
        <v>0</v>
      </c>
      <c r="AS548" t="str">
        <f t="shared" si="233"/>
        <v>No es obeso</v>
      </c>
    </row>
    <row r="549" spans="1:45" x14ac:dyDescent="0.25">
      <c r="A549">
        <v>0</v>
      </c>
      <c r="B549" t="str">
        <f t="shared" si="208"/>
        <v>F</v>
      </c>
      <c r="C549">
        <v>18827008</v>
      </c>
      <c r="D549">
        <f t="shared" si="209"/>
        <v>51</v>
      </c>
      <c r="E549">
        <f t="shared" si="210"/>
        <v>51</v>
      </c>
      <c r="F549" t="str">
        <f t="shared" si="211"/>
        <v>50-75</v>
      </c>
      <c r="G549">
        <v>0</v>
      </c>
      <c r="H549" t="str">
        <f t="shared" si="212"/>
        <v>Pariente normal</v>
      </c>
      <c r="I549">
        <v>1</v>
      </c>
      <c r="J549" t="str">
        <f t="shared" si="213"/>
        <v>Hipercaloricos</v>
      </c>
      <c r="K549">
        <v>1</v>
      </c>
      <c r="L549">
        <f t="shared" si="214"/>
        <v>1</v>
      </c>
      <c r="M549" t="str">
        <f t="shared" si="215"/>
        <v>Suele comer</v>
      </c>
      <c r="N549">
        <v>3240578</v>
      </c>
      <c r="O549">
        <f t="shared" si="216"/>
        <v>2</v>
      </c>
      <c r="P549" t="str">
        <f t="shared" si="217"/>
        <v>Mas de 3</v>
      </c>
      <c r="Q549">
        <v>1</v>
      </c>
      <c r="R549" t="str">
        <f t="shared" si="218"/>
        <v>A veces</v>
      </c>
      <c r="S549">
        <v>0</v>
      </c>
      <c r="T549" t="str">
        <f t="shared" si="219"/>
        <v>No fuma</v>
      </c>
      <c r="U549">
        <v>1</v>
      </c>
      <c r="V549">
        <f t="shared" si="220"/>
        <v>1</v>
      </c>
      <c r="W549" t="str">
        <f t="shared" si="221"/>
        <v>Usualmente</v>
      </c>
      <c r="X549">
        <v>0</v>
      </c>
      <c r="Y549" t="str">
        <f t="shared" si="222"/>
        <v>No controla</v>
      </c>
      <c r="Z549">
        <v>2</v>
      </c>
      <c r="AA549">
        <f t="shared" si="223"/>
        <v>2</v>
      </c>
      <c r="AB549" t="str">
        <f t="shared" si="224"/>
        <v>Usualmente</v>
      </c>
      <c r="AC549">
        <v>1</v>
      </c>
      <c r="AD549">
        <f t="shared" si="225"/>
        <v>1</v>
      </c>
      <c r="AE549" t="str">
        <f t="shared" si="226"/>
        <v>Usualmente</v>
      </c>
      <c r="AF549">
        <v>1</v>
      </c>
      <c r="AG549" t="str">
        <f t="shared" si="227"/>
        <v>A veces</v>
      </c>
      <c r="AH549">
        <v>0</v>
      </c>
      <c r="AI549" t="str">
        <f t="shared" si="228"/>
        <v>No usa</v>
      </c>
      <c r="AJ549">
        <v>0</v>
      </c>
      <c r="AK549" t="str">
        <f t="shared" si="229"/>
        <v>No usa</v>
      </c>
      <c r="AL549">
        <v>0</v>
      </c>
      <c r="AM549" t="str">
        <f t="shared" si="230"/>
        <v>No usa</v>
      </c>
      <c r="AN549">
        <v>1</v>
      </c>
      <c r="AO549" t="str">
        <f t="shared" si="231"/>
        <v>Usa Transporte</v>
      </c>
      <c r="AP549">
        <v>0</v>
      </c>
      <c r="AQ549" t="str">
        <f t="shared" si="232"/>
        <v>No camina</v>
      </c>
      <c r="AR549">
        <v>0</v>
      </c>
      <c r="AS549" t="str">
        <f t="shared" si="233"/>
        <v>No es obeso</v>
      </c>
    </row>
    <row r="550" spans="1:45" x14ac:dyDescent="0.25">
      <c r="A550">
        <v>0</v>
      </c>
      <c r="B550" t="str">
        <f t="shared" si="208"/>
        <v>F</v>
      </c>
      <c r="C550">
        <v>19314964</v>
      </c>
      <c r="D550">
        <f t="shared" si="209"/>
        <v>52</v>
      </c>
      <c r="E550">
        <f t="shared" si="210"/>
        <v>52</v>
      </c>
      <c r="F550" t="str">
        <f t="shared" si="211"/>
        <v>50-75</v>
      </c>
      <c r="G550">
        <v>0</v>
      </c>
      <c r="H550" t="str">
        <f t="shared" si="212"/>
        <v>Pariente normal</v>
      </c>
      <c r="I550">
        <v>1</v>
      </c>
      <c r="J550" t="str">
        <f t="shared" si="213"/>
        <v>Hipercaloricos</v>
      </c>
      <c r="K550">
        <v>2205439</v>
      </c>
      <c r="L550">
        <f t="shared" si="214"/>
        <v>1</v>
      </c>
      <c r="M550" t="str">
        <f t="shared" si="215"/>
        <v>Suele comer</v>
      </c>
      <c r="N550">
        <v>3</v>
      </c>
      <c r="O550">
        <f t="shared" si="216"/>
        <v>2</v>
      </c>
      <c r="P550" t="str">
        <f t="shared" si="217"/>
        <v>Mas de 3</v>
      </c>
      <c r="Q550">
        <v>1</v>
      </c>
      <c r="R550" t="str">
        <f t="shared" si="218"/>
        <v>A veces</v>
      </c>
      <c r="S550">
        <v>0</v>
      </c>
      <c r="T550" t="str">
        <f t="shared" si="219"/>
        <v>No fuma</v>
      </c>
      <c r="U550">
        <v>1530531</v>
      </c>
      <c r="V550">
        <f t="shared" si="220"/>
        <v>2</v>
      </c>
      <c r="W550" t="str">
        <f t="shared" si="221"/>
        <v>Siempre</v>
      </c>
      <c r="X550">
        <v>0</v>
      </c>
      <c r="Y550" t="str">
        <f t="shared" si="222"/>
        <v>No controla</v>
      </c>
      <c r="Z550">
        <v>2</v>
      </c>
      <c r="AA550">
        <f t="shared" si="223"/>
        <v>2</v>
      </c>
      <c r="AB550" t="str">
        <f t="shared" si="224"/>
        <v>Usualmente</v>
      </c>
      <c r="AC550">
        <v>1</v>
      </c>
      <c r="AD550">
        <f t="shared" si="225"/>
        <v>1</v>
      </c>
      <c r="AE550" t="str">
        <f t="shared" si="226"/>
        <v>Usualmente</v>
      </c>
      <c r="AF550">
        <v>1</v>
      </c>
      <c r="AG550" t="str">
        <f t="shared" si="227"/>
        <v>A veces</v>
      </c>
      <c r="AH550">
        <v>0</v>
      </c>
      <c r="AI550" t="str">
        <f t="shared" si="228"/>
        <v>No usa</v>
      </c>
      <c r="AJ550">
        <v>0</v>
      </c>
      <c r="AK550" t="str">
        <f t="shared" si="229"/>
        <v>No usa</v>
      </c>
      <c r="AL550">
        <v>0</v>
      </c>
      <c r="AM550" t="str">
        <f t="shared" si="230"/>
        <v>No usa</v>
      </c>
      <c r="AN550">
        <v>1</v>
      </c>
      <c r="AO550" t="str">
        <f t="shared" si="231"/>
        <v>Usa Transporte</v>
      </c>
      <c r="AP550">
        <v>0</v>
      </c>
      <c r="AQ550" t="str">
        <f t="shared" si="232"/>
        <v>No camina</v>
      </c>
      <c r="AR550">
        <v>0</v>
      </c>
      <c r="AS550" t="str">
        <f t="shared" si="233"/>
        <v>No es obeso</v>
      </c>
    </row>
    <row r="551" spans="1:45" x14ac:dyDescent="0.25">
      <c r="A551">
        <v>0</v>
      </c>
      <c r="B551" t="str">
        <f t="shared" si="208"/>
        <v>F</v>
      </c>
      <c r="C551">
        <v>29970445</v>
      </c>
      <c r="D551">
        <f t="shared" si="209"/>
        <v>82</v>
      </c>
      <c r="E551">
        <f t="shared" si="210"/>
        <v>82</v>
      </c>
      <c r="F551" t="str">
        <f t="shared" si="211"/>
        <v>75-100</v>
      </c>
      <c r="G551">
        <v>1</v>
      </c>
      <c r="H551" t="str">
        <f t="shared" si="212"/>
        <v>Pariente gordo</v>
      </c>
      <c r="I551">
        <v>1</v>
      </c>
      <c r="J551" t="str">
        <f t="shared" si="213"/>
        <v>Hipercaloricos</v>
      </c>
      <c r="K551">
        <v>2059138</v>
      </c>
      <c r="L551">
        <f t="shared" si="214"/>
        <v>1</v>
      </c>
      <c r="M551" t="str">
        <f t="shared" si="215"/>
        <v>Suele comer</v>
      </c>
      <c r="N551">
        <v>3904858</v>
      </c>
      <c r="O551">
        <f t="shared" si="216"/>
        <v>2</v>
      </c>
      <c r="P551" t="str">
        <f t="shared" si="217"/>
        <v>Mas de 3</v>
      </c>
      <c r="Q551">
        <v>2</v>
      </c>
      <c r="R551" t="str">
        <f t="shared" si="218"/>
        <v>Usualmente</v>
      </c>
      <c r="S551">
        <v>0</v>
      </c>
      <c r="T551" t="str">
        <f t="shared" si="219"/>
        <v>No fuma</v>
      </c>
      <c r="U551">
        <v>2</v>
      </c>
      <c r="V551">
        <f t="shared" si="220"/>
        <v>2</v>
      </c>
      <c r="W551" t="str">
        <f t="shared" si="221"/>
        <v>Siempre</v>
      </c>
      <c r="X551">
        <v>0</v>
      </c>
      <c r="Y551" t="str">
        <f t="shared" si="222"/>
        <v>No controla</v>
      </c>
      <c r="Z551">
        <v>0.82197699999999996</v>
      </c>
      <c r="AA551">
        <f t="shared" si="223"/>
        <v>0</v>
      </c>
      <c r="AB551" t="str">
        <f t="shared" si="224"/>
        <v>Nunca</v>
      </c>
      <c r="AC551">
        <v>0</v>
      </c>
      <c r="AD551">
        <f t="shared" si="225"/>
        <v>0</v>
      </c>
      <c r="AE551" t="str">
        <f t="shared" si="226"/>
        <v>Nunca</v>
      </c>
      <c r="AF551">
        <v>0</v>
      </c>
      <c r="AG551" t="str">
        <f t="shared" si="227"/>
        <v>Nunca</v>
      </c>
      <c r="AH551">
        <v>0</v>
      </c>
      <c r="AI551" t="str">
        <f t="shared" si="228"/>
        <v>No usa</v>
      </c>
      <c r="AJ551">
        <v>0</v>
      </c>
      <c r="AK551" t="str">
        <f t="shared" si="229"/>
        <v>No usa</v>
      </c>
      <c r="AL551">
        <v>0</v>
      </c>
      <c r="AM551" t="str">
        <f t="shared" si="230"/>
        <v>No usa</v>
      </c>
      <c r="AN551">
        <v>1</v>
      </c>
      <c r="AO551" t="str">
        <f t="shared" si="231"/>
        <v>Usa Transporte</v>
      </c>
      <c r="AP551">
        <v>0</v>
      </c>
      <c r="AQ551" t="str">
        <f t="shared" si="232"/>
        <v>No camina</v>
      </c>
      <c r="AR551">
        <v>0</v>
      </c>
      <c r="AS551" t="str">
        <f t="shared" si="233"/>
        <v>No es obeso</v>
      </c>
    </row>
    <row r="552" spans="1:45" x14ac:dyDescent="0.25">
      <c r="A552">
        <v>0</v>
      </c>
      <c r="B552" t="str">
        <f t="shared" si="208"/>
        <v>F</v>
      </c>
      <c r="C552">
        <v>32383858</v>
      </c>
      <c r="D552">
        <f t="shared" si="209"/>
        <v>88</v>
      </c>
      <c r="E552">
        <f t="shared" si="210"/>
        <v>88</v>
      </c>
      <c r="F552" t="str">
        <f t="shared" si="211"/>
        <v>75-100</v>
      </c>
      <c r="G552">
        <v>1</v>
      </c>
      <c r="H552" t="str">
        <f t="shared" si="212"/>
        <v>Pariente gordo</v>
      </c>
      <c r="I552">
        <v>1</v>
      </c>
      <c r="J552" t="str">
        <f t="shared" si="213"/>
        <v>Hipercaloricos</v>
      </c>
      <c r="K552">
        <v>3</v>
      </c>
      <c r="L552">
        <f t="shared" si="214"/>
        <v>1</v>
      </c>
      <c r="M552" t="str">
        <f t="shared" si="215"/>
        <v>Suele comer</v>
      </c>
      <c r="N552">
        <v>311158</v>
      </c>
      <c r="O552">
        <f t="shared" si="216"/>
        <v>2</v>
      </c>
      <c r="P552" t="str">
        <f t="shared" si="217"/>
        <v>Mas de 3</v>
      </c>
      <c r="Q552">
        <v>2</v>
      </c>
      <c r="R552" t="str">
        <f t="shared" si="218"/>
        <v>Usualmente</v>
      </c>
      <c r="S552">
        <v>0</v>
      </c>
      <c r="T552" t="str">
        <f t="shared" si="219"/>
        <v>No fuma</v>
      </c>
      <c r="U552">
        <v>2721769</v>
      </c>
      <c r="V552">
        <f t="shared" si="220"/>
        <v>2</v>
      </c>
      <c r="W552" t="str">
        <f t="shared" si="221"/>
        <v>Siempre</v>
      </c>
      <c r="X552">
        <v>0</v>
      </c>
      <c r="Y552" t="str">
        <f t="shared" si="222"/>
        <v>No controla</v>
      </c>
      <c r="Z552">
        <v>144287</v>
      </c>
      <c r="AA552">
        <f t="shared" si="223"/>
        <v>2</v>
      </c>
      <c r="AB552" t="str">
        <f t="shared" si="224"/>
        <v>Usualmente</v>
      </c>
      <c r="AC552">
        <v>0</v>
      </c>
      <c r="AD552">
        <f t="shared" si="225"/>
        <v>0</v>
      </c>
      <c r="AE552" t="str">
        <f t="shared" si="226"/>
        <v>Nunca</v>
      </c>
      <c r="AF552">
        <v>0</v>
      </c>
      <c r="AG552" t="str">
        <f t="shared" si="227"/>
        <v>Nunca</v>
      </c>
      <c r="AH552">
        <v>0</v>
      </c>
      <c r="AI552" t="str">
        <f t="shared" si="228"/>
        <v>No usa</v>
      </c>
      <c r="AJ552">
        <v>0</v>
      </c>
      <c r="AK552" t="str">
        <f t="shared" si="229"/>
        <v>No usa</v>
      </c>
      <c r="AL552">
        <v>0</v>
      </c>
      <c r="AM552" t="str">
        <f t="shared" si="230"/>
        <v>No usa</v>
      </c>
      <c r="AN552">
        <v>1</v>
      </c>
      <c r="AO552" t="str">
        <f t="shared" si="231"/>
        <v>Usa Transporte</v>
      </c>
      <c r="AP552">
        <v>0</v>
      </c>
      <c r="AQ552" t="str">
        <f t="shared" si="232"/>
        <v>No camina</v>
      </c>
      <c r="AR552">
        <v>0</v>
      </c>
      <c r="AS552" t="str">
        <f t="shared" si="233"/>
        <v>No es obeso</v>
      </c>
    </row>
    <row r="553" spans="1:45" x14ac:dyDescent="0.25">
      <c r="A553">
        <v>0</v>
      </c>
      <c r="B553" t="str">
        <f t="shared" si="208"/>
        <v>F</v>
      </c>
      <c r="C553">
        <v>24163526</v>
      </c>
      <c r="D553">
        <f t="shared" si="209"/>
        <v>66</v>
      </c>
      <c r="E553">
        <f t="shared" si="210"/>
        <v>66</v>
      </c>
      <c r="F553" t="str">
        <f t="shared" si="211"/>
        <v>50-75</v>
      </c>
      <c r="G553">
        <v>1</v>
      </c>
      <c r="H553" t="str">
        <f t="shared" si="212"/>
        <v>Pariente gordo</v>
      </c>
      <c r="I553">
        <v>1</v>
      </c>
      <c r="J553" t="str">
        <f t="shared" si="213"/>
        <v>Hipercaloricos</v>
      </c>
      <c r="K553">
        <v>3</v>
      </c>
      <c r="L553">
        <f t="shared" si="214"/>
        <v>1</v>
      </c>
      <c r="M553" t="str">
        <f t="shared" si="215"/>
        <v>Suele comer</v>
      </c>
      <c r="N553">
        <v>3590039</v>
      </c>
      <c r="O553">
        <f t="shared" si="216"/>
        <v>2</v>
      </c>
      <c r="P553" t="str">
        <f t="shared" si="217"/>
        <v>Mas de 3</v>
      </c>
      <c r="Q553">
        <v>2</v>
      </c>
      <c r="R553" t="str">
        <f t="shared" si="218"/>
        <v>Usualmente</v>
      </c>
      <c r="S553">
        <v>0</v>
      </c>
      <c r="T553" t="str">
        <f t="shared" si="219"/>
        <v>No fuma</v>
      </c>
      <c r="U553">
        <v>27305</v>
      </c>
      <c r="V553">
        <f t="shared" si="220"/>
        <v>2</v>
      </c>
      <c r="W553" t="str">
        <f t="shared" si="221"/>
        <v>Siempre</v>
      </c>
      <c r="X553">
        <v>0</v>
      </c>
      <c r="Y553" t="str">
        <f t="shared" si="222"/>
        <v>No controla</v>
      </c>
      <c r="Z553">
        <v>0.10707800000000001</v>
      </c>
      <c r="AA553">
        <f t="shared" si="223"/>
        <v>0</v>
      </c>
      <c r="AB553" t="str">
        <f t="shared" si="224"/>
        <v>Nunca</v>
      </c>
      <c r="AC553">
        <v>0</v>
      </c>
      <c r="AD553">
        <f t="shared" si="225"/>
        <v>0</v>
      </c>
      <c r="AE553" t="str">
        <f t="shared" si="226"/>
        <v>Nunca</v>
      </c>
      <c r="AF553">
        <v>0</v>
      </c>
      <c r="AG553" t="str">
        <f t="shared" si="227"/>
        <v>Nunca</v>
      </c>
      <c r="AH553">
        <v>0</v>
      </c>
      <c r="AI553" t="str">
        <f t="shared" si="228"/>
        <v>No usa</v>
      </c>
      <c r="AJ553">
        <v>0</v>
      </c>
      <c r="AK553" t="str">
        <f t="shared" si="229"/>
        <v>No usa</v>
      </c>
      <c r="AL553">
        <v>0</v>
      </c>
      <c r="AM553" t="str">
        <f t="shared" si="230"/>
        <v>No usa</v>
      </c>
      <c r="AN553">
        <v>1</v>
      </c>
      <c r="AO553" t="str">
        <f t="shared" si="231"/>
        <v>Usa Transporte</v>
      </c>
      <c r="AP553">
        <v>0</v>
      </c>
      <c r="AQ553" t="str">
        <f t="shared" si="232"/>
        <v>No camina</v>
      </c>
      <c r="AR553">
        <v>0</v>
      </c>
      <c r="AS553" t="str">
        <f t="shared" si="233"/>
        <v>No es obeso</v>
      </c>
    </row>
    <row r="554" spans="1:45" x14ac:dyDescent="0.25">
      <c r="A554">
        <v>1</v>
      </c>
      <c r="B554" t="str">
        <f t="shared" si="208"/>
        <v>M</v>
      </c>
      <c r="C554">
        <v>17038222</v>
      </c>
      <c r="D554">
        <f t="shared" si="209"/>
        <v>46</v>
      </c>
      <c r="E554">
        <f t="shared" si="210"/>
        <v>46</v>
      </c>
      <c r="F554" t="str">
        <f t="shared" si="211"/>
        <v>25-50</v>
      </c>
      <c r="G554">
        <v>0</v>
      </c>
      <c r="H554" t="str">
        <f t="shared" si="212"/>
        <v>Pariente normal</v>
      </c>
      <c r="I554">
        <v>1</v>
      </c>
      <c r="J554" t="str">
        <f t="shared" si="213"/>
        <v>Hipercaloricos</v>
      </c>
      <c r="K554">
        <v>2</v>
      </c>
      <c r="L554">
        <f t="shared" si="214"/>
        <v>1</v>
      </c>
      <c r="M554" t="str">
        <f t="shared" si="215"/>
        <v>Suele comer</v>
      </c>
      <c r="N554">
        <v>2057935</v>
      </c>
      <c r="O554">
        <f t="shared" si="216"/>
        <v>2</v>
      </c>
      <c r="P554" t="str">
        <f t="shared" si="217"/>
        <v>Mas de 3</v>
      </c>
      <c r="Q554">
        <v>1</v>
      </c>
      <c r="R554" t="str">
        <f t="shared" si="218"/>
        <v>A veces</v>
      </c>
      <c r="S554">
        <v>0</v>
      </c>
      <c r="T554" t="str">
        <f t="shared" si="219"/>
        <v>No fuma</v>
      </c>
      <c r="U554">
        <v>2371015</v>
      </c>
      <c r="V554">
        <f t="shared" si="220"/>
        <v>2</v>
      </c>
      <c r="W554" t="str">
        <f t="shared" si="221"/>
        <v>Siempre</v>
      </c>
      <c r="X554">
        <v>0</v>
      </c>
      <c r="Y554" t="str">
        <f t="shared" si="222"/>
        <v>No controla</v>
      </c>
      <c r="Z554">
        <v>0.28803200000000001</v>
      </c>
      <c r="AA554">
        <f t="shared" si="223"/>
        <v>0</v>
      </c>
      <c r="AB554" t="str">
        <f t="shared" si="224"/>
        <v>Nunca</v>
      </c>
      <c r="AC554">
        <v>0.71462700000000001</v>
      </c>
      <c r="AD554">
        <f t="shared" si="225"/>
        <v>0</v>
      </c>
      <c r="AE554" t="str">
        <f t="shared" si="226"/>
        <v>Nunca</v>
      </c>
      <c r="AF554">
        <v>1</v>
      </c>
      <c r="AG554" t="str">
        <f t="shared" si="227"/>
        <v>A veces</v>
      </c>
      <c r="AH554">
        <v>0</v>
      </c>
      <c r="AI554" t="str">
        <f t="shared" si="228"/>
        <v>No usa</v>
      </c>
      <c r="AJ554">
        <v>0</v>
      </c>
      <c r="AK554" t="str">
        <f t="shared" si="229"/>
        <v>No usa</v>
      </c>
      <c r="AL554">
        <v>0</v>
      </c>
      <c r="AM554" t="str">
        <f t="shared" si="230"/>
        <v>No usa</v>
      </c>
      <c r="AN554">
        <v>1</v>
      </c>
      <c r="AO554" t="str">
        <f t="shared" si="231"/>
        <v>Usa Transporte</v>
      </c>
      <c r="AP554">
        <v>0</v>
      </c>
      <c r="AQ554" t="str">
        <f t="shared" si="232"/>
        <v>No camina</v>
      </c>
      <c r="AR554">
        <v>0</v>
      </c>
      <c r="AS554" t="str">
        <f t="shared" si="233"/>
        <v>No es obeso</v>
      </c>
    </row>
    <row r="555" spans="1:45" x14ac:dyDescent="0.25">
      <c r="A555">
        <v>1</v>
      </c>
      <c r="B555" t="str">
        <f t="shared" si="208"/>
        <v>M</v>
      </c>
      <c r="C555">
        <v>1630687</v>
      </c>
      <c r="D555">
        <f t="shared" si="209"/>
        <v>4</v>
      </c>
      <c r="E555">
        <f t="shared" si="210"/>
        <v>4</v>
      </c>
      <c r="F555" t="str">
        <f t="shared" si="211"/>
        <v>1-25</v>
      </c>
      <c r="G555">
        <v>0</v>
      </c>
      <c r="H555" t="str">
        <f t="shared" si="212"/>
        <v>Pariente normal</v>
      </c>
      <c r="I555">
        <v>1</v>
      </c>
      <c r="J555" t="str">
        <f t="shared" si="213"/>
        <v>Hipercaloricos</v>
      </c>
      <c r="K555">
        <v>2310423</v>
      </c>
      <c r="L555">
        <f t="shared" si="214"/>
        <v>1</v>
      </c>
      <c r="M555" t="str">
        <f t="shared" si="215"/>
        <v>Suele comer</v>
      </c>
      <c r="N555">
        <v>3558637</v>
      </c>
      <c r="O555">
        <f t="shared" si="216"/>
        <v>2</v>
      </c>
      <c r="P555" t="str">
        <f t="shared" si="217"/>
        <v>Mas de 3</v>
      </c>
      <c r="Q555">
        <v>1</v>
      </c>
      <c r="R555" t="str">
        <f t="shared" si="218"/>
        <v>A veces</v>
      </c>
      <c r="S555">
        <v>0</v>
      </c>
      <c r="T555" t="str">
        <f t="shared" si="219"/>
        <v>No fuma</v>
      </c>
      <c r="U555">
        <v>1787843</v>
      </c>
      <c r="V555">
        <f t="shared" si="220"/>
        <v>2</v>
      </c>
      <c r="W555" t="str">
        <f t="shared" si="221"/>
        <v>Siempre</v>
      </c>
      <c r="X555">
        <v>0</v>
      </c>
      <c r="Y555" t="str">
        <f t="shared" si="222"/>
        <v>No controla</v>
      </c>
      <c r="Z555">
        <v>1926592</v>
      </c>
      <c r="AA555">
        <f t="shared" si="223"/>
        <v>3</v>
      </c>
      <c r="AB555" t="str">
        <f t="shared" si="224"/>
        <v>Siempre</v>
      </c>
      <c r="AC555">
        <v>0.82854899999999998</v>
      </c>
      <c r="AD555">
        <f t="shared" si="225"/>
        <v>0</v>
      </c>
      <c r="AE555" t="str">
        <f t="shared" si="226"/>
        <v>Nunca</v>
      </c>
      <c r="AF555">
        <v>1</v>
      </c>
      <c r="AG555" t="str">
        <f t="shared" si="227"/>
        <v>A veces</v>
      </c>
      <c r="AH555">
        <v>0</v>
      </c>
      <c r="AI555" t="str">
        <f t="shared" si="228"/>
        <v>No usa</v>
      </c>
      <c r="AJ555">
        <v>0</v>
      </c>
      <c r="AK555" t="str">
        <f t="shared" si="229"/>
        <v>No usa</v>
      </c>
      <c r="AL555">
        <v>0</v>
      </c>
      <c r="AM555" t="str">
        <f t="shared" si="230"/>
        <v>No usa</v>
      </c>
      <c r="AN555">
        <v>1</v>
      </c>
      <c r="AO555" t="str">
        <f t="shared" si="231"/>
        <v>Usa Transporte</v>
      </c>
      <c r="AP555">
        <v>0</v>
      </c>
      <c r="AQ555" t="str">
        <f t="shared" si="232"/>
        <v>No camina</v>
      </c>
      <c r="AR555">
        <v>0</v>
      </c>
      <c r="AS555" t="str">
        <f t="shared" si="233"/>
        <v>No es obeso</v>
      </c>
    </row>
    <row r="556" spans="1:45" x14ac:dyDescent="0.25">
      <c r="A556">
        <v>1</v>
      </c>
      <c r="B556" t="str">
        <f t="shared" si="208"/>
        <v>M</v>
      </c>
      <c r="C556">
        <v>16198153</v>
      </c>
      <c r="D556">
        <f t="shared" si="209"/>
        <v>44</v>
      </c>
      <c r="E556">
        <f t="shared" si="210"/>
        <v>44</v>
      </c>
      <c r="F556" t="str">
        <f t="shared" si="211"/>
        <v>25-50</v>
      </c>
      <c r="G556">
        <v>0</v>
      </c>
      <c r="H556" t="str">
        <f t="shared" si="212"/>
        <v>Pariente normal</v>
      </c>
      <c r="I556">
        <v>1</v>
      </c>
      <c r="J556" t="str">
        <f t="shared" si="213"/>
        <v>Hipercaloricos</v>
      </c>
      <c r="K556">
        <v>2</v>
      </c>
      <c r="L556">
        <f t="shared" si="214"/>
        <v>1</v>
      </c>
      <c r="M556" t="str">
        <f t="shared" si="215"/>
        <v>Suele comer</v>
      </c>
      <c r="N556">
        <v>2000986</v>
      </c>
      <c r="O556">
        <f t="shared" si="216"/>
        <v>2</v>
      </c>
      <c r="P556" t="str">
        <f t="shared" si="217"/>
        <v>Mas de 3</v>
      </c>
      <c r="Q556">
        <v>1</v>
      </c>
      <c r="R556" t="str">
        <f t="shared" si="218"/>
        <v>A veces</v>
      </c>
      <c r="S556">
        <v>0</v>
      </c>
      <c r="T556" t="str">
        <f t="shared" si="219"/>
        <v>No fuma</v>
      </c>
      <c r="U556">
        <v>2673835</v>
      </c>
      <c r="V556">
        <f t="shared" si="220"/>
        <v>2</v>
      </c>
      <c r="W556" t="str">
        <f t="shared" si="221"/>
        <v>Siempre</v>
      </c>
      <c r="X556">
        <v>0</v>
      </c>
      <c r="Y556" t="str">
        <f t="shared" si="222"/>
        <v>No controla</v>
      </c>
      <c r="Z556">
        <v>0.99295</v>
      </c>
      <c r="AA556">
        <f t="shared" si="223"/>
        <v>0</v>
      </c>
      <c r="AB556" t="str">
        <f t="shared" si="224"/>
        <v>Nunca</v>
      </c>
      <c r="AC556">
        <v>0.47483599999999998</v>
      </c>
      <c r="AD556">
        <f t="shared" si="225"/>
        <v>0</v>
      </c>
      <c r="AE556" t="str">
        <f t="shared" si="226"/>
        <v>Nunca</v>
      </c>
      <c r="AF556">
        <v>1</v>
      </c>
      <c r="AG556" t="str">
        <f t="shared" si="227"/>
        <v>A veces</v>
      </c>
      <c r="AH556">
        <v>0</v>
      </c>
      <c r="AI556" t="str">
        <f t="shared" si="228"/>
        <v>No usa</v>
      </c>
      <c r="AJ556">
        <v>0</v>
      </c>
      <c r="AK556" t="str">
        <f t="shared" si="229"/>
        <v>No usa</v>
      </c>
      <c r="AL556">
        <v>0</v>
      </c>
      <c r="AM556" t="str">
        <f t="shared" si="230"/>
        <v>No usa</v>
      </c>
      <c r="AN556">
        <v>1</v>
      </c>
      <c r="AO556" t="str">
        <f t="shared" si="231"/>
        <v>Usa Transporte</v>
      </c>
      <c r="AP556">
        <v>0</v>
      </c>
      <c r="AQ556" t="str">
        <f t="shared" si="232"/>
        <v>No camina</v>
      </c>
      <c r="AR556">
        <v>0</v>
      </c>
      <c r="AS556" t="str">
        <f t="shared" si="233"/>
        <v>No es obeso</v>
      </c>
    </row>
    <row r="557" spans="1:45" x14ac:dyDescent="0.25">
      <c r="A557">
        <v>1</v>
      </c>
      <c r="B557" t="str">
        <f t="shared" si="208"/>
        <v>M</v>
      </c>
      <c r="C557">
        <v>18</v>
      </c>
      <c r="D557">
        <f t="shared" si="209"/>
        <v>18</v>
      </c>
      <c r="E557">
        <f t="shared" si="210"/>
        <v>18</v>
      </c>
      <c r="F557" t="str">
        <f t="shared" si="211"/>
        <v>1-25</v>
      </c>
      <c r="G557">
        <v>0</v>
      </c>
      <c r="H557" t="str">
        <f t="shared" si="212"/>
        <v>Pariente normal</v>
      </c>
      <c r="I557">
        <v>1</v>
      </c>
      <c r="J557" t="str">
        <f t="shared" si="213"/>
        <v>Hipercaloricos</v>
      </c>
      <c r="K557">
        <v>2823179</v>
      </c>
      <c r="L557">
        <f t="shared" si="214"/>
        <v>1</v>
      </c>
      <c r="M557" t="str">
        <f t="shared" si="215"/>
        <v>Suele comer</v>
      </c>
      <c r="N557">
        <v>3</v>
      </c>
      <c r="O557">
        <f t="shared" si="216"/>
        <v>2</v>
      </c>
      <c r="P557" t="str">
        <f t="shared" si="217"/>
        <v>Mas de 3</v>
      </c>
      <c r="Q557">
        <v>1</v>
      </c>
      <c r="R557" t="str">
        <f t="shared" si="218"/>
        <v>A veces</v>
      </c>
      <c r="S557">
        <v>0</v>
      </c>
      <c r="T557" t="str">
        <f t="shared" si="219"/>
        <v>No fuma</v>
      </c>
      <c r="U557">
        <v>1773236</v>
      </c>
      <c r="V557">
        <f t="shared" si="220"/>
        <v>2</v>
      </c>
      <c r="W557" t="str">
        <f t="shared" si="221"/>
        <v>Siempre</v>
      </c>
      <c r="X557">
        <v>0</v>
      </c>
      <c r="Y557" t="str">
        <f t="shared" si="222"/>
        <v>No controla</v>
      </c>
      <c r="Z557">
        <v>1252472</v>
      </c>
      <c r="AA557">
        <f t="shared" si="223"/>
        <v>3</v>
      </c>
      <c r="AB557" t="str">
        <f t="shared" si="224"/>
        <v>Siempre</v>
      </c>
      <c r="AC557">
        <v>1</v>
      </c>
      <c r="AD557">
        <f t="shared" si="225"/>
        <v>1</v>
      </c>
      <c r="AE557" t="str">
        <f t="shared" si="226"/>
        <v>Usualmente</v>
      </c>
      <c r="AF557">
        <v>1</v>
      </c>
      <c r="AG557" t="str">
        <f t="shared" si="227"/>
        <v>A veces</v>
      </c>
      <c r="AH557">
        <v>0</v>
      </c>
      <c r="AI557" t="str">
        <f t="shared" si="228"/>
        <v>No usa</v>
      </c>
      <c r="AJ557">
        <v>0</v>
      </c>
      <c r="AK557" t="str">
        <f t="shared" si="229"/>
        <v>No usa</v>
      </c>
      <c r="AL557">
        <v>0</v>
      </c>
      <c r="AM557" t="str">
        <f t="shared" si="230"/>
        <v>No usa</v>
      </c>
      <c r="AN557">
        <v>1</v>
      </c>
      <c r="AO557" t="str">
        <f t="shared" si="231"/>
        <v>Usa Transporte</v>
      </c>
      <c r="AP557">
        <v>0</v>
      </c>
      <c r="AQ557" t="str">
        <f t="shared" si="232"/>
        <v>No camina</v>
      </c>
      <c r="AR557">
        <v>0</v>
      </c>
      <c r="AS557" t="str">
        <f t="shared" si="233"/>
        <v>No es obeso</v>
      </c>
    </row>
    <row r="558" spans="1:45" x14ac:dyDescent="0.25">
      <c r="A558">
        <v>1</v>
      </c>
      <c r="B558" t="str">
        <f t="shared" si="208"/>
        <v>M</v>
      </c>
      <c r="C558">
        <v>18</v>
      </c>
      <c r="D558">
        <f t="shared" si="209"/>
        <v>18</v>
      </c>
      <c r="E558">
        <f t="shared" si="210"/>
        <v>18</v>
      </c>
      <c r="F558" t="str">
        <f t="shared" si="211"/>
        <v>1-25</v>
      </c>
      <c r="G558">
        <v>0</v>
      </c>
      <c r="H558" t="str">
        <f t="shared" si="212"/>
        <v>Pariente normal</v>
      </c>
      <c r="I558">
        <v>1</v>
      </c>
      <c r="J558" t="str">
        <f t="shared" si="213"/>
        <v>Hipercaloricos</v>
      </c>
      <c r="K558">
        <v>2052932</v>
      </c>
      <c r="L558">
        <f t="shared" si="214"/>
        <v>1</v>
      </c>
      <c r="M558" t="str">
        <f t="shared" si="215"/>
        <v>Suele comer</v>
      </c>
      <c r="N558">
        <v>3</v>
      </c>
      <c r="O558">
        <f t="shared" si="216"/>
        <v>2</v>
      </c>
      <c r="P558" t="str">
        <f t="shared" si="217"/>
        <v>Mas de 3</v>
      </c>
      <c r="Q558">
        <v>1</v>
      </c>
      <c r="R558" t="str">
        <f t="shared" si="218"/>
        <v>A veces</v>
      </c>
      <c r="S558">
        <v>0</v>
      </c>
      <c r="T558" t="str">
        <f t="shared" si="219"/>
        <v>No fuma</v>
      </c>
      <c r="U558">
        <v>2</v>
      </c>
      <c r="V558">
        <f t="shared" si="220"/>
        <v>2</v>
      </c>
      <c r="W558" t="str">
        <f t="shared" si="221"/>
        <v>Siempre</v>
      </c>
      <c r="X558">
        <v>0</v>
      </c>
      <c r="Y558" t="str">
        <f t="shared" si="222"/>
        <v>No controla</v>
      </c>
      <c r="Z558">
        <v>0.52040799999999998</v>
      </c>
      <c r="AA558">
        <f t="shared" si="223"/>
        <v>0</v>
      </c>
      <c r="AB558" t="str">
        <f t="shared" si="224"/>
        <v>Nunca</v>
      </c>
      <c r="AC558">
        <v>1</v>
      </c>
      <c r="AD558">
        <f t="shared" si="225"/>
        <v>1</v>
      </c>
      <c r="AE558" t="str">
        <f t="shared" si="226"/>
        <v>Usualmente</v>
      </c>
      <c r="AF558">
        <v>1</v>
      </c>
      <c r="AG558" t="str">
        <f t="shared" si="227"/>
        <v>A veces</v>
      </c>
      <c r="AH558">
        <v>0</v>
      </c>
      <c r="AI558" t="str">
        <f t="shared" si="228"/>
        <v>No usa</v>
      </c>
      <c r="AJ558">
        <v>0</v>
      </c>
      <c r="AK558" t="str">
        <f t="shared" si="229"/>
        <v>No usa</v>
      </c>
      <c r="AL558">
        <v>0</v>
      </c>
      <c r="AM558" t="str">
        <f t="shared" si="230"/>
        <v>No usa</v>
      </c>
      <c r="AN558">
        <v>1</v>
      </c>
      <c r="AO558" t="str">
        <f t="shared" si="231"/>
        <v>Usa Transporte</v>
      </c>
      <c r="AP558">
        <v>0</v>
      </c>
      <c r="AQ558" t="str">
        <f t="shared" si="232"/>
        <v>No camina</v>
      </c>
      <c r="AR558">
        <v>0</v>
      </c>
      <c r="AS558" t="str">
        <f t="shared" si="233"/>
        <v>No es obeso</v>
      </c>
    </row>
    <row r="559" spans="1:45" x14ac:dyDescent="0.25">
      <c r="A559">
        <v>1</v>
      </c>
      <c r="B559" t="str">
        <f t="shared" si="208"/>
        <v>M</v>
      </c>
      <c r="C559">
        <v>18</v>
      </c>
      <c r="D559">
        <f t="shared" si="209"/>
        <v>18</v>
      </c>
      <c r="E559">
        <f t="shared" si="210"/>
        <v>18</v>
      </c>
      <c r="F559" t="str">
        <f t="shared" si="211"/>
        <v>1-25</v>
      </c>
      <c r="G559">
        <v>0</v>
      </c>
      <c r="H559" t="str">
        <f t="shared" si="212"/>
        <v>Pariente normal</v>
      </c>
      <c r="I559">
        <v>1</v>
      </c>
      <c r="J559" t="str">
        <f t="shared" si="213"/>
        <v>Hipercaloricos</v>
      </c>
      <c r="K559">
        <v>2596364</v>
      </c>
      <c r="L559">
        <f t="shared" si="214"/>
        <v>1</v>
      </c>
      <c r="M559" t="str">
        <f t="shared" si="215"/>
        <v>Suele comer</v>
      </c>
      <c r="N559">
        <v>3</v>
      </c>
      <c r="O559">
        <f t="shared" si="216"/>
        <v>2</v>
      </c>
      <c r="P559" t="str">
        <f t="shared" si="217"/>
        <v>Mas de 3</v>
      </c>
      <c r="Q559">
        <v>1</v>
      </c>
      <c r="R559" t="str">
        <f t="shared" si="218"/>
        <v>A veces</v>
      </c>
      <c r="S559">
        <v>0</v>
      </c>
      <c r="T559" t="str">
        <f t="shared" si="219"/>
        <v>No fuma</v>
      </c>
      <c r="U559">
        <v>2</v>
      </c>
      <c r="V559">
        <f t="shared" si="220"/>
        <v>2</v>
      </c>
      <c r="W559" t="str">
        <f t="shared" si="221"/>
        <v>Siempre</v>
      </c>
      <c r="X559">
        <v>0</v>
      </c>
      <c r="Y559" t="str">
        <f t="shared" si="222"/>
        <v>No controla</v>
      </c>
      <c r="Z559">
        <v>0.28173399999999998</v>
      </c>
      <c r="AA559">
        <f t="shared" si="223"/>
        <v>0</v>
      </c>
      <c r="AB559" t="str">
        <f t="shared" si="224"/>
        <v>Nunca</v>
      </c>
      <c r="AC559">
        <v>1488372</v>
      </c>
      <c r="AD559">
        <f t="shared" si="225"/>
        <v>2</v>
      </c>
      <c r="AE559" t="str">
        <f t="shared" si="226"/>
        <v>Siempre</v>
      </c>
      <c r="AF559">
        <v>1</v>
      </c>
      <c r="AG559" t="str">
        <f t="shared" si="227"/>
        <v>A veces</v>
      </c>
      <c r="AH559">
        <v>0</v>
      </c>
      <c r="AI559" t="str">
        <f t="shared" si="228"/>
        <v>No usa</v>
      </c>
      <c r="AJ559">
        <v>0</v>
      </c>
      <c r="AK559" t="str">
        <f t="shared" si="229"/>
        <v>No usa</v>
      </c>
      <c r="AL559">
        <v>0</v>
      </c>
      <c r="AM559" t="str">
        <f t="shared" si="230"/>
        <v>No usa</v>
      </c>
      <c r="AN559">
        <v>1</v>
      </c>
      <c r="AO559" t="str">
        <f t="shared" si="231"/>
        <v>Usa Transporte</v>
      </c>
      <c r="AP559">
        <v>0</v>
      </c>
      <c r="AQ559" t="str">
        <f t="shared" si="232"/>
        <v>No camina</v>
      </c>
      <c r="AR559">
        <v>0</v>
      </c>
      <c r="AS559" t="str">
        <f t="shared" si="233"/>
        <v>No es obeso</v>
      </c>
    </row>
    <row r="560" spans="1:45" x14ac:dyDescent="0.25">
      <c r="A560">
        <v>1</v>
      </c>
      <c r="B560" t="str">
        <f t="shared" si="208"/>
        <v>M</v>
      </c>
      <c r="C560">
        <v>17486869</v>
      </c>
      <c r="D560">
        <f t="shared" si="209"/>
        <v>47</v>
      </c>
      <c r="E560">
        <f t="shared" si="210"/>
        <v>47</v>
      </c>
      <c r="F560" t="str">
        <f t="shared" si="211"/>
        <v>25-50</v>
      </c>
      <c r="G560">
        <v>1</v>
      </c>
      <c r="H560" t="str">
        <f t="shared" si="212"/>
        <v>Pariente gordo</v>
      </c>
      <c r="I560">
        <v>1</v>
      </c>
      <c r="J560" t="str">
        <f t="shared" si="213"/>
        <v>Hipercaloricos</v>
      </c>
      <c r="K560">
        <v>2767731</v>
      </c>
      <c r="L560">
        <f t="shared" si="214"/>
        <v>1</v>
      </c>
      <c r="M560" t="str">
        <f t="shared" si="215"/>
        <v>Suele comer</v>
      </c>
      <c r="N560">
        <v>3821168</v>
      </c>
      <c r="O560">
        <f t="shared" si="216"/>
        <v>2</v>
      </c>
      <c r="P560" t="str">
        <f t="shared" si="217"/>
        <v>Mas de 3</v>
      </c>
      <c r="Q560">
        <v>1</v>
      </c>
      <c r="R560" t="str">
        <f t="shared" si="218"/>
        <v>A veces</v>
      </c>
      <c r="S560">
        <v>0</v>
      </c>
      <c r="T560" t="str">
        <f t="shared" si="219"/>
        <v>No fuma</v>
      </c>
      <c r="U560">
        <v>2</v>
      </c>
      <c r="V560">
        <f t="shared" si="220"/>
        <v>2</v>
      </c>
      <c r="W560" t="str">
        <f t="shared" si="221"/>
        <v>Siempre</v>
      </c>
      <c r="X560">
        <v>0</v>
      </c>
      <c r="Y560" t="str">
        <f t="shared" si="222"/>
        <v>No controla</v>
      </c>
      <c r="Z560">
        <v>2</v>
      </c>
      <c r="AA560">
        <f t="shared" si="223"/>
        <v>2</v>
      </c>
      <c r="AB560" t="str">
        <f t="shared" si="224"/>
        <v>Usualmente</v>
      </c>
      <c r="AC560">
        <v>0.55624499999999999</v>
      </c>
      <c r="AD560">
        <f t="shared" si="225"/>
        <v>0</v>
      </c>
      <c r="AE560" t="str">
        <f t="shared" si="226"/>
        <v>Nunca</v>
      </c>
      <c r="AF560">
        <v>0</v>
      </c>
      <c r="AG560" t="str">
        <f t="shared" si="227"/>
        <v>Nunca</v>
      </c>
      <c r="AH560">
        <v>1</v>
      </c>
      <c r="AI560" t="str">
        <f t="shared" si="228"/>
        <v>Usa auto</v>
      </c>
      <c r="AJ560">
        <v>0</v>
      </c>
      <c r="AK560" t="str">
        <f t="shared" si="229"/>
        <v>No usa</v>
      </c>
      <c r="AL560">
        <v>0</v>
      </c>
      <c r="AM560" t="str">
        <f t="shared" si="230"/>
        <v>No usa</v>
      </c>
      <c r="AN560">
        <v>0</v>
      </c>
      <c r="AO560" t="str">
        <f t="shared" si="231"/>
        <v>No usa</v>
      </c>
      <c r="AP560">
        <v>0</v>
      </c>
      <c r="AQ560" t="str">
        <f t="shared" si="232"/>
        <v>No camina</v>
      </c>
      <c r="AR560">
        <v>0</v>
      </c>
      <c r="AS560" t="str">
        <f t="shared" si="233"/>
        <v>No es obeso</v>
      </c>
    </row>
    <row r="561" spans="1:45" x14ac:dyDescent="0.25">
      <c r="A561">
        <v>1</v>
      </c>
      <c r="B561" t="str">
        <f t="shared" si="208"/>
        <v>M</v>
      </c>
      <c r="C561">
        <v>19920629</v>
      </c>
      <c r="D561">
        <f t="shared" si="209"/>
        <v>54</v>
      </c>
      <c r="E561">
        <f t="shared" si="210"/>
        <v>54</v>
      </c>
      <c r="F561" t="str">
        <f t="shared" si="211"/>
        <v>50-75</v>
      </c>
      <c r="G561">
        <v>1</v>
      </c>
      <c r="H561" t="str">
        <f t="shared" si="212"/>
        <v>Pariente gordo</v>
      </c>
      <c r="I561">
        <v>1</v>
      </c>
      <c r="J561" t="str">
        <f t="shared" si="213"/>
        <v>Hipercaloricos</v>
      </c>
      <c r="K561">
        <v>2</v>
      </c>
      <c r="L561">
        <f t="shared" si="214"/>
        <v>1</v>
      </c>
      <c r="M561" t="str">
        <f t="shared" si="215"/>
        <v>Suele comer</v>
      </c>
      <c r="N561">
        <v>3897078</v>
      </c>
      <c r="O561">
        <f t="shared" si="216"/>
        <v>2</v>
      </c>
      <c r="P561" t="str">
        <f t="shared" si="217"/>
        <v>Mas de 3</v>
      </c>
      <c r="Q561">
        <v>1</v>
      </c>
      <c r="R561" t="str">
        <f t="shared" si="218"/>
        <v>A veces</v>
      </c>
      <c r="S561">
        <v>0</v>
      </c>
      <c r="T561" t="str">
        <f t="shared" si="219"/>
        <v>No fuma</v>
      </c>
      <c r="U561">
        <v>2622638</v>
      </c>
      <c r="V561">
        <f t="shared" si="220"/>
        <v>2</v>
      </c>
      <c r="W561" t="str">
        <f t="shared" si="221"/>
        <v>Siempre</v>
      </c>
      <c r="X561">
        <v>0</v>
      </c>
      <c r="Y561" t="str">
        <f t="shared" si="222"/>
        <v>No controla</v>
      </c>
      <c r="Z561">
        <v>2</v>
      </c>
      <c r="AA561">
        <f t="shared" si="223"/>
        <v>2</v>
      </c>
      <c r="AB561" t="str">
        <f t="shared" si="224"/>
        <v>Usualmente</v>
      </c>
      <c r="AC561">
        <v>1894105</v>
      </c>
      <c r="AD561">
        <f t="shared" si="225"/>
        <v>2</v>
      </c>
      <c r="AE561" t="str">
        <f t="shared" si="226"/>
        <v>Siempre</v>
      </c>
      <c r="AF561">
        <v>0</v>
      </c>
      <c r="AG561" t="str">
        <f t="shared" si="227"/>
        <v>Nunca</v>
      </c>
      <c r="AH561">
        <v>1</v>
      </c>
      <c r="AI561" t="str">
        <f t="shared" si="228"/>
        <v>Usa auto</v>
      </c>
      <c r="AJ561">
        <v>0</v>
      </c>
      <c r="AK561" t="str">
        <f t="shared" si="229"/>
        <v>No usa</v>
      </c>
      <c r="AL561">
        <v>0</v>
      </c>
      <c r="AM561" t="str">
        <f t="shared" si="230"/>
        <v>No usa</v>
      </c>
      <c r="AN561">
        <v>0</v>
      </c>
      <c r="AO561" t="str">
        <f t="shared" si="231"/>
        <v>No usa</v>
      </c>
      <c r="AP561">
        <v>0</v>
      </c>
      <c r="AQ561" t="str">
        <f t="shared" si="232"/>
        <v>No camina</v>
      </c>
      <c r="AR561">
        <v>0</v>
      </c>
      <c r="AS561" t="str">
        <f t="shared" si="233"/>
        <v>No es obeso</v>
      </c>
    </row>
    <row r="562" spans="1:45" x14ac:dyDescent="0.25">
      <c r="A562">
        <v>1</v>
      </c>
      <c r="B562" t="str">
        <f t="shared" si="208"/>
        <v>M</v>
      </c>
      <c r="C562">
        <v>18426619</v>
      </c>
      <c r="D562">
        <f t="shared" si="209"/>
        <v>50</v>
      </c>
      <c r="E562">
        <f t="shared" si="210"/>
        <v>50</v>
      </c>
      <c r="F562" t="str">
        <f t="shared" si="211"/>
        <v>25-50</v>
      </c>
      <c r="G562">
        <v>1</v>
      </c>
      <c r="H562" t="str">
        <f t="shared" si="212"/>
        <v>Pariente gordo</v>
      </c>
      <c r="I562">
        <v>1</v>
      </c>
      <c r="J562" t="str">
        <f t="shared" si="213"/>
        <v>Hipercaloricos</v>
      </c>
      <c r="K562">
        <v>2</v>
      </c>
      <c r="L562">
        <f t="shared" si="214"/>
        <v>1</v>
      </c>
      <c r="M562" t="str">
        <f t="shared" si="215"/>
        <v>Suele comer</v>
      </c>
      <c r="N562">
        <v>3092116</v>
      </c>
      <c r="O562">
        <f t="shared" si="216"/>
        <v>2</v>
      </c>
      <c r="P562" t="str">
        <f t="shared" si="217"/>
        <v>Mas de 3</v>
      </c>
      <c r="Q562">
        <v>1</v>
      </c>
      <c r="R562" t="str">
        <f t="shared" si="218"/>
        <v>A veces</v>
      </c>
      <c r="S562">
        <v>0</v>
      </c>
      <c r="T562" t="str">
        <f t="shared" si="219"/>
        <v>No fuma</v>
      </c>
      <c r="U562">
        <v>2426465</v>
      </c>
      <c r="V562">
        <f t="shared" si="220"/>
        <v>2</v>
      </c>
      <c r="W562" t="str">
        <f t="shared" si="221"/>
        <v>Siempre</v>
      </c>
      <c r="X562">
        <v>0</v>
      </c>
      <c r="Y562" t="str">
        <f t="shared" si="222"/>
        <v>No controla</v>
      </c>
      <c r="Z562">
        <v>2</v>
      </c>
      <c r="AA562">
        <f t="shared" si="223"/>
        <v>2</v>
      </c>
      <c r="AB562" t="str">
        <f t="shared" si="224"/>
        <v>Usualmente</v>
      </c>
      <c r="AC562">
        <v>1839862</v>
      </c>
      <c r="AD562">
        <f t="shared" si="225"/>
        <v>2</v>
      </c>
      <c r="AE562" t="str">
        <f t="shared" si="226"/>
        <v>Siempre</v>
      </c>
      <c r="AF562">
        <v>0</v>
      </c>
      <c r="AG562" t="str">
        <f t="shared" si="227"/>
        <v>Nunca</v>
      </c>
      <c r="AH562">
        <v>1</v>
      </c>
      <c r="AI562" t="str">
        <f t="shared" si="228"/>
        <v>Usa auto</v>
      </c>
      <c r="AJ562">
        <v>0</v>
      </c>
      <c r="AK562" t="str">
        <f t="shared" si="229"/>
        <v>No usa</v>
      </c>
      <c r="AL562">
        <v>0</v>
      </c>
      <c r="AM562" t="str">
        <f t="shared" si="230"/>
        <v>No usa</v>
      </c>
      <c r="AN562">
        <v>0</v>
      </c>
      <c r="AO562" t="str">
        <f t="shared" si="231"/>
        <v>No usa</v>
      </c>
      <c r="AP562">
        <v>0</v>
      </c>
      <c r="AQ562" t="str">
        <f t="shared" si="232"/>
        <v>No camina</v>
      </c>
      <c r="AR562">
        <v>0</v>
      </c>
      <c r="AS562" t="str">
        <f t="shared" si="233"/>
        <v>No es obeso</v>
      </c>
    </row>
    <row r="563" spans="1:45" x14ac:dyDescent="0.25">
      <c r="A563">
        <v>0</v>
      </c>
      <c r="B563" t="str">
        <f t="shared" si="208"/>
        <v>F</v>
      </c>
      <c r="C563">
        <v>17082867</v>
      </c>
      <c r="D563">
        <f t="shared" si="209"/>
        <v>46</v>
      </c>
      <c r="E563">
        <f t="shared" si="210"/>
        <v>46</v>
      </c>
      <c r="F563" t="str">
        <f t="shared" si="211"/>
        <v>25-50</v>
      </c>
      <c r="G563">
        <v>0</v>
      </c>
      <c r="H563" t="str">
        <f t="shared" si="212"/>
        <v>Pariente normal</v>
      </c>
      <c r="I563">
        <v>1</v>
      </c>
      <c r="J563" t="str">
        <f t="shared" si="213"/>
        <v>Hipercaloricos</v>
      </c>
      <c r="K563">
        <v>2815157</v>
      </c>
      <c r="L563">
        <f t="shared" si="214"/>
        <v>1</v>
      </c>
      <c r="M563" t="str">
        <f t="shared" si="215"/>
        <v>Suele comer</v>
      </c>
      <c r="N563">
        <v>3</v>
      </c>
      <c r="O563">
        <f t="shared" si="216"/>
        <v>2</v>
      </c>
      <c r="P563" t="str">
        <f t="shared" si="217"/>
        <v>Mas de 3</v>
      </c>
      <c r="Q563">
        <v>1</v>
      </c>
      <c r="R563" t="str">
        <f t="shared" si="218"/>
        <v>A veces</v>
      </c>
      <c r="S563">
        <v>0</v>
      </c>
      <c r="T563" t="str">
        <f t="shared" si="219"/>
        <v>No fuma</v>
      </c>
      <c r="U563">
        <v>2911187</v>
      </c>
      <c r="V563">
        <f t="shared" si="220"/>
        <v>2</v>
      </c>
      <c r="W563" t="str">
        <f t="shared" si="221"/>
        <v>Siempre</v>
      </c>
      <c r="X563">
        <v>0</v>
      </c>
      <c r="Y563" t="str">
        <f t="shared" si="222"/>
        <v>No controla</v>
      </c>
      <c r="Z563">
        <v>2595128</v>
      </c>
      <c r="AA563">
        <f t="shared" si="223"/>
        <v>3</v>
      </c>
      <c r="AB563" t="str">
        <f t="shared" si="224"/>
        <v>Siempre</v>
      </c>
      <c r="AC563">
        <v>1380204</v>
      </c>
      <c r="AD563">
        <f t="shared" si="225"/>
        <v>2</v>
      </c>
      <c r="AE563" t="str">
        <f t="shared" si="226"/>
        <v>Siempre</v>
      </c>
      <c r="AF563">
        <v>1</v>
      </c>
      <c r="AG563" t="str">
        <f t="shared" si="227"/>
        <v>A veces</v>
      </c>
      <c r="AH563">
        <v>0</v>
      </c>
      <c r="AI563" t="str">
        <f t="shared" si="228"/>
        <v>No usa</v>
      </c>
      <c r="AJ563">
        <v>0</v>
      </c>
      <c r="AK563" t="str">
        <f t="shared" si="229"/>
        <v>No usa</v>
      </c>
      <c r="AL563">
        <v>0</v>
      </c>
      <c r="AM563" t="str">
        <f t="shared" si="230"/>
        <v>No usa</v>
      </c>
      <c r="AN563">
        <v>1</v>
      </c>
      <c r="AO563" t="str">
        <f t="shared" si="231"/>
        <v>Usa Transporte</v>
      </c>
      <c r="AP563">
        <v>0</v>
      </c>
      <c r="AQ563" t="str">
        <f t="shared" si="232"/>
        <v>No camina</v>
      </c>
      <c r="AR563">
        <v>0</v>
      </c>
      <c r="AS563" t="str">
        <f t="shared" si="233"/>
        <v>No es obeso</v>
      </c>
    </row>
    <row r="564" spans="1:45" x14ac:dyDescent="0.25">
      <c r="A564">
        <v>0</v>
      </c>
      <c r="B564" t="str">
        <f t="shared" si="208"/>
        <v>F</v>
      </c>
      <c r="C564">
        <v>17000433</v>
      </c>
      <c r="D564">
        <f t="shared" si="209"/>
        <v>46</v>
      </c>
      <c r="E564">
        <f t="shared" si="210"/>
        <v>46</v>
      </c>
      <c r="F564" t="str">
        <f t="shared" si="211"/>
        <v>25-50</v>
      </c>
      <c r="G564">
        <v>0</v>
      </c>
      <c r="H564" t="str">
        <f t="shared" si="212"/>
        <v>Pariente normal</v>
      </c>
      <c r="I564">
        <v>1</v>
      </c>
      <c r="J564" t="str">
        <f t="shared" si="213"/>
        <v>Hipercaloricos</v>
      </c>
      <c r="K564">
        <v>2737762</v>
      </c>
      <c r="L564">
        <f t="shared" si="214"/>
        <v>1</v>
      </c>
      <c r="M564" t="str">
        <f t="shared" si="215"/>
        <v>Suele comer</v>
      </c>
      <c r="N564">
        <v>3</v>
      </c>
      <c r="O564">
        <f t="shared" si="216"/>
        <v>2</v>
      </c>
      <c r="P564" t="str">
        <f t="shared" si="217"/>
        <v>Mas de 3</v>
      </c>
      <c r="Q564">
        <v>1</v>
      </c>
      <c r="R564" t="str">
        <f t="shared" si="218"/>
        <v>A veces</v>
      </c>
      <c r="S564">
        <v>0</v>
      </c>
      <c r="T564" t="str">
        <f t="shared" si="219"/>
        <v>No fuma</v>
      </c>
      <c r="U564">
        <v>2310921</v>
      </c>
      <c r="V564">
        <f t="shared" si="220"/>
        <v>2</v>
      </c>
      <c r="W564" t="str">
        <f t="shared" si="221"/>
        <v>Siempre</v>
      </c>
      <c r="X564">
        <v>0</v>
      </c>
      <c r="Y564" t="str">
        <f t="shared" si="222"/>
        <v>No controla</v>
      </c>
      <c r="Z564">
        <v>2240714</v>
      </c>
      <c r="AA564">
        <f t="shared" si="223"/>
        <v>3</v>
      </c>
      <c r="AB564" t="str">
        <f t="shared" si="224"/>
        <v>Siempre</v>
      </c>
      <c r="AC564">
        <v>159257</v>
      </c>
      <c r="AD564">
        <f t="shared" si="225"/>
        <v>1</v>
      </c>
      <c r="AE564" t="str">
        <f t="shared" si="226"/>
        <v>Usualmente</v>
      </c>
      <c r="AF564">
        <v>1</v>
      </c>
      <c r="AG564" t="str">
        <f t="shared" si="227"/>
        <v>A veces</v>
      </c>
      <c r="AH564">
        <v>0</v>
      </c>
      <c r="AI564" t="str">
        <f t="shared" si="228"/>
        <v>No usa</v>
      </c>
      <c r="AJ564">
        <v>0</v>
      </c>
      <c r="AK564" t="str">
        <f t="shared" si="229"/>
        <v>No usa</v>
      </c>
      <c r="AL564">
        <v>0</v>
      </c>
      <c r="AM564" t="str">
        <f t="shared" si="230"/>
        <v>No usa</v>
      </c>
      <c r="AN564">
        <v>1</v>
      </c>
      <c r="AO564" t="str">
        <f t="shared" si="231"/>
        <v>Usa Transporte</v>
      </c>
      <c r="AP564">
        <v>0</v>
      </c>
      <c r="AQ564" t="str">
        <f t="shared" si="232"/>
        <v>No camina</v>
      </c>
      <c r="AR564">
        <v>0</v>
      </c>
      <c r="AS564" t="str">
        <f t="shared" si="233"/>
        <v>No es obeso</v>
      </c>
    </row>
    <row r="565" spans="1:45" x14ac:dyDescent="0.25">
      <c r="A565">
        <v>0</v>
      </c>
      <c r="B565" t="str">
        <f t="shared" si="208"/>
        <v>F</v>
      </c>
      <c r="C565">
        <v>16270434</v>
      </c>
      <c r="D565">
        <f t="shared" si="209"/>
        <v>44</v>
      </c>
      <c r="E565">
        <f t="shared" si="210"/>
        <v>44</v>
      </c>
      <c r="F565" t="str">
        <f t="shared" si="211"/>
        <v>25-50</v>
      </c>
      <c r="G565">
        <v>0</v>
      </c>
      <c r="H565" t="str">
        <f t="shared" si="212"/>
        <v>Pariente normal</v>
      </c>
      <c r="I565">
        <v>1</v>
      </c>
      <c r="J565" t="str">
        <f t="shared" si="213"/>
        <v>Hipercaloricos</v>
      </c>
      <c r="K565">
        <v>3</v>
      </c>
      <c r="L565">
        <f t="shared" si="214"/>
        <v>1</v>
      </c>
      <c r="M565" t="str">
        <f t="shared" si="215"/>
        <v>Suele comer</v>
      </c>
      <c r="N565">
        <v>3286431</v>
      </c>
      <c r="O565">
        <f t="shared" si="216"/>
        <v>2</v>
      </c>
      <c r="P565" t="str">
        <f t="shared" si="217"/>
        <v>Mas de 3</v>
      </c>
      <c r="Q565">
        <v>1</v>
      </c>
      <c r="R565" t="str">
        <f t="shared" si="218"/>
        <v>A veces</v>
      </c>
      <c r="S565">
        <v>0</v>
      </c>
      <c r="T565" t="str">
        <f t="shared" si="219"/>
        <v>No fuma</v>
      </c>
      <c r="U565">
        <v>2148146</v>
      </c>
      <c r="V565">
        <f t="shared" si="220"/>
        <v>2</v>
      </c>
      <c r="W565" t="str">
        <f t="shared" si="221"/>
        <v>Siempre</v>
      </c>
      <c r="X565">
        <v>0</v>
      </c>
      <c r="Y565" t="str">
        <f t="shared" si="222"/>
        <v>No controla</v>
      </c>
      <c r="Z565">
        <v>2458237</v>
      </c>
      <c r="AA565">
        <f t="shared" si="223"/>
        <v>3</v>
      </c>
      <c r="AB565" t="str">
        <f t="shared" si="224"/>
        <v>Siempre</v>
      </c>
      <c r="AC565">
        <v>1273333</v>
      </c>
      <c r="AD565">
        <f t="shared" si="225"/>
        <v>2</v>
      </c>
      <c r="AE565" t="str">
        <f t="shared" si="226"/>
        <v>Siempre</v>
      </c>
      <c r="AF565">
        <v>1</v>
      </c>
      <c r="AG565" t="str">
        <f t="shared" si="227"/>
        <v>A veces</v>
      </c>
      <c r="AH565">
        <v>0</v>
      </c>
      <c r="AI565" t="str">
        <f t="shared" si="228"/>
        <v>No usa</v>
      </c>
      <c r="AJ565">
        <v>0</v>
      </c>
      <c r="AK565" t="str">
        <f t="shared" si="229"/>
        <v>No usa</v>
      </c>
      <c r="AL565">
        <v>0</v>
      </c>
      <c r="AM565" t="str">
        <f t="shared" si="230"/>
        <v>No usa</v>
      </c>
      <c r="AN565">
        <v>1</v>
      </c>
      <c r="AO565" t="str">
        <f t="shared" si="231"/>
        <v>Usa Transporte</v>
      </c>
      <c r="AP565">
        <v>0</v>
      </c>
      <c r="AQ565" t="str">
        <f t="shared" si="232"/>
        <v>No camina</v>
      </c>
      <c r="AR565">
        <v>0</v>
      </c>
      <c r="AS565" t="str">
        <f t="shared" si="233"/>
        <v>No es obeso</v>
      </c>
    </row>
    <row r="566" spans="1:45" x14ac:dyDescent="0.25">
      <c r="A566">
        <v>1</v>
      </c>
      <c r="B566" t="str">
        <f t="shared" si="208"/>
        <v>M</v>
      </c>
      <c r="C566">
        <v>17908114</v>
      </c>
      <c r="D566">
        <f t="shared" si="209"/>
        <v>49</v>
      </c>
      <c r="E566">
        <f t="shared" si="210"/>
        <v>49</v>
      </c>
      <c r="F566" t="str">
        <f t="shared" si="211"/>
        <v>25-50</v>
      </c>
      <c r="G566">
        <v>1</v>
      </c>
      <c r="H566" t="str">
        <f t="shared" si="212"/>
        <v>Pariente gordo</v>
      </c>
      <c r="I566">
        <v>1</v>
      </c>
      <c r="J566" t="str">
        <f t="shared" si="213"/>
        <v>Hipercaloricos</v>
      </c>
      <c r="K566">
        <v>2568063</v>
      </c>
      <c r="L566">
        <f t="shared" si="214"/>
        <v>1</v>
      </c>
      <c r="M566" t="str">
        <f t="shared" si="215"/>
        <v>Suele comer</v>
      </c>
      <c r="N566">
        <v>4</v>
      </c>
      <c r="O566">
        <f t="shared" si="216"/>
        <v>2</v>
      </c>
      <c r="P566" t="str">
        <f t="shared" si="217"/>
        <v>Mas de 3</v>
      </c>
      <c r="Q566">
        <v>1</v>
      </c>
      <c r="R566" t="str">
        <f t="shared" si="218"/>
        <v>A veces</v>
      </c>
      <c r="S566">
        <v>0</v>
      </c>
      <c r="T566" t="str">
        <f t="shared" si="219"/>
        <v>No fuma</v>
      </c>
      <c r="U566">
        <v>2</v>
      </c>
      <c r="V566">
        <f t="shared" si="220"/>
        <v>2</v>
      </c>
      <c r="W566" t="str">
        <f t="shared" si="221"/>
        <v>Siempre</v>
      </c>
      <c r="X566">
        <v>0</v>
      </c>
      <c r="Y566" t="str">
        <f t="shared" si="222"/>
        <v>No controla</v>
      </c>
      <c r="Z566">
        <v>2</v>
      </c>
      <c r="AA566">
        <f t="shared" si="223"/>
        <v>2</v>
      </c>
      <c r="AB566" t="str">
        <f t="shared" si="224"/>
        <v>Usualmente</v>
      </c>
      <c r="AC566">
        <v>0.220029</v>
      </c>
      <c r="AD566">
        <f t="shared" si="225"/>
        <v>0</v>
      </c>
      <c r="AE566" t="str">
        <f t="shared" si="226"/>
        <v>Nunca</v>
      </c>
      <c r="AF566">
        <v>0</v>
      </c>
      <c r="AG566" t="str">
        <f t="shared" si="227"/>
        <v>Nunca</v>
      </c>
      <c r="AH566">
        <v>1</v>
      </c>
      <c r="AI566" t="str">
        <f t="shared" si="228"/>
        <v>Usa auto</v>
      </c>
      <c r="AJ566">
        <v>0</v>
      </c>
      <c r="AK566" t="str">
        <f t="shared" si="229"/>
        <v>No usa</v>
      </c>
      <c r="AL566">
        <v>0</v>
      </c>
      <c r="AM566" t="str">
        <f t="shared" si="230"/>
        <v>No usa</v>
      </c>
      <c r="AN566">
        <v>0</v>
      </c>
      <c r="AO566" t="str">
        <f t="shared" si="231"/>
        <v>No usa</v>
      </c>
      <c r="AP566">
        <v>0</v>
      </c>
      <c r="AQ566" t="str">
        <f t="shared" si="232"/>
        <v>No camina</v>
      </c>
      <c r="AR566">
        <v>0</v>
      </c>
      <c r="AS566" t="str">
        <f t="shared" si="233"/>
        <v>No es obeso</v>
      </c>
    </row>
    <row r="567" spans="1:45" x14ac:dyDescent="0.25">
      <c r="A567">
        <v>1</v>
      </c>
      <c r="B567" t="str">
        <f t="shared" si="208"/>
        <v>M</v>
      </c>
      <c r="C567">
        <v>17120699</v>
      </c>
      <c r="D567">
        <f t="shared" si="209"/>
        <v>46</v>
      </c>
      <c r="E567">
        <f t="shared" si="210"/>
        <v>46</v>
      </c>
      <c r="F567" t="str">
        <f t="shared" si="211"/>
        <v>25-50</v>
      </c>
      <c r="G567">
        <v>1</v>
      </c>
      <c r="H567" t="str">
        <f t="shared" si="212"/>
        <v>Pariente gordo</v>
      </c>
      <c r="I567">
        <v>1</v>
      </c>
      <c r="J567" t="str">
        <f t="shared" si="213"/>
        <v>Hipercaloricos</v>
      </c>
      <c r="K567">
        <v>2524428</v>
      </c>
      <c r="L567">
        <f t="shared" si="214"/>
        <v>1</v>
      </c>
      <c r="M567" t="str">
        <f t="shared" si="215"/>
        <v>Suele comer</v>
      </c>
      <c r="N567">
        <v>4</v>
      </c>
      <c r="O567">
        <f t="shared" si="216"/>
        <v>2</v>
      </c>
      <c r="P567" t="str">
        <f t="shared" si="217"/>
        <v>Mas de 3</v>
      </c>
      <c r="Q567">
        <v>1</v>
      </c>
      <c r="R567" t="str">
        <f t="shared" si="218"/>
        <v>A veces</v>
      </c>
      <c r="S567">
        <v>0</v>
      </c>
      <c r="T567" t="str">
        <f t="shared" si="219"/>
        <v>No fuma</v>
      </c>
      <c r="U567">
        <v>2</v>
      </c>
      <c r="V567">
        <f t="shared" si="220"/>
        <v>2</v>
      </c>
      <c r="W567" t="str">
        <f t="shared" si="221"/>
        <v>Siempre</v>
      </c>
      <c r="X567">
        <v>0</v>
      </c>
      <c r="Y567" t="str">
        <f t="shared" si="222"/>
        <v>No controla</v>
      </c>
      <c r="Z567">
        <v>2</v>
      </c>
      <c r="AA567">
        <f t="shared" si="223"/>
        <v>2</v>
      </c>
      <c r="AB567" t="str">
        <f t="shared" si="224"/>
        <v>Usualmente</v>
      </c>
      <c r="AC567">
        <v>3.8379999999999997E-2</v>
      </c>
      <c r="AD567">
        <f t="shared" si="225"/>
        <v>0</v>
      </c>
      <c r="AE567" t="str">
        <f t="shared" si="226"/>
        <v>Nunca</v>
      </c>
      <c r="AF567">
        <v>0</v>
      </c>
      <c r="AG567" t="str">
        <f t="shared" si="227"/>
        <v>Nunca</v>
      </c>
      <c r="AH567">
        <v>1</v>
      </c>
      <c r="AI567" t="str">
        <f t="shared" si="228"/>
        <v>Usa auto</v>
      </c>
      <c r="AJ567">
        <v>0</v>
      </c>
      <c r="AK567" t="str">
        <f t="shared" si="229"/>
        <v>No usa</v>
      </c>
      <c r="AL567">
        <v>0</v>
      </c>
      <c r="AM567" t="str">
        <f t="shared" si="230"/>
        <v>No usa</v>
      </c>
      <c r="AN567">
        <v>0</v>
      </c>
      <c r="AO567" t="str">
        <f t="shared" si="231"/>
        <v>No usa</v>
      </c>
      <c r="AP567">
        <v>0</v>
      </c>
      <c r="AQ567" t="str">
        <f t="shared" si="232"/>
        <v>No camina</v>
      </c>
      <c r="AR567">
        <v>0</v>
      </c>
      <c r="AS567" t="str">
        <f t="shared" si="233"/>
        <v>No es obeso</v>
      </c>
    </row>
    <row r="568" spans="1:45" x14ac:dyDescent="0.25">
      <c r="A568">
        <v>1</v>
      </c>
      <c r="B568" t="str">
        <f t="shared" si="208"/>
        <v>M</v>
      </c>
      <c r="C568">
        <v>19329542</v>
      </c>
      <c r="D568">
        <f t="shared" si="209"/>
        <v>52</v>
      </c>
      <c r="E568">
        <f t="shared" si="210"/>
        <v>52</v>
      </c>
      <c r="F568" t="str">
        <f t="shared" si="211"/>
        <v>50-75</v>
      </c>
      <c r="G568">
        <v>1</v>
      </c>
      <c r="H568" t="str">
        <f t="shared" si="212"/>
        <v>Pariente gordo</v>
      </c>
      <c r="I568">
        <v>1</v>
      </c>
      <c r="J568" t="str">
        <f t="shared" si="213"/>
        <v>Hipercaloricos</v>
      </c>
      <c r="K568">
        <v>2</v>
      </c>
      <c r="L568">
        <f t="shared" si="214"/>
        <v>1</v>
      </c>
      <c r="M568" t="str">
        <f t="shared" si="215"/>
        <v>Suele comer</v>
      </c>
      <c r="N568">
        <v>4</v>
      </c>
      <c r="O568">
        <f t="shared" si="216"/>
        <v>2</v>
      </c>
      <c r="P568" t="str">
        <f t="shared" si="217"/>
        <v>Mas de 3</v>
      </c>
      <c r="Q568">
        <v>1</v>
      </c>
      <c r="R568" t="str">
        <f t="shared" si="218"/>
        <v>A veces</v>
      </c>
      <c r="S568">
        <v>0</v>
      </c>
      <c r="T568" t="str">
        <f t="shared" si="219"/>
        <v>No fuma</v>
      </c>
      <c r="U568">
        <v>2157395</v>
      </c>
      <c r="V568">
        <f t="shared" si="220"/>
        <v>2</v>
      </c>
      <c r="W568" t="str">
        <f t="shared" si="221"/>
        <v>Siempre</v>
      </c>
      <c r="X568">
        <v>0</v>
      </c>
      <c r="Y568" t="str">
        <f t="shared" si="222"/>
        <v>No controla</v>
      </c>
      <c r="Z568">
        <v>2</v>
      </c>
      <c r="AA568">
        <f t="shared" si="223"/>
        <v>2</v>
      </c>
      <c r="AB568" t="str">
        <f t="shared" si="224"/>
        <v>Usualmente</v>
      </c>
      <c r="AC568">
        <v>1679149</v>
      </c>
      <c r="AD568">
        <f t="shared" si="225"/>
        <v>2</v>
      </c>
      <c r="AE568" t="str">
        <f t="shared" si="226"/>
        <v>Siempre</v>
      </c>
      <c r="AF568">
        <v>0</v>
      </c>
      <c r="AG568" t="str">
        <f t="shared" si="227"/>
        <v>Nunca</v>
      </c>
      <c r="AH568">
        <v>1</v>
      </c>
      <c r="AI568" t="str">
        <f t="shared" si="228"/>
        <v>Usa auto</v>
      </c>
      <c r="AJ568">
        <v>0</v>
      </c>
      <c r="AK568" t="str">
        <f t="shared" si="229"/>
        <v>No usa</v>
      </c>
      <c r="AL568">
        <v>0</v>
      </c>
      <c r="AM568" t="str">
        <f t="shared" si="230"/>
        <v>No usa</v>
      </c>
      <c r="AN568">
        <v>0</v>
      </c>
      <c r="AO568" t="str">
        <f t="shared" si="231"/>
        <v>No usa</v>
      </c>
      <c r="AP568">
        <v>0</v>
      </c>
      <c r="AQ568" t="str">
        <f t="shared" si="232"/>
        <v>No camina</v>
      </c>
      <c r="AR568">
        <v>0</v>
      </c>
      <c r="AS568" t="str">
        <f t="shared" si="233"/>
        <v>No es obeso</v>
      </c>
    </row>
    <row r="569" spans="1:45" x14ac:dyDescent="0.25">
      <c r="A569">
        <v>0</v>
      </c>
      <c r="B569" t="str">
        <f t="shared" si="208"/>
        <v>F</v>
      </c>
      <c r="C569">
        <v>22377998</v>
      </c>
      <c r="D569">
        <f t="shared" si="209"/>
        <v>61</v>
      </c>
      <c r="E569">
        <f t="shared" si="210"/>
        <v>61</v>
      </c>
      <c r="F569" t="str">
        <f t="shared" si="211"/>
        <v>50-75</v>
      </c>
      <c r="G569">
        <v>1</v>
      </c>
      <c r="H569" t="str">
        <f t="shared" si="212"/>
        <v>Pariente gordo</v>
      </c>
      <c r="I569">
        <v>1</v>
      </c>
      <c r="J569" t="str">
        <f t="shared" si="213"/>
        <v>Hipercaloricos</v>
      </c>
      <c r="K569">
        <v>3</v>
      </c>
      <c r="L569">
        <f t="shared" si="214"/>
        <v>1</v>
      </c>
      <c r="M569" t="str">
        <f t="shared" si="215"/>
        <v>Suele comer</v>
      </c>
      <c r="N569">
        <v>3</v>
      </c>
      <c r="O569">
        <f t="shared" si="216"/>
        <v>2</v>
      </c>
      <c r="P569" t="str">
        <f t="shared" si="217"/>
        <v>Mas de 3</v>
      </c>
      <c r="Q569">
        <v>2</v>
      </c>
      <c r="R569" t="str">
        <f t="shared" si="218"/>
        <v>Usualmente</v>
      </c>
      <c r="S569">
        <v>0</v>
      </c>
      <c r="T569" t="str">
        <f t="shared" si="219"/>
        <v>No fuma</v>
      </c>
      <c r="U569">
        <v>2</v>
      </c>
      <c r="V569">
        <f t="shared" si="220"/>
        <v>2</v>
      </c>
      <c r="W569" t="str">
        <f t="shared" si="221"/>
        <v>Siempre</v>
      </c>
      <c r="X569">
        <v>0</v>
      </c>
      <c r="Y569" t="str">
        <f t="shared" si="222"/>
        <v>No controla</v>
      </c>
      <c r="Z569">
        <v>0.13980799999999999</v>
      </c>
      <c r="AA569">
        <f t="shared" si="223"/>
        <v>0</v>
      </c>
      <c r="AB569" t="str">
        <f t="shared" si="224"/>
        <v>Nunca</v>
      </c>
      <c r="AC569">
        <v>0.87546400000000002</v>
      </c>
      <c r="AD569">
        <f t="shared" si="225"/>
        <v>0</v>
      </c>
      <c r="AE569" t="str">
        <f t="shared" si="226"/>
        <v>Nunca</v>
      </c>
      <c r="AF569">
        <v>0</v>
      </c>
      <c r="AG569" t="str">
        <f t="shared" si="227"/>
        <v>Nunca</v>
      </c>
      <c r="AH569">
        <v>0</v>
      </c>
      <c r="AI569" t="str">
        <f t="shared" si="228"/>
        <v>No usa</v>
      </c>
      <c r="AJ569">
        <v>0</v>
      </c>
      <c r="AK569" t="str">
        <f t="shared" si="229"/>
        <v>No usa</v>
      </c>
      <c r="AL569">
        <v>0</v>
      </c>
      <c r="AM569" t="str">
        <f t="shared" si="230"/>
        <v>No usa</v>
      </c>
      <c r="AN569">
        <v>1</v>
      </c>
      <c r="AO569" t="str">
        <f t="shared" si="231"/>
        <v>Usa Transporte</v>
      </c>
      <c r="AP569">
        <v>0</v>
      </c>
      <c r="AQ569" t="str">
        <f t="shared" si="232"/>
        <v>No camina</v>
      </c>
      <c r="AR569">
        <v>0</v>
      </c>
      <c r="AS569" t="str">
        <f t="shared" si="233"/>
        <v>No es obeso</v>
      </c>
    </row>
    <row r="570" spans="1:45" x14ac:dyDescent="0.25">
      <c r="A570">
        <v>0</v>
      </c>
      <c r="B570" t="str">
        <f t="shared" si="208"/>
        <v>F</v>
      </c>
      <c r="C570">
        <v>20954955</v>
      </c>
      <c r="D570">
        <f t="shared" si="209"/>
        <v>57</v>
      </c>
      <c r="E570">
        <f t="shared" si="210"/>
        <v>57</v>
      </c>
      <c r="F570" t="str">
        <f t="shared" si="211"/>
        <v>50-75</v>
      </c>
      <c r="G570">
        <v>1</v>
      </c>
      <c r="H570" t="str">
        <f t="shared" si="212"/>
        <v>Pariente gordo</v>
      </c>
      <c r="I570">
        <v>1</v>
      </c>
      <c r="J570" t="str">
        <f t="shared" si="213"/>
        <v>Hipercaloricos</v>
      </c>
      <c r="K570">
        <v>2971574</v>
      </c>
      <c r="L570">
        <f t="shared" si="214"/>
        <v>1</v>
      </c>
      <c r="M570" t="str">
        <f t="shared" si="215"/>
        <v>Suele comer</v>
      </c>
      <c r="N570">
        <v>3592415</v>
      </c>
      <c r="O570">
        <f t="shared" si="216"/>
        <v>2</v>
      </c>
      <c r="P570" t="str">
        <f t="shared" si="217"/>
        <v>Mas de 3</v>
      </c>
      <c r="Q570">
        <v>2</v>
      </c>
      <c r="R570" t="str">
        <f t="shared" si="218"/>
        <v>Usualmente</v>
      </c>
      <c r="S570">
        <v>0</v>
      </c>
      <c r="T570" t="str">
        <f t="shared" si="219"/>
        <v>No fuma</v>
      </c>
      <c r="U570">
        <v>2894678</v>
      </c>
      <c r="V570">
        <f t="shared" si="220"/>
        <v>2</v>
      </c>
      <c r="W570" t="str">
        <f t="shared" si="221"/>
        <v>Siempre</v>
      </c>
      <c r="X570">
        <v>0</v>
      </c>
      <c r="Y570" t="str">
        <f t="shared" si="222"/>
        <v>No controla</v>
      </c>
      <c r="Z570">
        <v>2</v>
      </c>
      <c r="AA570">
        <f t="shared" si="223"/>
        <v>2</v>
      </c>
      <c r="AB570" t="str">
        <f t="shared" si="224"/>
        <v>Usualmente</v>
      </c>
      <c r="AC570">
        <v>1009632</v>
      </c>
      <c r="AD570">
        <f t="shared" si="225"/>
        <v>2</v>
      </c>
      <c r="AE570" t="str">
        <f t="shared" si="226"/>
        <v>Siempre</v>
      </c>
      <c r="AF570">
        <v>0</v>
      </c>
      <c r="AG570" t="str">
        <f t="shared" si="227"/>
        <v>Nunca</v>
      </c>
      <c r="AH570">
        <v>0</v>
      </c>
      <c r="AI570" t="str">
        <f t="shared" si="228"/>
        <v>No usa</v>
      </c>
      <c r="AJ570">
        <v>0</v>
      </c>
      <c r="AK570" t="str">
        <f t="shared" si="229"/>
        <v>No usa</v>
      </c>
      <c r="AL570">
        <v>0</v>
      </c>
      <c r="AM570" t="str">
        <f t="shared" si="230"/>
        <v>No usa</v>
      </c>
      <c r="AN570">
        <v>1</v>
      </c>
      <c r="AO570" t="str">
        <f t="shared" si="231"/>
        <v>Usa Transporte</v>
      </c>
      <c r="AP570">
        <v>0</v>
      </c>
      <c r="AQ570" t="str">
        <f t="shared" si="232"/>
        <v>No camina</v>
      </c>
      <c r="AR570">
        <v>0</v>
      </c>
      <c r="AS570" t="str">
        <f t="shared" si="233"/>
        <v>No es obeso</v>
      </c>
    </row>
    <row r="571" spans="1:45" x14ac:dyDescent="0.25">
      <c r="A571">
        <v>0</v>
      </c>
      <c r="B571" t="str">
        <f t="shared" si="208"/>
        <v>F</v>
      </c>
      <c r="C571">
        <v>22991668</v>
      </c>
      <c r="D571">
        <f t="shared" si="209"/>
        <v>62</v>
      </c>
      <c r="E571">
        <f t="shared" si="210"/>
        <v>62</v>
      </c>
      <c r="F571" t="str">
        <f t="shared" si="211"/>
        <v>50-75</v>
      </c>
      <c r="G571">
        <v>1</v>
      </c>
      <c r="H571" t="str">
        <f t="shared" si="212"/>
        <v>Pariente gordo</v>
      </c>
      <c r="I571">
        <v>1</v>
      </c>
      <c r="J571" t="str">
        <f t="shared" si="213"/>
        <v>Hipercaloricos</v>
      </c>
      <c r="K571">
        <v>3</v>
      </c>
      <c r="L571">
        <f t="shared" si="214"/>
        <v>1</v>
      </c>
      <c r="M571" t="str">
        <f t="shared" si="215"/>
        <v>Suele comer</v>
      </c>
      <c r="N571">
        <v>3</v>
      </c>
      <c r="O571">
        <f t="shared" si="216"/>
        <v>2</v>
      </c>
      <c r="P571" t="str">
        <f t="shared" si="217"/>
        <v>Mas de 3</v>
      </c>
      <c r="Q571">
        <v>2</v>
      </c>
      <c r="R571" t="str">
        <f t="shared" si="218"/>
        <v>Usualmente</v>
      </c>
      <c r="S571">
        <v>0</v>
      </c>
      <c r="T571" t="str">
        <f t="shared" si="219"/>
        <v>No fuma</v>
      </c>
      <c r="U571">
        <v>2025279</v>
      </c>
      <c r="V571">
        <f t="shared" si="220"/>
        <v>2</v>
      </c>
      <c r="W571" t="str">
        <f t="shared" si="221"/>
        <v>Siempre</v>
      </c>
      <c r="X571">
        <v>0</v>
      </c>
      <c r="Y571" t="str">
        <f t="shared" si="222"/>
        <v>No controla</v>
      </c>
      <c r="Z571">
        <v>2</v>
      </c>
      <c r="AA571">
        <f t="shared" si="223"/>
        <v>2</v>
      </c>
      <c r="AB571" t="str">
        <f t="shared" si="224"/>
        <v>Usualmente</v>
      </c>
      <c r="AC571">
        <v>0.15298500000000001</v>
      </c>
      <c r="AD571">
        <f t="shared" si="225"/>
        <v>0</v>
      </c>
      <c r="AE571" t="str">
        <f t="shared" si="226"/>
        <v>Nunca</v>
      </c>
      <c r="AF571">
        <v>0</v>
      </c>
      <c r="AG571" t="str">
        <f t="shared" si="227"/>
        <v>Nunca</v>
      </c>
      <c r="AH571">
        <v>0</v>
      </c>
      <c r="AI571" t="str">
        <f t="shared" si="228"/>
        <v>No usa</v>
      </c>
      <c r="AJ571">
        <v>0</v>
      </c>
      <c r="AK571" t="str">
        <f t="shared" si="229"/>
        <v>No usa</v>
      </c>
      <c r="AL571">
        <v>0</v>
      </c>
      <c r="AM571" t="str">
        <f t="shared" si="230"/>
        <v>No usa</v>
      </c>
      <c r="AN571">
        <v>1</v>
      </c>
      <c r="AO571" t="str">
        <f t="shared" si="231"/>
        <v>Usa Transporte</v>
      </c>
      <c r="AP571">
        <v>0</v>
      </c>
      <c r="AQ571" t="str">
        <f t="shared" si="232"/>
        <v>No camina</v>
      </c>
      <c r="AR571">
        <v>0</v>
      </c>
      <c r="AS571" t="str">
        <f t="shared" si="233"/>
        <v>No es obeso</v>
      </c>
    </row>
    <row r="572" spans="1:45" x14ac:dyDescent="0.25">
      <c r="A572">
        <v>0</v>
      </c>
      <c r="B572" t="str">
        <f t="shared" si="208"/>
        <v>F</v>
      </c>
      <c r="C572">
        <v>19300435</v>
      </c>
      <c r="D572">
        <f t="shared" si="209"/>
        <v>52</v>
      </c>
      <c r="E572">
        <f t="shared" si="210"/>
        <v>52</v>
      </c>
      <c r="F572" t="str">
        <f t="shared" si="211"/>
        <v>50-75</v>
      </c>
      <c r="G572">
        <v>0</v>
      </c>
      <c r="H572" t="str">
        <f t="shared" si="212"/>
        <v>Pariente normal</v>
      </c>
      <c r="I572">
        <v>1</v>
      </c>
      <c r="J572" t="str">
        <f t="shared" si="213"/>
        <v>Hipercaloricos</v>
      </c>
      <c r="K572">
        <v>3</v>
      </c>
      <c r="L572">
        <f t="shared" si="214"/>
        <v>1</v>
      </c>
      <c r="M572" t="str">
        <f t="shared" si="215"/>
        <v>Suele comer</v>
      </c>
      <c r="N572">
        <v>3754599</v>
      </c>
      <c r="O572">
        <f t="shared" si="216"/>
        <v>2</v>
      </c>
      <c r="P572" t="str">
        <f t="shared" si="217"/>
        <v>Mas de 3</v>
      </c>
      <c r="Q572">
        <v>1</v>
      </c>
      <c r="R572" t="str">
        <f t="shared" si="218"/>
        <v>A veces</v>
      </c>
      <c r="S572">
        <v>0</v>
      </c>
      <c r="T572" t="str">
        <f t="shared" si="219"/>
        <v>No fuma</v>
      </c>
      <c r="U572">
        <v>1692112</v>
      </c>
      <c r="V572">
        <f t="shared" si="220"/>
        <v>2</v>
      </c>
      <c r="W572" t="str">
        <f t="shared" si="221"/>
        <v>Siempre</v>
      </c>
      <c r="X572">
        <v>0</v>
      </c>
      <c r="Y572" t="str">
        <f t="shared" si="222"/>
        <v>No controla</v>
      </c>
      <c r="Z572">
        <v>2</v>
      </c>
      <c r="AA572">
        <f t="shared" si="223"/>
        <v>2</v>
      </c>
      <c r="AB572" t="str">
        <f t="shared" si="224"/>
        <v>Usualmente</v>
      </c>
      <c r="AC572">
        <v>1</v>
      </c>
      <c r="AD572">
        <f t="shared" si="225"/>
        <v>1</v>
      </c>
      <c r="AE572" t="str">
        <f t="shared" si="226"/>
        <v>Usualmente</v>
      </c>
      <c r="AF572">
        <v>1</v>
      </c>
      <c r="AG572" t="str">
        <f t="shared" si="227"/>
        <v>A veces</v>
      </c>
      <c r="AH572">
        <v>0</v>
      </c>
      <c r="AI572" t="str">
        <f t="shared" si="228"/>
        <v>No usa</v>
      </c>
      <c r="AJ572">
        <v>0</v>
      </c>
      <c r="AK572" t="str">
        <f t="shared" si="229"/>
        <v>No usa</v>
      </c>
      <c r="AL572">
        <v>0</v>
      </c>
      <c r="AM572" t="str">
        <f t="shared" si="230"/>
        <v>No usa</v>
      </c>
      <c r="AN572">
        <v>1</v>
      </c>
      <c r="AO572" t="str">
        <f t="shared" si="231"/>
        <v>Usa Transporte</v>
      </c>
      <c r="AP572">
        <v>0</v>
      </c>
      <c r="AQ572" t="str">
        <f t="shared" si="232"/>
        <v>No camina</v>
      </c>
      <c r="AR572">
        <v>0</v>
      </c>
      <c r="AS572" t="str">
        <f t="shared" si="233"/>
        <v>No es obeso</v>
      </c>
    </row>
    <row r="573" spans="1:45" x14ac:dyDescent="0.25">
      <c r="A573">
        <v>0</v>
      </c>
      <c r="B573" t="str">
        <f t="shared" si="208"/>
        <v>F</v>
      </c>
      <c r="C573">
        <v>17065445</v>
      </c>
      <c r="D573">
        <f t="shared" si="209"/>
        <v>46</v>
      </c>
      <c r="E573">
        <f t="shared" si="210"/>
        <v>46</v>
      </c>
      <c r="F573" t="str">
        <f t="shared" si="211"/>
        <v>25-50</v>
      </c>
      <c r="G573">
        <v>0</v>
      </c>
      <c r="H573" t="str">
        <f t="shared" si="212"/>
        <v>Pariente normal</v>
      </c>
      <c r="I573">
        <v>1</v>
      </c>
      <c r="J573" t="str">
        <f t="shared" si="213"/>
        <v>Hipercaloricos</v>
      </c>
      <c r="K573">
        <v>3</v>
      </c>
      <c r="L573">
        <f t="shared" si="214"/>
        <v>1</v>
      </c>
      <c r="M573" t="str">
        <f t="shared" si="215"/>
        <v>Suele comer</v>
      </c>
      <c r="N573">
        <v>3566082</v>
      </c>
      <c r="O573">
        <f t="shared" si="216"/>
        <v>2</v>
      </c>
      <c r="P573" t="str">
        <f t="shared" si="217"/>
        <v>Mas de 3</v>
      </c>
      <c r="Q573">
        <v>1</v>
      </c>
      <c r="R573" t="str">
        <f t="shared" si="218"/>
        <v>A veces</v>
      </c>
      <c r="S573">
        <v>0</v>
      </c>
      <c r="T573" t="str">
        <f t="shared" si="219"/>
        <v>No fuma</v>
      </c>
      <c r="U573">
        <v>1438398</v>
      </c>
      <c r="V573">
        <f t="shared" si="220"/>
        <v>2</v>
      </c>
      <c r="W573" t="str">
        <f t="shared" si="221"/>
        <v>Siempre</v>
      </c>
      <c r="X573">
        <v>0</v>
      </c>
      <c r="Y573" t="str">
        <f t="shared" si="222"/>
        <v>No controla</v>
      </c>
      <c r="Z573">
        <v>2</v>
      </c>
      <c r="AA573">
        <f t="shared" si="223"/>
        <v>2</v>
      </c>
      <c r="AB573" t="str">
        <f t="shared" si="224"/>
        <v>Usualmente</v>
      </c>
      <c r="AC573">
        <v>1</v>
      </c>
      <c r="AD573">
        <f t="shared" si="225"/>
        <v>1</v>
      </c>
      <c r="AE573" t="str">
        <f t="shared" si="226"/>
        <v>Usualmente</v>
      </c>
      <c r="AF573">
        <v>1</v>
      </c>
      <c r="AG573" t="str">
        <f t="shared" si="227"/>
        <v>A veces</v>
      </c>
      <c r="AH573">
        <v>0</v>
      </c>
      <c r="AI573" t="str">
        <f t="shared" si="228"/>
        <v>No usa</v>
      </c>
      <c r="AJ573">
        <v>0</v>
      </c>
      <c r="AK573" t="str">
        <f t="shared" si="229"/>
        <v>No usa</v>
      </c>
      <c r="AL573">
        <v>0</v>
      </c>
      <c r="AM573" t="str">
        <f t="shared" si="230"/>
        <v>No usa</v>
      </c>
      <c r="AN573">
        <v>1</v>
      </c>
      <c r="AO573" t="str">
        <f t="shared" si="231"/>
        <v>Usa Transporte</v>
      </c>
      <c r="AP573">
        <v>0</v>
      </c>
      <c r="AQ573" t="str">
        <f t="shared" si="232"/>
        <v>No camina</v>
      </c>
      <c r="AR573">
        <v>0</v>
      </c>
      <c r="AS573" t="str">
        <f t="shared" si="233"/>
        <v>No es obeso</v>
      </c>
    </row>
    <row r="574" spans="1:45" x14ac:dyDescent="0.25">
      <c r="A574">
        <v>0</v>
      </c>
      <c r="B574" t="str">
        <f t="shared" si="208"/>
        <v>F</v>
      </c>
      <c r="C574">
        <v>19084967</v>
      </c>
      <c r="D574">
        <f t="shared" si="209"/>
        <v>52</v>
      </c>
      <c r="E574">
        <f t="shared" si="210"/>
        <v>52</v>
      </c>
      <c r="F574" t="str">
        <f t="shared" si="211"/>
        <v>50-75</v>
      </c>
      <c r="G574">
        <v>0</v>
      </c>
      <c r="H574" t="str">
        <f t="shared" si="212"/>
        <v>Pariente normal</v>
      </c>
      <c r="I574">
        <v>1</v>
      </c>
      <c r="J574" t="str">
        <f t="shared" si="213"/>
        <v>Hipercaloricos</v>
      </c>
      <c r="K574">
        <v>3</v>
      </c>
      <c r="L574">
        <f t="shared" si="214"/>
        <v>1</v>
      </c>
      <c r="M574" t="str">
        <f t="shared" si="215"/>
        <v>Suele comer</v>
      </c>
      <c r="N574">
        <v>3725797</v>
      </c>
      <c r="O574">
        <f t="shared" si="216"/>
        <v>2</v>
      </c>
      <c r="P574" t="str">
        <f t="shared" si="217"/>
        <v>Mas de 3</v>
      </c>
      <c r="Q574">
        <v>1</v>
      </c>
      <c r="R574" t="str">
        <f t="shared" si="218"/>
        <v>A veces</v>
      </c>
      <c r="S574">
        <v>0</v>
      </c>
      <c r="T574" t="str">
        <f t="shared" si="219"/>
        <v>No fuma</v>
      </c>
      <c r="U574">
        <v>1191401</v>
      </c>
      <c r="V574">
        <f t="shared" si="220"/>
        <v>2</v>
      </c>
      <c r="W574" t="str">
        <f t="shared" si="221"/>
        <v>Siempre</v>
      </c>
      <c r="X574">
        <v>0</v>
      </c>
      <c r="Y574" t="str">
        <f t="shared" si="222"/>
        <v>No controla</v>
      </c>
      <c r="Z574">
        <v>2</v>
      </c>
      <c r="AA574">
        <f t="shared" si="223"/>
        <v>2</v>
      </c>
      <c r="AB574" t="str">
        <f t="shared" si="224"/>
        <v>Usualmente</v>
      </c>
      <c r="AC574">
        <v>1</v>
      </c>
      <c r="AD574">
        <f t="shared" si="225"/>
        <v>1</v>
      </c>
      <c r="AE574" t="str">
        <f t="shared" si="226"/>
        <v>Usualmente</v>
      </c>
      <c r="AF574">
        <v>1</v>
      </c>
      <c r="AG574" t="str">
        <f t="shared" si="227"/>
        <v>A veces</v>
      </c>
      <c r="AH574">
        <v>0</v>
      </c>
      <c r="AI574" t="str">
        <f t="shared" si="228"/>
        <v>No usa</v>
      </c>
      <c r="AJ574">
        <v>0</v>
      </c>
      <c r="AK574" t="str">
        <f t="shared" si="229"/>
        <v>No usa</v>
      </c>
      <c r="AL574">
        <v>0</v>
      </c>
      <c r="AM574" t="str">
        <f t="shared" si="230"/>
        <v>No usa</v>
      </c>
      <c r="AN574">
        <v>1</v>
      </c>
      <c r="AO574" t="str">
        <f t="shared" si="231"/>
        <v>Usa Transporte</v>
      </c>
      <c r="AP574">
        <v>0</v>
      </c>
      <c r="AQ574" t="str">
        <f t="shared" si="232"/>
        <v>No camina</v>
      </c>
      <c r="AR574">
        <v>0</v>
      </c>
      <c r="AS574" t="str">
        <f t="shared" si="233"/>
        <v>No es obeso</v>
      </c>
    </row>
    <row r="575" spans="1:45" x14ac:dyDescent="0.25">
      <c r="A575">
        <v>0</v>
      </c>
      <c r="B575" t="str">
        <f t="shared" si="208"/>
        <v>F</v>
      </c>
      <c r="C575">
        <v>18024853</v>
      </c>
      <c r="D575">
        <f t="shared" si="209"/>
        <v>49</v>
      </c>
      <c r="E575">
        <f t="shared" si="210"/>
        <v>49</v>
      </c>
      <c r="F575" t="str">
        <f t="shared" si="211"/>
        <v>25-50</v>
      </c>
      <c r="G575">
        <v>0</v>
      </c>
      <c r="H575" t="str">
        <f t="shared" si="212"/>
        <v>Pariente normal</v>
      </c>
      <c r="I575">
        <v>1</v>
      </c>
      <c r="J575" t="str">
        <f t="shared" si="213"/>
        <v>Hipercaloricos</v>
      </c>
      <c r="K575">
        <v>10816</v>
      </c>
      <c r="L575">
        <f t="shared" si="214"/>
        <v>1</v>
      </c>
      <c r="M575" t="str">
        <f t="shared" si="215"/>
        <v>Suele comer</v>
      </c>
      <c r="N575">
        <v>3520555</v>
      </c>
      <c r="O575">
        <f t="shared" si="216"/>
        <v>2</v>
      </c>
      <c r="P575" t="str">
        <f t="shared" si="217"/>
        <v>Mas de 3</v>
      </c>
      <c r="Q575">
        <v>2</v>
      </c>
      <c r="R575" t="str">
        <f t="shared" si="218"/>
        <v>Usualmente</v>
      </c>
      <c r="S575">
        <v>0</v>
      </c>
      <c r="T575" t="str">
        <f t="shared" si="219"/>
        <v>No fuma</v>
      </c>
      <c r="U575">
        <v>1016968</v>
      </c>
      <c r="V575">
        <f t="shared" si="220"/>
        <v>2</v>
      </c>
      <c r="W575" t="str">
        <f t="shared" si="221"/>
        <v>Siempre</v>
      </c>
      <c r="X575">
        <v>0</v>
      </c>
      <c r="Y575" t="str">
        <f t="shared" si="222"/>
        <v>No controla</v>
      </c>
      <c r="Z575">
        <v>0.65141199999999999</v>
      </c>
      <c r="AA575">
        <f t="shared" si="223"/>
        <v>0</v>
      </c>
      <c r="AB575" t="str">
        <f t="shared" si="224"/>
        <v>Nunca</v>
      </c>
      <c r="AC575">
        <v>1</v>
      </c>
      <c r="AD575">
        <f t="shared" si="225"/>
        <v>1</v>
      </c>
      <c r="AE575" t="str">
        <f t="shared" si="226"/>
        <v>Usualmente</v>
      </c>
      <c r="AF575">
        <v>1</v>
      </c>
      <c r="AG575" t="str">
        <f t="shared" si="227"/>
        <v>A veces</v>
      </c>
      <c r="AH575">
        <v>0</v>
      </c>
      <c r="AI575" t="str">
        <f t="shared" si="228"/>
        <v>No usa</v>
      </c>
      <c r="AJ575">
        <v>0</v>
      </c>
      <c r="AK575" t="str">
        <f t="shared" si="229"/>
        <v>No usa</v>
      </c>
      <c r="AL575">
        <v>0</v>
      </c>
      <c r="AM575" t="str">
        <f t="shared" si="230"/>
        <v>No usa</v>
      </c>
      <c r="AN575">
        <v>1</v>
      </c>
      <c r="AO575" t="str">
        <f t="shared" si="231"/>
        <v>Usa Transporte</v>
      </c>
      <c r="AP575">
        <v>0</v>
      </c>
      <c r="AQ575" t="str">
        <f t="shared" si="232"/>
        <v>No camina</v>
      </c>
      <c r="AR575">
        <v>0</v>
      </c>
      <c r="AS575" t="str">
        <f t="shared" si="233"/>
        <v>No es obeso</v>
      </c>
    </row>
    <row r="576" spans="1:45" x14ac:dyDescent="0.25">
      <c r="A576">
        <v>0</v>
      </c>
      <c r="B576" t="str">
        <f t="shared" si="208"/>
        <v>F</v>
      </c>
      <c r="C576">
        <v>19833682</v>
      </c>
      <c r="D576">
        <f t="shared" si="209"/>
        <v>54</v>
      </c>
      <c r="E576">
        <f t="shared" si="210"/>
        <v>54</v>
      </c>
      <c r="F576" t="str">
        <f t="shared" si="211"/>
        <v>50-75</v>
      </c>
      <c r="G576">
        <v>0</v>
      </c>
      <c r="H576" t="str">
        <f t="shared" si="212"/>
        <v>Pariente normal</v>
      </c>
      <c r="I576">
        <v>1</v>
      </c>
      <c r="J576" t="str">
        <f t="shared" si="213"/>
        <v>Hipercaloricos</v>
      </c>
      <c r="K576">
        <v>1270448</v>
      </c>
      <c r="L576">
        <f t="shared" si="214"/>
        <v>1</v>
      </c>
      <c r="M576" t="str">
        <f t="shared" si="215"/>
        <v>Suele comer</v>
      </c>
      <c r="N576">
        <v>3731212</v>
      </c>
      <c r="O576">
        <f t="shared" si="216"/>
        <v>2</v>
      </c>
      <c r="P576" t="str">
        <f t="shared" si="217"/>
        <v>Mas de 3</v>
      </c>
      <c r="Q576">
        <v>2</v>
      </c>
      <c r="R576" t="str">
        <f t="shared" si="218"/>
        <v>Usualmente</v>
      </c>
      <c r="S576">
        <v>0</v>
      </c>
      <c r="T576" t="str">
        <f t="shared" si="219"/>
        <v>No fuma</v>
      </c>
      <c r="U576">
        <v>1876915</v>
      </c>
      <c r="V576">
        <f t="shared" si="220"/>
        <v>2</v>
      </c>
      <c r="W576" t="str">
        <f t="shared" si="221"/>
        <v>Siempre</v>
      </c>
      <c r="X576">
        <v>0</v>
      </c>
      <c r="Y576" t="str">
        <f t="shared" si="222"/>
        <v>No controla</v>
      </c>
      <c r="Z576">
        <v>2</v>
      </c>
      <c r="AA576">
        <f t="shared" si="223"/>
        <v>2</v>
      </c>
      <c r="AB576" t="str">
        <f t="shared" si="224"/>
        <v>Usualmente</v>
      </c>
      <c r="AC576">
        <v>1</v>
      </c>
      <c r="AD576">
        <f t="shared" si="225"/>
        <v>1</v>
      </c>
      <c r="AE576" t="str">
        <f t="shared" si="226"/>
        <v>Usualmente</v>
      </c>
      <c r="AF576">
        <v>1</v>
      </c>
      <c r="AG576" t="str">
        <f t="shared" si="227"/>
        <v>A veces</v>
      </c>
      <c r="AH576">
        <v>0</v>
      </c>
      <c r="AI576" t="str">
        <f t="shared" si="228"/>
        <v>No usa</v>
      </c>
      <c r="AJ576">
        <v>0</v>
      </c>
      <c r="AK576" t="str">
        <f t="shared" si="229"/>
        <v>No usa</v>
      </c>
      <c r="AL576">
        <v>0</v>
      </c>
      <c r="AM576" t="str">
        <f t="shared" si="230"/>
        <v>No usa</v>
      </c>
      <c r="AN576">
        <v>1</v>
      </c>
      <c r="AO576" t="str">
        <f t="shared" si="231"/>
        <v>Usa Transporte</v>
      </c>
      <c r="AP576">
        <v>0</v>
      </c>
      <c r="AQ576" t="str">
        <f t="shared" si="232"/>
        <v>No camina</v>
      </c>
      <c r="AR576">
        <v>0</v>
      </c>
      <c r="AS576" t="str">
        <f t="shared" si="233"/>
        <v>No es obeso</v>
      </c>
    </row>
    <row r="577" spans="1:45" x14ac:dyDescent="0.25">
      <c r="A577">
        <v>0</v>
      </c>
      <c r="B577" t="str">
        <f t="shared" si="208"/>
        <v>F</v>
      </c>
      <c r="C577">
        <v>17767432</v>
      </c>
      <c r="D577">
        <f t="shared" si="209"/>
        <v>48</v>
      </c>
      <c r="E577">
        <f t="shared" si="210"/>
        <v>48</v>
      </c>
      <c r="F577" t="str">
        <f t="shared" si="211"/>
        <v>25-50</v>
      </c>
      <c r="G577">
        <v>0</v>
      </c>
      <c r="H577" t="str">
        <f t="shared" si="212"/>
        <v>Pariente normal</v>
      </c>
      <c r="I577">
        <v>1</v>
      </c>
      <c r="J577" t="str">
        <f t="shared" si="213"/>
        <v>Hipercaloricos</v>
      </c>
      <c r="K577">
        <v>1344854</v>
      </c>
      <c r="L577">
        <f t="shared" si="214"/>
        <v>1</v>
      </c>
      <c r="M577" t="str">
        <f t="shared" si="215"/>
        <v>Suele comer</v>
      </c>
      <c r="N577">
        <v>4</v>
      </c>
      <c r="O577">
        <f t="shared" si="216"/>
        <v>2</v>
      </c>
      <c r="P577" t="str">
        <f t="shared" si="217"/>
        <v>Mas de 3</v>
      </c>
      <c r="Q577">
        <v>2</v>
      </c>
      <c r="R577" t="str">
        <f t="shared" si="218"/>
        <v>Usualmente</v>
      </c>
      <c r="S577">
        <v>0</v>
      </c>
      <c r="T577" t="str">
        <f t="shared" si="219"/>
        <v>No fuma</v>
      </c>
      <c r="U577">
        <v>1</v>
      </c>
      <c r="V577">
        <f t="shared" si="220"/>
        <v>1</v>
      </c>
      <c r="W577" t="str">
        <f t="shared" si="221"/>
        <v>Usualmente</v>
      </c>
      <c r="X577">
        <v>0</v>
      </c>
      <c r="Y577" t="str">
        <f t="shared" si="222"/>
        <v>No controla</v>
      </c>
      <c r="Z577">
        <v>2</v>
      </c>
      <c r="AA577">
        <f t="shared" si="223"/>
        <v>2</v>
      </c>
      <c r="AB577" t="str">
        <f t="shared" si="224"/>
        <v>Usualmente</v>
      </c>
      <c r="AC577">
        <v>1</v>
      </c>
      <c r="AD577">
        <f t="shared" si="225"/>
        <v>1</v>
      </c>
      <c r="AE577" t="str">
        <f t="shared" si="226"/>
        <v>Usualmente</v>
      </c>
      <c r="AF577">
        <v>1</v>
      </c>
      <c r="AG577" t="str">
        <f t="shared" si="227"/>
        <v>A veces</v>
      </c>
      <c r="AH577">
        <v>0</v>
      </c>
      <c r="AI577" t="str">
        <f t="shared" si="228"/>
        <v>No usa</v>
      </c>
      <c r="AJ577">
        <v>0</v>
      </c>
      <c r="AK577" t="str">
        <f t="shared" si="229"/>
        <v>No usa</v>
      </c>
      <c r="AL577">
        <v>0</v>
      </c>
      <c r="AM577" t="str">
        <f t="shared" si="230"/>
        <v>No usa</v>
      </c>
      <c r="AN577">
        <v>1</v>
      </c>
      <c r="AO577" t="str">
        <f t="shared" si="231"/>
        <v>Usa Transporte</v>
      </c>
      <c r="AP577">
        <v>0</v>
      </c>
      <c r="AQ577" t="str">
        <f t="shared" si="232"/>
        <v>No camina</v>
      </c>
      <c r="AR577">
        <v>0</v>
      </c>
      <c r="AS577" t="str">
        <f t="shared" si="233"/>
        <v>No es obeso</v>
      </c>
    </row>
    <row r="578" spans="1:45" x14ac:dyDescent="0.25">
      <c r="A578">
        <v>0</v>
      </c>
      <c r="B578" t="str">
        <f t="shared" si="208"/>
        <v>F</v>
      </c>
      <c r="C578">
        <v>19504696</v>
      </c>
      <c r="D578">
        <f t="shared" si="209"/>
        <v>53</v>
      </c>
      <c r="E578">
        <f t="shared" si="210"/>
        <v>53</v>
      </c>
      <c r="F578" t="str">
        <f t="shared" si="211"/>
        <v>50-75</v>
      </c>
      <c r="G578">
        <v>0</v>
      </c>
      <c r="H578" t="str">
        <f t="shared" si="212"/>
        <v>Pariente normal</v>
      </c>
      <c r="I578">
        <v>0</v>
      </c>
      <c r="J578" t="str">
        <f t="shared" si="213"/>
        <v>Saludables</v>
      </c>
      <c r="K578">
        <v>2959658</v>
      </c>
      <c r="L578">
        <f t="shared" si="214"/>
        <v>1</v>
      </c>
      <c r="M578" t="str">
        <f t="shared" si="215"/>
        <v>Suele comer</v>
      </c>
      <c r="N578">
        <v>3</v>
      </c>
      <c r="O578">
        <f t="shared" si="216"/>
        <v>2</v>
      </c>
      <c r="P578" t="str">
        <f t="shared" si="217"/>
        <v>Mas de 3</v>
      </c>
      <c r="Q578">
        <v>2</v>
      </c>
      <c r="R578" t="str">
        <f t="shared" si="218"/>
        <v>Usualmente</v>
      </c>
      <c r="S578">
        <v>0</v>
      </c>
      <c r="T578" t="str">
        <f t="shared" si="219"/>
        <v>No fuma</v>
      </c>
      <c r="U578">
        <v>1</v>
      </c>
      <c r="V578">
        <f t="shared" si="220"/>
        <v>1</v>
      </c>
      <c r="W578" t="str">
        <f t="shared" si="221"/>
        <v>Usualmente</v>
      </c>
      <c r="X578">
        <v>0</v>
      </c>
      <c r="Y578" t="str">
        <f t="shared" si="222"/>
        <v>No controla</v>
      </c>
      <c r="Z578">
        <v>1522399</v>
      </c>
      <c r="AA578">
        <f t="shared" si="223"/>
        <v>3</v>
      </c>
      <c r="AB578" t="str">
        <f t="shared" si="224"/>
        <v>Siempre</v>
      </c>
      <c r="AC578">
        <v>0</v>
      </c>
      <c r="AD578">
        <f t="shared" si="225"/>
        <v>0</v>
      </c>
      <c r="AE578" t="str">
        <f t="shared" si="226"/>
        <v>Nunca</v>
      </c>
      <c r="AF578">
        <v>1</v>
      </c>
      <c r="AG578" t="str">
        <f t="shared" si="227"/>
        <v>A veces</v>
      </c>
      <c r="AH578">
        <v>0</v>
      </c>
      <c r="AI578" t="str">
        <f t="shared" si="228"/>
        <v>No usa</v>
      </c>
      <c r="AJ578">
        <v>0</v>
      </c>
      <c r="AK578" t="str">
        <f t="shared" si="229"/>
        <v>No usa</v>
      </c>
      <c r="AL578">
        <v>0</v>
      </c>
      <c r="AM578" t="str">
        <f t="shared" si="230"/>
        <v>No usa</v>
      </c>
      <c r="AN578">
        <v>1</v>
      </c>
      <c r="AO578" t="str">
        <f t="shared" si="231"/>
        <v>Usa Transporte</v>
      </c>
      <c r="AP578">
        <v>0</v>
      </c>
      <c r="AQ578" t="str">
        <f t="shared" si="232"/>
        <v>No camina</v>
      </c>
      <c r="AR578">
        <v>0</v>
      </c>
      <c r="AS578" t="str">
        <f t="shared" si="233"/>
        <v>No es obeso</v>
      </c>
    </row>
    <row r="579" spans="1:45" x14ac:dyDescent="0.25">
      <c r="A579">
        <v>0</v>
      </c>
      <c r="B579" t="str">
        <f t="shared" ref="B579:B642" si="234">IF(A579=1,"M","F")</f>
        <v>F</v>
      </c>
      <c r="C579">
        <v>19950605</v>
      </c>
      <c r="D579">
        <f t="shared" ref="D579:D642" si="235">IF(C579&lt;100,C579,ROUNDDOWN((C579/1000)/365,0))</f>
        <v>54</v>
      </c>
      <c r="E579">
        <f t="shared" ref="E579:E642" si="236">IF(AND(D579&gt;1,D579&lt;=100),D579,IF(D579&gt;100,100,5))</f>
        <v>54</v>
      </c>
      <c r="F579" t="str">
        <f t="shared" ref="F579:F642" si="237">IF(AND(E579&gt;=1,E579&lt;=25),"1-25",IF(AND(E579&gt;25,E579&lt;=50),"25-50",IF(AND(E579&gt;50,E579&lt;=75),"50-75","75-100")))</f>
        <v>50-75</v>
      </c>
      <c r="G579">
        <v>0</v>
      </c>
      <c r="H579" t="str">
        <f t="shared" ref="H579:H642" si="238">IF(G579=1,"Pariente gordo","Pariente normal")</f>
        <v>Pariente normal</v>
      </c>
      <c r="I579">
        <v>0</v>
      </c>
      <c r="J579" t="str">
        <f t="shared" ref="J579:J642" si="239">IF(I579=1,"Hipercaloricos","Saludables")</f>
        <v>Saludables</v>
      </c>
      <c r="K579">
        <v>2725282</v>
      </c>
      <c r="L579">
        <f t="shared" ref="L579:L642" si="240">IF(AND(K579&gt;=1,K579&lt;=3),1,IF(AND(K579&gt;3,K579&lt;3000000),1))</f>
        <v>1</v>
      </c>
      <c r="M579" t="str">
        <f t="shared" ref="M579:M642" si="241">IF(L579=1,"Suele comer","No come")</f>
        <v>Suele comer</v>
      </c>
      <c r="N579">
        <v>1259803</v>
      </c>
      <c r="O579">
        <f t="shared" ref="O579:O642" si="242">IF(N579=1,N579,IF(AND(N579&gt;=2,N579&lt;4000000),2))</f>
        <v>2</v>
      </c>
      <c r="P579" t="str">
        <f t="shared" ref="P579:P642" si="243">IF(O579=0,"1-2",IF(O579=1,3,"Mas de 3"))</f>
        <v>Mas de 3</v>
      </c>
      <c r="Q579">
        <v>2</v>
      </c>
      <c r="R579" t="str">
        <f t="shared" ref="R579:R642" si="244">IF(Q579=0,"Nunca",IF(Q579=1,"A veces",IF(Q579=2,"Usualmente","Siempre")))</f>
        <v>Usualmente</v>
      </c>
      <c r="S579">
        <v>0</v>
      </c>
      <c r="T579" t="str">
        <f t="shared" ref="T579:T642" si="245">IF(S579=1,"Fuma","No fuma")</f>
        <v>No fuma</v>
      </c>
      <c r="U579">
        <v>1</v>
      </c>
      <c r="V579">
        <f t="shared" ref="V579:V642" si="246">IF(U579=1,U579,IF(U579=2,U579,IF(AND(U579&gt;=3,U579&lt;3000000),2)))</f>
        <v>1</v>
      </c>
      <c r="W579" t="str">
        <f t="shared" ref="W579:W642" si="247">IF(V579=0,"Nunca",IF(V579=1,"Usualmente","Siempre"))</f>
        <v>Usualmente</v>
      </c>
      <c r="X579">
        <v>0</v>
      </c>
      <c r="Y579" t="str">
        <f t="shared" ref="Y579:Y642" si="248">IF(X579=1,"Controla","No controla")</f>
        <v>No controla</v>
      </c>
      <c r="Z579">
        <v>137467</v>
      </c>
      <c r="AA579">
        <f t="shared" ref="AA579:AA642" si="249">IF(Z579=0,Z579,IF(Z579=1,Z579,IF(Z579=2,Z579,IF(Z579=3,Z579,IF(AND(Z579&gt;3,Z579&lt;300000),2,IF(AND(Z579&gt;300000,Z579&lt;3000000),3,IF(AND(Z579&gt;0,Z579&lt;1),0)))))))</f>
        <v>2</v>
      </c>
      <c r="AB579" t="str">
        <f t="shared" ref="AB579:AB642" si="250">IF(AA579=0,"Nunca",IF(AA579=1,"A veces",IF(AA579=2,"Usualmente","Siempre")))</f>
        <v>Usualmente</v>
      </c>
      <c r="AC579">
        <v>0</v>
      </c>
      <c r="AD579">
        <f t="shared" ref="AD579:AD642" si="251">IF(AC579= 0,AC579,IF(AC579=1,AC579,IF(AC579=2,AC579,IF(AND(AC579&gt;2,AC579&lt;200000),1,IF(AND(AC579&gt;200000,AC579&lt;2000000),2,IF(AND(AC579&gt;0,AC579&lt;1),0))))))</f>
        <v>0</v>
      </c>
      <c r="AE579" t="str">
        <f t="shared" ref="AE579:AE642" si="252">IF(AD579=0,"Nunca",IF(AD579=1,"Usualmente","Siempre"))</f>
        <v>Nunca</v>
      </c>
      <c r="AF579">
        <v>1</v>
      </c>
      <c r="AG579" t="str">
        <f t="shared" ref="AG579:AG642" si="253">IF(AF579=0,"Nunca",IF(AF579=1,"A veces",IF(AF579=2,"Usualmente","Siempre")))</f>
        <v>A veces</v>
      </c>
      <c r="AH579">
        <v>0</v>
      </c>
      <c r="AI579" t="str">
        <f t="shared" ref="AI579:AI642" si="254">IF(AH579=1,"Usa auto","No usa")</f>
        <v>No usa</v>
      </c>
      <c r="AJ579">
        <v>0</v>
      </c>
      <c r="AK579" t="str">
        <f t="shared" ref="AK579:AK642" si="255">IF(AJ579=1,"Usa Bici","No usa")</f>
        <v>No usa</v>
      </c>
      <c r="AL579">
        <v>0</v>
      </c>
      <c r="AM579" t="str">
        <f t="shared" ref="AM579:AM642" si="256">IF(AL579=1,"Usa Moto","No usa")</f>
        <v>No usa</v>
      </c>
      <c r="AN579">
        <v>1</v>
      </c>
      <c r="AO579" t="str">
        <f t="shared" ref="AO579:AO642" si="257">IF(AN579=1,"Usa Transporte","No usa")</f>
        <v>Usa Transporte</v>
      </c>
      <c r="AP579">
        <v>0</v>
      </c>
      <c r="AQ579" t="str">
        <f t="shared" ref="AQ579:AQ642" si="258">IF(AP579=1,"Camina","No camina")</f>
        <v>No camina</v>
      </c>
      <c r="AR579">
        <v>0</v>
      </c>
      <c r="AS579" t="str">
        <f t="shared" ref="AS579:AS642" si="259">IF(AR579=1,"Es Obeso","No es obeso")</f>
        <v>No es obeso</v>
      </c>
    </row>
    <row r="580" spans="1:45" x14ac:dyDescent="0.25">
      <c r="A580">
        <v>0</v>
      </c>
      <c r="B580" t="str">
        <f t="shared" si="234"/>
        <v>F</v>
      </c>
      <c r="C580">
        <v>19</v>
      </c>
      <c r="D580">
        <f t="shared" si="235"/>
        <v>19</v>
      </c>
      <c r="E580">
        <f t="shared" si="236"/>
        <v>19</v>
      </c>
      <c r="F580" t="str">
        <f t="shared" si="237"/>
        <v>1-25</v>
      </c>
      <c r="G580">
        <v>0</v>
      </c>
      <c r="H580" t="str">
        <f t="shared" si="238"/>
        <v>Pariente normal</v>
      </c>
      <c r="I580">
        <v>0</v>
      </c>
      <c r="J580" t="str">
        <f t="shared" si="239"/>
        <v>Saludables</v>
      </c>
      <c r="K580">
        <v>2844607</v>
      </c>
      <c r="L580">
        <f t="shared" si="240"/>
        <v>1</v>
      </c>
      <c r="M580" t="str">
        <f t="shared" si="241"/>
        <v>Suele comer</v>
      </c>
      <c r="N580">
        <v>1273128</v>
      </c>
      <c r="O580">
        <f t="shared" si="242"/>
        <v>2</v>
      </c>
      <c r="P580" t="str">
        <f t="shared" si="243"/>
        <v>Mas de 3</v>
      </c>
      <c r="Q580">
        <v>2</v>
      </c>
      <c r="R580" t="str">
        <f t="shared" si="244"/>
        <v>Usualmente</v>
      </c>
      <c r="S580">
        <v>0</v>
      </c>
      <c r="T580" t="str">
        <f t="shared" si="245"/>
        <v>No fuma</v>
      </c>
      <c r="U580">
        <v>169551</v>
      </c>
      <c r="V580">
        <f t="shared" si="246"/>
        <v>2</v>
      </c>
      <c r="W580" t="str">
        <f t="shared" si="247"/>
        <v>Siempre</v>
      </c>
      <c r="X580">
        <v>0</v>
      </c>
      <c r="Y580" t="str">
        <f t="shared" si="248"/>
        <v>No controla</v>
      </c>
      <c r="Z580">
        <v>0.260079</v>
      </c>
      <c r="AA580">
        <f t="shared" si="249"/>
        <v>0</v>
      </c>
      <c r="AB580" t="str">
        <f t="shared" si="250"/>
        <v>Nunca</v>
      </c>
      <c r="AC580">
        <v>0.63586699999999996</v>
      </c>
      <c r="AD580">
        <f t="shared" si="251"/>
        <v>0</v>
      </c>
      <c r="AE580" t="str">
        <f t="shared" si="252"/>
        <v>Nunca</v>
      </c>
      <c r="AF580">
        <v>1</v>
      </c>
      <c r="AG580" t="str">
        <f t="shared" si="253"/>
        <v>A veces</v>
      </c>
      <c r="AH580">
        <v>0</v>
      </c>
      <c r="AI580" t="str">
        <f t="shared" si="254"/>
        <v>No usa</v>
      </c>
      <c r="AJ580">
        <v>0</v>
      </c>
      <c r="AK580" t="str">
        <f t="shared" si="255"/>
        <v>No usa</v>
      </c>
      <c r="AL580">
        <v>0</v>
      </c>
      <c r="AM580" t="str">
        <f t="shared" si="256"/>
        <v>No usa</v>
      </c>
      <c r="AN580">
        <v>1</v>
      </c>
      <c r="AO580" t="str">
        <f t="shared" si="257"/>
        <v>Usa Transporte</v>
      </c>
      <c r="AP580">
        <v>0</v>
      </c>
      <c r="AQ580" t="str">
        <f t="shared" si="258"/>
        <v>No camina</v>
      </c>
      <c r="AR580">
        <v>0</v>
      </c>
      <c r="AS580" t="str">
        <f t="shared" si="259"/>
        <v>No es obeso</v>
      </c>
    </row>
    <row r="581" spans="1:45" x14ac:dyDescent="0.25">
      <c r="A581">
        <v>1</v>
      </c>
      <c r="B581" t="str">
        <f t="shared" si="234"/>
        <v>M</v>
      </c>
      <c r="C581">
        <v>17</v>
      </c>
      <c r="D581">
        <f t="shared" si="235"/>
        <v>17</v>
      </c>
      <c r="E581">
        <f t="shared" si="236"/>
        <v>17</v>
      </c>
      <c r="F581" t="str">
        <f t="shared" si="237"/>
        <v>1-25</v>
      </c>
      <c r="G581">
        <v>1</v>
      </c>
      <c r="H581" t="str">
        <f t="shared" si="238"/>
        <v>Pariente gordo</v>
      </c>
      <c r="I581">
        <v>1</v>
      </c>
      <c r="J581" t="str">
        <f t="shared" si="239"/>
        <v>Hipercaloricos</v>
      </c>
      <c r="K581">
        <v>244004</v>
      </c>
      <c r="L581">
        <f t="shared" si="240"/>
        <v>1</v>
      </c>
      <c r="M581" t="str">
        <f t="shared" si="241"/>
        <v>Suele comer</v>
      </c>
      <c r="N581">
        <v>3</v>
      </c>
      <c r="O581">
        <f t="shared" si="242"/>
        <v>2</v>
      </c>
      <c r="P581" t="str">
        <f t="shared" si="243"/>
        <v>Mas de 3</v>
      </c>
      <c r="Q581">
        <v>1</v>
      </c>
      <c r="R581" t="str">
        <f t="shared" si="244"/>
        <v>A veces</v>
      </c>
      <c r="S581">
        <v>0</v>
      </c>
      <c r="T581" t="str">
        <f t="shared" si="245"/>
        <v>No fuma</v>
      </c>
      <c r="U581">
        <v>2</v>
      </c>
      <c r="V581">
        <f t="shared" si="246"/>
        <v>2</v>
      </c>
      <c r="W581" t="str">
        <f t="shared" si="247"/>
        <v>Siempre</v>
      </c>
      <c r="X581">
        <v>0</v>
      </c>
      <c r="Y581" t="str">
        <f t="shared" si="248"/>
        <v>No controla</v>
      </c>
      <c r="Z581">
        <v>2784471</v>
      </c>
      <c r="AA581">
        <f t="shared" si="249"/>
        <v>3</v>
      </c>
      <c r="AB581" t="str">
        <f t="shared" si="250"/>
        <v>Siempre</v>
      </c>
      <c r="AC581">
        <v>1</v>
      </c>
      <c r="AD581">
        <f t="shared" si="251"/>
        <v>1</v>
      </c>
      <c r="AE581" t="str">
        <f t="shared" si="252"/>
        <v>Usualmente</v>
      </c>
      <c r="AF581">
        <v>0</v>
      </c>
      <c r="AG581" t="str">
        <f t="shared" si="253"/>
        <v>Nunca</v>
      </c>
      <c r="AH581">
        <v>1</v>
      </c>
      <c r="AI581" t="str">
        <f t="shared" si="254"/>
        <v>Usa auto</v>
      </c>
      <c r="AJ581">
        <v>0</v>
      </c>
      <c r="AK581" t="str">
        <f t="shared" si="255"/>
        <v>No usa</v>
      </c>
      <c r="AL581">
        <v>0</v>
      </c>
      <c r="AM581" t="str">
        <f t="shared" si="256"/>
        <v>No usa</v>
      </c>
      <c r="AN581">
        <v>0</v>
      </c>
      <c r="AO581" t="str">
        <f t="shared" si="257"/>
        <v>No usa</v>
      </c>
      <c r="AP581">
        <v>0</v>
      </c>
      <c r="AQ581" t="str">
        <f t="shared" si="258"/>
        <v>No camina</v>
      </c>
      <c r="AR581">
        <v>0</v>
      </c>
      <c r="AS581" t="str">
        <f t="shared" si="259"/>
        <v>No es obeso</v>
      </c>
    </row>
    <row r="582" spans="1:45" x14ac:dyDescent="0.25">
      <c r="A582">
        <v>1</v>
      </c>
      <c r="B582" t="str">
        <f t="shared" si="234"/>
        <v>M</v>
      </c>
      <c r="C582">
        <v>17</v>
      </c>
      <c r="D582">
        <f t="shared" si="235"/>
        <v>17</v>
      </c>
      <c r="E582">
        <f t="shared" si="236"/>
        <v>17</v>
      </c>
      <c r="F582" t="str">
        <f t="shared" si="237"/>
        <v>1-25</v>
      </c>
      <c r="G582">
        <v>1</v>
      </c>
      <c r="H582" t="str">
        <f t="shared" si="238"/>
        <v>Pariente gordo</v>
      </c>
      <c r="I582">
        <v>1</v>
      </c>
      <c r="J582" t="str">
        <f t="shared" si="239"/>
        <v>Hipercaloricos</v>
      </c>
      <c r="K582">
        <v>2432302</v>
      </c>
      <c r="L582">
        <f t="shared" si="240"/>
        <v>1</v>
      </c>
      <c r="M582" t="str">
        <f t="shared" si="241"/>
        <v>Suele comer</v>
      </c>
      <c r="N582">
        <v>3</v>
      </c>
      <c r="O582">
        <f t="shared" si="242"/>
        <v>2</v>
      </c>
      <c r="P582" t="str">
        <f t="shared" si="243"/>
        <v>Mas de 3</v>
      </c>
      <c r="Q582">
        <v>1</v>
      </c>
      <c r="R582" t="str">
        <f t="shared" si="244"/>
        <v>A veces</v>
      </c>
      <c r="S582">
        <v>0</v>
      </c>
      <c r="T582" t="str">
        <f t="shared" si="245"/>
        <v>No fuma</v>
      </c>
      <c r="U582">
        <v>2</v>
      </c>
      <c r="V582">
        <f t="shared" si="246"/>
        <v>2</v>
      </c>
      <c r="W582" t="str">
        <f t="shared" si="247"/>
        <v>Siempre</v>
      </c>
      <c r="X582">
        <v>0</v>
      </c>
      <c r="Y582" t="str">
        <f t="shared" si="248"/>
        <v>No controla</v>
      </c>
      <c r="Z582">
        <v>2349495</v>
      </c>
      <c r="AA582">
        <f t="shared" si="249"/>
        <v>3</v>
      </c>
      <c r="AB582" t="str">
        <f t="shared" si="250"/>
        <v>Siempre</v>
      </c>
      <c r="AC582">
        <v>1</v>
      </c>
      <c r="AD582">
        <f t="shared" si="251"/>
        <v>1</v>
      </c>
      <c r="AE582" t="str">
        <f t="shared" si="252"/>
        <v>Usualmente</v>
      </c>
      <c r="AF582">
        <v>0</v>
      </c>
      <c r="AG582" t="str">
        <f t="shared" si="253"/>
        <v>Nunca</v>
      </c>
      <c r="AH582">
        <v>1</v>
      </c>
      <c r="AI582" t="str">
        <f t="shared" si="254"/>
        <v>Usa auto</v>
      </c>
      <c r="AJ582">
        <v>0</v>
      </c>
      <c r="AK582" t="str">
        <f t="shared" si="255"/>
        <v>No usa</v>
      </c>
      <c r="AL582">
        <v>0</v>
      </c>
      <c r="AM582" t="str">
        <f t="shared" si="256"/>
        <v>No usa</v>
      </c>
      <c r="AN582">
        <v>0</v>
      </c>
      <c r="AO582" t="str">
        <f t="shared" si="257"/>
        <v>No usa</v>
      </c>
      <c r="AP582">
        <v>0</v>
      </c>
      <c r="AQ582" t="str">
        <f t="shared" si="258"/>
        <v>No camina</v>
      </c>
      <c r="AR582">
        <v>0</v>
      </c>
      <c r="AS582" t="str">
        <f t="shared" si="259"/>
        <v>No es obeso</v>
      </c>
    </row>
    <row r="583" spans="1:45" x14ac:dyDescent="0.25">
      <c r="A583">
        <v>1</v>
      </c>
      <c r="B583" t="str">
        <f t="shared" si="234"/>
        <v>M</v>
      </c>
      <c r="C583">
        <v>18525525</v>
      </c>
      <c r="D583">
        <f t="shared" si="235"/>
        <v>50</v>
      </c>
      <c r="E583">
        <f t="shared" si="236"/>
        <v>50</v>
      </c>
      <c r="F583" t="str">
        <f t="shared" si="237"/>
        <v>25-50</v>
      </c>
      <c r="G583">
        <v>1</v>
      </c>
      <c r="H583" t="str">
        <f t="shared" si="238"/>
        <v>Pariente gordo</v>
      </c>
      <c r="I583">
        <v>1</v>
      </c>
      <c r="J583" t="str">
        <f t="shared" si="239"/>
        <v>Hipercaloricos</v>
      </c>
      <c r="K583">
        <v>2592247</v>
      </c>
      <c r="L583">
        <f t="shared" si="240"/>
        <v>1</v>
      </c>
      <c r="M583" t="str">
        <f t="shared" si="241"/>
        <v>Suele comer</v>
      </c>
      <c r="N583">
        <v>3304123</v>
      </c>
      <c r="O583">
        <f t="shared" si="242"/>
        <v>2</v>
      </c>
      <c r="P583" t="str">
        <f t="shared" si="243"/>
        <v>Mas de 3</v>
      </c>
      <c r="Q583">
        <v>1</v>
      </c>
      <c r="R583" t="str">
        <f t="shared" si="244"/>
        <v>A veces</v>
      </c>
      <c r="S583">
        <v>0</v>
      </c>
      <c r="T583" t="str">
        <f t="shared" si="245"/>
        <v>No fuma</v>
      </c>
      <c r="U583">
        <v>2036764</v>
      </c>
      <c r="V583">
        <f t="shared" si="246"/>
        <v>2</v>
      </c>
      <c r="W583" t="str">
        <f t="shared" si="247"/>
        <v>Siempre</v>
      </c>
      <c r="X583">
        <v>0</v>
      </c>
      <c r="Y583" t="str">
        <f t="shared" si="248"/>
        <v>No controla</v>
      </c>
      <c r="Z583">
        <v>2038653</v>
      </c>
      <c r="AA583">
        <f t="shared" si="249"/>
        <v>3</v>
      </c>
      <c r="AB583" t="str">
        <f t="shared" si="250"/>
        <v>Siempre</v>
      </c>
      <c r="AC583">
        <v>1119877</v>
      </c>
      <c r="AD583">
        <f t="shared" si="251"/>
        <v>2</v>
      </c>
      <c r="AE583" t="str">
        <f t="shared" si="252"/>
        <v>Siempre</v>
      </c>
      <c r="AF583">
        <v>0</v>
      </c>
      <c r="AG583" t="str">
        <f t="shared" si="253"/>
        <v>Nunca</v>
      </c>
      <c r="AH583">
        <v>1</v>
      </c>
      <c r="AI583" t="str">
        <f t="shared" si="254"/>
        <v>Usa auto</v>
      </c>
      <c r="AJ583">
        <v>0</v>
      </c>
      <c r="AK583" t="str">
        <f t="shared" si="255"/>
        <v>No usa</v>
      </c>
      <c r="AL583">
        <v>0</v>
      </c>
      <c r="AM583" t="str">
        <f t="shared" si="256"/>
        <v>No usa</v>
      </c>
      <c r="AN583">
        <v>0</v>
      </c>
      <c r="AO583" t="str">
        <f t="shared" si="257"/>
        <v>No usa</v>
      </c>
      <c r="AP583">
        <v>0</v>
      </c>
      <c r="AQ583" t="str">
        <f t="shared" si="258"/>
        <v>No camina</v>
      </c>
      <c r="AR583">
        <v>0</v>
      </c>
      <c r="AS583" t="str">
        <f t="shared" si="259"/>
        <v>No es obeso</v>
      </c>
    </row>
    <row r="584" spans="1:45" x14ac:dyDescent="0.25">
      <c r="A584">
        <v>0</v>
      </c>
      <c r="B584" t="str">
        <f t="shared" si="234"/>
        <v>F</v>
      </c>
      <c r="C584">
        <v>22926352</v>
      </c>
      <c r="D584">
        <f t="shared" si="235"/>
        <v>62</v>
      </c>
      <c r="E584">
        <f t="shared" si="236"/>
        <v>62</v>
      </c>
      <c r="F584" t="str">
        <f t="shared" si="237"/>
        <v>50-75</v>
      </c>
      <c r="G584">
        <v>1</v>
      </c>
      <c r="H584" t="str">
        <f t="shared" si="238"/>
        <v>Pariente gordo</v>
      </c>
      <c r="I584">
        <v>1</v>
      </c>
      <c r="J584" t="str">
        <f t="shared" si="239"/>
        <v>Hipercaloricos</v>
      </c>
      <c r="K584">
        <v>2449267</v>
      </c>
      <c r="L584">
        <f t="shared" si="240"/>
        <v>1</v>
      </c>
      <c r="M584" t="str">
        <f t="shared" si="241"/>
        <v>Suele comer</v>
      </c>
      <c r="N584">
        <v>3647154</v>
      </c>
      <c r="O584">
        <f t="shared" si="242"/>
        <v>2</v>
      </c>
      <c r="P584" t="str">
        <f t="shared" si="243"/>
        <v>Mas de 3</v>
      </c>
      <c r="Q584">
        <v>2</v>
      </c>
      <c r="R584" t="str">
        <f t="shared" si="244"/>
        <v>Usualmente</v>
      </c>
      <c r="S584">
        <v>0</v>
      </c>
      <c r="T584" t="str">
        <f t="shared" si="245"/>
        <v>No fuma</v>
      </c>
      <c r="U584">
        <v>1266018</v>
      </c>
      <c r="V584">
        <f t="shared" si="246"/>
        <v>2</v>
      </c>
      <c r="W584" t="str">
        <f t="shared" si="247"/>
        <v>Siempre</v>
      </c>
      <c r="X584">
        <v>0</v>
      </c>
      <c r="Y584" t="str">
        <f t="shared" si="248"/>
        <v>No controla</v>
      </c>
      <c r="Z584">
        <v>0.86604499999999995</v>
      </c>
      <c r="AA584">
        <f t="shared" si="249"/>
        <v>0</v>
      </c>
      <c r="AB584" t="str">
        <f t="shared" si="250"/>
        <v>Nunca</v>
      </c>
      <c r="AC584">
        <v>9.7234000000000001E-2</v>
      </c>
      <c r="AD584">
        <f t="shared" si="251"/>
        <v>0</v>
      </c>
      <c r="AE584" t="str">
        <f t="shared" si="252"/>
        <v>Nunca</v>
      </c>
      <c r="AF584">
        <v>0</v>
      </c>
      <c r="AG584" t="str">
        <f t="shared" si="253"/>
        <v>Nunca</v>
      </c>
      <c r="AH584">
        <v>0</v>
      </c>
      <c r="AI584" t="str">
        <f t="shared" si="254"/>
        <v>No usa</v>
      </c>
      <c r="AJ584">
        <v>0</v>
      </c>
      <c r="AK584" t="str">
        <f t="shared" si="255"/>
        <v>No usa</v>
      </c>
      <c r="AL584">
        <v>0</v>
      </c>
      <c r="AM584" t="str">
        <f t="shared" si="256"/>
        <v>No usa</v>
      </c>
      <c r="AN584">
        <v>1</v>
      </c>
      <c r="AO584" t="str">
        <f t="shared" si="257"/>
        <v>Usa Transporte</v>
      </c>
      <c r="AP584">
        <v>0</v>
      </c>
      <c r="AQ584" t="str">
        <f t="shared" si="258"/>
        <v>No camina</v>
      </c>
      <c r="AR584">
        <v>0</v>
      </c>
      <c r="AS584" t="str">
        <f t="shared" si="259"/>
        <v>No es obeso</v>
      </c>
    </row>
    <row r="585" spans="1:45" x14ac:dyDescent="0.25">
      <c r="A585">
        <v>0</v>
      </c>
      <c r="B585" t="str">
        <f t="shared" si="234"/>
        <v>F</v>
      </c>
      <c r="C585">
        <v>21785351</v>
      </c>
      <c r="D585">
        <f t="shared" si="235"/>
        <v>59</v>
      </c>
      <c r="E585">
        <f t="shared" si="236"/>
        <v>59</v>
      </c>
      <c r="F585" t="str">
        <f t="shared" si="237"/>
        <v>50-75</v>
      </c>
      <c r="G585">
        <v>1</v>
      </c>
      <c r="H585" t="str">
        <f t="shared" si="238"/>
        <v>Pariente gordo</v>
      </c>
      <c r="I585">
        <v>1</v>
      </c>
      <c r="J585" t="str">
        <f t="shared" si="239"/>
        <v>Hipercaloricos</v>
      </c>
      <c r="K585">
        <v>2929889</v>
      </c>
      <c r="L585">
        <f t="shared" si="240"/>
        <v>1</v>
      </c>
      <c r="M585" t="str">
        <f t="shared" si="241"/>
        <v>Suele comer</v>
      </c>
      <c r="N585">
        <v>3</v>
      </c>
      <c r="O585">
        <f t="shared" si="242"/>
        <v>2</v>
      </c>
      <c r="P585" t="str">
        <f t="shared" si="243"/>
        <v>Mas de 3</v>
      </c>
      <c r="Q585">
        <v>2</v>
      </c>
      <c r="R585" t="str">
        <f t="shared" si="244"/>
        <v>Usualmente</v>
      </c>
      <c r="S585">
        <v>0</v>
      </c>
      <c r="T585" t="str">
        <f t="shared" si="245"/>
        <v>No fuma</v>
      </c>
      <c r="U585">
        <v>2792074</v>
      </c>
      <c r="V585">
        <f t="shared" si="246"/>
        <v>2</v>
      </c>
      <c r="W585" t="str">
        <f t="shared" si="247"/>
        <v>Siempre</v>
      </c>
      <c r="X585">
        <v>0</v>
      </c>
      <c r="Y585" t="str">
        <f t="shared" si="248"/>
        <v>No controla</v>
      </c>
      <c r="Z585">
        <v>0.63094399999999995</v>
      </c>
      <c r="AA585">
        <f t="shared" si="249"/>
        <v>0</v>
      </c>
      <c r="AB585" t="str">
        <f t="shared" si="250"/>
        <v>Nunca</v>
      </c>
      <c r="AC585">
        <v>1366355</v>
      </c>
      <c r="AD585">
        <f t="shared" si="251"/>
        <v>2</v>
      </c>
      <c r="AE585" t="str">
        <f t="shared" si="252"/>
        <v>Siempre</v>
      </c>
      <c r="AF585">
        <v>0</v>
      </c>
      <c r="AG585" t="str">
        <f t="shared" si="253"/>
        <v>Nunca</v>
      </c>
      <c r="AH585">
        <v>0</v>
      </c>
      <c r="AI585" t="str">
        <f t="shared" si="254"/>
        <v>No usa</v>
      </c>
      <c r="AJ585">
        <v>0</v>
      </c>
      <c r="AK585" t="str">
        <f t="shared" si="255"/>
        <v>No usa</v>
      </c>
      <c r="AL585">
        <v>0</v>
      </c>
      <c r="AM585" t="str">
        <f t="shared" si="256"/>
        <v>No usa</v>
      </c>
      <c r="AN585">
        <v>1</v>
      </c>
      <c r="AO585" t="str">
        <f t="shared" si="257"/>
        <v>Usa Transporte</v>
      </c>
      <c r="AP585">
        <v>0</v>
      </c>
      <c r="AQ585" t="str">
        <f t="shared" si="258"/>
        <v>No camina</v>
      </c>
      <c r="AR585">
        <v>0</v>
      </c>
      <c r="AS585" t="str">
        <f t="shared" si="259"/>
        <v>No es obeso</v>
      </c>
    </row>
    <row r="586" spans="1:45" x14ac:dyDescent="0.25">
      <c r="A586">
        <v>0</v>
      </c>
      <c r="B586" t="str">
        <f t="shared" si="234"/>
        <v>F</v>
      </c>
      <c r="C586">
        <v>23</v>
      </c>
      <c r="D586">
        <f t="shared" si="235"/>
        <v>23</v>
      </c>
      <c r="E586">
        <f t="shared" si="236"/>
        <v>23</v>
      </c>
      <c r="F586" t="str">
        <f t="shared" si="237"/>
        <v>1-25</v>
      </c>
      <c r="G586">
        <v>1</v>
      </c>
      <c r="H586" t="str">
        <f t="shared" si="238"/>
        <v>Pariente gordo</v>
      </c>
      <c r="I586">
        <v>1</v>
      </c>
      <c r="J586" t="str">
        <f t="shared" si="239"/>
        <v>Hipercaloricos</v>
      </c>
      <c r="K586">
        <v>2</v>
      </c>
      <c r="L586">
        <f t="shared" si="240"/>
        <v>1</v>
      </c>
      <c r="M586" t="str">
        <f t="shared" si="241"/>
        <v>Suele comer</v>
      </c>
      <c r="N586">
        <v>3</v>
      </c>
      <c r="O586">
        <f t="shared" si="242"/>
        <v>2</v>
      </c>
      <c r="P586" t="str">
        <f t="shared" si="243"/>
        <v>Mas de 3</v>
      </c>
      <c r="Q586">
        <v>2</v>
      </c>
      <c r="R586" t="str">
        <f t="shared" si="244"/>
        <v>Usualmente</v>
      </c>
      <c r="S586">
        <v>0</v>
      </c>
      <c r="T586" t="str">
        <f t="shared" si="245"/>
        <v>No fuma</v>
      </c>
      <c r="U586">
        <v>1426874</v>
      </c>
      <c r="V586">
        <f t="shared" si="246"/>
        <v>2</v>
      </c>
      <c r="W586" t="str">
        <f t="shared" si="247"/>
        <v>Siempre</v>
      </c>
      <c r="X586">
        <v>0</v>
      </c>
      <c r="Y586" t="str">
        <f t="shared" si="248"/>
        <v>No controla</v>
      </c>
      <c r="Z586">
        <v>220208</v>
      </c>
      <c r="AA586">
        <f t="shared" si="249"/>
        <v>2</v>
      </c>
      <c r="AB586" t="str">
        <f t="shared" si="250"/>
        <v>Usualmente</v>
      </c>
      <c r="AC586">
        <v>2</v>
      </c>
      <c r="AD586">
        <f t="shared" si="251"/>
        <v>2</v>
      </c>
      <c r="AE586" t="str">
        <f t="shared" si="252"/>
        <v>Siempre</v>
      </c>
      <c r="AF586">
        <v>0</v>
      </c>
      <c r="AG586" t="str">
        <f t="shared" si="253"/>
        <v>Nunca</v>
      </c>
      <c r="AH586">
        <v>0</v>
      </c>
      <c r="AI586" t="str">
        <f t="shared" si="254"/>
        <v>No usa</v>
      </c>
      <c r="AJ586">
        <v>0</v>
      </c>
      <c r="AK586" t="str">
        <f t="shared" si="255"/>
        <v>No usa</v>
      </c>
      <c r="AL586">
        <v>0</v>
      </c>
      <c r="AM586" t="str">
        <f t="shared" si="256"/>
        <v>No usa</v>
      </c>
      <c r="AN586">
        <v>1</v>
      </c>
      <c r="AO586" t="str">
        <f t="shared" si="257"/>
        <v>Usa Transporte</v>
      </c>
      <c r="AP586">
        <v>0</v>
      </c>
      <c r="AQ586" t="str">
        <f t="shared" si="258"/>
        <v>No camina</v>
      </c>
      <c r="AR586">
        <v>0</v>
      </c>
      <c r="AS586" t="str">
        <f t="shared" si="259"/>
        <v>No es obeso</v>
      </c>
    </row>
    <row r="587" spans="1:45" x14ac:dyDescent="0.25">
      <c r="A587">
        <v>0</v>
      </c>
      <c r="B587" t="str">
        <f t="shared" si="234"/>
        <v>F</v>
      </c>
      <c r="C587">
        <v>17402028</v>
      </c>
      <c r="D587">
        <f t="shared" si="235"/>
        <v>47</v>
      </c>
      <c r="E587">
        <f t="shared" si="236"/>
        <v>47</v>
      </c>
      <c r="F587" t="str">
        <f t="shared" si="237"/>
        <v>25-50</v>
      </c>
      <c r="G587">
        <v>0</v>
      </c>
      <c r="H587" t="str">
        <f t="shared" si="238"/>
        <v>Pariente normal</v>
      </c>
      <c r="I587">
        <v>1</v>
      </c>
      <c r="J587" t="str">
        <f t="shared" si="239"/>
        <v>Hipercaloricos</v>
      </c>
      <c r="K587">
        <v>2015258</v>
      </c>
      <c r="L587">
        <f t="shared" si="240"/>
        <v>1</v>
      </c>
      <c r="M587" t="str">
        <f t="shared" si="241"/>
        <v>Suele comer</v>
      </c>
      <c r="N587">
        <v>3300666</v>
      </c>
      <c r="O587">
        <f t="shared" si="242"/>
        <v>2</v>
      </c>
      <c r="P587" t="str">
        <f t="shared" si="243"/>
        <v>Mas de 3</v>
      </c>
      <c r="Q587">
        <v>1</v>
      </c>
      <c r="R587" t="str">
        <f t="shared" si="244"/>
        <v>A veces</v>
      </c>
      <c r="S587">
        <v>0</v>
      </c>
      <c r="T587" t="str">
        <f t="shared" si="245"/>
        <v>No fuma</v>
      </c>
      <c r="U587">
        <v>1315608</v>
      </c>
      <c r="V587">
        <f t="shared" si="246"/>
        <v>2</v>
      </c>
      <c r="W587" t="str">
        <f t="shared" si="247"/>
        <v>Siempre</v>
      </c>
      <c r="X587">
        <v>0</v>
      </c>
      <c r="Y587" t="str">
        <f t="shared" si="248"/>
        <v>No controla</v>
      </c>
      <c r="Z587">
        <v>6.9802000000000003E-2</v>
      </c>
      <c r="AA587">
        <f t="shared" si="249"/>
        <v>0</v>
      </c>
      <c r="AB587" t="str">
        <f t="shared" si="250"/>
        <v>Nunca</v>
      </c>
      <c r="AC587">
        <v>1</v>
      </c>
      <c r="AD587">
        <f t="shared" si="251"/>
        <v>1</v>
      </c>
      <c r="AE587" t="str">
        <f t="shared" si="252"/>
        <v>Usualmente</v>
      </c>
      <c r="AF587">
        <v>1</v>
      </c>
      <c r="AG587" t="str">
        <f t="shared" si="253"/>
        <v>A veces</v>
      </c>
      <c r="AH587">
        <v>0</v>
      </c>
      <c r="AI587" t="str">
        <f t="shared" si="254"/>
        <v>No usa</v>
      </c>
      <c r="AJ587">
        <v>0</v>
      </c>
      <c r="AK587" t="str">
        <f t="shared" si="255"/>
        <v>No usa</v>
      </c>
      <c r="AL587">
        <v>0</v>
      </c>
      <c r="AM587" t="str">
        <f t="shared" si="256"/>
        <v>No usa</v>
      </c>
      <c r="AN587">
        <v>1</v>
      </c>
      <c r="AO587" t="str">
        <f t="shared" si="257"/>
        <v>Usa Transporte</v>
      </c>
      <c r="AP587">
        <v>0</v>
      </c>
      <c r="AQ587" t="str">
        <f t="shared" si="258"/>
        <v>No camina</v>
      </c>
      <c r="AR587">
        <v>0</v>
      </c>
      <c r="AS587" t="str">
        <f t="shared" si="259"/>
        <v>No es obeso</v>
      </c>
    </row>
    <row r="588" spans="1:45" x14ac:dyDescent="0.25">
      <c r="A588">
        <v>0</v>
      </c>
      <c r="B588" t="str">
        <f t="shared" si="234"/>
        <v>F</v>
      </c>
      <c r="C588">
        <v>18</v>
      </c>
      <c r="D588">
        <f t="shared" si="235"/>
        <v>18</v>
      </c>
      <c r="E588">
        <f t="shared" si="236"/>
        <v>18</v>
      </c>
      <c r="F588" t="str">
        <f t="shared" si="237"/>
        <v>1-25</v>
      </c>
      <c r="G588">
        <v>0</v>
      </c>
      <c r="H588" t="str">
        <f t="shared" si="238"/>
        <v>Pariente normal</v>
      </c>
      <c r="I588">
        <v>1</v>
      </c>
      <c r="J588" t="str">
        <f t="shared" si="239"/>
        <v>Hipercaloricos</v>
      </c>
      <c r="K588">
        <v>1031149</v>
      </c>
      <c r="L588">
        <f t="shared" si="240"/>
        <v>1</v>
      </c>
      <c r="M588" t="str">
        <f t="shared" si="241"/>
        <v>Suele comer</v>
      </c>
      <c r="N588">
        <v>3</v>
      </c>
      <c r="O588">
        <f t="shared" si="242"/>
        <v>2</v>
      </c>
      <c r="P588" t="str">
        <f t="shared" si="243"/>
        <v>Mas de 3</v>
      </c>
      <c r="Q588">
        <v>1</v>
      </c>
      <c r="R588" t="str">
        <f t="shared" si="244"/>
        <v>A veces</v>
      </c>
      <c r="S588">
        <v>0</v>
      </c>
      <c r="T588" t="str">
        <f t="shared" si="245"/>
        <v>No fuma</v>
      </c>
      <c r="U588">
        <v>1963628</v>
      </c>
      <c r="V588">
        <f t="shared" si="246"/>
        <v>2</v>
      </c>
      <c r="W588" t="str">
        <f t="shared" si="247"/>
        <v>Siempre</v>
      </c>
      <c r="X588">
        <v>0</v>
      </c>
      <c r="Y588" t="str">
        <f t="shared" si="248"/>
        <v>No controla</v>
      </c>
      <c r="Z588">
        <v>2.8202000000000001E-2</v>
      </c>
      <c r="AA588">
        <f t="shared" si="249"/>
        <v>0</v>
      </c>
      <c r="AB588" t="str">
        <f t="shared" si="250"/>
        <v>Nunca</v>
      </c>
      <c r="AC588">
        <v>1</v>
      </c>
      <c r="AD588">
        <f t="shared" si="251"/>
        <v>1</v>
      </c>
      <c r="AE588" t="str">
        <f t="shared" si="252"/>
        <v>Usualmente</v>
      </c>
      <c r="AF588">
        <v>1</v>
      </c>
      <c r="AG588" t="str">
        <f t="shared" si="253"/>
        <v>A veces</v>
      </c>
      <c r="AH588">
        <v>0</v>
      </c>
      <c r="AI588" t="str">
        <f t="shared" si="254"/>
        <v>No usa</v>
      </c>
      <c r="AJ588">
        <v>0</v>
      </c>
      <c r="AK588" t="str">
        <f t="shared" si="255"/>
        <v>No usa</v>
      </c>
      <c r="AL588">
        <v>0</v>
      </c>
      <c r="AM588" t="str">
        <f t="shared" si="256"/>
        <v>No usa</v>
      </c>
      <c r="AN588">
        <v>1</v>
      </c>
      <c r="AO588" t="str">
        <f t="shared" si="257"/>
        <v>Usa Transporte</v>
      </c>
      <c r="AP588">
        <v>0</v>
      </c>
      <c r="AQ588" t="str">
        <f t="shared" si="258"/>
        <v>No camina</v>
      </c>
      <c r="AR588">
        <v>0</v>
      </c>
      <c r="AS588" t="str">
        <f t="shared" si="259"/>
        <v>No es obeso</v>
      </c>
    </row>
    <row r="589" spans="1:45" x14ac:dyDescent="0.25">
      <c r="A589">
        <v>0</v>
      </c>
      <c r="B589" t="str">
        <f t="shared" si="234"/>
        <v>F</v>
      </c>
      <c r="C589">
        <v>1848207</v>
      </c>
      <c r="D589">
        <f t="shared" si="235"/>
        <v>5</v>
      </c>
      <c r="E589">
        <f t="shared" si="236"/>
        <v>5</v>
      </c>
      <c r="F589" t="str">
        <f t="shared" si="237"/>
        <v>1-25</v>
      </c>
      <c r="G589">
        <v>0</v>
      </c>
      <c r="H589" t="str">
        <f t="shared" si="238"/>
        <v>Pariente normal</v>
      </c>
      <c r="I589">
        <v>1</v>
      </c>
      <c r="J589" t="str">
        <f t="shared" si="239"/>
        <v>Hipercaloricos</v>
      </c>
      <c r="K589">
        <v>1592183</v>
      </c>
      <c r="L589">
        <f t="shared" si="240"/>
        <v>1</v>
      </c>
      <c r="M589" t="str">
        <f t="shared" si="241"/>
        <v>Suele comer</v>
      </c>
      <c r="N589">
        <v>3535016</v>
      </c>
      <c r="O589">
        <f t="shared" si="242"/>
        <v>2</v>
      </c>
      <c r="P589" t="str">
        <f t="shared" si="243"/>
        <v>Mas de 3</v>
      </c>
      <c r="Q589">
        <v>1</v>
      </c>
      <c r="R589" t="str">
        <f t="shared" si="244"/>
        <v>A veces</v>
      </c>
      <c r="S589">
        <v>0</v>
      </c>
      <c r="T589" t="str">
        <f t="shared" si="245"/>
        <v>No fuma</v>
      </c>
      <c r="U589">
        <v>1086391</v>
      </c>
      <c r="V589">
        <f t="shared" si="246"/>
        <v>2</v>
      </c>
      <c r="W589" t="str">
        <f t="shared" si="247"/>
        <v>Siempre</v>
      </c>
      <c r="X589">
        <v>0</v>
      </c>
      <c r="Y589" t="str">
        <f t="shared" si="248"/>
        <v>No controla</v>
      </c>
      <c r="Z589">
        <v>0.61891300000000005</v>
      </c>
      <c r="AA589">
        <f t="shared" si="249"/>
        <v>0</v>
      </c>
      <c r="AB589" t="str">
        <f t="shared" si="250"/>
        <v>Nunca</v>
      </c>
      <c r="AC589">
        <v>1</v>
      </c>
      <c r="AD589">
        <f t="shared" si="251"/>
        <v>1</v>
      </c>
      <c r="AE589" t="str">
        <f t="shared" si="252"/>
        <v>Usualmente</v>
      </c>
      <c r="AF589">
        <v>1</v>
      </c>
      <c r="AG589" t="str">
        <f t="shared" si="253"/>
        <v>A veces</v>
      </c>
      <c r="AH589">
        <v>0</v>
      </c>
      <c r="AI589" t="str">
        <f t="shared" si="254"/>
        <v>No usa</v>
      </c>
      <c r="AJ589">
        <v>0</v>
      </c>
      <c r="AK589" t="str">
        <f t="shared" si="255"/>
        <v>No usa</v>
      </c>
      <c r="AL589">
        <v>0</v>
      </c>
      <c r="AM589" t="str">
        <f t="shared" si="256"/>
        <v>No usa</v>
      </c>
      <c r="AN589">
        <v>1</v>
      </c>
      <c r="AO589" t="str">
        <f t="shared" si="257"/>
        <v>Usa Transporte</v>
      </c>
      <c r="AP589">
        <v>0</v>
      </c>
      <c r="AQ589" t="str">
        <f t="shared" si="258"/>
        <v>No camina</v>
      </c>
      <c r="AR589">
        <v>0</v>
      </c>
      <c r="AS589" t="str">
        <f t="shared" si="259"/>
        <v>No es obeso</v>
      </c>
    </row>
    <row r="590" spans="1:45" x14ac:dyDescent="0.25">
      <c r="A590">
        <v>0</v>
      </c>
      <c r="B590" t="str">
        <f t="shared" si="234"/>
        <v>F</v>
      </c>
      <c r="C590">
        <v>1853084</v>
      </c>
      <c r="D590">
        <f t="shared" si="235"/>
        <v>5</v>
      </c>
      <c r="E590">
        <f t="shared" si="236"/>
        <v>5</v>
      </c>
      <c r="F590" t="str">
        <f t="shared" si="237"/>
        <v>1-25</v>
      </c>
      <c r="G590">
        <v>0</v>
      </c>
      <c r="H590" t="str">
        <f t="shared" si="238"/>
        <v>Pariente normal</v>
      </c>
      <c r="I590">
        <v>1</v>
      </c>
      <c r="J590" t="str">
        <f t="shared" si="239"/>
        <v>Hipercaloricos</v>
      </c>
      <c r="K590">
        <v>121498</v>
      </c>
      <c r="L590">
        <f t="shared" si="240"/>
        <v>1</v>
      </c>
      <c r="M590" t="str">
        <f t="shared" si="241"/>
        <v>Suele comer</v>
      </c>
      <c r="N590">
        <v>1717608</v>
      </c>
      <c r="O590">
        <f t="shared" si="242"/>
        <v>2</v>
      </c>
      <c r="P590" t="str">
        <f t="shared" si="243"/>
        <v>Mas de 3</v>
      </c>
      <c r="Q590">
        <v>1</v>
      </c>
      <c r="R590" t="str">
        <f t="shared" si="244"/>
        <v>A veces</v>
      </c>
      <c r="S590">
        <v>0</v>
      </c>
      <c r="T590" t="str">
        <f t="shared" si="245"/>
        <v>No fuma</v>
      </c>
      <c r="U590">
        <v>1179942</v>
      </c>
      <c r="V590">
        <f t="shared" si="246"/>
        <v>2</v>
      </c>
      <c r="W590" t="str">
        <f t="shared" si="247"/>
        <v>Siempre</v>
      </c>
      <c r="X590">
        <v>0</v>
      </c>
      <c r="Y590" t="str">
        <f t="shared" si="248"/>
        <v>No controla</v>
      </c>
      <c r="Z590">
        <v>0.68473899999999999</v>
      </c>
      <c r="AA590">
        <f t="shared" si="249"/>
        <v>0</v>
      </c>
      <c r="AB590" t="str">
        <f t="shared" si="250"/>
        <v>Nunca</v>
      </c>
      <c r="AC590">
        <v>2</v>
      </c>
      <c r="AD590">
        <f t="shared" si="251"/>
        <v>2</v>
      </c>
      <c r="AE590" t="str">
        <f t="shared" si="252"/>
        <v>Siempre</v>
      </c>
      <c r="AF590">
        <v>1</v>
      </c>
      <c r="AG590" t="str">
        <f t="shared" si="253"/>
        <v>A veces</v>
      </c>
      <c r="AH590">
        <v>0</v>
      </c>
      <c r="AI590" t="str">
        <f t="shared" si="254"/>
        <v>No usa</v>
      </c>
      <c r="AJ590">
        <v>0</v>
      </c>
      <c r="AK590" t="str">
        <f t="shared" si="255"/>
        <v>No usa</v>
      </c>
      <c r="AL590">
        <v>0</v>
      </c>
      <c r="AM590" t="str">
        <f t="shared" si="256"/>
        <v>No usa</v>
      </c>
      <c r="AN590">
        <v>1</v>
      </c>
      <c r="AO590" t="str">
        <f t="shared" si="257"/>
        <v>Usa Transporte</v>
      </c>
      <c r="AP590">
        <v>0</v>
      </c>
      <c r="AQ590" t="str">
        <f t="shared" si="258"/>
        <v>No camina</v>
      </c>
      <c r="AR590">
        <v>0</v>
      </c>
      <c r="AS590" t="str">
        <f t="shared" si="259"/>
        <v>No es obeso</v>
      </c>
    </row>
    <row r="591" spans="1:45" x14ac:dyDescent="0.25">
      <c r="A591">
        <v>0</v>
      </c>
      <c r="B591" t="str">
        <f t="shared" si="234"/>
        <v>F</v>
      </c>
      <c r="C591">
        <v>1994814</v>
      </c>
      <c r="D591">
        <f t="shared" si="235"/>
        <v>5</v>
      </c>
      <c r="E591">
        <f t="shared" si="236"/>
        <v>5</v>
      </c>
      <c r="F591" t="str">
        <f t="shared" si="237"/>
        <v>1-25</v>
      </c>
      <c r="G591">
        <v>0</v>
      </c>
      <c r="H591" t="str">
        <f t="shared" si="238"/>
        <v>Pariente normal</v>
      </c>
      <c r="I591">
        <v>1</v>
      </c>
      <c r="J591" t="str">
        <f t="shared" si="239"/>
        <v>Hipercaloricos</v>
      </c>
      <c r="K591">
        <v>1522001</v>
      </c>
      <c r="L591">
        <f t="shared" si="240"/>
        <v>1</v>
      </c>
      <c r="M591" t="str">
        <f t="shared" si="241"/>
        <v>Suele comer</v>
      </c>
      <c r="N591">
        <v>3</v>
      </c>
      <c r="O591">
        <f t="shared" si="242"/>
        <v>2</v>
      </c>
      <c r="P591" t="str">
        <f t="shared" si="243"/>
        <v>Mas de 3</v>
      </c>
      <c r="Q591">
        <v>1</v>
      </c>
      <c r="R591" t="str">
        <f t="shared" si="244"/>
        <v>A veces</v>
      </c>
      <c r="S591">
        <v>0</v>
      </c>
      <c r="T591" t="str">
        <f t="shared" si="245"/>
        <v>No fuma</v>
      </c>
      <c r="U591">
        <v>198126</v>
      </c>
      <c r="V591">
        <f t="shared" si="246"/>
        <v>2</v>
      </c>
      <c r="W591" t="str">
        <f t="shared" si="247"/>
        <v>Siempre</v>
      </c>
      <c r="X591">
        <v>0</v>
      </c>
      <c r="Y591" t="str">
        <f t="shared" si="248"/>
        <v>No controla</v>
      </c>
      <c r="Z591">
        <v>2306844</v>
      </c>
      <c r="AA591">
        <f t="shared" si="249"/>
        <v>3</v>
      </c>
      <c r="AB591" t="str">
        <f t="shared" si="250"/>
        <v>Siempre</v>
      </c>
      <c r="AC591">
        <v>0.72045400000000004</v>
      </c>
      <c r="AD591">
        <f t="shared" si="251"/>
        <v>0</v>
      </c>
      <c r="AE591" t="str">
        <f t="shared" si="252"/>
        <v>Nunca</v>
      </c>
      <c r="AF591">
        <v>1</v>
      </c>
      <c r="AG591" t="str">
        <f t="shared" si="253"/>
        <v>A veces</v>
      </c>
      <c r="AH591">
        <v>0</v>
      </c>
      <c r="AI591" t="str">
        <f t="shared" si="254"/>
        <v>No usa</v>
      </c>
      <c r="AJ591">
        <v>0</v>
      </c>
      <c r="AK591" t="str">
        <f t="shared" si="255"/>
        <v>No usa</v>
      </c>
      <c r="AL591">
        <v>0</v>
      </c>
      <c r="AM591" t="str">
        <f t="shared" si="256"/>
        <v>No usa</v>
      </c>
      <c r="AN591">
        <v>1</v>
      </c>
      <c r="AO591" t="str">
        <f t="shared" si="257"/>
        <v>Usa Transporte</v>
      </c>
      <c r="AP591">
        <v>0</v>
      </c>
      <c r="AQ591" t="str">
        <f t="shared" si="258"/>
        <v>No camina</v>
      </c>
      <c r="AR591">
        <v>0</v>
      </c>
      <c r="AS591" t="str">
        <f t="shared" si="259"/>
        <v>No es obeso</v>
      </c>
    </row>
    <row r="592" spans="1:45" x14ac:dyDescent="0.25">
      <c r="A592">
        <v>0</v>
      </c>
      <c r="B592" t="str">
        <f t="shared" si="234"/>
        <v>F</v>
      </c>
      <c r="C592">
        <v>20400053</v>
      </c>
      <c r="D592">
        <f t="shared" si="235"/>
        <v>55</v>
      </c>
      <c r="E592">
        <f t="shared" si="236"/>
        <v>55</v>
      </c>
      <c r="F592" t="str">
        <f t="shared" si="237"/>
        <v>50-75</v>
      </c>
      <c r="G592">
        <v>0</v>
      </c>
      <c r="H592" t="str">
        <f t="shared" si="238"/>
        <v>Pariente normal</v>
      </c>
      <c r="I592">
        <v>1</v>
      </c>
      <c r="J592" t="str">
        <f t="shared" si="239"/>
        <v>Hipercaloricos</v>
      </c>
      <c r="K592">
        <v>2703436</v>
      </c>
      <c r="L592">
        <f t="shared" si="240"/>
        <v>1</v>
      </c>
      <c r="M592" t="str">
        <f t="shared" si="241"/>
        <v>Suele comer</v>
      </c>
      <c r="N592">
        <v>2884479</v>
      </c>
      <c r="O592">
        <f t="shared" si="242"/>
        <v>2</v>
      </c>
      <c r="P592" t="str">
        <f t="shared" si="243"/>
        <v>Mas de 3</v>
      </c>
      <c r="Q592">
        <v>1</v>
      </c>
      <c r="R592" t="str">
        <f t="shared" si="244"/>
        <v>A veces</v>
      </c>
      <c r="S592">
        <v>0</v>
      </c>
      <c r="T592" t="str">
        <f t="shared" si="245"/>
        <v>No fuma</v>
      </c>
      <c r="U592">
        <v>1439962</v>
      </c>
      <c r="V592">
        <f t="shared" si="246"/>
        <v>2</v>
      </c>
      <c r="W592" t="str">
        <f t="shared" si="247"/>
        <v>Siempre</v>
      </c>
      <c r="X592">
        <v>0</v>
      </c>
      <c r="Y592" t="str">
        <f t="shared" si="248"/>
        <v>No controla</v>
      </c>
      <c r="Z592">
        <v>0.14462700000000001</v>
      </c>
      <c r="AA592">
        <f t="shared" si="249"/>
        <v>0</v>
      </c>
      <c r="AB592" t="str">
        <f t="shared" si="250"/>
        <v>Nunca</v>
      </c>
      <c r="AC592">
        <v>0.32230700000000001</v>
      </c>
      <c r="AD592">
        <f t="shared" si="251"/>
        <v>0</v>
      </c>
      <c r="AE592" t="str">
        <f t="shared" si="252"/>
        <v>Nunca</v>
      </c>
      <c r="AF592">
        <v>1</v>
      </c>
      <c r="AG592" t="str">
        <f t="shared" si="253"/>
        <v>A veces</v>
      </c>
      <c r="AH592">
        <v>0</v>
      </c>
      <c r="AI592" t="str">
        <f t="shared" si="254"/>
        <v>No usa</v>
      </c>
      <c r="AJ592">
        <v>0</v>
      </c>
      <c r="AK592" t="str">
        <f t="shared" si="255"/>
        <v>No usa</v>
      </c>
      <c r="AL592">
        <v>0</v>
      </c>
      <c r="AM592" t="str">
        <f t="shared" si="256"/>
        <v>No usa</v>
      </c>
      <c r="AN592">
        <v>1</v>
      </c>
      <c r="AO592" t="str">
        <f t="shared" si="257"/>
        <v>Usa Transporte</v>
      </c>
      <c r="AP592">
        <v>0</v>
      </c>
      <c r="AQ592" t="str">
        <f t="shared" si="258"/>
        <v>No camina</v>
      </c>
      <c r="AR592">
        <v>0</v>
      </c>
      <c r="AS592" t="str">
        <f t="shared" si="259"/>
        <v>No es obeso</v>
      </c>
    </row>
    <row r="593" spans="1:45" x14ac:dyDescent="0.25">
      <c r="A593">
        <v>1</v>
      </c>
      <c r="B593" t="str">
        <f t="shared" si="234"/>
        <v>M</v>
      </c>
      <c r="C593">
        <v>19556729</v>
      </c>
      <c r="D593">
        <f t="shared" si="235"/>
        <v>53</v>
      </c>
      <c r="E593">
        <f t="shared" si="236"/>
        <v>53</v>
      </c>
      <c r="F593" t="str">
        <f t="shared" si="237"/>
        <v>50-75</v>
      </c>
      <c r="G593">
        <v>1</v>
      </c>
      <c r="H593" t="str">
        <f t="shared" si="238"/>
        <v>Pariente gordo</v>
      </c>
      <c r="I593">
        <v>1</v>
      </c>
      <c r="J593" t="str">
        <f t="shared" si="239"/>
        <v>Hipercaloricos</v>
      </c>
      <c r="K593">
        <v>2362918</v>
      </c>
      <c r="L593">
        <f t="shared" si="240"/>
        <v>1</v>
      </c>
      <c r="M593" t="str">
        <f t="shared" si="241"/>
        <v>Suele comer</v>
      </c>
      <c r="N593">
        <v>4</v>
      </c>
      <c r="O593">
        <f t="shared" si="242"/>
        <v>2</v>
      </c>
      <c r="P593" t="str">
        <f t="shared" si="243"/>
        <v>Mas de 3</v>
      </c>
      <c r="Q593">
        <v>1</v>
      </c>
      <c r="R593" t="str">
        <f t="shared" si="244"/>
        <v>A veces</v>
      </c>
      <c r="S593">
        <v>0</v>
      </c>
      <c r="T593" t="str">
        <f t="shared" si="245"/>
        <v>No fuma</v>
      </c>
      <c r="U593">
        <v>2358172</v>
      </c>
      <c r="V593">
        <f t="shared" si="246"/>
        <v>2</v>
      </c>
      <c r="W593" t="str">
        <f t="shared" si="247"/>
        <v>Siempre</v>
      </c>
      <c r="X593">
        <v>0</v>
      </c>
      <c r="Y593" t="str">
        <f t="shared" si="248"/>
        <v>No controla</v>
      </c>
      <c r="Z593">
        <v>2</v>
      </c>
      <c r="AA593">
        <f t="shared" si="249"/>
        <v>2</v>
      </c>
      <c r="AB593" t="str">
        <f t="shared" si="250"/>
        <v>Usualmente</v>
      </c>
      <c r="AC593">
        <v>0.93981899999999996</v>
      </c>
      <c r="AD593">
        <f t="shared" si="251"/>
        <v>0</v>
      </c>
      <c r="AE593" t="str">
        <f t="shared" si="252"/>
        <v>Nunca</v>
      </c>
      <c r="AF593">
        <v>0</v>
      </c>
      <c r="AG593" t="str">
        <f t="shared" si="253"/>
        <v>Nunca</v>
      </c>
      <c r="AH593">
        <v>1</v>
      </c>
      <c r="AI593" t="str">
        <f t="shared" si="254"/>
        <v>Usa auto</v>
      </c>
      <c r="AJ593">
        <v>0</v>
      </c>
      <c r="AK593" t="str">
        <f t="shared" si="255"/>
        <v>No usa</v>
      </c>
      <c r="AL593">
        <v>0</v>
      </c>
      <c r="AM593" t="str">
        <f t="shared" si="256"/>
        <v>No usa</v>
      </c>
      <c r="AN593">
        <v>0</v>
      </c>
      <c r="AO593" t="str">
        <f t="shared" si="257"/>
        <v>No usa</v>
      </c>
      <c r="AP593">
        <v>0</v>
      </c>
      <c r="AQ593" t="str">
        <f t="shared" si="258"/>
        <v>No camina</v>
      </c>
      <c r="AR593">
        <v>0</v>
      </c>
      <c r="AS593" t="str">
        <f t="shared" si="259"/>
        <v>No es obeso</v>
      </c>
    </row>
    <row r="594" spans="1:45" x14ac:dyDescent="0.25">
      <c r="A594">
        <v>1</v>
      </c>
      <c r="B594" t="str">
        <f t="shared" si="234"/>
        <v>M</v>
      </c>
      <c r="C594">
        <v>1770368</v>
      </c>
      <c r="D594">
        <f t="shared" si="235"/>
        <v>4</v>
      </c>
      <c r="E594">
        <f t="shared" si="236"/>
        <v>4</v>
      </c>
      <c r="F594" t="str">
        <f t="shared" si="237"/>
        <v>1-25</v>
      </c>
      <c r="G594">
        <v>1</v>
      </c>
      <c r="H594" t="str">
        <f t="shared" si="238"/>
        <v>Pariente gordo</v>
      </c>
      <c r="I594">
        <v>1</v>
      </c>
      <c r="J594" t="str">
        <f t="shared" si="239"/>
        <v>Hipercaloricos</v>
      </c>
      <c r="K594">
        <v>3</v>
      </c>
      <c r="L594">
        <f t="shared" si="240"/>
        <v>1</v>
      </c>
      <c r="M594" t="str">
        <f t="shared" si="241"/>
        <v>Suele comer</v>
      </c>
      <c r="N594">
        <v>3626815</v>
      </c>
      <c r="O594">
        <f t="shared" si="242"/>
        <v>2</v>
      </c>
      <c r="P594" t="str">
        <f t="shared" si="243"/>
        <v>Mas de 3</v>
      </c>
      <c r="Q594">
        <v>1</v>
      </c>
      <c r="R594" t="str">
        <f t="shared" si="244"/>
        <v>A veces</v>
      </c>
      <c r="S594">
        <v>0</v>
      </c>
      <c r="T594" t="str">
        <f t="shared" si="245"/>
        <v>No fuma</v>
      </c>
      <c r="U594">
        <v>2</v>
      </c>
      <c r="V594">
        <f t="shared" si="246"/>
        <v>2</v>
      </c>
      <c r="W594" t="str">
        <f t="shared" si="247"/>
        <v>Siempre</v>
      </c>
      <c r="X594">
        <v>0</v>
      </c>
      <c r="Y594" t="str">
        <f t="shared" si="248"/>
        <v>No controla</v>
      </c>
      <c r="Z594">
        <v>2011519</v>
      </c>
      <c r="AA594">
        <f t="shared" si="249"/>
        <v>3</v>
      </c>
      <c r="AB594" t="str">
        <f t="shared" si="250"/>
        <v>Siempre</v>
      </c>
      <c r="AC594">
        <v>0.45646199999999998</v>
      </c>
      <c r="AD594">
        <f t="shared" si="251"/>
        <v>0</v>
      </c>
      <c r="AE594" t="str">
        <f t="shared" si="252"/>
        <v>Nunca</v>
      </c>
      <c r="AF594">
        <v>0</v>
      </c>
      <c r="AG594" t="str">
        <f t="shared" si="253"/>
        <v>Nunca</v>
      </c>
      <c r="AH594">
        <v>1</v>
      </c>
      <c r="AI594" t="str">
        <f t="shared" si="254"/>
        <v>Usa auto</v>
      </c>
      <c r="AJ594">
        <v>0</v>
      </c>
      <c r="AK594" t="str">
        <f t="shared" si="255"/>
        <v>No usa</v>
      </c>
      <c r="AL594">
        <v>0</v>
      </c>
      <c r="AM594" t="str">
        <f t="shared" si="256"/>
        <v>No usa</v>
      </c>
      <c r="AN594">
        <v>0</v>
      </c>
      <c r="AO594" t="str">
        <f t="shared" si="257"/>
        <v>No usa</v>
      </c>
      <c r="AP594">
        <v>0</v>
      </c>
      <c r="AQ594" t="str">
        <f t="shared" si="258"/>
        <v>No camina</v>
      </c>
      <c r="AR594">
        <v>0</v>
      </c>
      <c r="AS594" t="str">
        <f t="shared" si="259"/>
        <v>No es obeso</v>
      </c>
    </row>
    <row r="595" spans="1:45" x14ac:dyDescent="0.25">
      <c r="A595">
        <v>1</v>
      </c>
      <c r="B595" t="str">
        <f t="shared" si="234"/>
        <v>M</v>
      </c>
      <c r="C595">
        <v>18274358</v>
      </c>
      <c r="D595">
        <f t="shared" si="235"/>
        <v>50</v>
      </c>
      <c r="E595">
        <f t="shared" si="236"/>
        <v>50</v>
      </c>
      <c r="F595" t="str">
        <f t="shared" si="237"/>
        <v>25-50</v>
      </c>
      <c r="G595">
        <v>1</v>
      </c>
      <c r="H595" t="str">
        <f t="shared" si="238"/>
        <v>Pariente gordo</v>
      </c>
      <c r="I595">
        <v>1</v>
      </c>
      <c r="J595" t="str">
        <f t="shared" si="239"/>
        <v>Hipercaloricos</v>
      </c>
      <c r="K595">
        <v>214084</v>
      </c>
      <c r="L595">
        <f t="shared" si="240"/>
        <v>1</v>
      </c>
      <c r="M595" t="str">
        <f t="shared" si="241"/>
        <v>Suele comer</v>
      </c>
      <c r="N595">
        <v>4</v>
      </c>
      <c r="O595">
        <f t="shared" si="242"/>
        <v>2</v>
      </c>
      <c r="P595" t="str">
        <f t="shared" si="243"/>
        <v>Mas de 3</v>
      </c>
      <c r="Q595">
        <v>1</v>
      </c>
      <c r="R595" t="str">
        <f t="shared" si="244"/>
        <v>A veces</v>
      </c>
      <c r="S595">
        <v>0</v>
      </c>
      <c r="T595" t="str">
        <f t="shared" si="245"/>
        <v>No fuma</v>
      </c>
      <c r="U595">
        <v>2931438</v>
      </c>
      <c r="V595">
        <f t="shared" si="246"/>
        <v>2</v>
      </c>
      <c r="W595" t="str">
        <f t="shared" si="247"/>
        <v>Siempre</v>
      </c>
      <c r="X595">
        <v>0</v>
      </c>
      <c r="Y595" t="str">
        <f t="shared" si="248"/>
        <v>No controla</v>
      </c>
      <c r="Z595">
        <v>2</v>
      </c>
      <c r="AA595">
        <f t="shared" si="249"/>
        <v>2</v>
      </c>
      <c r="AB595" t="str">
        <f t="shared" si="250"/>
        <v>Usualmente</v>
      </c>
      <c r="AC595">
        <v>1164457</v>
      </c>
      <c r="AD595">
        <f t="shared" si="251"/>
        <v>2</v>
      </c>
      <c r="AE595" t="str">
        <f t="shared" si="252"/>
        <v>Siempre</v>
      </c>
      <c r="AF595">
        <v>0</v>
      </c>
      <c r="AG595" t="str">
        <f t="shared" si="253"/>
        <v>Nunca</v>
      </c>
      <c r="AH595">
        <v>1</v>
      </c>
      <c r="AI595" t="str">
        <f t="shared" si="254"/>
        <v>Usa auto</v>
      </c>
      <c r="AJ595">
        <v>0</v>
      </c>
      <c r="AK595" t="str">
        <f t="shared" si="255"/>
        <v>No usa</v>
      </c>
      <c r="AL595">
        <v>0</v>
      </c>
      <c r="AM595" t="str">
        <f t="shared" si="256"/>
        <v>No usa</v>
      </c>
      <c r="AN595">
        <v>0</v>
      </c>
      <c r="AO595" t="str">
        <f t="shared" si="257"/>
        <v>No usa</v>
      </c>
      <c r="AP595">
        <v>0</v>
      </c>
      <c r="AQ595" t="str">
        <f t="shared" si="258"/>
        <v>No camina</v>
      </c>
      <c r="AR595">
        <v>0</v>
      </c>
      <c r="AS595" t="str">
        <f t="shared" si="259"/>
        <v>No es obeso</v>
      </c>
    </row>
    <row r="596" spans="1:45" x14ac:dyDescent="0.25">
      <c r="A596">
        <v>1</v>
      </c>
      <c r="B596" t="str">
        <f t="shared" si="234"/>
        <v>M</v>
      </c>
      <c r="C596">
        <v>18</v>
      </c>
      <c r="D596">
        <f t="shared" si="235"/>
        <v>18</v>
      </c>
      <c r="E596">
        <f t="shared" si="236"/>
        <v>18</v>
      </c>
      <c r="F596" t="str">
        <f t="shared" si="237"/>
        <v>1-25</v>
      </c>
      <c r="G596">
        <v>1</v>
      </c>
      <c r="H596" t="str">
        <f t="shared" si="238"/>
        <v>Pariente gordo</v>
      </c>
      <c r="I596">
        <v>1</v>
      </c>
      <c r="J596" t="str">
        <f t="shared" si="239"/>
        <v>Hipercaloricos</v>
      </c>
      <c r="K596">
        <v>3</v>
      </c>
      <c r="L596">
        <f t="shared" si="240"/>
        <v>1</v>
      </c>
      <c r="M596" t="str">
        <f t="shared" si="241"/>
        <v>Suele comer</v>
      </c>
      <c r="N596">
        <v>4</v>
      </c>
      <c r="O596">
        <f t="shared" si="242"/>
        <v>2</v>
      </c>
      <c r="P596" t="str">
        <f t="shared" si="243"/>
        <v>Mas de 3</v>
      </c>
      <c r="Q596">
        <v>1</v>
      </c>
      <c r="R596" t="str">
        <f t="shared" si="244"/>
        <v>A veces</v>
      </c>
      <c r="S596">
        <v>0</v>
      </c>
      <c r="T596" t="str">
        <f t="shared" si="245"/>
        <v>No fuma</v>
      </c>
      <c r="U596">
        <v>2</v>
      </c>
      <c r="V596">
        <f t="shared" si="246"/>
        <v>2</v>
      </c>
      <c r="W596" t="str">
        <f t="shared" si="247"/>
        <v>Siempre</v>
      </c>
      <c r="X596">
        <v>0</v>
      </c>
      <c r="Y596" t="str">
        <f t="shared" si="248"/>
        <v>No controla</v>
      </c>
      <c r="Z596">
        <v>2</v>
      </c>
      <c r="AA596">
        <f t="shared" si="249"/>
        <v>2</v>
      </c>
      <c r="AB596" t="str">
        <f t="shared" si="250"/>
        <v>Usualmente</v>
      </c>
      <c r="AC596">
        <v>0</v>
      </c>
      <c r="AD596">
        <f t="shared" si="251"/>
        <v>0</v>
      </c>
      <c r="AE596" t="str">
        <f t="shared" si="252"/>
        <v>Nunca</v>
      </c>
      <c r="AF596">
        <v>0</v>
      </c>
      <c r="AG596" t="str">
        <f t="shared" si="253"/>
        <v>Nunca</v>
      </c>
      <c r="AH596">
        <v>1</v>
      </c>
      <c r="AI596" t="str">
        <f t="shared" si="254"/>
        <v>Usa auto</v>
      </c>
      <c r="AJ596">
        <v>0</v>
      </c>
      <c r="AK596" t="str">
        <f t="shared" si="255"/>
        <v>No usa</v>
      </c>
      <c r="AL596">
        <v>0</v>
      </c>
      <c r="AM596" t="str">
        <f t="shared" si="256"/>
        <v>No usa</v>
      </c>
      <c r="AN596">
        <v>0</v>
      </c>
      <c r="AO596" t="str">
        <f t="shared" si="257"/>
        <v>No usa</v>
      </c>
      <c r="AP596">
        <v>0</v>
      </c>
      <c r="AQ596" t="str">
        <f t="shared" si="258"/>
        <v>No camina</v>
      </c>
      <c r="AR596">
        <v>0</v>
      </c>
      <c r="AS596" t="str">
        <f t="shared" si="259"/>
        <v>No es obeso</v>
      </c>
    </row>
    <row r="597" spans="1:45" x14ac:dyDescent="0.25">
      <c r="A597">
        <v>1</v>
      </c>
      <c r="B597" t="str">
        <f t="shared" si="234"/>
        <v>M</v>
      </c>
      <c r="C597">
        <v>17210933</v>
      </c>
      <c r="D597">
        <f t="shared" si="235"/>
        <v>47</v>
      </c>
      <c r="E597">
        <f t="shared" si="236"/>
        <v>47</v>
      </c>
      <c r="F597" t="str">
        <f t="shared" si="237"/>
        <v>25-50</v>
      </c>
      <c r="G597">
        <v>1</v>
      </c>
      <c r="H597" t="str">
        <f t="shared" si="238"/>
        <v>Pariente gordo</v>
      </c>
      <c r="I597">
        <v>1</v>
      </c>
      <c r="J597" t="str">
        <f t="shared" si="239"/>
        <v>Hipercaloricos</v>
      </c>
      <c r="K597">
        <v>25596</v>
      </c>
      <c r="L597">
        <f t="shared" si="240"/>
        <v>1</v>
      </c>
      <c r="M597" t="str">
        <f t="shared" si="241"/>
        <v>Suele comer</v>
      </c>
      <c r="N597">
        <v>4</v>
      </c>
      <c r="O597">
        <f t="shared" si="242"/>
        <v>2</v>
      </c>
      <c r="P597" t="str">
        <f t="shared" si="243"/>
        <v>Mas de 3</v>
      </c>
      <c r="Q597">
        <v>1</v>
      </c>
      <c r="R597" t="str">
        <f t="shared" si="244"/>
        <v>A veces</v>
      </c>
      <c r="S597">
        <v>0</v>
      </c>
      <c r="T597" t="str">
        <f t="shared" si="245"/>
        <v>No fuma</v>
      </c>
      <c r="U597">
        <v>2</v>
      </c>
      <c r="V597">
        <f t="shared" si="246"/>
        <v>2</v>
      </c>
      <c r="W597" t="str">
        <f t="shared" si="247"/>
        <v>Siempre</v>
      </c>
      <c r="X597">
        <v>0</v>
      </c>
      <c r="Y597" t="str">
        <f t="shared" si="248"/>
        <v>No controla</v>
      </c>
      <c r="Z597">
        <v>2</v>
      </c>
      <c r="AA597">
        <f t="shared" si="249"/>
        <v>2</v>
      </c>
      <c r="AB597" t="str">
        <f t="shared" si="250"/>
        <v>Usualmente</v>
      </c>
      <c r="AC597">
        <v>0.33148300000000003</v>
      </c>
      <c r="AD597">
        <f t="shared" si="251"/>
        <v>0</v>
      </c>
      <c r="AE597" t="str">
        <f t="shared" si="252"/>
        <v>Nunca</v>
      </c>
      <c r="AF597">
        <v>0</v>
      </c>
      <c r="AG597" t="str">
        <f t="shared" si="253"/>
        <v>Nunca</v>
      </c>
      <c r="AH597">
        <v>1</v>
      </c>
      <c r="AI597" t="str">
        <f t="shared" si="254"/>
        <v>Usa auto</v>
      </c>
      <c r="AJ597">
        <v>0</v>
      </c>
      <c r="AK597" t="str">
        <f t="shared" si="255"/>
        <v>No usa</v>
      </c>
      <c r="AL597">
        <v>0</v>
      </c>
      <c r="AM597" t="str">
        <f t="shared" si="256"/>
        <v>No usa</v>
      </c>
      <c r="AN597">
        <v>0</v>
      </c>
      <c r="AO597" t="str">
        <f t="shared" si="257"/>
        <v>No usa</v>
      </c>
      <c r="AP597">
        <v>0</v>
      </c>
      <c r="AQ597" t="str">
        <f t="shared" si="258"/>
        <v>No camina</v>
      </c>
      <c r="AR597">
        <v>0</v>
      </c>
      <c r="AS597" t="str">
        <f t="shared" si="259"/>
        <v>No es obeso</v>
      </c>
    </row>
    <row r="598" spans="1:45" x14ac:dyDescent="0.25">
      <c r="A598">
        <v>1</v>
      </c>
      <c r="B598" t="str">
        <f t="shared" si="234"/>
        <v>M</v>
      </c>
      <c r="C598">
        <v>17469417</v>
      </c>
      <c r="D598">
        <f t="shared" si="235"/>
        <v>47</v>
      </c>
      <c r="E598">
        <f t="shared" si="236"/>
        <v>47</v>
      </c>
      <c r="F598" t="str">
        <f t="shared" si="237"/>
        <v>25-50</v>
      </c>
      <c r="G598">
        <v>1</v>
      </c>
      <c r="H598" t="str">
        <f t="shared" si="238"/>
        <v>Pariente gordo</v>
      </c>
      <c r="I598">
        <v>1</v>
      </c>
      <c r="J598" t="str">
        <f t="shared" si="239"/>
        <v>Hipercaloricos</v>
      </c>
      <c r="K598">
        <v>2336044</v>
      </c>
      <c r="L598">
        <f t="shared" si="240"/>
        <v>1</v>
      </c>
      <c r="M598" t="str">
        <f t="shared" si="241"/>
        <v>Suele comer</v>
      </c>
      <c r="N598">
        <v>4</v>
      </c>
      <c r="O598">
        <f t="shared" si="242"/>
        <v>2</v>
      </c>
      <c r="P598" t="str">
        <f t="shared" si="243"/>
        <v>Mas de 3</v>
      </c>
      <c r="Q598">
        <v>1</v>
      </c>
      <c r="R598" t="str">
        <f t="shared" si="244"/>
        <v>A veces</v>
      </c>
      <c r="S598">
        <v>0</v>
      </c>
      <c r="T598" t="str">
        <f t="shared" si="245"/>
        <v>No fuma</v>
      </c>
      <c r="U598">
        <v>2</v>
      </c>
      <c r="V598">
        <f t="shared" si="246"/>
        <v>2</v>
      </c>
      <c r="W598" t="str">
        <f t="shared" si="247"/>
        <v>Siempre</v>
      </c>
      <c r="X598">
        <v>0</v>
      </c>
      <c r="Y598" t="str">
        <f t="shared" si="248"/>
        <v>No controla</v>
      </c>
      <c r="Z598">
        <v>2</v>
      </c>
      <c r="AA598">
        <f t="shared" si="249"/>
        <v>2</v>
      </c>
      <c r="AB598" t="str">
        <f t="shared" si="250"/>
        <v>Usualmente</v>
      </c>
      <c r="AC598">
        <v>0.13300500000000001</v>
      </c>
      <c r="AD598">
        <f t="shared" si="251"/>
        <v>0</v>
      </c>
      <c r="AE598" t="str">
        <f t="shared" si="252"/>
        <v>Nunca</v>
      </c>
      <c r="AF598">
        <v>0</v>
      </c>
      <c r="AG598" t="str">
        <f t="shared" si="253"/>
        <v>Nunca</v>
      </c>
      <c r="AH598">
        <v>1</v>
      </c>
      <c r="AI598" t="str">
        <f t="shared" si="254"/>
        <v>Usa auto</v>
      </c>
      <c r="AJ598">
        <v>0</v>
      </c>
      <c r="AK598" t="str">
        <f t="shared" si="255"/>
        <v>No usa</v>
      </c>
      <c r="AL598">
        <v>0</v>
      </c>
      <c r="AM598" t="str">
        <f t="shared" si="256"/>
        <v>No usa</v>
      </c>
      <c r="AN598">
        <v>0</v>
      </c>
      <c r="AO598" t="str">
        <f t="shared" si="257"/>
        <v>No usa</v>
      </c>
      <c r="AP598">
        <v>0</v>
      </c>
      <c r="AQ598" t="str">
        <f t="shared" si="258"/>
        <v>No camina</v>
      </c>
      <c r="AR598">
        <v>0</v>
      </c>
      <c r="AS598" t="str">
        <f t="shared" si="259"/>
        <v>No es obeso</v>
      </c>
    </row>
    <row r="599" spans="1:45" x14ac:dyDescent="0.25">
      <c r="A599">
        <v>1</v>
      </c>
      <c r="B599" t="str">
        <f t="shared" si="234"/>
        <v>M</v>
      </c>
      <c r="C599">
        <v>18</v>
      </c>
      <c r="D599">
        <f t="shared" si="235"/>
        <v>18</v>
      </c>
      <c r="E599">
        <f t="shared" si="236"/>
        <v>18</v>
      </c>
      <c r="F599" t="str">
        <f t="shared" si="237"/>
        <v>1-25</v>
      </c>
      <c r="G599">
        <v>1</v>
      </c>
      <c r="H599" t="str">
        <f t="shared" si="238"/>
        <v>Pariente gordo</v>
      </c>
      <c r="I599">
        <v>1</v>
      </c>
      <c r="J599" t="str">
        <f t="shared" si="239"/>
        <v>Hipercaloricos</v>
      </c>
      <c r="K599">
        <v>2</v>
      </c>
      <c r="L599">
        <f t="shared" si="240"/>
        <v>1</v>
      </c>
      <c r="M599" t="str">
        <f t="shared" si="241"/>
        <v>Suele comer</v>
      </c>
      <c r="N599">
        <v>3</v>
      </c>
      <c r="O599">
        <f t="shared" si="242"/>
        <v>2</v>
      </c>
      <c r="P599" t="str">
        <f t="shared" si="243"/>
        <v>Mas de 3</v>
      </c>
      <c r="Q599">
        <v>1</v>
      </c>
      <c r="R599" t="str">
        <f t="shared" si="244"/>
        <v>A veces</v>
      </c>
      <c r="S599">
        <v>0</v>
      </c>
      <c r="T599" t="str">
        <f t="shared" si="245"/>
        <v>No fuma</v>
      </c>
      <c r="U599">
        <v>2</v>
      </c>
      <c r="V599">
        <f t="shared" si="246"/>
        <v>2</v>
      </c>
      <c r="W599" t="str">
        <f t="shared" si="247"/>
        <v>Siempre</v>
      </c>
      <c r="X599">
        <v>0</v>
      </c>
      <c r="Y599" t="str">
        <f t="shared" si="248"/>
        <v>No controla</v>
      </c>
      <c r="Z599">
        <v>0</v>
      </c>
      <c r="AA599">
        <f t="shared" si="249"/>
        <v>0</v>
      </c>
      <c r="AB599" t="str">
        <f t="shared" si="250"/>
        <v>Nunca</v>
      </c>
      <c r="AC599">
        <v>1593704</v>
      </c>
      <c r="AD599">
        <f t="shared" si="251"/>
        <v>2</v>
      </c>
      <c r="AE599" t="str">
        <f t="shared" si="252"/>
        <v>Siempre</v>
      </c>
      <c r="AF599">
        <v>1</v>
      </c>
      <c r="AG599" t="str">
        <f t="shared" si="253"/>
        <v>A veces</v>
      </c>
      <c r="AH599">
        <v>0</v>
      </c>
      <c r="AI599" t="str">
        <f t="shared" si="254"/>
        <v>No usa</v>
      </c>
      <c r="AJ599">
        <v>0</v>
      </c>
      <c r="AK599" t="str">
        <f t="shared" si="255"/>
        <v>No usa</v>
      </c>
      <c r="AL599">
        <v>0</v>
      </c>
      <c r="AM599" t="str">
        <f t="shared" si="256"/>
        <v>No usa</v>
      </c>
      <c r="AN599">
        <v>1</v>
      </c>
      <c r="AO599" t="str">
        <f t="shared" si="257"/>
        <v>Usa Transporte</v>
      </c>
      <c r="AP599">
        <v>0</v>
      </c>
      <c r="AQ599" t="str">
        <f t="shared" si="258"/>
        <v>No camina</v>
      </c>
      <c r="AR599">
        <v>0</v>
      </c>
      <c r="AS599" t="str">
        <f t="shared" si="259"/>
        <v>No es obeso</v>
      </c>
    </row>
    <row r="600" spans="1:45" x14ac:dyDescent="0.25">
      <c r="A600">
        <v>1</v>
      </c>
      <c r="B600" t="str">
        <f t="shared" si="234"/>
        <v>M</v>
      </c>
      <c r="C600">
        <v>18</v>
      </c>
      <c r="D600">
        <f t="shared" si="235"/>
        <v>18</v>
      </c>
      <c r="E600">
        <f t="shared" si="236"/>
        <v>18</v>
      </c>
      <c r="F600" t="str">
        <f t="shared" si="237"/>
        <v>1-25</v>
      </c>
      <c r="G600">
        <v>1</v>
      </c>
      <c r="H600" t="str">
        <f t="shared" si="238"/>
        <v>Pariente gordo</v>
      </c>
      <c r="I600">
        <v>1</v>
      </c>
      <c r="J600" t="str">
        <f t="shared" si="239"/>
        <v>Hipercaloricos</v>
      </c>
      <c r="K600">
        <v>2</v>
      </c>
      <c r="L600">
        <f t="shared" si="240"/>
        <v>1</v>
      </c>
      <c r="M600" t="str">
        <f t="shared" si="241"/>
        <v>Suele comer</v>
      </c>
      <c r="N600">
        <v>3</v>
      </c>
      <c r="O600">
        <f t="shared" si="242"/>
        <v>2</v>
      </c>
      <c r="P600" t="str">
        <f t="shared" si="243"/>
        <v>Mas de 3</v>
      </c>
      <c r="Q600">
        <v>1</v>
      </c>
      <c r="R600" t="str">
        <f t="shared" si="244"/>
        <v>A veces</v>
      </c>
      <c r="S600">
        <v>0</v>
      </c>
      <c r="T600" t="str">
        <f t="shared" si="245"/>
        <v>No fuma</v>
      </c>
      <c r="U600">
        <v>2</v>
      </c>
      <c r="V600">
        <f t="shared" si="246"/>
        <v>2</v>
      </c>
      <c r="W600" t="str">
        <f t="shared" si="247"/>
        <v>Siempre</v>
      </c>
      <c r="X600">
        <v>0</v>
      </c>
      <c r="Y600" t="str">
        <f t="shared" si="248"/>
        <v>No controla</v>
      </c>
      <c r="Z600">
        <v>0</v>
      </c>
      <c r="AA600">
        <f t="shared" si="249"/>
        <v>0</v>
      </c>
      <c r="AB600" t="str">
        <f t="shared" si="250"/>
        <v>Nunca</v>
      </c>
      <c r="AC600">
        <v>1329237</v>
      </c>
      <c r="AD600">
        <f t="shared" si="251"/>
        <v>2</v>
      </c>
      <c r="AE600" t="str">
        <f t="shared" si="252"/>
        <v>Siempre</v>
      </c>
      <c r="AF600">
        <v>1</v>
      </c>
      <c r="AG600" t="str">
        <f t="shared" si="253"/>
        <v>A veces</v>
      </c>
      <c r="AH600">
        <v>0</v>
      </c>
      <c r="AI600" t="str">
        <f t="shared" si="254"/>
        <v>No usa</v>
      </c>
      <c r="AJ600">
        <v>0</v>
      </c>
      <c r="AK600" t="str">
        <f t="shared" si="255"/>
        <v>No usa</v>
      </c>
      <c r="AL600">
        <v>0</v>
      </c>
      <c r="AM600" t="str">
        <f t="shared" si="256"/>
        <v>No usa</v>
      </c>
      <c r="AN600">
        <v>1</v>
      </c>
      <c r="AO600" t="str">
        <f t="shared" si="257"/>
        <v>Usa Transporte</v>
      </c>
      <c r="AP600">
        <v>0</v>
      </c>
      <c r="AQ600" t="str">
        <f t="shared" si="258"/>
        <v>No camina</v>
      </c>
      <c r="AR600">
        <v>0</v>
      </c>
      <c r="AS600" t="str">
        <f t="shared" si="259"/>
        <v>No es obeso</v>
      </c>
    </row>
    <row r="601" spans="1:45" x14ac:dyDescent="0.25">
      <c r="A601">
        <v>1</v>
      </c>
      <c r="B601" t="str">
        <f t="shared" si="234"/>
        <v>M</v>
      </c>
      <c r="C601">
        <v>18</v>
      </c>
      <c r="D601">
        <f t="shared" si="235"/>
        <v>18</v>
      </c>
      <c r="E601">
        <f t="shared" si="236"/>
        <v>18</v>
      </c>
      <c r="F601" t="str">
        <f t="shared" si="237"/>
        <v>1-25</v>
      </c>
      <c r="G601">
        <v>1</v>
      </c>
      <c r="H601" t="str">
        <f t="shared" si="238"/>
        <v>Pariente gordo</v>
      </c>
      <c r="I601">
        <v>1</v>
      </c>
      <c r="J601" t="str">
        <f t="shared" si="239"/>
        <v>Hipercaloricos</v>
      </c>
      <c r="K601">
        <v>1813234</v>
      </c>
      <c r="L601">
        <f t="shared" si="240"/>
        <v>1</v>
      </c>
      <c r="M601" t="str">
        <f t="shared" si="241"/>
        <v>Suele comer</v>
      </c>
      <c r="N601">
        <v>3</v>
      </c>
      <c r="O601">
        <f t="shared" si="242"/>
        <v>2</v>
      </c>
      <c r="P601" t="str">
        <f t="shared" si="243"/>
        <v>Mas de 3</v>
      </c>
      <c r="Q601">
        <v>1</v>
      </c>
      <c r="R601" t="str">
        <f t="shared" si="244"/>
        <v>A veces</v>
      </c>
      <c r="S601">
        <v>0</v>
      </c>
      <c r="T601" t="str">
        <f t="shared" si="245"/>
        <v>No fuma</v>
      </c>
      <c r="U601">
        <v>1274815</v>
      </c>
      <c r="V601">
        <f t="shared" si="246"/>
        <v>2</v>
      </c>
      <c r="W601" t="str">
        <f t="shared" si="247"/>
        <v>Siempre</v>
      </c>
      <c r="X601">
        <v>0</v>
      </c>
      <c r="Y601" t="str">
        <f t="shared" si="248"/>
        <v>No controla</v>
      </c>
      <c r="Z601">
        <v>0.52040699999999995</v>
      </c>
      <c r="AA601">
        <f t="shared" si="249"/>
        <v>0</v>
      </c>
      <c r="AB601" t="str">
        <f t="shared" si="250"/>
        <v>Nunca</v>
      </c>
      <c r="AC601">
        <v>1673584</v>
      </c>
      <c r="AD601">
        <f t="shared" si="251"/>
        <v>2</v>
      </c>
      <c r="AE601" t="str">
        <f t="shared" si="252"/>
        <v>Siempre</v>
      </c>
      <c r="AF601">
        <v>1</v>
      </c>
      <c r="AG601" t="str">
        <f t="shared" si="253"/>
        <v>A veces</v>
      </c>
      <c r="AH601">
        <v>0</v>
      </c>
      <c r="AI601" t="str">
        <f t="shared" si="254"/>
        <v>No usa</v>
      </c>
      <c r="AJ601">
        <v>0</v>
      </c>
      <c r="AK601" t="str">
        <f t="shared" si="255"/>
        <v>No usa</v>
      </c>
      <c r="AL601">
        <v>0</v>
      </c>
      <c r="AM601" t="str">
        <f t="shared" si="256"/>
        <v>No usa</v>
      </c>
      <c r="AN601">
        <v>1</v>
      </c>
      <c r="AO601" t="str">
        <f t="shared" si="257"/>
        <v>Usa Transporte</v>
      </c>
      <c r="AP601">
        <v>0</v>
      </c>
      <c r="AQ601" t="str">
        <f t="shared" si="258"/>
        <v>No camina</v>
      </c>
      <c r="AR601">
        <v>0</v>
      </c>
      <c r="AS601" t="str">
        <f t="shared" si="259"/>
        <v>No es obeso</v>
      </c>
    </row>
    <row r="602" spans="1:45" x14ac:dyDescent="0.25">
      <c r="A602">
        <v>0</v>
      </c>
      <c r="B602" t="str">
        <f t="shared" si="234"/>
        <v>F</v>
      </c>
      <c r="C602">
        <v>19010211</v>
      </c>
      <c r="D602">
        <f t="shared" si="235"/>
        <v>52</v>
      </c>
      <c r="E602">
        <f t="shared" si="236"/>
        <v>52</v>
      </c>
      <c r="F602" t="str">
        <f t="shared" si="237"/>
        <v>50-75</v>
      </c>
      <c r="G602">
        <v>0</v>
      </c>
      <c r="H602" t="str">
        <f t="shared" si="238"/>
        <v>Pariente normal</v>
      </c>
      <c r="I602">
        <v>0</v>
      </c>
      <c r="J602" t="str">
        <f t="shared" si="239"/>
        <v>Saludables</v>
      </c>
      <c r="K602">
        <v>2724285</v>
      </c>
      <c r="L602">
        <f t="shared" si="240"/>
        <v>1</v>
      </c>
      <c r="M602" t="str">
        <f t="shared" si="241"/>
        <v>Suele comer</v>
      </c>
      <c r="N602">
        <v>3</v>
      </c>
      <c r="O602">
        <f t="shared" si="242"/>
        <v>2</v>
      </c>
      <c r="P602" t="str">
        <f t="shared" si="243"/>
        <v>Mas de 3</v>
      </c>
      <c r="Q602">
        <v>2</v>
      </c>
      <c r="R602" t="str">
        <f t="shared" si="244"/>
        <v>Usualmente</v>
      </c>
      <c r="S602">
        <v>0</v>
      </c>
      <c r="T602" t="str">
        <f t="shared" si="245"/>
        <v>No fuma</v>
      </c>
      <c r="U602">
        <v>1</v>
      </c>
      <c r="V602">
        <f t="shared" si="246"/>
        <v>1</v>
      </c>
      <c r="W602" t="str">
        <f t="shared" si="247"/>
        <v>Usualmente</v>
      </c>
      <c r="X602">
        <v>1</v>
      </c>
      <c r="Y602" t="str">
        <f t="shared" si="248"/>
        <v>Controla</v>
      </c>
      <c r="Z602">
        <v>1070331</v>
      </c>
      <c r="AA602">
        <f t="shared" si="249"/>
        <v>3</v>
      </c>
      <c r="AB602" t="str">
        <f t="shared" si="250"/>
        <v>Siempre</v>
      </c>
      <c r="AC602">
        <v>0</v>
      </c>
      <c r="AD602">
        <f t="shared" si="251"/>
        <v>0</v>
      </c>
      <c r="AE602" t="str">
        <f t="shared" si="252"/>
        <v>Nunca</v>
      </c>
      <c r="AF602">
        <v>1</v>
      </c>
      <c r="AG602" t="str">
        <f t="shared" si="253"/>
        <v>A veces</v>
      </c>
      <c r="AH602">
        <v>0</v>
      </c>
      <c r="AI602" t="str">
        <f t="shared" si="254"/>
        <v>No usa</v>
      </c>
      <c r="AJ602">
        <v>0</v>
      </c>
      <c r="AK602" t="str">
        <f t="shared" si="255"/>
        <v>No usa</v>
      </c>
      <c r="AL602">
        <v>0</v>
      </c>
      <c r="AM602" t="str">
        <f t="shared" si="256"/>
        <v>No usa</v>
      </c>
      <c r="AN602">
        <v>1</v>
      </c>
      <c r="AO602" t="str">
        <f t="shared" si="257"/>
        <v>Usa Transporte</v>
      </c>
      <c r="AP602">
        <v>0</v>
      </c>
      <c r="AQ602" t="str">
        <f t="shared" si="258"/>
        <v>No camina</v>
      </c>
      <c r="AR602">
        <v>0</v>
      </c>
      <c r="AS602" t="str">
        <f t="shared" si="259"/>
        <v>No es obeso</v>
      </c>
    </row>
    <row r="603" spans="1:45" x14ac:dyDescent="0.25">
      <c r="A603">
        <v>0</v>
      </c>
      <c r="B603" t="str">
        <f t="shared" si="234"/>
        <v>F</v>
      </c>
      <c r="C603">
        <v>19091346</v>
      </c>
      <c r="D603">
        <f t="shared" si="235"/>
        <v>52</v>
      </c>
      <c r="E603">
        <f t="shared" si="236"/>
        <v>52</v>
      </c>
      <c r="F603" t="str">
        <f t="shared" si="237"/>
        <v>50-75</v>
      </c>
      <c r="G603">
        <v>0</v>
      </c>
      <c r="H603" t="str">
        <f t="shared" si="238"/>
        <v>Pariente normal</v>
      </c>
      <c r="I603">
        <v>0</v>
      </c>
      <c r="J603" t="str">
        <f t="shared" si="239"/>
        <v>Saludables</v>
      </c>
      <c r="K603">
        <v>3</v>
      </c>
      <c r="L603">
        <f t="shared" si="240"/>
        <v>1</v>
      </c>
      <c r="M603" t="str">
        <f t="shared" si="241"/>
        <v>Suele comer</v>
      </c>
      <c r="N603">
        <v>3</v>
      </c>
      <c r="O603">
        <f t="shared" si="242"/>
        <v>2</v>
      </c>
      <c r="P603" t="str">
        <f t="shared" si="243"/>
        <v>Mas de 3</v>
      </c>
      <c r="Q603">
        <v>2</v>
      </c>
      <c r="R603" t="str">
        <f t="shared" si="244"/>
        <v>Usualmente</v>
      </c>
      <c r="S603">
        <v>0</v>
      </c>
      <c r="T603" t="str">
        <f t="shared" si="245"/>
        <v>No fuma</v>
      </c>
      <c r="U603">
        <v>128246</v>
      </c>
      <c r="V603">
        <f t="shared" si="246"/>
        <v>2</v>
      </c>
      <c r="W603" t="str">
        <f t="shared" si="247"/>
        <v>Siempre</v>
      </c>
      <c r="X603">
        <v>1</v>
      </c>
      <c r="Y603" t="str">
        <f t="shared" si="248"/>
        <v>Controla</v>
      </c>
      <c r="Z603">
        <v>160195</v>
      </c>
      <c r="AA603">
        <f t="shared" si="249"/>
        <v>2</v>
      </c>
      <c r="AB603" t="str">
        <f t="shared" si="250"/>
        <v>Usualmente</v>
      </c>
      <c r="AC603">
        <v>0</v>
      </c>
      <c r="AD603">
        <f t="shared" si="251"/>
        <v>0</v>
      </c>
      <c r="AE603" t="str">
        <f t="shared" si="252"/>
        <v>Nunca</v>
      </c>
      <c r="AF603">
        <v>1</v>
      </c>
      <c r="AG603" t="str">
        <f t="shared" si="253"/>
        <v>A veces</v>
      </c>
      <c r="AH603">
        <v>0</v>
      </c>
      <c r="AI603" t="str">
        <f t="shared" si="254"/>
        <v>No usa</v>
      </c>
      <c r="AJ603">
        <v>0</v>
      </c>
      <c r="AK603" t="str">
        <f t="shared" si="255"/>
        <v>No usa</v>
      </c>
      <c r="AL603">
        <v>0</v>
      </c>
      <c r="AM603" t="str">
        <f t="shared" si="256"/>
        <v>No usa</v>
      </c>
      <c r="AN603">
        <v>1</v>
      </c>
      <c r="AO603" t="str">
        <f t="shared" si="257"/>
        <v>Usa Transporte</v>
      </c>
      <c r="AP603">
        <v>0</v>
      </c>
      <c r="AQ603" t="str">
        <f t="shared" si="258"/>
        <v>No camina</v>
      </c>
      <c r="AR603">
        <v>0</v>
      </c>
      <c r="AS603" t="str">
        <f t="shared" si="259"/>
        <v>No es obeso</v>
      </c>
    </row>
    <row r="604" spans="1:45" x14ac:dyDescent="0.25">
      <c r="A604">
        <v>0</v>
      </c>
      <c r="B604" t="str">
        <f t="shared" si="234"/>
        <v>F</v>
      </c>
      <c r="C604">
        <v>19773303</v>
      </c>
      <c r="D604">
        <f t="shared" si="235"/>
        <v>54</v>
      </c>
      <c r="E604">
        <f t="shared" si="236"/>
        <v>54</v>
      </c>
      <c r="F604" t="str">
        <f t="shared" si="237"/>
        <v>50-75</v>
      </c>
      <c r="G604">
        <v>0</v>
      </c>
      <c r="H604" t="str">
        <f t="shared" si="238"/>
        <v>Pariente normal</v>
      </c>
      <c r="I604">
        <v>0</v>
      </c>
      <c r="J604" t="str">
        <f t="shared" si="239"/>
        <v>Saludables</v>
      </c>
      <c r="K604">
        <v>3</v>
      </c>
      <c r="L604">
        <f t="shared" si="240"/>
        <v>1</v>
      </c>
      <c r="M604" t="str">
        <f t="shared" si="241"/>
        <v>Suele comer</v>
      </c>
      <c r="N604">
        <v>3</v>
      </c>
      <c r="O604">
        <f t="shared" si="242"/>
        <v>2</v>
      </c>
      <c r="P604" t="str">
        <f t="shared" si="243"/>
        <v>Mas de 3</v>
      </c>
      <c r="Q604">
        <v>2</v>
      </c>
      <c r="R604" t="str">
        <f t="shared" si="244"/>
        <v>Usualmente</v>
      </c>
      <c r="S604">
        <v>0</v>
      </c>
      <c r="T604" t="str">
        <f t="shared" si="245"/>
        <v>No fuma</v>
      </c>
      <c r="U604">
        <v>2875583</v>
      </c>
      <c r="V604">
        <f t="shared" si="246"/>
        <v>2</v>
      </c>
      <c r="W604" t="str">
        <f t="shared" si="247"/>
        <v>Siempre</v>
      </c>
      <c r="X604">
        <v>1</v>
      </c>
      <c r="Y604" t="str">
        <f t="shared" si="248"/>
        <v>Controla</v>
      </c>
      <c r="Z604">
        <v>1258504</v>
      </c>
      <c r="AA604">
        <f t="shared" si="249"/>
        <v>3</v>
      </c>
      <c r="AB604" t="str">
        <f t="shared" si="250"/>
        <v>Siempre</v>
      </c>
      <c r="AC604">
        <v>0</v>
      </c>
      <c r="AD604">
        <f t="shared" si="251"/>
        <v>0</v>
      </c>
      <c r="AE604" t="str">
        <f t="shared" si="252"/>
        <v>Nunca</v>
      </c>
      <c r="AF604">
        <v>1</v>
      </c>
      <c r="AG604" t="str">
        <f t="shared" si="253"/>
        <v>A veces</v>
      </c>
      <c r="AH604">
        <v>0</v>
      </c>
      <c r="AI604" t="str">
        <f t="shared" si="254"/>
        <v>No usa</v>
      </c>
      <c r="AJ604">
        <v>0</v>
      </c>
      <c r="AK604" t="str">
        <f t="shared" si="255"/>
        <v>No usa</v>
      </c>
      <c r="AL604">
        <v>0</v>
      </c>
      <c r="AM604" t="str">
        <f t="shared" si="256"/>
        <v>No usa</v>
      </c>
      <c r="AN604">
        <v>1</v>
      </c>
      <c r="AO604" t="str">
        <f t="shared" si="257"/>
        <v>Usa Transporte</v>
      </c>
      <c r="AP604">
        <v>0</v>
      </c>
      <c r="AQ604" t="str">
        <f t="shared" si="258"/>
        <v>No camina</v>
      </c>
      <c r="AR604">
        <v>0</v>
      </c>
      <c r="AS604" t="str">
        <f t="shared" si="259"/>
        <v>No es obeso</v>
      </c>
    </row>
    <row r="605" spans="1:45" x14ac:dyDescent="0.25">
      <c r="A605">
        <v>0</v>
      </c>
      <c r="B605" t="str">
        <f t="shared" si="234"/>
        <v>F</v>
      </c>
      <c r="C605">
        <v>19483036</v>
      </c>
      <c r="D605">
        <f t="shared" si="235"/>
        <v>53</v>
      </c>
      <c r="E605">
        <f t="shared" si="236"/>
        <v>53</v>
      </c>
      <c r="F605" t="str">
        <f t="shared" si="237"/>
        <v>50-75</v>
      </c>
      <c r="G605">
        <v>0</v>
      </c>
      <c r="H605" t="str">
        <f t="shared" si="238"/>
        <v>Pariente normal</v>
      </c>
      <c r="I605">
        <v>1</v>
      </c>
      <c r="J605" t="str">
        <f t="shared" si="239"/>
        <v>Hipercaloricos</v>
      </c>
      <c r="K605">
        <v>3</v>
      </c>
      <c r="L605">
        <f t="shared" si="240"/>
        <v>1</v>
      </c>
      <c r="M605" t="str">
        <f t="shared" si="241"/>
        <v>Suele comer</v>
      </c>
      <c r="N605">
        <v>1</v>
      </c>
      <c r="O605">
        <f t="shared" si="242"/>
        <v>1</v>
      </c>
      <c r="P605">
        <f t="shared" si="243"/>
        <v>3</v>
      </c>
      <c r="Q605">
        <v>2</v>
      </c>
      <c r="R605" t="str">
        <f t="shared" si="244"/>
        <v>Usualmente</v>
      </c>
      <c r="S605">
        <v>0</v>
      </c>
      <c r="T605" t="str">
        <f t="shared" si="245"/>
        <v>No fuma</v>
      </c>
      <c r="U605">
        <v>1387531</v>
      </c>
      <c r="V605">
        <f t="shared" si="246"/>
        <v>2</v>
      </c>
      <c r="W605" t="str">
        <f t="shared" si="247"/>
        <v>Siempre</v>
      </c>
      <c r="X605">
        <v>0</v>
      </c>
      <c r="Y605" t="str">
        <f t="shared" si="248"/>
        <v>No controla</v>
      </c>
      <c r="Z605">
        <v>0</v>
      </c>
      <c r="AA605">
        <f t="shared" si="249"/>
        <v>0</v>
      </c>
      <c r="AB605" t="str">
        <f t="shared" si="250"/>
        <v>Nunca</v>
      </c>
      <c r="AC605">
        <v>0.466169</v>
      </c>
      <c r="AD605">
        <f t="shared" si="251"/>
        <v>0</v>
      </c>
      <c r="AE605" t="str">
        <f t="shared" si="252"/>
        <v>Nunca</v>
      </c>
      <c r="AF605">
        <v>1</v>
      </c>
      <c r="AG605" t="str">
        <f t="shared" si="253"/>
        <v>A veces</v>
      </c>
      <c r="AH605">
        <v>0</v>
      </c>
      <c r="AI605" t="str">
        <f t="shared" si="254"/>
        <v>No usa</v>
      </c>
      <c r="AJ605">
        <v>0</v>
      </c>
      <c r="AK605" t="str">
        <f t="shared" si="255"/>
        <v>No usa</v>
      </c>
      <c r="AL605">
        <v>0</v>
      </c>
      <c r="AM605" t="str">
        <f t="shared" si="256"/>
        <v>No usa</v>
      </c>
      <c r="AN605">
        <v>1</v>
      </c>
      <c r="AO605" t="str">
        <f t="shared" si="257"/>
        <v>Usa Transporte</v>
      </c>
      <c r="AP605">
        <v>0</v>
      </c>
      <c r="AQ605" t="str">
        <f t="shared" si="258"/>
        <v>No camina</v>
      </c>
      <c r="AR605">
        <v>0</v>
      </c>
      <c r="AS605" t="str">
        <f t="shared" si="259"/>
        <v>No es obeso</v>
      </c>
    </row>
    <row r="606" spans="1:45" x14ac:dyDescent="0.25">
      <c r="A606">
        <v>0</v>
      </c>
      <c r="B606" t="str">
        <f t="shared" si="234"/>
        <v>F</v>
      </c>
      <c r="C606">
        <v>19</v>
      </c>
      <c r="D606">
        <f t="shared" si="235"/>
        <v>19</v>
      </c>
      <c r="E606">
        <f t="shared" si="236"/>
        <v>19</v>
      </c>
      <c r="F606" t="str">
        <f t="shared" si="237"/>
        <v>1-25</v>
      </c>
      <c r="G606">
        <v>0</v>
      </c>
      <c r="H606" t="str">
        <f t="shared" si="238"/>
        <v>Pariente normal</v>
      </c>
      <c r="I606">
        <v>1</v>
      </c>
      <c r="J606" t="str">
        <f t="shared" si="239"/>
        <v>Hipercaloricos</v>
      </c>
      <c r="K606">
        <v>271897</v>
      </c>
      <c r="L606">
        <f t="shared" si="240"/>
        <v>1</v>
      </c>
      <c r="M606" t="str">
        <f t="shared" si="241"/>
        <v>Suele comer</v>
      </c>
      <c r="N606">
        <v>1473088</v>
      </c>
      <c r="O606">
        <f t="shared" si="242"/>
        <v>2</v>
      </c>
      <c r="P606" t="str">
        <f t="shared" si="243"/>
        <v>Mas de 3</v>
      </c>
      <c r="Q606">
        <v>2</v>
      </c>
      <c r="R606" t="str">
        <f t="shared" si="244"/>
        <v>Usualmente</v>
      </c>
      <c r="S606">
        <v>0</v>
      </c>
      <c r="T606" t="str">
        <f t="shared" si="245"/>
        <v>No fuma</v>
      </c>
      <c r="U606">
        <v>1164644</v>
      </c>
      <c r="V606">
        <f t="shared" si="246"/>
        <v>2</v>
      </c>
      <c r="W606" t="str">
        <f t="shared" si="247"/>
        <v>Siempre</v>
      </c>
      <c r="X606">
        <v>0</v>
      </c>
      <c r="Y606" t="str">
        <f t="shared" si="248"/>
        <v>No controla</v>
      </c>
      <c r="Z606">
        <v>1235675</v>
      </c>
      <c r="AA606">
        <f t="shared" si="249"/>
        <v>3</v>
      </c>
      <c r="AB606" t="str">
        <f t="shared" si="250"/>
        <v>Siempre</v>
      </c>
      <c r="AC606">
        <v>0.93092600000000003</v>
      </c>
      <c r="AD606">
        <f t="shared" si="251"/>
        <v>0</v>
      </c>
      <c r="AE606" t="str">
        <f t="shared" si="252"/>
        <v>Nunca</v>
      </c>
      <c r="AF606">
        <v>1</v>
      </c>
      <c r="AG606" t="str">
        <f t="shared" si="253"/>
        <v>A veces</v>
      </c>
      <c r="AH606">
        <v>0</v>
      </c>
      <c r="AI606" t="str">
        <f t="shared" si="254"/>
        <v>No usa</v>
      </c>
      <c r="AJ606">
        <v>0</v>
      </c>
      <c r="AK606" t="str">
        <f t="shared" si="255"/>
        <v>No usa</v>
      </c>
      <c r="AL606">
        <v>0</v>
      </c>
      <c r="AM606" t="str">
        <f t="shared" si="256"/>
        <v>No usa</v>
      </c>
      <c r="AN606">
        <v>1</v>
      </c>
      <c r="AO606" t="str">
        <f t="shared" si="257"/>
        <v>Usa Transporte</v>
      </c>
      <c r="AP606">
        <v>0</v>
      </c>
      <c r="AQ606" t="str">
        <f t="shared" si="258"/>
        <v>No camina</v>
      </c>
      <c r="AR606">
        <v>0</v>
      </c>
      <c r="AS606" t="str">
        <f t="shared" si="259"/>
        <v>No es obeso</v>
      </c>
    </row>
    <row r="607" spans="1:45" x14ac:dyDescent="0.25">
      <c r="A607">
        <v>0</v>
      </c>
      <c r="B607" t="str">
        <f t="shared" si="234"/>
        <v>F</v>
      </c>
      <c r="C607">
        <v>19407204</v>
      </c>
      <c r="D607">
        <f t="shared" si="235"/>
        <v>53</v>
      </c>
      <c r="E607">
        <f t="shared" si="236"/>
        <v>53</v>
      </c>
      <c r="F607" t="str">
        <f t="shared" si="237"/>
        <v>50-75</v>
      </c>
      <c r="G607">
        <v>0</v>
      </c>
      <c r="H607" t="str">
        <f t="shared" si="238"/>
        <v>Pariente normal</v>
      </c>
      <c r="I607">
        <v>1</v>
      </c>
      <c r="J607" t="str">
        <f t="shared" si="239"/>
        <v>Hipercaloricos</v>
      </c>
      <c r="K607">
        <v>3</v>
      </c>
      <c r="L607">
        <f t="shared" si="240"/>
        <v>1</v>
      </c>
      <c r="M607" t="str">
        <f t="shared" si="241"/>
        <v>Suele comer</v>
      </c>
      <c r="N607">
        <v>1</v>
      </c>
      <c r="O607">
        <f t="shared" si="242"/>
        <v>1</v>
      </c>
      <c r="P607">
        <f t="shared" si="243"/>
        <v>3</v>
      </c>
      <c r="Q607">
        <v>2</v>
      </c>
      <c r="R607" t="str">
        <f t="shared" si="244"/>
        <v>Usualmente</v>
      </c>
      <c r="S607">
        <v>0</v>
      </c>
      <c r="T607" t="str">
        <f t="shared" si="245"/>
        <v>No fuma</v>
      </c>
      <c r="U607">
        <v>1848703</v>
      </c>
      <c r="V607">
        <f t="shared" si="246"/>
        <v>2</v>
      </c>
      <c r="W607" t="str">
        <f t="shared" si="247"/>
        <v>Siempre</v>
      </c>
      <c r="X607">
        <v>0</v>
      </c>
      <c r="Y607" t="str">
        <f t="shared" si="248"/>
        <v>No controla</v>
      </c>
      <c r="Z607">
        <v>0</v>
      </c>
      <c r="AA607">
        <f t="shared" si="249"/>
        <v>0</v>
      </c>
      <c r="AB607" t="str">
        <f t="shared" si="250"/>
        <v>Nunca</v>
      </c>
      <c r="AC607">
        <v>0.74455499999999997</v>
      </c>
      <c r="AD607">
        <f t="shared" si="251"/>
        <v>0</v>
      </c>
      <c r="AE607" t="str">
        <f t="shared" si="252"/>
        <v>Nunca</v>
      </c>
      <c r="AF607">
        <v>1</v>
      </c>
      <c r="AG607" t="str">
        <f t="shared" si="253"/>
        <v>A veces</v>
      </c>
      <c r="AH607">
        <v>0</v>
      </c>
      <c r="AI607" t="str">
        <f t="shared" si="254"/>
        <v>No usa</v>
      </c>
      <c r="AJ607">
        <v>0</v>
      </c>
      <c r="AK607" t="str">
        <f t="shared" si="255"/>
        <v>No usa</v>
      </c>
      <c r="AL607">
        <v>0</v>
      </c>
      <c r="AM607" t="str">
        <f t="shared" si="256"/>
        <v>No usa</v>
      </c>
      <c r="AN607">
        <v>1</v>
      </c>
      <c r="AO607" t="str">
        <f t="shared" si="257"/>
        <v>Usa Transporte</v>
      </c>
      <c r="AP607">
        <v>0</v>
      </c>
      <c r="AQ607" t="str">
        <f t="shared" si="258"/>
        <v>No camina</v>
      </c>
      <c r="AR607">
        <v>0</v>
      </c>
      <c r="AS607" t="str">
        <f t="shared" si="259"/>
        <v>No es obeso</v>
      </c>
    </row>
    <row r="608" spans="1:45" x14ac:dyDescent="0.25">
      <c r="A608">
        <v>1</v>
      </c>
      <c r="B608" t="str">
        <f t="shared" si="234"/>
        <v>M</v>
      </c>
      <c r="C608">
        <v>18</v>
      </c>
      <c r="D608">
        <f t="shared" si="235"/>
        <v>18</v>
      </c>
      <c r="E608">
        <f t="shared" si="236"/>
        <v>18</v>
      </c>
      <c r="F608" t="str">
        <f t="shared" si="237"/>
        <v>1-25</v>
      </c>
      <c r="G608">
        <v>1</v>
      </c>
      <c r="H608" t="str">
        <f t="shared" si="238"/>
        <v>Pariente gordo</v>
      </c>
      <c r="I608">
        <v>1</v>
      </c>
      <c r="J608" t="str">
        <f t="shared" si="239"/>
        <v>Hipercaloricos</v>
      </c>
      <c r="K608">
        <v>1133844</v>
      </c>
      <c r="L608">
        <f t="shared" si="240"/>
        <v>1</v>
      </c>
      <c r="M608" t="str">
        <f t="shared" si="241"/>
        <v>Suele comer</v>
      </c>
      <c r="N608">
        <v>3</v>
      </c>
      <c r="O608">
        <f t="shared" si="242"/>
        <v>2</v>
      </c>
      <c r="P608" t="str">
        <f t="shared" si="243"/>
        <v>Mas de 3</v>
      </c>
      <c r="Q608">
        <v>1</v>
      </c>
      <c r="R608" t="str">
        <f t="shared" si="244"/>
        <v>A veces</v>
      </c>
      <c r="S608">
        <v>0</v>
      </c>
      <c r="T608" t="str">
        <f t="shared" si="245"/>
        <v>No fuma</v>
      </c>
      <c r="U608">
        <v>1325326</v>
      </c>
      <c r="V608">
        <f t="shared" si="246"/>
        <v>2</v>
      </c>
      <c r="W608" t="str">
        <f t="shared" si="247"/>
        <v>Siempre</v>
      </c>
      <c r="X608">
        <v>0</v>
      </c>
      <c r="Y608" t="str">
        <f t="shared" si="248"/>
        <v>No controla</v>
      </c>
      <c r="Z608">
        <v>0.22798499999999999</v>
      </c>
      <c r="AA608">
        <f t="shared" si="249"/>
        <v>0</v>
      </c>
      <c r="AB608" t="str">
        <f t="shared" si="250"/>
        <v>Nunca</v>
      </c>
      <c r="AC608">
        <v>1708309</v>
      </c>
      <c r="AD608">
        <f t="shared" si="251"/>
        <v>2</v>
      </c>
      <c r="AE608" t="str">
        <f t="shared" si="252"/>
        <v>Siempre</v>
      </c>
      <c r="AF608">
        <v>1</v>
      </c>
      <c r="AG608" t="str">
        <f t="shared" si="253"/>
        <v>A veces</v>
      </c>
      <c r="AH608">
        <v>0</v>
      </c>
      <c r="AI608" t="str">
        <f t="shared" si="254"/>
        <v>No usa</v>
      </c>
      <c r="AJ608">
        <v>0</v>
      </c>
      <c r="AK608" t="str">
        <f t="shared" si="255"/>
        <v>No usa</v>
      </c>
      <c r="AL608">
        <v>0</v>
      </c>
      <c r="AM608" t="str">
        <f t="shared" si="256"/>
        <v>No usa</v>
      </c>
      <c r="AN608">
        <v>1</v>
      </c>
      <c r="AO608" t="str">
        <f t="shared" si="257"/>
        <v>Usa Transporte</v>
      </c>
      <c r="AP608">
        <v>0</v>
      </c>
      <c r="AQ608" t="str">
        <f t="shared" si="258"/>
        <v>No camina</v>
      </c>
      <c r="AR608">
        <v>0</v>
      </c>
      <c r="AS608" t="str">
        <f t="shared" si="259"/>
        <v>No es obeso</v>
      </c>
    </row>
    <row r="609" spans="1:45" x14ac:dyDescent="0.25">
      <c r="A609">
        <v>1</v>
      </c>
      <c r="B609" t="str">
        <f t="shared" si="234"/>
        <v>M</v>
      </c>
      <c r="C609">
        <v>18424941</v>
      </c>
      <c r="D609">
        <f t="shared" si="235"/>
        <v>50</v>
      </c>
      <c r="E609">
        <f t="shared" si="236"/>
        <v>50</v>
      </c>
      <c r="F609" t="str">
        <f t="shared" si="237"/>
        <v>25-50</v>
      </c>
      <c r="G609">
        <v>1</v>
      </c>
      <c r="H609" t="str">
        <f t="shared" si="238"/>
        <v>Pariente gordo</v>
      </c>
      <c r="I609">
        <v>1</v>
      </c>
      <c r="J609" t="str">
        <f t="shared" si="239"/>
        <v>Hipercaloricos</v>
      </c>
      <c r="K609">
        <v>2</v>
      </c>
      <c r="L609">
        <f t="shared" si="240"/>
        <v>1</v>
      </c>
      <c r="M609" t="str">
        <f t="shared" si="241"/>
        <v>Suele comer</v>
      </c>
      <c r="N609">
        <v>316645</v>
      </c>
      <c r="O609">
        <f t="shared" si="242"/>
        <v>2</v>
      </c>
      <c r="P609" t="str">
        <f t="shared" si="243"/>
        <v>Mas de 3</v>
      </c>
      <c r="Q609">
        <v>1</v>
      </c>
      <c r="R609" t="str">
        <f t="shared" si="244"/>
        <v>A veces</v>
      </c>
      <c r="S609">
        <v>0</v>
      </c>
      <c r="T609" t="str">
        <f t="shared" si="245"/>
        <v>No fuma</v>
      </c>
      <c r="U609">
        <v>2278578</v>
      </c>
      <c r="V609">
        <f t="shared" si="246"/>
        <v>2</v>
      </c>
      <c r="W609" t="str">
        <f t="shared" si="247"/>
        <v>Siempre</v>
      </c>
      <c r="X609">
        <v>0</v>
      </c>
      <c r="Y609" t="str">
        <f t="shared" si="248"/>
        <v>No controla</v>
      </c>
      <c r="Z609">
        <v>1838881</v>
      </c>
      <c r="AA609">
        <f t="shared" si="249"/>
        <v>3</v>
      </c>
      <c r="AB609" t="str">
        <f t="shared" si="250"/>
        <v>Siempre</v>
      </c>
      <c r="AC609">
        <v>2</v>
      </c>
      <c r="AD609">
        <f t="shared" si="251"/>
        <v>2</v>
      </c>
      <c r="AE609" t="str">
        <f t="shared" si="252"/>
        <v>Siempre</v>
      </c>
      <c r="AF609">
        <v>1</v>
      </c>
      <c r="AG609" t="str">
        <f t="shared" si="253"/>
        <v>A veces</v>
      </c>
      <c r="AH609">
        <v>0</v>
      </c>
      <c r="AI609" t="str">
        <f t="shared" si="254"/>
        <v>No usa</v>
      </c>
      <c r="AJ609">
        <v>0</v>
      </c>
      <c r="AK609" t="str">
        <f t="shared" si="255"/>
        <v>No usa</v>
      </c>
      <c r="AL609">
        <v>0</v>
      </c>
      <c r="AM609" t="str">
        <f t="shared" si="256"/>
        <v>No usa</v>
      </c>
      <c r="AN609">
        <v>1</v>
      </c>
      <c r="AO609" t="str">
        <f t="shared" si="257"/>
        <v>Usa Transporte</v>
      </c>
      <c r="AP609">
        <v>0</v>
      </c>
      <c r="AQ609" t="str">
        <f t="shared" si="258"/>
        <v>No camina</v>
      </c>
      <c r="AR609">
        <v>0</v>
      </c>
      <c r="AS609" t="str">
        <f t="shared" si="259"/>
        <v>No es obeso</v>
      </c>
    </row>
    <row r="610" spans="1:45" x14ac:dyDescent="0.25">
      <c r="A610">
        <v>1</v>
      </c>
      <c r="B610" t="str">
        <f t="shared" si="234"/>
        <v>M</v>
      </c>
      <c r="C610">
        <v>18</v>
      </c>
      <c r="D610">
        <f t="shared" si="235"/>
        <v>18</v>
      </c>
      <c r="E610">
        <f t="shared" si="236"/>
        <v>18</v>
      </c>
      <c r="F610" t="str">
        <f t="shared" si="237"/>
        <v>1-25</v>
      </c>
      <c r="G610">
        <v>1</v>
      </c>
      <c r="H610" t="str">
        <f t="shared" si="238"/>
        <v>Pariente gordo</v>
      </c>
      <c r="I610">
        <v>1</v>
      </c>
      <c r="J610" t="str">
        <f t="shared" si="239"/>
        <v>Hipercaloricos</v>
      </c>
      <c r="K610">
        <v>1757466</v>
      </c>
      <c r="L610">
        <f t="shared" si="240"/>
        <v>1</v>
      </c>
      <c r="M610" t="str">
        <f t="shared" si="241"/>
        <v>Suele comer</v>
      </c>
      <c r="N610">
        <v>3</v>
      </c>
      <c r="O610">
        <f t="shared" si="242"/>
        <v>2</v>
      </c>
      <c r="P610" t="str">
        <f t="shared" si="243"/>
        <v>Mas de 3</v>
      </c>
      <c r="Q610">
        <v>1</v>
      </c>
      <c r="R610" t="str">
        <f t="shared" si="244"/>
        <v>A veces</v>
      </c>
      <c r="S610">
        <v>0</v>
      </c>
      <c r="T610" t="str">
        <f t="shared" si="245"/>
        <v>No fuma</v>
      </c>
      <c r="U610">
        <v>1153559</v>
      </c>
      <c r="V610">
        <f t="shared" si="246"/>
        <v>2</v>
      </c>
      <c r="W610" t="str">
        <f t="shared" si="247"/>
        <v>Siempre</v>
      </c>
      <c r="X610">
        <v>0</v>
      </c>
      <c r="Y610" t="str">
        <f t="shared" si="248"/>
        <v>No controla</v>
      </c>
      <c r="Z610">
        <v>0.83397600000000005</v>
      </c>
      <c r="AA610">
        <f t="shared" si="249"/>
        <v>0</v>
      </c>
      <c r="AB610" t="str">
        <f t="shared" si="250"/>
        <v>Nunca</v>
      </c>
      <c r="AC610">
        <v>1616045</v>
      </c>
      <c r="AD610">
        <f t="shared" si="251"/>
        <v>2</v>
      </c>
      <c r="AE610" t="str">
        <f t="shared" si="252"/>
        <v>Siempre</v>
      </c>
      <c r="AF610">
        <v>1</v>
      </c>
      <c r="AG610" t="str">
        <f t="shared" si="253"/>
        <v>A veces</v>
      </c>
      <c r="AH610">
        <v>0</v>
      </c>
      <c r="AI610" t="str">
        <f t="shared" si="254"/>
        <v>No usa</v>
      </c>
      <c r="AJ610">
        <v>0</v>
      </c>
      <c r="AK610" t="str">
        <f t="shared" si="255"/>
        <v>No usa</v>
      </c>
      <c r="AL610">
        <v>0</v>
      </c>
      <c r="AM610" t="str">
        <f t="shared" si="256"/>
        <v>No usa</v>
      </c>
      <c r="AN610">
        <v>1</v>
      </c>
      <c r="AO610" t="str">
        <f t="shared" si="257"/>
        <v>Usa Transporte</v>
      </c>
      <c r="AP610">
        <v>0</v>
      </c>
      <c r="AQ610" t="str">
        <f t="shared" si="258"/>
        <v>No camina</v>
      </c>
      <c r="AR610">
        <v>0</v>
      </c>
      <c r="AS610" t="str">
        <f t="shared" si="259"/>
        <v>No es obeso</v>
      </c>
    </row>
    <row r="611" spans="1:45" x14ac:dyDescent="0.25">
      <c r="A611">
        <v>1</v>
      </c>
      <c r="B611" t="str">
        <f t="shared" si="234"/>
        <v>M</v>
      </c>
      <c r="C611">
        <v>1997981</v>
      </c>
      <c r="D611">
        <f t="shared" si="235"/>
        <v>5</v>
      </c>
      <c r="E611">
        <f t="shared" si="236"/>
        <v>5</v>
      </c>
      <c r="F611" t="str">
        <f t="shared" si="237"/>
        <v>1-25</v>
      </c>
      <c r="G611">
        <v>1</v>
      </c>
      <c r="H611" t="str">
        <f t="shared" si="238"/>
        <v>Pariente gordo</v>
      </c>
      <c r="I611">
        <v>1</v>
      </c>
      <c r="J611" t="str">
        <f t="shared" si="239"/>
        <v>Hipercaloricos</v>
      </c>
      <c r="K611">
        <v>2</v>
      </c>
      <c r="L611">
        <f t="shared" si="240"/>
        <v>1</v>
      </c>
      <c r="M611" t="str">
        <f t="shared" si="241"/>
        <v>Suele comer</v>
      </c>
      <c r="N611">
        <v>3494849</v>
      </c>
      <c r="O611">
        <f t="shared" si="242"/>
        <v>2</v>
      </c>
      <c r="P611" t="str">
        <f t="shared" si="243"/>
        <v>Mas de 3</v>
      </c>
      <c r="Q611">
        <v>1</v>
      </c>
      <c r="R611" t="str">
        <f t="shared" si="244"/>
        <v>A veces</v>
      </c>
      <c r="S611">
        <v>0</v>
      </c>
      <c r="T611" t="str">
        <f t="shared" si="245"/>
        <v>No fuma</v>
      </c>
      <c r="U611">
        <v>2976672</v>
      </c>
      <c r="V611">
        <f t="shared" si="246"/>
        <v>2</v>
      </c>
      <c r="W611" t="str">
        <f t="shared" si="247"/>
        <v>Siempre</v>
      </c>
      <c r="X611">
        <v>0</v>
      </c>
      <c r="Y611" t="str">
        <f t="shared" si="248"/>
        <v>No controla</v>
      </c>
      <c r="Z611">
        <v>194907</v>
      </c>
      <c r="AA611">
        <f t="shared" si="249"/>
        <v>2</v>
      </c>
      <c r="AB611" t="str">
        <f t="shared" si="250"/>
        <v>Usualmente</v>
      </c>
      <c r="AC611">
        <v>2</v>
      </c>
      <c r="AD611">
        <f t="shared" si="251"/>
        <v>2</v>
      </c>
      <c r="AE611" t="str">
        <f t="shared" si="252"/>
        <v>Siempre</v>
      </c>
      <c r="AF611">
        <v>0</v>
      </c>
      <c r="AG611" t="str">
        <f t="shared" si="253"/>
        <v>Nunca</v>
      </c>
      <c r="AH611">
        <v>0</v>
      </c>
      <c r="AI611" t="str">
        <f t="shared" si="254"/>
        <v>No usa</v>
      </c>
      <c r="AJ611">
        <v>0</v>
      </c>
      <c r="AK611" t="str">
        <f t="shared" si="255"/>
        <v>No usa</v>
      </c>
      <c r="AL611">
        <v>0</v>
      </c>
      <c r="AM611" t="str">
        <f t="shared" si="256"/>
        <v>No usa</v>
      </c>
      <c r="AN611">
        <v>1</v>
      </c>
      <c r="AO611" t="str">
        <f t="shared" si="257"/>
        <v>Usa Transporte</v>
      </c>
      <c r="AP611">
        <v>0</v>
      </c>
      <c r="AQ611" t="str">
        <f t="shared" si="258"/>
        <v>No camina</v>
      </c>
      <c r="AR611">
        <v>0</v>
      </c>
      <c r="AS611" t="str">
        <f t="shared" si="259"/>
        <v>No es obeso</v>
      </c>
    </row>
    <row r="612" spans="1:45" x14ac:dyDescent="0.25">
      <c r="A612">
        <v>0</v>
      </c>
      <c r="B612" t="str">
        <f t="shared" si="234"/>
        <v>F</v>
      </c>
      <c r="C612">
        <v>21798856</v>
      </c>
      <c r="D612">
        <f t="shared" si="235"/>
        <v>59</v>
      </c>
      <c r="E612">
        <f t="shared" si="236"/>
        <v>59</v>
      </c>
      <c r="F612" t="str">
        <f t="shared" si="237"/>
        <v>50-75</v>
      </c>
      <c r="G612">
        <v>1</v>
      </c>
      <c r="H612" t="str">
        <f t="shared" si="238"/>
        <v>Pariente gordo</v>
      </c>
      <c r="I612">
        <v>1</v>
      </c>
      <c r="J612" t="str">
        <f t="shared" si="239"/>
        <v>Hipercaloricos</v>
      </c>
      <c r="K612">
        <v>2979383</v>
      </c>
      <c r="L612">
        <f t="shared" si="240"/>
        <v>1</v>
      </c>
      <c r="M612" t="str">
        <f t="shared" si="241"/>
        <v>Suele comer</v>
      </c>
      <c r="N612">
        <v>3</v>
      </c>
      <c r="O612">
        <f t="shared" si="242"/>
        <v>2</v>
      </c>
      <c r="P612" t="str">
        <f t="shared" si="243"/>
        <v>Mas de 3</v>
      </c>
      <c r="Q612">
        <v>2</v>
      </c>
      <c r="R612" t="str">
        <f t="shared" si="244"/>
        <v>Usualmente</v>
      </c>
      <c r="S612">
        <v>0</v>
      </c>
      <c r="T612" t="str">
        <f t="shared" si="245"/>
        <v>No fuma</v>
      </c>
      <c r="U612">
        <v>2975887</v>
      </c>
      <c r="V612">
        <f t="shared" si="246"/>
        <v>2</v>
      </c>
      <c r="W612" t="str">
        <f t="shared" si="247"/>
        <v>Siempre</v>
      </c>
      <c r="X612">
        <v>0</v>
      </c>
      <c r="Y612" t="str">
        <f t="shared" si="248"/>
        <v>No controla</v>
      </c>
      <c r="Z612">
        <v>0.94509299999999996</v>
      </c>
      <c r="AA612">
        <f t="shared" si="249"/>
        <v>0</v>
      </c>
      <c r="AB612" t="str">
        <f t="shared" si="250"/>
        <v>Nunca</v>
      </c>
      <c r="AC612">
        <v>1241755</v>
      </c>
      <c r="AD612">
        <f t="shared" si="251"/>
        <v>2</v>
      </c>
      <c r="AE612" t="str">
        <f t="shared" si="252"/>
        <v>Siempre</v>
      </c>
      <c r="AF612">
        <v>0</v>
      </c>
      <c r="AG612" t="str">
        <f t="shared" si="253"/>
        <v>Nunca</v>
      </c>
      <c r="AH612">
        <v>0</v>
      </c>
      <c r="AI612" t="str">
        <f t="shared" si="254"/>
        <v>No usa</v>
      </c>
      <c r="AJ612">
        <v>0</v>
      </c>
      <c r="AK612" t="str">
        <f t="shared" si="255"/>
        <v>No usa</v>
      </c>
      <c r="AL612">
        <v>0</v>
      </c>
      <c r="AM612" t="str">
        <f t="shared" si="256"/>
        <v>No usa</v>
      </c>
      <c r="AN612">
        <v>1</v>
      </c>
      <c r="AO612" t="str">
        <f t="shared" si="257"/>
        <v>Usa Transporte</v>
      </c>
      <c r="AP612">
        <v>0</v>
      </c>
      <c r="AQ612" t="str">
        <f t="shared" si="258"/>
        <v>No camina</v>
      </c>
      <c r="AR612">
        <v>0</v>
      </c>
      <c r="AS612" t="str">
        <f t="shared" si="259"/>
        <v>No es obeso</v>
      </c>
    </row>
    <row r="613" spans="1:45" x14ac:dyDescent="0.25">
      <c r="A613">
        <v>0</v>
      </c>
      <c r="B613" t="str">
        <f t="shared" si="234"/>
        <v>F</v>
      </c>
      <c r="C613">
        <v>22209706</v>
      </c>
      <c r="D613">
        <f t="shared" si="235"/>
        <v>60</v>
      </c>
      <c r="E613">
        <f t="shared" si="236"/>
        <v>60</v>
      </c>
      <c r="F613" t="str">
        <f t="shared" si="237"/>
        <v>50-75</v>
      </c>
      <c r="G613">
        <v>0</v>
      </c>
      <c r="H613" t="str">
        <f t="shared" si="238"/>
        <v>Pariente normal</v>
      </c>
      <c r="I613">
        <v>0</v>
      </c>
      <c r="J613" t="str">
        <f t="shared" si="239"/>
        <v>Saludables</v>
      </c>
      <c r="K613">
        <v>3</v>
      </c>
      <c r="L613">
        <f t="shared" si="240"/>
        <v>1</v>
      </c>
      <c r="M613" t="str">
        <f t="shared" si="241"/>
        <v>Suele comer</v>
      </c>
      <c r="N613">
        <v>299321</v>
      </c>
      <c r="O613">
        <f t="shared" si="242"/>
        <v>2</v>
      </c>
      <c r="P613" t="str">
        <f t="shared" si="243"/>
        <v>Mas de 3</v>
      </c>
      <c r="Q613">
        <v>2</v>
      </c>
      <c r="R613" t="str">
        <f t="shared" si="244"/>
        <v>Usualmente</v>
      </c>
      <c r="S613">
        <v>0</v>
      </c>
      <c r="T613" t="str">
        <f t="shared" si="245"/>
        <v>No fuma</v>
      </c>
      <c r="U613">
        <v>2702783</v>
      </c>
      <c r="V613">
        <f t="shared" si="246"/>
        <v>2</v>
      </c>
      <c r="W613" t="str">
        <f t="shared" si="247"/>
        <v>Siempre</v>
      </c>
      <c r="X613">
        <v>0</v>
      </c>
      <c r="Y613" t="str">
        <f t="shared" si="248"/>
        <v>No controla</v>
      </c>
      <c r="Z613">
        <v>1967234</v>
      </c>
      <c r="AA613">
        <f t="shared" si="249"/>
        <v>3</v>
      </c>
      <c r="AB613" t="str">
        <f t="shared" si="250"/>
        <v>Siempre</v>
      </c>
      <c r="AC613">
        <v>0</v>
      </c>
      <c r="AD613">
        <f t="shared" si="251"/>
        <v>0</v>
      </c>
      <c r="AE613" t="str">
        <f t="shared" si="252"/>
        <v>Nunca</v>
      </c>
      <c r="AF613">
        <v>0</v>
      </c>
      <c r="AG613" t="str">
        <f t="shared" si="253"/>
        <v>Nunca</v>
      </c>
      <c r="AH613">
        <v>0</v>
      </c>
      <c r="AI613" t="str">
        <f t="shared" si="254"/>
        <v>No usa</v>
      </c>
      <c r="AJ613">
        <v>0</v>
      </c>
      <c r="AK613" t="str">
        <f t="shared" si="255"/>
        <v>No usa</v>
      </c>
      <c r="AL613">
        <v>0</v>
      </c>
      <c r="AM613" t="str">
        <f t="shared" si="256"/>
        <v>No usa</v>
      </c>
      <c r="AN613">
        <v>1</v>
      </c>
      <c r="AO613" t="str">
        <f t="shared" si="257"/>
        <v>Usa Transporte</v>
      </c>
      <c r="AP613">
        <v>0</v>
      </c>
      <c r="AQ613" t="str">
        <f t="shared" si="258"/>
        <v>No camina</v>
      </c>
      <c r="AR613">
        <v>0</v>
      </c>
      <c r="AS613" t="str">
        <f t="shared" si="259"/>
        <v>No es obeso</v>
      </c>
    </row>
    <row r="614" spans="1:45" x14ac:dyDescent="0.25">
      <c r="A614">
        <v>0</v>
      </c>
      <c r="B614" t="str">
        <f t="shared" si="234"/>
        <v>F</v>
      </c>
      <c r="C614">
        <v>23018443</v>
      </c>
      <c r="D614">
        <f t="shared" si="235"/>
        <v>63</v>
      </c>
      <c r="E614">
        <f t="shared" si="236"/>
        <v>63</v>
      </c>
      <c r="F614" t="str">
        <f t="shared" si="237"/>
        <v>50-75</v>
      </c>
      <c r="G614">
        <v>0</v>
      </c>
      <c r="H614" t="str">
        <f t="shared" si="238"/>
        <v>Pariente normal</v>
      </c>
      <c r="I614">
        <v>0</v>
      </c>
      <c r="J614" t="str">
        <f t="shared" si="239"/>
        <v>Saludables</v>
      </c>
      <c r="K614">
        <v>2204914</v>
      </c>
      <c r="L614">
        <f t="shared" si="240"/>
        <v>1</v>
      </c>
      <c r="M614" t="str">
        <f t="shared" si="241"/>
        <v>Suele comer</v>
      </c>
      <c r="N614">
        <v>2127797</v>
      </c>
      <c r="O614">
        <f t="shared" si="242"/>
        <v>2</v>
      </c>
      <c r="P614" t="str">
        <f t="shared" si="243"/>
        <v>Mas de 3</v>
      </c>
      <c r="Q614">
        <v>2</v>
      </c>
      <c r="R614" t="str">
        <f t="shared" si="244"/>
        <v>Usualmente</v>
      </c>
      <c r="S614">
        <v>0</v>
      </c>
      <c r="T614" t="str">
        <f t="shared" si="245"/>
        <v>No fuma</v>
      </c>
      <c r="U614">
        <v>2120292</v>
      </c>
      <c r="V614">
        <f t="shared" si="246"/>
        <v>2</v>
      </c>
      <c r="W614" t="str">
        <f t="shared" si="247"/>
        <v>Siempre</v>
      </c>
      <c r="X614">
        <v>0</v>
      </c>
      <c r="Y614" t="str">
        <f t="shared" si="248"/>
        <v>No controla</v>
      </c>
      <c r="Z614">
        <v>0.99573500000000004</v>
      </c>
      <c r="AA614">
        <f t="shared" si="249"/>
        <v>0</v>
      </c>
      <c r="AB614" t="str">
        <f t="shared" si="250"/>
        <v>Nunca</v>
      </c>
      <c r="AC614">
        <v>0</v>
      </c>
      <c r="AD614">
        <f t="shared" si="251"/>
        <v>0</v>
      </c>
      <c r="AE614" t="str">
        <f t="shared" si="252"/>
        <v>Nunca</v>
      </c>
      <c r="AF614">
        <v>0</v>
      </c>
      <c r="AG614" t="str">
        <f t="shared" si="253"/>
        <v>Nunca</v>
      </c>
      <c r="AH614">
        <v>0</v>
      </c>
      <c r="AI614" t="str">
        <f t="shared" si="254"/>
        <v>No usa</v>
      </c>
      <c r="AJ614">
        <v>0</v>
      </c>
      <c r="AK614" t="str">
        <f t="shared" si="255"/>
        <v>No usa</v>
      </c>
      <c r="AL614">
        <v>0</v>
      </c>
      <c r="AM614" t="str">
        <f t="shared" si="256"/>
        <v>No usa</v>
      </c>
      <c r="AN614">
        <v>1</v>
      </c>
      <c r="AO614" t="str">
        <f t="shared" si="257"/>
        <v>Usa Transporte</v>
      </c>
      <c r="AP614">
        <v>0</v>
      </c>
      <c r="AQ614" t="str">
        <f t="shared" si="258"/>
        <v>No camina</v>
      </c>
      <c r="AR614">
        <v>0</v>
      </c>
      <c r="AS614" t="str">
        <f t="shared" si="259"/>
        <v>No es obeso</v>
      </c>
    </row>
    <row r="615" spans="1:45" x14ac:dyDescent="0.25">
      <c r="A615">
        <v>0</v>
      </c>
      <c r="B615" t="str">
        <f t="shared" si="234"/>
        <v>F</v>
      </c>
      <c r="C615">
        <v>19376997</v>
      </c>
      <c r="D615">
        <f t="shared" si="235"/>
        <v>53</v>
      </c>
      <c r="E615">
        <f t="shared" si="236"/>
        <v>53</v>
      </c>
      <c r="F615" t="str">
        <f t="shared" si="237"/>
        <v>50-75</v>
      </c>
      <c r="G615">
        <v>0</v>
      </c>
      <c r="H615" t="str">
        <f t="shared" si="238"/>
        <v>Pariente normal</v>
      </c>
      <c r="I615">
        <v>0</v>
      </c>
      <c r="J615" t="str">
        <f t="shared" si="239"/>
        <v>Saludables</v>
      </c>
      <c r="K615">
        <v>3</v>
      </c>
      <c r="L615">
        <f t="shared" si="240"/>
        <v>1</v>
      </c>
      <c r="M615" t="str">
        <f t="shared" si="241"/>
        <v>Suele comer</v>
      </c>
      <c r="N615">
        <v>3</v>
      </c>
      <c r="O615">
        <f t="shared" si="242"/>
        <v>2</v>
      </c>
      <c r="P615" t="str">
        <f t="shared" si="243"/>
        <v>Mas de 3</v>
      </c>
      <c r="Q615">
        <v>2</v>
      </c>
      <c r="R615" t="str">
        <f t="shared" si="244"/>
        <v>Usualmente</v>
      </c>
      <c r="S615">
        <v>0</v>
      </c>
      <c r="T615" t="str">
        <f t="shared" si="245"/>
        <v>No fuma</v>
      </c>
      <c r="U615">
        <v>2949419</v>
      </c>
      <c r="V615">
        <f t="shared" si="246"/>
        <v>2</v>
      </c>
      <c r="W615" t="str">
        <f t="shared" si="247"/>
        <v>Siempre</v>
      </c>
      <c r="X615">
        <v>1</v>
      </c>
      <c r="Y615" t="str">
        <f t="shared" si="248"/>
        <v>Controla</v>
      </c>
      <c r="Z615">
        <v>1295697</v>
      </c>
      <c r="AA615">
        <f t="shared" si="249"/>
        <v>3</v>
      </c>
      <c r="AB615" t="str">
        <f t="shared" si="250"/>
        <v>Siempre</v>
      </c>
      <c r="AC615">
        <v>0</v>
      </c>
      <c r="AD615">
        <f t="shared" si="251"/>
        <v>0</v>
      </c>
      <c r="AE615" t="str">
        <f t="shared" si="252"/>
        <v>Nunca</v>
      </c>
      <c r="AF615">
        <v>1</v>
      </c>
      <c r="AG615" t="str">
        <f t="shared" si="253"/>
        <v>A veces</v>
      </c>
      <c r="AH615">
        <v>0</v>
      </c>
      <c r="AI615" t="str">
        <f t="shared" si="254"/>
        <v>No usa</v>
      </c>
      <c r="AJ615">
        <v>0</v>
      </c>
      <c r="AK615" t="str">
        <f t="shared" si="255"/>
        <v>No usa</v>
      </c>
      <c r="AL615">
        <v>0</v>
      </c>
      <c r="AM615" t="str">
        <f t="shared" si="256"/>
        <v>No usa</v>
      </c>
      <c r="AN615">
        <v>1</v>
      </c>
      <c r="AO615" t="str">
        <f t="shared" si="257"/>
        <v>Usa Transporte</v>
      </c>
      <c r="AP615">
        <v>0</v>
      </c>
      <c r="AQ615" t="str">
        <f t="shared" si="258"/>
        <v>No camina</v>
      </c>
      <c r="AR615">
        <v>0</v>
      </c>
      <c r="AS615" t="str">
        <f t="shared" si="259"/>
        <v>No es obeso</v>
      </c>
    </row>
    <row r="616" spans="1:45" x14ac:dyDescent="0.25">
      <c r="A616">
        <v>0</v>
      </c>
      <c r="B616" t="str">
        <f t="shared" si="234"/>
        <v>F</v>
      </c>
      <c r="C616">
        <v>20971429</v>
      </c>
      <c r="D616">
        <f t="shared" si="235"/>
        <v>57</v>
      </c>
      <c r="E616">
        <f t="shared" si="236"/>
        <v>57</v>
      </c>
      <c r="F616" t="str">
        <f t="shared" si="237"/>
        <v>50-75</v>
      </c>
      <c r="G616">
        <v>0</v>
      </c>
      <c r="H616" t="str">
        <f t="shared" si="238"/>
        <v>Pariente normal</v>
      </c>
      <c r="I616">
        <v>1</v>
      </c>
      <c r="J616" t="str">
        <f t="shared" si="239"/>
        <v>Hipercaloricos</v>
      </c>
      <c r="K616">
        <v>2927218</v>
      </c>
      <c r="L616">
        <f t="shared" si="240"/>
        <v>1</v>
      </c>
      <c r="M616" t="str">
        <f t="shared" si="241"/>
        <v>Suele comer</v>
      </c>
      <c r="N616">
        <v>1</v>
      </c>
      <c r="O616">
        <f t="shared" si="242"/>
        <v>1</v>
      </c>
      <c r="P616">
        <f t="shared" si="243"/>
        <v>3</v>
      </c>
      <c r="Q616">
        <v>2</v>
      </c>
      <c r="R616" t="str">
        <f t="shared" si="244"/>
        <v>Usualmente</v>
      </c>
      <c r="S616">
        <v>0</v>
      </c>
      <c r="T616" t="str">
        <f t="shared" si="245"/>
        <v>No fuma</v>
      </c>
      <c r="U616">
        <v>1</v>
      </c>
      <c r="V616">
        <f t="shared" si="246"/>
        <v>1</v>
      </c>
      <c r="W616" t="str">
        <f t="shared" si="247"/>
        <v>Usualmente</v>
      </c>
      <c r="X616">
        <v>0</v>
      </c>
      <c r="Y616" t="str">
        <f t="shared" si="248"/>
        <v>No controla</v>
      </c>
      <c r="Z616">
        <v>0</v>
      </c>
      <c r="AA616">
        <f t="shared" si="249"/>
        <v>0</v>
      </c>
      <c r="AB616" t="str">
        <f t="shared" si="250"/>
        <v>Nunca</v>
      </c>
      <c r="AC616">
        <v>0.276592</v>
      </c>
      <c r="AD616">
        <f t="shared" si="251"/>
        <v>0</v>
      </c>
      <c r="AE616" t="str">
        <f t="shared" si="252"/>
        <v>Nunca</v>
      </c>
      <c r="AF616">
        <v>1</v>
      </c>
      <c r="AG616" t="str">
        <f t="shared" si="253"/>
        <v>A veces</v>
      </c>
      <c r="AH616">
        <v>0</v>
      </c>
      <c r="AI616" t="str">
        <f t="shared" si="254"/>
        <v>No usa</v>
      </c>
      <c r="AJ616">
        <v>0</v>
      </c>
      <c r="AK616" t="str">
        <f t="shared" si="255"/>
        <v>No usa</v>
      </c>
      <c r="AL616">
        <v>0</v>
      </c>
      <c r="AM616" t="str">
        <f t="shared" si="256"/>
        <v>No usa</v>
      </c>
      <c r="AN616">
        <v>1</v>
      </c>
      <c r="AO616" t="str">
        <f t="shared" si="257"/>
        <v>Usa Transporte</v>
      </c>
      <c r="AP616">
        <v>0</v>
      </c>
      <c r="AQ616" t="str">
        <f t="shared" si="258"/>
        <v>No camina</v>
      </c>
      <c r="AR616">
        <v>0</v>
      </c>
      <c r="AS616" t="str">
        <f t="shared" si="259"/>
        <v>No es obeso</v>
      </c>
    </row>
    <row r="617" spans="1:45" x14ac:dyDescent="0.25">
      <c r="A617">
        <v>0</v>
      </c>
      <c r="B617" t="str">
        <f t="shared" si="234"/>
        <v>F</v>
      </c>
      <c r="C617">
        <v>20345161</v>
      </c>
      <c r="D617">
        <f t="shared" si="235"/>
        <v>55</v>
      </c>
      <c r="E617">
        <f t="shared" si="236"/>
        <v>55</v>
      </c>
      <c r="F617" t="str">
        <f t="shared" si="237"/>
        <v>50-75</v>
      </c>
      <c r="G617">
        <v>0</v>
      </c>
      <c r="H617" t="str">
        <f t="shared" si="238"/>
        <v>Pariente normal</v>
      </c>
      <c r="I617">
        <v>1</v>
      </c>
      <c r="J617" t="str">
        <f t="shared" si="239"/>
        <v>Hipercaloricos</v>
      </c>
      <c r="K617">
        <v>288853</v>
      </c>
      <c r="L617">
        <f t="shared" si="240"/>
        <v>1</v>
      </c>
      <c r="M617" t="str">
        <f t="shared" si="241"/>
        <v>Suele comer</v>
      </c>
      <c r="N617">
        <v>1</v>
      </c>
      <c r="O617">
        <f t="shared" si="242"/>
        <v>1</v>
      </c>
      <c r="P617">
        <f t="shared" si="243"/>
        <v>3</v>
      </c>
      <c r="Q617">
        <v>2</v>
      </c>
      <c r="R617" t="str">
        <f t="shared" si="244"/>
        <v>Usualmente</v>
      </c>
      <c r="S617">
        <v>0</v>
      </c>
      <c r="T617" t="str">
        <f t="shared" si="245"/>
        <v>No fuma</v>
      </c>
      <c r="U617">
        <v>1</v>
      </c>
      <c r="V617">
        <f t="shared" si="246"/>
        <v>1</v>
      </c>
      <c r="W617" t="str">
        <f t="shared" si="247"/>
        <v>Usualmente</v>
      </c>
      <c r="X617">
        <v>0</v>
      </c>
      <c r="Y617" t="str">
        <f t="shared" si="248"/>
        <v>No controla</v>
      </c>
      <c r="Z617">
        <v>0</v>
      </c>
      <c r="AA617">
        <f t="shared" si="249"/>
        <v>0</v>
      </c>
      <c r="AB617" t="str">
        <f t="shared" si="250"/>
        <v>Nunca</v>
      </c>
      <c r="AC617">
        <v>0.19622400000000001</v>
      </c>
      <c r="AD617">
        <f t="shared" si="251"/>
        <v>0</v>
      </c>
      <c r="AE617" t="str">
        <f t="shared" si="252"/>
        <v>Nunca</v>
      </c>
      <c r="AF617">
        <v>1</v>
      </c>
      <c r="AG617" t="str">
        <f t="shared" si="253"/>
        <v>A veces</v>
      </c>
      <c r="AH617">
        <v>0</v>
      </c>
      <c r="AI617" t="str">
        <f t="shared" si="254"/>
        <v>No usa</v>
      </c>
      <c r="AJ617">
        <v>0</v>
      </c>
      <c r="AK617" t="str">
        <f t="shared" si="255"/>
        <v>No usa</v>
      </c>
      <c r="AL617">
        <v>0</v>
      </c>
      <c r="AM617" t="str">
        <f t="shared" si="256"/>
        <v>No usa</v>
      </c>
      <c r="AN617">
        <v>1</v>
      </c>
      <c r="AO617" t="str">
        <f t="shared" si="257"/>
        <v>Usa Transporte</v>
      </c>
      <c r="AP617">
        <v>0</v>
      </c>
      <c r="AQ617" t="str">
        <f t="shared" si="258"/>
        <v>No camina</v>
      </c>
      <c r="AR617">
        <v>0</v>
      </c>
      <c r="AS617" t="str">
        <f t="shared" si="259"/>
        <v>No es obeso</v>
      </c>
    </row>
    <row r="618" spans="1:45" x14ac:dyDescent="0.25">
      <c r="A618">
        <v>0</v>
      </c>
      <c r="B618" t="str">
        <f t="shared" si="234"/>
        <v>F</v>
      </c>
      <c r="C618">
        <v>20519916</v>
      </c>
      <c r="D618">
        <f t="shared" si="235"/>
        <v>56</v>
      </c>
      <c r="E618">
        <f t="shared" si="236"/>
        <v>56</v>
      </c>
      <c r="F618" t="str">
        <f t="shared" si="237"/>
        <v>50-75</v>
      </c>
      <c r="G618">
        <v>1</v>
      </c>
      <c r="H618" t="str">
        <f t="shared" si="238"/>
        <v>Pariente gordo</v>
      </c>
      <c r="I618">
        <v>0</v>
      </c>
      <c r="J618" t="str">
        <f t="shared" si="239"/>
        <v>Saludables</v>
      </c>
      <c r="K618">
        <v>2890535</v>
      </c>
      <c r="L618">
        <f t="shared" si="240"/>
        <v>1</v>
      </c>
      <c r="M618" t="str">
        <f t="shared" si="241"/>
        <v>Suele comer</v>
      </c>
      <c r="N618">
        <v>390779</v>
      </c>
      <c r="O618">
        <f t="shared" si="242"/>
        <v>2</v>
      </c>
      <c r="P618" t="str">
        <f t="shared" si="243"/>
        <v>Mas de 3</v>
      </c>
      <c r="Q618">
        <v>2</v>
      </c>
      <c r="R618" t="str">
        <f t="shared" si="244"/>
        <v>Usualmente</v>
      </c>
      <c r="S618">
        <v>0</v>
      </c>
      <c r="T618" t="str">
        <f t="shared" si="245"/>
        <v>No fuma</v>
      </c>
      <c r="U618">
        <v>1109115</v>
      </c>
      <c r="V618">
        <f t="shared" si="246"/>
        <v>2</v>
      </c>
      <c r="W618" t="str">
        <f t="shared" si="247"/>
        <v>Siempre</v>
      </c>
      <c r="X618">
        <v>0</v>
      </c>
      <c r="Y618" t="str">
        <f t="shared" si="248"/>
        <v>No controla</v>
      </c>
      <c r="Z618">
        <v>1548953</v>
      </c>
      <c r="AA618">
        <f t="shared" si="249"/>
        <v>3</v>
      </c>
      <c r="AB618" t="str">
        <f t="shared" si="250"/>
        <v>Siempre</v>
      </c>
      <c r="AC618">
        <v>0.55546799999999996</v>
      </c>
      <c r="AD618">
        <f t="shared" si="251"/>
        <v>0</v>
      </c>
      <c r="AE618" t="str">
        <f t="shared" si="252"/>
        <v>Nunca</v>
      </c>
      <c r="AF618">
        <v>0</v>
      </c>
      <c r="AG618" t="str">
        <f t="shared" si="253"/>
        <v>Nunca</v>
      </c>
      <c r="AH618">
        <v>0</v>
      </c>
      <c r="AI618" t="str">
        <f t="shared" si="254"/>
        <v>No usa</v>
      </c>
      <c r="AJ618">
        <v>0</v>
      </c>
      <c r="AK618" t="str">
        <f t="shared" si="255"/>
        <v>No usa</v>
      </c>
      <c r="AL618">
        <v>0</v>
      </c>
      <c r="AM618" t="str">
        <f t="shared" si="256"/>
        <v>No usa</v>
      </c>
      <c r="AN618">
        <v>1</v>
      </c>
      <c r="AO618" t="str">
        <f t="shared" si="257"/>
        <v>Usa Transporte</v>
      </c>
      <c r="AP618">
        <v>0</v>
      </c>
      <c r="AQ618" t="str">
        <f t="shared" si="258"/>
        <v>No camina</v>
      </c>
      <c r="AR618">
        <v>0</v>
      </c>
      <c r="AS618" t="str">
        <f t="shared" si="259"/>
        <v>No es obeso</v>
      </c>
    </row>
    <row r="619" spans="1:45" x14ac:dyDescent="0.25">
      <c r="A619">
        <v>1</v>
      </c>
      <c r="B619" t="str">
        <f t="shared" si="234"/>
        <v>M</v>
      </c>
      <c r="C619">
        <v>20406066</v>
      </c>
      <c r="D619">
        <f t="shared" si="235"/>
        <v>55</v>
      </c>
      <c r="E619">
        <f t="shared" si="236"/>
        <v>55</v>
      </c>
      <c r="F619" t="str">
        <f t="shared" si="237"/>
        <v>50-75</v>
      </c>
      <c r="G619">
        <v>1</v>
      </c>
      <c r="H619" t="str">
        <f t="shared" si="238"/>
        <v>Pariente gordo</v>
      </c>
      <c r="I619">
        <v>1</v>
      </c>
      <c r="J619" t="str">
        <f t="shared" si="239"/>
        <v>Hipercaloricos</v>
      </c>
      <c r="K619">
        <v>3</v>
      </c>
      <c r="L619">
        <f t="shared" si="240"/>
        <v>1</v>
      </c>
      <c r="M619" t="str">
        <f t="shared" si="241"/>
        <v>Suele comer</v>
      </c>
      <c r="N619">
        <v>3699594</v>
      </c>
      <c r="O619">
        <f t="shared" si="242"/>
        <v>2</v>
      </c>
      <c r="P619" t="str">
        <f t="shared" si="243"/>
        <v>Mas de 3</v>
      </c>
      <c r="Q619">
        <v>1</v>
      </c>
      <c r="R619" t="str">
        <f t="shared" si="244"/>
        <v>A veces</v>
      </c>
      <c r="S619">
        <v>0</v>
      </c>
      <c r="T619" t="str">
        <f t="shared" si="245"/>
        <v>No fuma</v>
      </c>
      <c r="U619">
        <v>2825629</v>
      </c>
      <c r="V619">
        <f t="shared" si="246"/>
        <v>2</v>
      </c>
      <c r="W619" t="str">
        <f t="shared" si="247"/>
        <v>Siempre</v>
      </c>
      <c r="X619">
        <v>0</v>
      </c>
      <c r="Y619" t="str">
        <f t="shared" si="248"/>
        <v>No controla</v>
      </c>
      <c r="Z619">
        <v>1699592</v>
      </c>
      <c r="AA619">
        <f t="shared" si="249"/>
        <v>3</v>
      </c>
      <c r="AB619" t="str">
        <f t="shared" si="250"/>
        <v>Siempre</v>
      </c>
      <c r="AC619">
        <v>7.1027999999999994E-2</v>
      </c>
      <c r="AD619">
        <f t="shared" si="251"/>
        <v>0</v>
      </c>
      <c r="AE619" t="str">
        <f t="shared" si="252"/>
        <v>Nunca</v>
      </c>
      <c r="AF619">
        <v>1</v>
      </c>
      <c r="AG619" t="str">
        <f t="shared" si="253"/>
        <v>A veces</v>
      </c>
      <c r="AH619">
        <v>1</v>
      </c>
      <c r="AI619" t="str">
        <f t="shared" si="254"/>
        <v>Usa auto</v>
      </c>
      <c r="AJ619">
        <v>0</v>
      </c>
      <c r="AK619" t="str">
        <f t="shared" si="255"/>
        <v>No usa</v>
      </c>
      <c r="AL619">
        <v>0</v>
      </c>
      <c r="AM619" t="str">
        <f t="shared" si="256"/>
        <v>No usa</v>
      </c>
      <c r="AN619">
        <v>0</v>
      </c>
      <c r="AO619" t="str">
        <f t="shared" si="257"/>
        <v>No usa</v>
      </c>
      <c r="AP619">
        <v>0</v>
      </c>
      <c r="AQ619" t="str">
        <f t="shared" si="258"/>
        <v>No camina</v>
      </c>
      <c r="AR619">
        <v>0</v>
      </c>
      <c r="AS619" t="str">
        <f t="shared" si="259"/>
        <v>No es obeso</v>
      </c>
    </row>
    <row r="620" spans="1:45" x14ac:dyDescent="0.25">
      <c r="A620">
        <v>0</v>
      </c>
      <c r="B620" t="str">
        <f t="shared" si="234"/>
        <v>F</v>
      </c>
      <c r="C620">
        <v>21478496</v>
      </c>
      <c r="D620">
        <f t="shared" si="235"/>
        <v>58</v>
      </c>
      <c r="E620">
        <f t="shared" si="236"/>
        <v>58</v>
      </c>
      <c r="F620" t="str">
        <f t="shared" si="237"/>
        <v>50-75</v>
      </c>
      <c r="G620">
        <v>1</v>
      </c>
      <c r="H620" t="str">
        <f t="shared" si="238"/>
        <v>Pariente gordo</v>
      </c>
      <c r="I620">
        <v>1</v>
      </c>
      <c r="J620" t="str">
        <f t="shared" si="239"/>
        <v>Hipercaloricos</v>
      </c>
      <c r="K620">
        <v>3</v>
      </c>
      <c r="L620">
        <f t="shared" si="240"/>
        <v>1</v>
      </c>
      <c r="M620" t="str">
        <f t="shared" si="241"/>
        <v>Suele comer</v>
      </c>
      <c r="N620">
        <v>3179995</v>
      </c>
      <c r="O620">
        <f t="shared" si="242"/>
        <v>2</v>
      </c>
      <c r="P620" t="str">
        <f t="shared" si="243"/>
        <v>Mas de 3</v>
      </c>
      <c r="Q620">
        <v>2</v>
      </c>
      <c r="R620" t="str">
        <f t="shared" si="244"/>
        <v>Usualmente</v>
      </c>
      <c r="S620">
        <v>0</v>
      </c>
      <c r="T620" t="str">
        <f t="shared" si="245"/>
        <v>No fuma</v>
      </c>
      <c r="U620">
        <v>1910378</v>
      </c>
      <c r="V620">
        <f t="shared" si="246"/>
        <v>2</v>
      </c>
      <c r="W620" t="str">
        <f t="shared" si="247"/>
        <v>Siempre</v>
      </c>
      <c r="X620">
        <v>0</v>
      </c>
      <c r="Y620" t="str">
        <f t="shared" si="248"/>
        <v>No controla</v>
      </c>
      <c r="Z620">
        <v>0.48061399999999999</v>
      </c>
      <c r="AA620">
        <f t="shared" si="249"/>
        <v>0</v>
      </c>
      <c r="AB620" t="str">
        <f t="shared" si="250"/>
        <v>Nunca</v>
      </c>
      <c r="AC620">
        <v>0.62507900000000005</v>
      </c>
      <c r="AD620">
        <f t="shared" si="251"/>
        <v>0</v>
      </c>
      <c r="AE620" t="str">
        <f t="shared" si="252"/>
        <v>Nunca</v>
      </c>
      <c r="AF620">
        <v>0</v>
      </c>
      <c r="AG620" t="str">
        <f t="shared" si="253"/>
        <v>Nunca</v>
      </c>
      <c r="AH620">
        <v>0</v>
      </c>
      <c r="AI620" t="str">
        <f t="shared" si="254"/>
        <v>No usa</v>
      </c>
      <c r="AJ620">
        <v>0</v>
      </c>
      <c r="AK620" t="str">
        <f t="shared" si="255"/>
        <v>No usa</v>
      </c>
      <c r="AL620">
        <v>0</v>
      </c>
      <c r="AM620" t="str">
        <f t="shared" si="256"/>
        <v>No usa</v>
      </c>
      <c r="AN620">
        <v>1</v>
      </c>
      <c r="AO620" t="str">
        <f t="shared" si="257"/>
        <v>Usa Transporte</v>
      </c>
      <c r="AP620">
        <v>0</v>
      </c>
      <c r="AQ620" t="str">
        <f t="shared" si="258"/>
        <v>No camina</v>
      </c>
      <c r="AR620">
        <v>0</v>
      </c>
      <c r="AS620" t="str">
        <f t="shared" si="259"/>
        <v>No es obeso</v>
      </c>
    </row>
    <row r="621" spans="1:45" x14ac:dyDescent="0.25">
      <c r="A621">
        <v>0</v>
      </c>
      <c r="B621" t="str">
        <f t="shared" si="234"/>
        <v>F</v>
      </c>
      <c r="C621">
        <v>18372563</v>
      </c>
      <c r="D621">
        <f t="shared" si="235"/>
        <v>50</v>
      </c>
      <c r="E621">
        <f t="shared" si="236"/>
        <v>50</v>
      </c>
      <c r="F621" t="str">
        <f t="shared" si="237"/>
        <v>25-50</v>
      </c>
      <c r="G621">
        <v>0</v>
      </c>
      <c r="H621" t="str">
        <f t="shared" si="238"/>
        <v>Pariente normal</v>
      </c>
      <c r="I621">
        <v>1</v>
      </c>
      <c r="J621" t="str">
        <f t="shared" si="239"/>
        <v>Hipercaloricos</v>
      </c>
      <c r="K621">
        <v>2</v>
      </c>
      <c r="L621">
        <f t="shared" si="240"/>
        <v>1</v>
      </c>
      <c r="M621" t="str">
        <f t="shared" si="241"/>
        <v>Suele comer</v>
      </c>
      <c r="N621">
        <v>1075553</v>
      </c>
      <c r="O621">
        <f t="shared" si="242"/>
        <v>2</v>
      </c>
      <c r="P621" t="str">
        <f t="shared" si="243"/>
        <v>Mas de 3</v>
      </c>
      <c r="Q621">
        <v>1</v>
      </c>
      <c r="R621" t="str">
        <f t="shared" si="244"/>
        <v>A veces</v>
      </c>
      <c r="S621">
        <v>0</v>
      </c>
      <c r="T621" t="str">
        <f t="shared" si="245"/>
        <v>No fuma</v>
      </c>
      <c r="U621">
        <v>1</v>
      </c>
      <c r="V621">
        <f t="shared" si="246"/>
        <v>1</v>
      </c>
      <c r="W621" t="str">
        <f t="shared" si="247"/>
        <v>Usualmente</v>
      </c>
      <c r="X621">
        <v>0</v>
      </c>
      <c r="Y621" t="str">
        <f t="shared" si="248"/>
        <v>No controla</v>
      </c>
      <c r="Z621">
        <v>0.12742500000000001</v>
      </c>
      <c r="AA621">
        <f t="shared" si="249"/>
        <v>0</v>
      </c>
      <c r="AB621" t="str">
        <f t="shared" si="250"/>
        <v>Nunca</v>
      </c>
      <c r="AC621">
        <v>1679442</v>
      </c>
      <c r="AD621">
        <f t="shared" si="251"/>
        <v>2</v>
      </c>
      <c r="AE621" t="str">
        <f t="shared" si="252"/>
        <v>Siempre</v>
      </c>
      <c r="AF621">
        <v>1</v>
      </c>
      <c r="AG621" t="str">
        <f t="shared" si="253"/>
        <v>A veces</v>
      </c>
      <c r="AH621">
        <v>0</v>
      </c>
      <c r="AI621" t="str">
        <f t="shared" si="254"/>
        <v>No usa</v>
      </c>
      <c r="AJ621">
        <v>0</v>
      </c>
      <c r="AK621" t="str">
        <f t="shared" si="255"/>
        <v>No usa</v>
      </c>
      <c r="AL621">
        <v>0</v>
      </c>
      <c r="AM621" t="str">
        <f t="shared" si="256"/>
        <v>No usa</v>
      </c>
      <c r="AN621">
        <v>1</v>
      </c>
      <c r="AO621" t="str">
        <f t="shared" si="257"/>
        <v>Usa Transporte</v>
      </c>
      <c r="AP621">
        <v>0</v>
      </c>
      <c r="AQ621" t="str">
        <f t="shared" si="258"/>
        <v>No camina</v>
      </c>
      <c r="AR621">
        <v>0</v>
      </c>
      <c r="AS621" t="str">
        <f t="shared" si="259"/>
        <v>No es obeso</v>
      </c>
    </row>
    <row r="622" spans="1:45" x14ac:dyDescent="0.25">
      <c r="A622">
        <v>0</v>
      </c>
      <c r="B622" t="str">
        <f t="shared" si="234"/>
        <v>F</v>
      </c>
      <c r="C622">
        <v>19931667</v>
      </c>
      <c r="D622">
        <f t="shared" si="235"/>
        <v>54</v>
      </c>
      <c r="E622">
        <f t="shared" si="236"/>
        <v>54</v>
      </c>
      <c r="F622" t="str">
        <f t="shared" si="237"/>
        <v>50-75</v>
      </c>
      <c r="G622">
        <v>0</v>
      </c>
      <c r="H622" t="str">
        <f t="shared" si="238"/>
        <v>Pariente normal</v>
      </c>
      <c r="I622">
        <v>0</v>
      </c>
      <c r="J622" t="str">
        <f t="shared" si="239"/>
        <v>Saludables</v>
      </c>
      <c r="K622">
        <v>2530066</v>
      </c>
      <c r="L622">
        <f t="shared" si="240"/>
        <v>1</v>
      </c>
      <c r="M622" t="str">
        <f t="shared" si="241"/>
        <v>Suele comer</v>
      </c>
      <c r="N622">
        <v>3</v>
      </c>
      <c r="O622">
        <f t="shared" si="242"/>
        <v>2</v>
      </c>
      <c r="P622" t="str">
        <f t="shared" si="243"/>
        <v>Mas de 3</v>
      </c>
      <c r="Q622">
        <v>1</v>
      </c>
      <c r="R622" t="str">
        <f t="shared" si="244"/>
        <v>A veces</v>
      </c>
      <c r="S622">
        <v>0</v>
      </c>
      <c r="T622" t="str">
        <f t="shared" si="245"/>
        <v>No fuma</v>
      </c>
      <c r="U622">
        <v>1965237</v>
      </c>
      <c r="V622">
        <f t="shared" si="246"/>
        <v>2</v>
      </c>
      <c r="W622" t="str">
        <f t="shared" si="247"/>
        <v>Siempre</v>
      </c>
      <c r="X622">
        <v>0</v>
      </c>
      <c r="Y622" t="str">
        <f t="shared" si="248"/>
        <v>No controla</v>
      </c>
      <c r="Z622">
        <v>2</v>
      </c>
      <c r="AA622">
        <f t="shared" si="249"/>
        <v>2</v>
      </c>
      <c r="AB622" t="str">
        <f t="shared" si="250"/>
        <v>Usualmente</v>
      </c>
      <c r="AC622">
        <v>1</v>
      </c>
      <c r="AD622">
        <f t="shared" si="251"/>
        <v>1</v>
      </c>
      <c r="AE622" t="str">
        <f t="shared" si="252"/>
        <v>Usualmente</v>
      </c>
      <c r="AF622">
        <v>1</v>
      </c>
      <c r="AG622" t="str">
        <f t="shared" si="253"/>
        <v>A veces</v>
      </c>
      <c r="AH622">
        <v>0</v>
      </c>
      <c r="AI622" t="str">
        <f t="shared" si="254"/>
        <v>No usa</v>
      </c>
      <c r="AJ622">
        <v>0</v>
      </c>
      <c r="AK622" t="str">
        <f t="shared" si="255"/>
        <v>No usa</v>
      </c>
      <c r="AL622">
        <v>0</v>
      </c>
      <c r="AM622" t="str">
        <f t="shared" si="256"/>
        <v>No usa</v>
      </c>
      <c r="AN622">
        <v>1</v>
      </c>
      <c r="AO622" t="str">
        <f t="shared" si="257"/>
        <v>Usa Transporte</v>
      </c>
      <c r="AP622">
        <v>0</v>
      </c>
      <c r="AQ622" t="str">
        <f t="shared" si="258"/>
        <v>No camina</v>
      </c>
      <c r="AR622">
        <v>0</v>
      </c>
      <c r="AS622" t="str">
        <f t="shared" si="259"/>
        <v>No es obeso</v>
      </c>
    </row>
    <row r="623" spans="1:45" x14ac:dyDescent="0.25">
      <c r="A623">
        <v>0</v>
      </c>
      <c r="B623" t="str">
        <f t="shared" si="234"/>
        <v>F</v>
      </c>
      <c r="C623">
        <v>22998709</v>
      </c>
      <c r="D623">
        <f t="shared" si="235"/>
        <v>63</v>
      </c>
      <c r="E623">
        <f t="shared" si="236"/>
        <v>63</v>
      </c>
      <c r="F623" t="str">
        <f t="shared" si="237"/>
        <v>50-75</v>
      </c>
      <c r="G623">
        <v>1</v>
      </c>
      <c r="H623" t="str">
        <f t="shared" si="238"/>
        <v>Pariente gordo</v>
      </c>
      <c r="I623">
        <v>1</v>
      </c>
      <c r="J623" t="str">
        <f t="shared" si="239"/>
        <v>Hipercaloricos</v>
      </c>
      <c r="K623">
        <v>2241606</v>
      </c>
      <c r="L623">
        <f t="shared" si="240"/>
        <v>1</v>
      </c>
      <c r="M623" t="str">
        <f t="shared" si="241"/>
        <v>Suele comer</v>
      </c>
      <c r="N623">
        <v>3</v>
      </c>
      <c r="O623">
        <f t="shared" si="242"/>
        <v>2</v>
      </c>
      <c r="P623" t="str">
        <f t="shared" si="243"/>
        <v>Mas de 3</v>
      </c>
      <c r="Q623">
        <v>2</v>
      </c>
      <c r="R623" t="str">
        <f t="shared" si="244"/>
        <v>Usualmente</v>
      </c>
      <c r="S623">
        <v>0</v>
      </c>
      <c r="T623" t="str">
        <f t="shared" si="245"/>
        <v>No fuma</v>
      </c>
      <c r="U623">
        <v>1846626</v>
      </c>
      <c r="V623">
        <f t="shared" si="246"/>
        <v>2</v>
      </c>
      <c r="W623" t="str">
        <f t="shared" si="247"/>
        <v>Siempre</v>
      </c>
      <c r="X623">
        <v>0</v>
      </c>
      <c r="Y623" t="str">
        <f t="shared" si="248"/>
        <v>No controla</v>
      </c>
      <c r="Z623">
        <v>2460238</v>
      </c>
      <c r="AA623">
        <f t="shared" si="249"/>
        <v>3</v>
      </c>
      <c r="AB623" t="str">
        <f t="shared" si="250"/>
        <v>Siempre</v>
      </c>
      <c r="AC623">
        <v>0.81451799999999996</v>
      </c>
      <c r="AD623">
        <f t="shared" si="251"/>
        <v>0</v>
      </c>
      <c r="AE623" t="str">
        <f t="shared" si="252"/>
        <v>Nunca</v>
      </c>
      <c r="AF623">
        <v>0</v>
      </c>
      <c r="AG623" t="str">
        <f t="shared" si="253"/>
        <v>Nunca</v>
      </c>
      <c r="AH623">
        <v>0</v>
      </c>
      <c r="AI623" t="str">
        <f t="shared" si="254"/>
        <v>No usa</v>
      </c>
      <c r="AJ623">
        <v>0</v>
      </c>
      <c r="AK623" t="str">
        <f t="shared" si="255"/>
        <v>No usa</v>
      </c>
      <c r="AL623">
        <v>0</v>
      </c>
      <c r="AM623" t="str">
        <f t="shared" si="256"/>
        <v>No usa</v>
      </c>
      <c r="AN623">
        <v>1</v>
      </c>
      <c r="AO623" t="str">
        <f t="shared" si="257"/>
        <v>Usa Transporte</v>
      </c>
      <c r="AP623">
        <v>0</v>
      </c>
      <c r="AQ623" t="str">
        <f t="shared" si="258"/>
        <v>No camina</v>
      </c>
      <c r="AR623">
        <v>0</v>
      </c>
      <c r="AS623" t="str">
        <f t="shared" si="259"/>
        <v>No es obeso</v>
      </c>
    </row>
    <row r="624" spans="1:45" x14ac:dyDescent="0.25">
      <c r="A624">
        <v>0</v>
      </c>
      <c r="B624" t="str">
        <f t="shared" si="234"/>
        <v>F</v>
      </c>
      <c r="C624">
        <v>18006742</v>
      </c>
      <c r="D624">
        <f t="shared" si="235"/>
        <v>49</v>
      </c>
      <c r="E624">
        <f t="shared" si="236"/>
        <v>49</v>
      </c>
      <c r="F624" t="str">
        <f t="shared" si="237"/>
        <v>25-50</v>
      </c>
      <c r="G624">
        <v>0</v>
      </c>
      <c r="H624" t="str">
        <f t="shared" si="238"/>
        <v>Pariente normal</v>
      </c>
      <c r="I624">
        <v>1</v>
      </c>
      <c r="J624" t="str">
        <f t="shared" si="239"/>
        <v>Hipercaloricos</v>
      </c>
      <c r="K624">
        <v>1003566</v>
      </c>
      <c r="L624">
        <f t="shared" si="240"/>
        <v>1</v>
      </c>
      <c r="M624" t="str">
        <f t="shared" si="241"/>
        <v>Suele comer</v>
      </c>
      <c r="N624">
        <v>3238258</v>
      </c>
      <c r="O624">
        <f t="shared" si="242"/>
        <v>2</v>
      </c>
      <c r="P624" t="str">
        <f t="shared" si="243"/>
        <v>Mas de 3</v>
      </c>
      <c r="Q624">
        <v>2</v>
      </c>
      <c r="R624" t="str">
        <f t="shared" si="244"/>
        <v>Usualmente</v>
      </c>
      <c r="S624">
        <v>0</v>
      </c>
      <c r="T624" t="str">
        <f t="shared" si="245"/>
        <v>No fuma</v>
      </c>
      <c r="U624">
        <v>1014634</v>
      </c>
      <c r="V624">
        <f t="shared" si="246"/>
        <v>2</v>
      </c>
      <c r="W624" t="str">
        <f t="shared" si="247"/>
        <v>Siempre</v>
      </c>
      <c r="X624">
        <v>0</v>
      </c>
      <c r="Y624" t="str">
        <f t="shared" si="248"/>
        <v>No controla</v>
      </c>
      <c r="Z624">
        <v>0.78367600000000004</v>
      </c>
      <c r="AA624">
        <f t="shared" si="249"/>
        <v>0</v>
      </c>
      <c r="AB624" t="str">
        <f t="shared" si="250"/>
        <v>Nunca</v>
      </c>
      <c r="AC624">
        <v>1</v>
      </c>
      <c r="AD624">
        <f t="shared" si="251"/>
        <v>1</v>
      </c>
      <c r="AE624" t="str">
        <f t="shared" si="252"/>
        <v>Usualmente</v>
      </c>
      <c r="AF624">
        <v>1</v>
      </c>
      <c r="AG624" t="str">
        <f t="shared" si="253"/>
        <v>A veces</v>
      </c>
      <c r="AH624">
        <v>0</v>
      </c>
      <c r="AI624" t="str">
        <f t="shared" si="254"/>
        <v>No usa</v>
      </c>
      <c r="AJ624">
        <v>0</v>
      </c>
      <c r="AK624" t="str">
        <f t="shared" si="255"/>
        <v>No usa</v>
      </c>
      <c r="AL624">
        <v>0</v>
      </c>
      <c r="AM624" t="str">
        <f t="shared" si="256"/>
        <v>No usa</v>
      </c>
      <c r="AN624">
        <v>1</v>
      </c>
      <c r="AO624" t="str">
        <f t="shared" si="257"/>
        <v>Usa Transporte</v>
      </c>
      <c r="AP624">
        <v>0</v>
      </c>
      <c r="AQ624" t="str">
        <f t="shared" si="258"/>
        <v>No camina</v>
      </c>
      <c r="AR624">
        <v>0</v>
      </c>
      <c r="AS624" t="str">
        <f t="shared" si="259"/>
        <v>No es obeso</v>
      </c>
    </row>
    <row r="625" spans="1:45" x14ac:dyDescent="0.25">
      <c r="A625">
        <v>0</v>
      </c>
      <c r="B625" t="str">
        <f t="shared" si="234"/>
        <v>F</v>
      </c>
      <c r="C625">
        <v>34799519</v>
      </c>
      <c r="D625">
        <f t="shared" si="235"/>
        <v>95</v>
      </c>
      <c r="E625">
        <f t="shared" si="236"/>
        <v>95</v>
      </c>
      <c r="F625" t="str">
        <f t="shared" si="237"/>
        <v>75-100</v>
      </c>
      <c r="G625">
        <v>1</v>
      </c>
      <c r="H625" t="str">
        <f t="shared" si="238"/>
        <v>Pariente gordo</v>
      </c>
      <c r="I625">
        <v>1</v>
      </c>
      <c r="J625" t="str">
        <f t="shared" si="239"/>
        <v>Hipercaloricos</v>
      </c>
      <c r="K625">
        <v>2652779</v>
      </c>
      <c r="L625">
        <f t="shared" si="240"/>
        <v>1</v>
      </c>
      <c r="M625" t="str">
        <f t="shared" si="241"/>
        <v>Suele comer</v>
      </c>
      <c r="N625">
        <v>3804944</v>
      </c>
      <c r="O625">
        <f t="shared" si="242"/>
        <v>2</v>
      </c>
      <c r="P625" t="str">
        <f t="shared" si="243"/>
        <v>Mas de 3</v>
      </c>
      <c r="Q625">
        <v>2</v>
      </c>
      <c r="R625" t="str">
        <f t="shared" si="244"/>
        <v>Usualmente</v>
      </c>
      <c r="S625">
        <v>0</v>
      </c>
      <c r="T625" t="str">
        <f t="shared" si="245"/>
        <v>No fuma</v>
      </c>
      <c r="U625">
        <v>160114</v>
      </c>
      <c r="V625">
        <f t="shared" si="246"/>
        <v>2</v>
      </c>
      <c r="W625" t="str">
        <f t="shared" si="247"/>
        <v>Siempre</v>
      </c>
      <c r="X625">
        <v>0</v>
      </c>
      <c r="Y625" t="str">
        <f t="shared" si="248"/>
        <v>No controla</v>
      </c>
      <c r="Z625">
        <v>0.17469199999999999</v>
      </c>
      <c r="AA625">
        <f t="shared" si="249"/>
        <v>0</v>
      </c>
      <c r="AB625" t="str">
        <f t="shared" si="250"/>
        <v>Nunca</v>
      </c>
      <c r="AC625">
        <v>9.6981999999999999E-2</v>
      </c>
      <c r="AD625">
        <f t="shared" si="251"/>
        <v>0</v>
      </c>
      <c r="AE625" t="str">
        <f t="shared" si="252"/>
        <v>Nunca</v>
      </c>
      <c r="AF625">
        <v>0</v>
      </c>
      <c r="AG625" t="str">
        <f t="shared" si="253"/>
        <v>Nunca</v>
      </c>
      <c r="AH625">
        <v>0</v>
      </c>
      <c r="AI625" t="str">
        <f t="shared" si="254"/>
        <v>No usa</v>
      </c>
      <c r="AJ625">
        <v>0</v>
      </c>
      <c r="AK625" t="str">
        <f t="shared" si="255"/>
        <v>No usa</v>
      </c>
      <c r="AL625">
        <v>0</v>
      </c>
      <c r="AM625" t="str">
        <f t="shared" si="256"/>
        <v>No usa</v>
      </c>
      <c r="AN625">
        <v>1</v>
      </c>
      <c r="AO625" t="str">
        <f t="shared" si="257"/>
        <v>Usa Transporte</v>
      </c>
      <c r="AP625">
        <v>0</v>
      </c>
      <c r="AQ625" t="str">
        <f t="shared" si="258"/>
        <v>No camina</v>
      </c>
      <c r="AR625">
        <v>0</v>
      </c>
      <c r="AS625" t="str">
        <f t="shared" si="259"/>
        <v>No es obeso</v>
      </c>
    </row>
    <row r="626" spans="1:45" x14ac:dyDescent="0.25">
      <c r="A626">
        <v>1</v>
      </c>
      <c r="B626" t="str">
        <f t="shared" si="234"/>
        <v>M</v>
      </c>
      <c r="C626">
        <v>16496978</v>
      </c>
      <c r="D626">
        <f t="shared" si="235"/>
        <v>45</v>
      </c>
      <c r="E626">
        <f t="shared" si="236"/>
        <v>45</v>
      </c>
      <c r="F626" t="str">
        <f t="shared" si="237"/>
        <v>25-50</v>
      </c>
      <c r="G626">
        <v>0</v>
      </c>
      <c r="H626" t="str">
        <f t="shared" si="238"/>
        <v>Pariente normal</v>
      </c>
      <c r="I626">
        <v>1</v>
      </c>
      <c r="J626" t="str">
        <f t="shared" si="239"/>
        <v>Hipercaloricos</v>
      </c>
      <c r="K626">
        <v>2</v>
      </c>
      <c r="L626">
        <f t="shared" si="240"/>
        <v>1</v>
      </c>
      <c r="M626" t="str">
        <f t="shared" si="241"/>
        <v>Suele comer</v>
      </c>
      <c r="N626">
        <v>1630846</v>
      </c>
      <c r="O626">
        <f t="shared" si="242"/>
        <v>2</v>
      </c>
      <c r="P626" t="str">
        <f t="shared" si="243"/>
        <v>Mas de 3</v>
      </c>
      <c r="Q626">
        <v>1</v>
      </c>
      <c r="R626" t="str">
        <f t="shared" si="244"/>
        <v>A veces</v>
      </c>
      <c r="S626">
        <v>0</v>
      </c>
      <c r="T626" t="str">
        <f t="shared" si="245"/>
        <v>No fuma</v>
      </c>
      <c r="U626">
        <v>2975528</v>
      </c>
      <c r="V626">
        <f t="shared" si="246"/>
        <v>2</v>
      </c>
      <c r="W626" t="str">
        <f t="shared" si="247"/>
        <v>Siempre</v>
      </c>
      <c r="X626">
        <v>0</v>
      </c>
      <c r="Y626" t="str">
        <f t="shared" si="248"/>
        <v>No controla</v>
      </c>
      <c r="Z626">
        <v>0.54899100000000001</v>
      </c>
      <c r="AA626">
        <f t="shared" si="249"/>
        <v>0</v>
      </c>
      <c r="AB626" t="str">
        <f t="shared" si="250"/>
        <v>Nunca</v>
      </c>
      <c r="AC626">
        <v>0.36913400000000002</v>
      </c>
      <c r="AD626">
        <f t="shared" si="251"/>
        <v>0</v>
      </c>
      <c r="AE626" t="str">
        <f t="shared" si="252"/>
        <v>Nunca</v>
      </c>
      <c r="AF626">
        <v>1</v>
      </c>
      <c r="AG626" t="str">
        <f t="shared" si="253"/>
        <v>A veces</v>
      </c>
      <c r="AH626">
        <v>0</v>
      </c>
      <c r="AI626" t="str">
        <f t="shared" si="254"/>
        <v>No usa</v>
      </c>
      <c r="AJ626">
        <v>0</v>
      </c>
      <c r="AK626" t="str">
        <f t="shared" si="255"/>
        <v>No usa</v>
      </c>
      <c r="AL626">
        <v>0</v>
      </c>
      <c r="AM626" t="str">
        <f t="shared" si="256"/>
        <v>No usa</v>
      </c>
      <c r="AN626">
        <v>1</v>
      </c>
      <c r="AO626" t="str">
        <f t="shared" si="257"/>
        <v>Usa Transporte</v>
      </c>
      <c r="AP626">
        <v>0</v>
      </c>
      <c r="AQ626" t="str">
        <f t="shared" si="258"/>
        <v>No camina</v>
      </c>
      <c r="AR626">
        <v>0</v>
      </c>
      <c r="AS626" t="str">
        <f t="shared" si="259"/>
        <v>No es obeso</v>
      </c>
    </row>
    <row r="627" spans="1:45" x14ac:dyDescent="0.25">
      <c r="A627">
        <v>1</v>
      </c>
      <c r="B627" t="str">
        <f t="shared" si="234"/>
        <v>M</v>
      </c>
      <c r="C627">
        <v>18</v>
      </c>
      <c r="D627">
        <f t="shared" si="235"/>
        <v>18</v>
      </c>
      <c r="E627">
        <f t="shared" si="236"/>
        <v>18</v>
      </c>
      <c r="F627" t="str">
        <f t="shared" si="237"/>
        <v>1-25</v>
      </c>
      <c r="G627">
        <v>0</v>
      </c>
      <c r="H627" t="str">
        <f t="shared" si="238"/>
        <v>Pariente normal</v>
      </c>
      <c r="I627">
        <v>1</v>
      </c>
      <c r="J627" t="str">
        <f t="shared" si="239"/>
        <v>Hipercaloricos</v>
      </c>
      <c r="K627">
        <v>2897899</v>
      </c>
      <c r="L627">
        <f t="shared" si="240"/>
        <v>1</v>
      </c>
      <c r="M627" t="str">
        <f t="shared" si="241"/>
        <v>Suele comer</v>
      </c>
      <c r="N627">
        <v>3</v>
      </c>
      <c r="O627">
        <f t="shared" si="242"/>
        <v>2</v>
      </c>
      <c r="P627" t="str">
        <f t="shared" si="243"/>
        <v>Mas de 3</v>
      </c>
      <c r="Q627">
        <v>1</v>
      </c>
      <c r="R627" t="str">
        <f t="shared" si="244"/>
        <v>A veces</v>
      </c>
      <c r="S627">
        <v>0</v>
      </c>
      <c r="T627" t="str">
        <f t="shared" si="245"/>
        <v>No fuma</v>
      </c>
      <c r="U627">
        <v>1835545</v>
      </c>
      <c r="V627">
        <f t="shared" si="246"/>
        <v>2</v>
      </c>
      <c r="W627" t="str">
        <f t="shared" si="247"/>
        <v>Siempre</v>
      </c>
      <c r="X627">
        <v>0</v>
      </c>
      <c r="Y627" t="str">
        <f t="shared" si="248"/>
        <v>No controla</v>
      </c>
      <c r="Z627">
        <v>1162519</v>
      </c>
      <c r="AA627">
        <f t="shared" si="249"/>
        <v>3</v>
      </c>
      <c r="AB627" t="str">
        <f t="shared" si="250"/>
        <v>Siempre</v>
      </c>
      <c r="AC627">
        <v>1</v>
      </c>
      <c r="AD627">
        <f t="shared" si="251"/>
        <v>1</v>
      </c>
      <c r="AE627" t="str">
        <f t="shared" si="252"/>
        <v>Usualmente</v>
      </c>
      <c r="AF627">
        <v>1</v>
      </c>
      <c r="AG627" t="str">
        <f t="shared" si="253"/>
        <v>A veces</v>
      </c>
      <c r="AH627">
        <v>0</v>
      </c>
      <c r="AI627" t="str">
        <f t="shared" si="254"/>
        <v>No usa</v>
      </c>
      <c r="AJ627">
        <v>0</v>
      </c>
      <c r="AK627" t="str">
        <f t="shared" si="255"/>
        <v>No usa</v>
      </c>
      <c r="AL627">
        <v>0</v>
      </c>
      <c r="AM627" t="str">
        <f t="shared" si="256"/>
        <v>No usa</v>
      </c>
      <c r="AN627">
        <v>1</v>
      </c>
      <c r="AO627" t="str">
        <f t="shared" si="257"/>
        <v>Usa Transporte</v>
      </c>
      <c r="AP627">
        <v>0</v>
      </c>
      <c r="AQ627" t="str">
        <f t="shared" si="258"/>
        <v>No camina</v>
      </c>
      <c r="AR627">
        <v>0</v>
      </c>
      <c r="AS627" t="str">
        <f t="shared" si="259"/>
        <v>No es obeso</v>
      </c>
    </row>
    <row r="628" spans="1:45" x14ac:dyDescent="0.25">
      <c r="A628">
        <v>1</v>
      </c>
      <c r="B628" t="str">
        <f t="shared" si="234"/>
        <v>M</v>
      </c>
      <c r="C628">
        <v>17377131</v>
      </c>
      <c r="D628">
        <f t="shared" si="235"/>
        <v>47</v>
      </c>
      <c r="E628">
        <f t="shared" si="236"/>
        <v>47</v>
      </c>
      <c r="F628" t="str">
        <f t="shared" si="237"/>
        <v>25-50</v>
      </c>
      <c r="G628">
        <v>1</v>
      </c>
      <c r="H628" t="str">
        <f t="shared" si="238"/>
        <v>Pariente gordo</v>
      </c>
      <c r="I628">
        <v>1</v>
      </c>
      <c r="J628" t="str">
        <f t="shared" si="239"/>
        <v>Hipercaloricos</v>
      </c>
      <c r="K628">
        <v>2483979</v>
      </c>
      <c r="L628">
        <f t="shared" si="240"/>
        <v>1</v>
      </c>
      <c r="M628" t="str">
        <f t="shared" si="241"/>
        <v>Suele comer</v>
      </c>
      <c r="N628">
        <v>3762778</v>
      </c>
      <c r="O628">
        <f t="shared" si="242"/>
        <v>2</v>
      </c>
      <c r="P628" t="str">
        <f t="shared" si="243"/>
        <v>Mas de 3</v>
      </c>
      <c r="Q628">
        <v>1</v>
      </c>
      <c r="R628" t="str">
        <f t="shared" si="244"/>
        <v>A veces</v>
      </c>
      <c r="S628">
        <v>0</v>
      </c>
      <c r="T628" t="str">
        <f t="shared" si="245"/>
        <v>No fuma</v>
      </c>
      <c r="U628">
        <v>2</v>
      </c>
      <c r="V628">
        <f t="shared" si="246"/>
        <v>2</v>
      </c>
      <c r="W628" t="str">
        <f t="shared" si="247"/>
        <v>Siempre</v>
      </c>
      <c r="X628">
        <v>0</v>
      </c>
      <c r="Y628" t="str">
        <f t="shared" si="248"/>
        <v>No controla</v>
      </c>
      <c r="Z628">
        <v>2</v>
      </c>
      <c r="AA628">
        <f t="shared" si="249"/>
        <v>2</v>
      </c>
      <c r="AB628" t="str">
        <f t="shared" si="250"/>
        <v>Usualmente</v>
      </c>
      <c r="AC628">
        <v>0.93005099999999996</v>
      </c>
      <c r="AD628">
        <f t="shared" si="251"/>
        <v>0</v>
      </c>
      <c r="AE628" t="str">
        <f t="shared" si="252"/>
        <v>Nunca</v>
      </c>
      <c r="AF628">
        <v>0</v>
      </c>
      <c r="AG628" t="str">
        <f t="shared" si="253"/>
        <v>Nunca</v>
      </c>
      <c r="AH628">
        <v>1</v>
      </c>
      <c r="AI628" t="str">
        <f t="shared" si="254"/>
        <v>Usa auto</v>
      </c>
      <c r="AJ628">
        <v>0</v>
      </c>
      <c r="AK628" t="str">
        <f t="shared" si="255"/>
        <v>No usa</v>
      </c>
      <c r="AL628">
        <v>0</v>
      </c>
      <c r="AM628" t="str">
        <f t="shared" si="256"/>
        <v>No usa</v>
      </c>
      <c r="AN628">
        <v>0</v>
      </c>
      <c r="AO628" t="str">
        <f t="shared" si="257"/>
        <v>No usa</v>
      </c>
      <c r="AP628">
        <v>0</v>
      </c>
      <c r="AQ628" t="str">
        <f t="shared" si="258"/>
        <v>No camina</v>
      </c>
      <c r="AR628">
        <v>0</v>
      </c>
      <c r="AS628" t="str">
        <f t="shared" si="259"/>
        <v>No es obeso</v>
      </c>
    </row>
    <row r="629" spans="1:45" x14ac:dyDescent="0.25">
      <c r="A629">
        <v>0</v>
      </c>
      <c r="B629" t="str">
        <f t="shared" si="234"/>
        <v>F</v>
      </c>
      <c r="C629">
        <v>16611837</v>
      </c>
      <c r="D629">
        <f t="shared" si="235"/>
        <v>45</v>
      </c>
      <c r="E629">
        <f t="shared" si="236"/>
        <v>45</v>
      </c>
      <c r="F629" t="str">
        <f t="shared" si="237"/>
        <v>25-50</v>
      </c>
      <c r="G629">
        <v>0</v>
      </c>
      <c r="H629" t="str">
        <f t="shared" si="238"/>
        <v>Pariente normal</v>
      </c>
      <c r="I629">
        <v>1</v>
      </c>
      <c r="J629" t="str">
        <f t="shared" si="239"/>
        <v>Hipercaloricos</v>
      </c>
      <c r="K629">
        <v>2945967</v>
      </c>
      <c r="L629">
        <f t="shared" si="240"/>
        <v>1</v>
      </c>
      <c r="M629" t="str">
        <f t="shared" si="241"/>
        <v>Suele comer</v>
      </c>
      <c r="N629">
        <v>3</v>
      </c>
      <c r="O629">
        <f t="shared" si="242"/>
        <v>2</v>
      </c>
      <c r="P629" t="str">
        <f t="shared" si="243"/>
        <v>Mas de 3</v>
      </c>
      <c r="Q629">
        <v>1</v>
      </c>
      <c r="R629" t="str">
        <f t="shared" si="244"/>
        <v>A veces</v>
      </c>
      <c r="S629">
        <v>0</v>
      </c>
      <c r="T629" t="str">
        <f t="shared" si="245"/>
        <v>No fuma</v>
      </c>
      <c r="U629">
        <v>2953192</v>
      </c>
      <c r="V629">
        <f t="shared" si="246"/>
        <v>2</v>
      </c>
      <c r="W629" t="str">
        <f t="shared" si="247"/>
        <v>Siempre</v>
      </c>
      <c r="X629">
        <v>0</v>
      </c>
      <c r="Y629" t="str">
        <f t="shared" si="248"/>
        <v>No controla</v>
      </c>
      <c r="Z629">
        <v>2830911</v>
      </c>
      <c r="AA629">
        <f t="shared" si="249"/>
        <v>3</v>
      </c>
      <c r="AB629" t="str">
        <f t="shared" si="250"/>
        <v>Siempre</v>
      </c>
      <c r="AC629">
        <v>1466667</v>
      </c>
      <c r="AD629">
        <f t="shared" si="251"/>
        <v>2</v>
      </c>
      <c r="AE629" t="str">
        <f t="shared" si="252"/>
        <v>Siempre</v>
      </c>
      <c r="AF629">
        <v>1</v>
      </c>
      <c r="AG629" t="str">
        <f t="shared" si="253"/>
        <v>A veces</v>
      </c>
      <c r="AH629">
        <v>0</v>
      </c>
      <c r="AI629" t="str">
        <f t="shared" si="254"/>
        <v>No usa</v>
      </c>
      <c r="AJ629">
        <v>0</v>
      </c>
      <c r="AK629" t="str">
        <f t="shared" si="255"/>
        <v>No usa</v>
      </c>
      <c r="AL629">
        <v>0</v>
      </c>
      <c r="AM629" t="str">
        <f t="shared" si="256"/>
        <v>No usa</v>
      </c>
      <c r="AN629">
        <v>1</v>
      </c>
      <c r="AO629" t="str">
        <f t="shared" si="257"/>
        <v>Usa Transporte</v>
      </c>
      <c r="AP629">
        <v>0</v>
      </c>
      <c r="AQ629" t="str">
        <f t="shared" si="258"/>
        <v>No camina</v>
      </c>
      <c r="AR629">
        <v>0</v>
      </c>
      <c r="AS629" t="str">
        <f t="shared" si="259"/>
        <v>No es obeso</v>
      </c>
    </row>
    <row r="630" spans="1:45" x14ac:dyDescent="0.25">
      <c r="A630">
        <v>1</v>
      </c>
      <c r="B630" t="str">
        <f t="shared" si="234"/>
        <v>M</v>
      </c>
      <c r="C630">
        <v>17080493</v>
      </c>
      <c r="D630">
        <f t="shared" si="235"/>
        <v>46</v>
      </c>
      <c r="E630">
        <f t="shared" si="236"/>
        <v>46</v>
      </c>
      <c r="F630" t="str">
        <f t="shared" si="237"/>
        <v>25-50</v>
      </c>
      <c r="G630">
        <v>1</v>
      </c>
      <c r="H630" t="str">
        <f t="shared" si="238"/>
        <v>Pariente gordo</v>
      </c>
      <c r="I630">
        <v>1</v>
      </c>
      <c r="J630" t="str">
        <f t="shared" si="239"/>
        <v>Hipercaloricos</v>
      </c>
      <c r="K630">
        <v>2</v>
      </c>
      <c r="L630">
        <f t="shared" si="240"/>
        <v>1</v>
      </c>
      <c r="M630" t="str">
        <f t="shared" si="241"/>
        <v>Suele comer</v>
      </c>
      <c r="N630">
        <v>4</v>
      </c>
      <c r="O630">
        <f t="shared" si="242"/>
        <v>2</v>
      </c>
      <c r="P630" t="str">
        <f t="shared" si="243"/>
        <v>Mas de 3</v>
      </c>
      <c r="Q630">
        <v>1</v>
      </c>
      <c r="R630" t="str">
        <f t="shared" si="244"/>
        <v>A veces</v>
      </c>
      <c r="S630">
        <v>0</v>
      </c>
      <c r="T630" t="str">
        <f t="shared" si="245"/>
        <v>No fuma</v>
      </c>
      <c r="U630">
        <v>228525</v>
      </c>
      <c r="V630">
        <f t="shared" si="246"/>
        <v>2</v>
      </c>
      <c r="W630" t="str">
        <f t="shared" si="247"/>
        <v>Siempre</v>
      </c>
      <c r="X630">
        <v>0</v>
      </c>
      <c r="Y630" t="str">
        <f t="shared" si="248"/>
        <v>No controla</v>
      </c>
      <c r="Z630">
        <v>2</v>
      </c>
      <c r="AA630">
        <f t="shared" si="249"/>
        <v>2</v>
      </c>
      <c r="AB630" t="str">
        <f t="shared" si="250"/>
        <v>Usualmente</v>
      </c>
      <c r="AC630">
        <v>1162801</v>
      </c>
      <c r="AD630">
        <f t="shared" si="251"/>
        <v>2</v>
      </c>
      <c r="AE630" t="str">
        <f t="shared" si="252"/>
        <v>Siempre</v>
      </c>
      <c r="AF630">
        <v>0</v>
      </c>
      <c r="AG630" t="str">
        <f t="shared" si="253"/>
        <v>Nunca</v>
      </c>
      <c r="AH630">
        <v>1</v>
      </c>
      <c r="AI630" t="str">
        <f t="shared" si="254"/>
        <v>Usa auto</v>
      </c>
      <c r="AJ630">
        <v>0</v>
      </c>
      <c r="AK630" t="str">
        <f t="shared" si="255"/>
        <v>No usa</v>
      </c>
      <c r="AL630">
        <v>0</v>
      </c>
      <c r="AM630" t="str">
        <f t="shared" si="256"/>
        <v>No usa</v>
      </c>
      <c r="AN630">
        <v>0</v>
      </c>
      <c r="AO630" t="str">
        <f t="shared" si="257"/>
        <v>No usa</v>
      </c>
      <c r="AP630">
        <v>0</v>
      </c>
      <c r="AQ630" t="str">
        <f t="shared" si="258"/>
        <v>No camina</v>
      </c>
      <c r="AR630">
        <v>0</v>
      </c>
      <c r="AS630" t="str">
        <f t="shared" si="259"/>
        <v>No es obeso</v>
      </c>
    </row>
    <row r="631" spans="1:45" x14ac:dyDescent="0.25">
      <c r="A631">
        <v>0</v>
      </c>
      <c r="B631" t="str">
        <f t="shared" si="234"/>
        <v>F</v>
      </c>
      <c r="C631">
        <v>22970655</v>
      </c>
      <c r="D631">
        <f t="shared" si="235"/>
        <v>62</v>
      </c>
      <c r="E631">
        <f t="shared" si="236"/>
        <v>62</v>
      </c>
      <c r="F631" t="str">
        <f t="shared" si="237"/>
        <v>50-75</v>
      </c>
      <c r="G631">
        <v>1</v>
      </c>
      <c r="H631" t="str">
        <f t="shared" si="238"/>
        <v>Pariente gordo</v>
      </c>
      <c r="I631">
        <v>1</v>
      </c>
      <c r="J631" t="str">
        <f t="shared" si="239"/>
        <v>Hipercaloricos</v>
      </c>
      <c r="K631">
        <v>2478891</v>
      </c>
      <c r="L631">
        <f t="shared" si="240"/>
        <v>1</v>
      </c>
      <c r="M631" t="str">
        <f t="shared" si="241"/>
        <v>Suele comer</v>
      </c>
      <c r="N631">
        <v>3371832</v>
      </c>
      <c r="O631">
        <f t="shared" si="242"/>
        <v>2</v>
      </c>
      <c r="P631" t="str">
        <f t="shared" si="243"/>
        <v>Mas de 3</v>
      </c>
      <c r="Q631">
        <v>2</v>
      </c>
      <c r="R631" t="str">
        <f t="shared" si="244"/>
        <v>Usualmente</v>
      </c>
      <c r="S631">
        <v>0</v>
      </c>
      <c r="T631" t="str">
        <f t="shared" si="245"/>
        <v>No fuma</v>
      </c>
      <c r="U631">
        <v>2004126</v>
      </c>
      <c r="V631">
        <f t="shared" si="246"/>
        <v>2</v>
      </c>
      <c r="W631" t="str">
        <f t="shared" si="247"/>
        <v>Siempre</v>
      </c>
      <c r="X631">
        <v>0</v>
      </c>
      <c r="Y631" t="str">
        <f t="shared" si="248"/>
        <v>No controla</v>
      </c>
      <c r="Z631">
        <v>2</v>
      </c>
      <c r="AA631">
        <f t="shared" si="249"/>
        <v>2</v>
      </c>
      <c r="AB631" t="str">
        <f t="shared" si="250"/>
        <v>Usualmente</v>
      </c>
      <c r="AC631">
        <v>0.327376</v>
      </c>
      <c r="AD631">
        <f t="shared" si="251"/>
        <v>0</v>
      </c>
      <c r="AE631" t="str">
        <f t="shared" si="252"/>
        <v>Nunca</v>
      </c>
      <c r="AF631">
        <v>0</v>
      </c>
      <c r="AG631" t="str">
        <f t="shared" si="253"/>
        <v>Nunca</v>
      </c>
      <c r="AH631">
        <v>0</v>
      </c>
      <c r="AI631" t="str">
        <f t="shared" si="254"/>
        <v>No usa</v>
      </c>
      <c r="AJ631">
        <v>0</v>
      </c>
      <c r="AK631" t="str">
        <f t="shared" si="255"/>
        <v>No usa</v>
      </c>
      <c r="AL631">
        <v>0</v>
      </c>
      <c r="AM631" t="str">
        <f t="shared" si="256"/>
        <v>No usa</v>
      </c>
      <c r="AN631">
        <v>1</v>
      </c>
      <c r="AO631" t="str">
        <f t="shared" si="257"/>
        <v>Usa Transporte</v>
      </c>
      <c r="AP631">
        <v>0</v>
      </c>
      <c r="AQ631" t="str">
        <f t="shared" si="258"/>
        <v>No camina</v>
      </c>
      <c r="AR631">
        <v>0</v>
      </c>
      <c r="AS631" t="str">
        <f t="shared" si="259"/>
        <v>No es obeso</v>
      </c>
    </row>
    <row r="632" spans="1:45" x14ac:dyDescent="0.25">
      <c r="A632">
        <v>0</v>
      </c>
      <c r="B632" t="str">
        <f t="shared" si="234"/>
        <v>F</v>
      </c>
      <c r="C632">
        <v>17764764</v>
      </c>
      <c r="D632">
        <f t="shared" si="235"/>
        <v>48</v>
      </c>
      <c r="E632">
        <f t="shared" si="236"/>
        <v>48</v>
      </c>
      <c r="F632" t="str">
        <f t="shared" si="237"/>
        <v>25-50</v>
      </c>
      <c r="G632">
        <v>0</v>
      </c>
      <c r="H632" t="str">
        <f t="shared" si="238"/>
        <v>Pariente normal</v>
      </c>
      <c r="I632">
        <v>1</v>
      </c>
      <c r="J632" t="str">
        <f t="shared" si="239"/>
        <v>Hipercaloricos</v>
      </c>
      <c r="K632">
        <v>2784464</v>
      </c>
      <c r="L632">
        <f t="shared" si="240"/>
        <v>1</v>
      </c>
      <c r="M632" t="str">
        <f t="shared" si="241"/>
        <v>Suele comer</v>
      </c>
      <c r="N632">
        <v>4</v>
      </c>
      <c r="O632">
        <f t="shared" si="242"/>
        <v>2</v>
      </c>
      <c r="P632" t="str">
        <f t="shared" si="243"/>
        <v>Mas de 3</v>
      </c>
      <c r="Q632">
        <v>1</v>
      </c>
      <c r="R632" t="str">
        <f t="shared" si="244"/>
        <v>A veces</v>
      </c>
      <c r="S632">
        <v>0</v>
      </c>
      <c r="T632" t="str">
        <f t="shared" si="245"/>
        <v>No fuma</v>
      </c>
      <c r="U632">
        <v>1</v>
      </c>
      <c r="V632">
        <f t="shared" si="246"/>
        <v>1</v>
      </c>
      <c r="W632" t="str">
        <f t="shared" si="247"/>
        <v>Usualmente</v>
      </c>
      <c r="X632">
        <v>0</v>
      </c>
      <c r="Y632" t="str">
        <f t="shared" si="248"/>
        <v>No controla</v>
      </c>
      <c r="Z632">
        <v>2</v>
      </c>
      <c r="AA632">
        <f t="shared" si="249"/>
        <v>2</v>
      </c>
      <c r="AB632" t="str">
        <f t="shared" si="250"/>
        <v>Usualmente</v>
      </c>
      <c r="AC632">
        <v>1</v>
      </c>
      <c r="AD632">
        <f t="shared" si="251"/>
        <v>1</v>
      </c>
      <c r="AE632" t="str">
        <f t="shared" si="252"/>
        <v>Usualmente</v>
      </c>
      <c r="AF632">
        <v>1</v>
      </c>
      <c r="AG632" t="str">
        <f t="shared" si="253"/>
        <v>A veces</v>
      </c>
      <c r="AH632">
        <v>0</v>
      </c>
      <c r="AI632" t="str">
        <f t="shared" si="254"/>
        <v>No usa</v>
      </c>
      <c r="AJ632">
        <v>0</v>
      </c>
      <c r="AK632" t="str">
        <f t="shared" si="255"/>
        <v>No usa</v>
      </c>
      <c r="AL632">
        <v>0</v>
      </c>
      <c r="AM632" t="str">
        <f t="shared" si="256"/>
        <v>No usa</v>
      </c>
      <c r="AN632">
        <v>1</v>
      </c>
      <c r="AO632" t="str">
        <f t="shared" si="257"/>
        <v>Usa Transporte</v>
      </c>
      <c r="AP632">
        <v>0</v>
      </c>
      <c r="AQ632" t="str">
        <f t="shared" si="258"/>
        <v>No camina</v>
      </c>
      <c r="AR632">
        <v>0</v>
      </c>
      <c r="AS632" t="str">
        <f t="shared" si="259"/>
        <v>No es obeso</v>
      </c>
    </row>
    <row r="633" spans="1:45" x14ac:dyDescent="0.25">
      <c r="A633">
        <v>0</v>
      </c>
      <c r="B633" t="str">
        <f t="shared" si="234"/>
        <v>F</v>
      </c>
      <c r="C633">
        <v>19272573</v>
      </c>
      <c r="D633">
        <f t="shared" si="235"/>
        <v>52</v>
      </c>
      <c r="E633">
        <f t="shared" si="236"/>
        <v>52</v>
      </c>
      <c r="F633" t="str">
        <f t="shared" si="237"/>
        <v>50-75</v>
      </c>
      <c r="G633">
        <v>0</v>
      </c>
      <c r="H633" t="str">
        <f t="shared" si="238"/>
        <v>Pariente normal</v>
      </c>
      <c r="I633">
        <v>1</v>
      </c>
      <c r="J633" t="str">
        <f t="shared" si="239"/>
        <v>Hipercaloricos</v>
      </c>
      <c r="K633">
        <v>1005578</v>
      </c>
      <c r="L633">
        <f t="shared" si="240"/>
        <v>1</v>
      </c>
      <c r="M633" t="str">
        <f t="shared" si="241"/>
        <v>Suele comer</v>
      </c>
      <c r="N633">
        <v>4</v>
      </c>
      <c r="O633">
        <f t="shared" si="242"/>
        <v>2</v>
      </c>
      <c r="P633" t="str">
        <f t="shared" si="243"/>
        <v>Mas de 3</v>
      </c>
      <c r="Q633">
        <v>2</v>
      </c>
      <c r="R633" t="str">
        <f t="shared" si="244"/>
        <v>Usualmente</v>
      </c>
      <c r="S633">
        <v>0</v>
      </c>
      <c r="T633" t="str">
        <f t="shared" si="245"/>
        <v>No fuma</v>
      </c>
      <c r="U633">
        <v>1</v>
      </c>
      <c r="V633">
        <f t="shared" si="246"/>
        <v>1</v>
      </c>
      <c r="W633" t="str">
        <f t="shared" si="247"/>
        <v>Usualmente</v>
      </c>
      <c r="X633">
        <v>0</v>
      </c>
      <c r="Y633" t="str">
        <f t="shared" si="248"/>
        <v>No controla</v>
      </c>
      <c r="Z633">
        <v>1683957</v>
      </c>
      <c r="AA633">
        <f t="shared" si="249"/>
        <v>3</v>
      </c>
      <c r="AB633" t="str">
        <f t="shared" si="250"/>
        <v>Siempre</v>
      </c>
      <c r="AC633">
        <v>0.70497799999999999</v>
      </c>
      <c r="AD633">
        <f t="shared" si="251"/>
        <v>0</v>
      </c>
      <c r="AE633" t="str">
        <f t="shared" si="252"/>
        <v>Nunca</v>
      </c>
      <c r="AF633">
        <v>1</v>
      </c>
      <c r="AG633" t="str">
        <f t="shared" si="253"/>
        <v>A veces</v>
      </c>
      <c r="AH633">
        <v>0</v>
      </c>
      <c r="AI633" t="str">
        <f t="shared" si="254"/>
        <v>No usa</v>
      </c>
      <c r="AJ633">
        <v>0</v>
      </c>
      <c r="AK633" t="str">
        <f t="shared" si="255"/>
        <v>No usa</v>
      </c>
      <c r="AL633">
        <v>0</v>
      </c>
      <c r="AM633" t="str">
        <f t="shared" si="256"/>
        <v>No usa</v>
      </c>
      <c r="AN633">
        <v>1</v>
      </c>
      <c r="AO633" t="str">
        <f t="shared" si="257"/>
        <v>Usa Transporte</v>
      </c>
      <c r="AP633">
        <v>0</v>
      </c>
      <c r="AQ633" t="str">
        <f t="shared" si="258"/>
        <v>No camina</v>
      </c>
      <c r="AR633">
        <v>0</v>
      </c>
      <c r="AS633" t="str">
        <f t="shared" si="259"/>
        <v>No es obeso</v>
      </c>
    </row>
    <row r="634" spans="1:45" x14ac:dyDescent="0.25">
      <c r="A634">
        <v>0</v>
      </c>
      <c r="B634" t="str">
        <f t="shared" si="234"/>
        <v>F</v>
      </c>
      <c r="C634">
        <v>19</v>
      </c>
      <c r="D634">
        <f t="shared" si="235"/>
        <v>19</v>
      </c>
      <c r="E634">
        <f t="shared" si="236"/>
        <v>19</v>
      </c>
      <c r="F634" t="str">
        <f t="shared" si="237"/>
        <v>1-25</v>
      </c>
      <c r="G634">
        <v>0</v>
      </c>
      <c r="H634" t="str">
        <f t="shared" si="238"/>
        <v>Pariente normal</v>
      </c>
      <c r="I634">
        <v>0</v>
      </c>
      <c r="J634" t="str">
        <f t="shared" si="239"/>
        <v>Saludables</v>
      </c>
      <c r="K634">
        <v>2938031</v>
      </c>
      <c r="L634">
        <f t="shared" si="240"/>
        <v>1</v>
      </c>
      <c r="M634" t="str">
        <f t="shared" si="241"/>
        <v>Suele comer</v>
      </c>
      <c r="N634">
        <v>2705445</v>
      </c>
      <c r="O634">
        <f t="shared" si="242"/>
        <v>2</v>
      </c>
      <c r="P634" t="str">
        <f t="shared" si="243"/>
        <v>Mas de 3</v>
      </c>
      <c r="Q634">
        <v>2</v>
      </c>
      <c r="R634" t="str">
        <f t="shared" si="244"/>
        <v>Usualmente</v>
      </c>
      <c r="S634">
        <v>0</v>
      </c>
      <c r="T634" t="str">
        <f t="shared" si="245"/>
        <v>No fuma</v>
      </c>
      <c r="U634">
        <v>1333807</v>
      </c>
      <c r="V634">
        <f t="shared" si="246"/>
        <v>2</v>
      </c>
      <c r="W634" t="str">
        <f t="shared" si="247"/>
        <v>Siempre</v>
      </c>
      <c r="X634">
        <v>1</v>
      </c>
      <c r="Y634" t="str">
        <f t="shared" si="248"/>
        <v>Controla</v>
      </c>
      <c r="Z634">
        <v>1877369</v>
      </c>
      <c r="AA634">
        <f t="shared" si="249"/>
        <v>3</v>
      </c>
      <c r="AB634" t="str">
        <f t="shared" si="250"/>
        <v>Siempre</v>
      </c>
      <c r="AC634">
        <v>0.370973</v>
      </c>
      <c r="AD634">
        <f t="shared" si="251"/>
        <v>0</v>
      </c>
      <c r="AE634" t="str">
        <f t="shared" si="252"/>
        <v>Nunca</v>
      </c>
      <c r="AF634">
        <v>1</v>
      </c>
      <c r="AG634" t="str">
        <f t="shared" si="253"/>
        <v>A veces</v>
      </c>
      <c r="AH634">
        <v>0</v>
      </c>
      <c r="AI634" t="str">
        <f t="shared" si="254"/>
        <v>No usa</v>
      </c>
      <c r="AJ634">
        <v>0</v>
      </c>
      <c r="AK634" t="str">
        <f t="shared" si="255"/>
        <v>No usa</v>
      </c>
      <c r="AL634">
        <v>0</v>
      </c>
      <c r="AM634" t="str">
        <f t="shared" si="256"/>
        <v>No usa</v>
      </c>
      <c r="AN634">
        <v>1</v>
      </c>
      <c r="AO634" t="str">
        <f t="shared" si="257"/>
        <v>Usa Transporte</v>
      </c>
      <c r="AP634">
        <v>0</v>
      </c>
      <c r="AQ634" t="str">
        <f t="shared" si="258"/>
        <v>No camina</v>
      </c>
      <c r="AR634">
        <v>0</v>
      </c>
      <c r="AS634" t="str">
        <f t="shared" si="259"/>
        <v>No es obeso</v>
      </c>
    </row>
    <row r="635" spans="1:45" x14ac:dyDescent="0.25">
      <c r="A635">
        <v>1</v>
      </c>
      <c r="B635" t="str">
        <f t="shared" si="234"/>
        <v>M</v>
      </c>
      <c r="C635">
        <v>1706713</v>
      </c>
      <c r="D635">
        <f t="shared" si="235"/>
        <v>4</v>
      </c>
      <c r="E635">
        <f t="shared" si="236"/>
        <v>4</v>
      </c>
      <c r="F635" t="str">
        <f t="shared" si="237"/>
        <v>1-25</v>
      </c>
      <c r="G635">
        <v>1</v>
      </c>
      <c r="H635" t="str">
        <f t="shared" si="238"/>
        <v>Pariente gordo</v>
      </c>
      <c r="I635">
        <v>1</v>
      </c>
      <c r="J635" t="str">
        <f t="shared" si="239"/>
        <v>Hipercaloricos</v>
      </c>
      <c r="K635">
        <v>2842102</v>
      </c>
      <c r="L635">
        <f t="shared" si="240"/>
        <v>1</v>
      </c>
      <c r="M635" t="str">
        <f t="shared" si="241"/>
        <v>Suele comer</v>
      </c>
      <c r="N635">
        <v>334175</v>
      </c>
      <c r="O635">
        <f t="shared" si="242"/>
        <v>2</v>
      </c>
      <c r="P635" t="str">
        <f t="shared" si="243"/>
        <v>Mas de 3</v>
      </c>
      <c r="Q635">
        <v>1</v>
      </c>
      <c r="R635" t="str">
        <f t="shared" si="244"/>
        <v>A veces</v>
      </c>
      <c r="S635">
        <v>0</v>
      </c>
      <c r="T635" t="str">
        <f t="shared" si="245"/>
        <v>No fuma</v>
      </c>
      <c r="U635">
        <v>2</v>
      </c>
      <c r="V635">
        <f t="shared" si="246"/>
        <v>2</v>
      </c>
      <c r="W635" t="str">
        <f t="shared" si="247"/>
        <v>Siempre</v>
      </c>
      <c r="X635">
        <v>0</v>
      </c>
      <c r="Y635" t="str">
        <f t="shared" si="248"/>
        <v>No controla</v>
      </c>
      <c r="Z635">
        <v>2511157</v>
      </c>
      <c r="AA635">
        <f t="shared" si="249"/>
        <v>3</v>
      </c>
      <c r="AB635" t="str">
        <f t="shared" si="250"/>
        <v>Siempre</v>
      </c>
      <c r="AC635">
        <v>0.56035100000000004</v>
      </c>
      <c r="AD635">
        <f t="shared" si="251"/>
        <v>0</v>
      </c>
      <c r="AE635" t="str">
        <f t="shared" si="252"/>
        <v>Nunca</v>
      </c>
      <c r="AF635">
        <v>0</v>
      </c>
      <c r="AG635" t="str">
        <f t="shared" si="253"/>
        <v>Nunca</v>
      </c>
      <c r="AH635">
        <v>1</v>
      </c>
      <c r="AI635" t="str">
        <f t="shared" si="254"/>
        <v>Usa auto</v>
      </c>
      <c r="AJ635">
        <v>0</v>
      </c>
      <c r="AK635" t="str">
        <f t="shared" si="255"/>
        <v>No usa</v>
      </c>
      <c r="AL635">
        <v>0</v>
      </c>
      <c r="AM635" t="str">
        <f t="shared" si="256"/>
        <v>No usa</v>
      </c>
      <c r="AN635">
        <v>0</v>
      </c>
      <c r="AO635" t="str">
        <f t="shared" si="257"/>
        <v>No usa</v>
      </c>
      <c r="AP635">
        <v>0</v>
      </c>
      <c r="AQ635" t="str">
        <f t="shared" si="258"/>
        <v>No camina</v>
      </c>
      <c r="AR635">
        <v>0</v>
      </c>
      <c r="AS635" t="str">
        <f t="shared" si="259"/>
        <v>No es obeso</v>
      </c>
    </row>
    <row r="636" spans="1:45" x14ac:dyDescent="0.25">
      <c r="A636">
        <v>0</v>
      </c>
      <c r="B636" t="str">
        <f t="shared" si="234"/>
        <v>F</v>
      </c>
      <c r="C636">
        <v>23</v>
      </c>
      <c r="D636">
        <f t="shared" si="235"/>
        <v>23</v>
      </c>
      <c r="E636">
        <f t="shared" si="236"/>
        <v>23</v>
      </c>
      <c r="F636" t="str">
        <f t="shared" si="237"/>
        <v>1-25</v>
      </c>
      <c r="G636">
        <v>1</v>
      </c>
      <c r="H636" t="str">
        <f t="shared" si="238"/>
        <v>Pariente gordo</v>
      </c>
      <c r="I636">
        <v>1</v>
      </c>
      <c r="J636" t="str">
        <f t="shared" si="239"/>
        <v>Hipercaloricos</v>
      </c>
      <c r="K636">
        <v>2</v>
      </c>
      <c r="L636">
        <f t="shared" si="240"/>
        <v>1</v>
      </c>
      <c r="M636" t="str">
        <f t="shared" si="241"/>
        <v>Suele comer</v>
      </c>
      <c r="N636">
        <v>3</v>
      </c>
      <c r="O636">
        <f t="shared" si="242"/>
        <v>2</v>
      </c>
      <c r="P636" t="str">
        <f t="shared" si="243"/>
        <v>Mas de 3</v>
      </c>
      <c r="Q636">
        <v>2</v>
      </c>
      <c r="R636" t="str">
        <f t="shared" si="244"/>
        <v>Usualmente</v>
      </c>
      <c r="S636">
        <v>0</v>
      </c>
      <c r="T636" t="str">
        <f t="shared" si="245"/>
        <v>No fuma</v>
      </c>
      <c r="U636">
        <v>2685842</v>
      </c>
      <c r="V636">
        <f t="shared" si="246"/>
        <v>2</v>
      </c>
      <c r="W636" t="str">
        <f t="shared" si="247"/>
        <v>Siempre</v>
      </c>
      <c r="X636">
        <v>0</v>
      </c>
      <c r="Y636" t="str">
        <f t="shared" si="248"/>
        <v>No controla</v>
      </c>
      <c r="Z636">
        <v>0.37318600000000002</v>
      </c>
      <c r="AA636">
        <f t="shared" si="249"/>
        <v>0</v>
      </c>
      <c r="AB636" t="str">
        <f t="shared" si="250"/>
        <v>Nunca</v>
      </c>
      <c r="AC636">
        <v>2</v>
      </c>
      <c r="AD636">
        <f t="shared" si="251"/>
        <v>2</v>
      </c>
      <c r="AE636" t="str">
        <f t="shared" si="252"/>
        <v>Siempre</v>
      </c>
      <c r="AF636">
        <v>0</v>
      </c>
      <c r="AG636" t="str">
        <f t="shared" si="253"/>
        <v>Nunca</v>
      </c>
      <c r="AH636">
        <v>0</v>
      </c>
      <c r="AI636" t="str">
        <f t="shared" si="254"/>
        <v>No usa</v>
      </c>
      <c r="AJ636">
        <v>0</v>
      </c>
      <c r="AK636" t="str">
        <f t="shared" si="255"/>
        <v>No usa</v>
      </c>
      <c r="AL636">
        <v>0</v>
      </c>
      <c r="AM636" t="str">
        <f t="shared" si="256"/>
        <v>No usa</v>
      </c>
      <c r="AN636">
        <v>1</v>
      </c>
      <c r="AO636" t="str">
        <f t="shared" si="257"/>
        <v>Usa Transporte</v>
      </c>
      <c r="AP636">
        <v>0</v>
      </c>
      <c r="AQ636" t="str">
        <f t="shared" si="258"/>
        <v>No camina</v>
      </c>
      <c r="AR636">
        <v>0</v>
      </c>
      <c r="AS636" t="str">
        <f t="shared" si="259"/>
        <v>No es obeso</v>
      </c>
    </row>
    <row r="637" spans="1:45" x14ac:dyDescent="0.25">
      <c r="A637">
        <v>0</v>
      </c>
      <c r="B637" t="str">
        <f t="shared" si="234"/>
        <v>F</v>
      </c>
      <c r="C637">
        <v>18</v>
      </c>
      <c r="D637">
        <f t="shared" si="235"/>
        <v>18</v>
      </c>
      <c r="E637">
        <f t="shared" si="236"/>
        <v>18</v>
      </c>
      <c r="F637" t="str">
        <f t="shared" si="237"/>
        <v>1-25</v>
      </c>
      <c r="G637">
        <v>0</v>
      </c>
      <c r="H637" t="str">
        <f t="shared" si="238"/>
        <v>Pariente normal</v>
      </c>
      <c r="I637">
        <v>1</v>
      </c>
      <c r="J637" t="str">
        <f t="shared" si="239"/>
        <v>Hipercaloricos</v>
      </c>
      <c r="K637">
        <v>2</v>
      </c>
      <c r="L637">
        <f t="shared" si="240"/>
        <v>1</v>
      </c>
      <c r="M637" t="str">
        <f t="shared" si="241"/>
        <v>Suele comer</v>
      </c>
      <c r="N637">
        <v>3</v>
      </c>
      <c r="O637">
        <f t="shared" si="242"/>
        <v>2</v>
      </c>
      <c r="P637" t="str">
        <f t="shared" si="243"/>
        <v>Mas de 3</v>
      </c>
      <c r="Q637">
        <v>1</v>
      </c>
      <c r="R637" t="str">
        <f t="shared" si="244"/>
        <v>A veces</v>
      </c>
      <c r="S637">
        <v>0</v>
      </c>
      <c r="T637" t="str">
        <f t="shared" si="245"/>
        <v>No fuma</v>
      </c>
      <c r="U637">
        <v>2</v>
      </c>
      <c r="V637">
        <f t="shared" si="246"/>
        <v>2</v>
      </c>
      <c r="W637" t="str">
        <f t="shared" si="247"/>
        <v>Siempre</v>
      </c>
      <c r="X637">
        <v>0</v>
      </c>
      <c r="Y637" t="str">
        <f t="shared" si="248"/>
        <v>No controla</v>
      </c>
      <c r="Z637">
        <v>0</v>
      </c>
      <c r="AA637">
        <f t="shared" si="249"/>
        <v>0</v>
      </c>
      <c r="AB637" t="str">
        <f t="shared" si="250"/>
        <v>Nunca</v>
      </c>
      <c r="AC637">
        <v>1525597</v>
      </c>
      <c r="AD637">
        <f t="shared" si="251"/>
        <v>2</v>
      </c>
      <c r="AE637" t="str">
        <f t="shared" si="252"/>
        <v>Siempre</v>
      </c>
      <c r="AF637">
        <v>1</v>
      </c>
      <c r="AG637" t="str">
        <f t="shared" si="253"/>
        <v>A veces</v>
      </c>
      <c r="AH637">
        <v>0</v>
      </c>
      <c r="AI637" t="str">
        <f t="shared" si="254"/>
        <v>No usa</v>
      </c>
      <c r="AJ637">
        <v>0</v>
      </c>
      <c r="AK637" t="str">
        <f t="shared" si="255"/>
        <v>No usa</v>
      </c>
      <c r="AL637">
        <v>0</v>
      </c>
      <c r="AM637" t="str">
        <f t="shared" si="256"/>
        <v>No usa</v>
      </c>
      <c r="AN637">
        <v>1</v>
      </c>
      <c r="AO637" t="str">
        <f t="shared" si="257"/>
        <v>Usa Transporte</v>
      </c>
      <c r="AP637">
        <v>0</v>
      </c>
      <c r="AQ637" t="str">
        <f t="shared" si="258"/>
        <v>No camina</v>
      </c>
      <c r="AR637">
        <v>0</v>
      </c>
      <c r="AS637" t="str">
        <f t="shared" si="259"/>
        <v>No es obeso</v>
      </c>
    </row>
    <row r="638" spans="1:45" x14ac:dyDescent="0.25">
      <c r="A638">
        <v>0</v>
      </c>
      <c r="B638" t="str">
        <f t="shared" si="234"/>
        <v>F</v>
      </c>
      <c r="C638">
        <v>19054008</v>
      </c>
      <c r="D638">
        <f t="shared" si="235"/>
        <v>52</v>
      </c>
      <c r="E638">
        <f t="shared" si="236"/>
        <v>52</v>
      </c>
      <c r="F638" t="str">
        <f t="shared" si="237"/>
        <v>50-75</v>
      </c>
      <c r="G638">
        <v>0</v>
      </c>
      <c r="H638" t="str">
        <f t="shared" si="238"/>
        <v>Pariente normal</v>
      </c>
      <c r="I638">
        <v>1</v>
      </c>
      <c r="J638" t="str">
        <f t="shared" si="239"/>
        <v>Hipercaloricos</v>
      </c>
      <c r="K638">
        <v>1889199</v>
      </c>
      <c r="L638">
        <f t="shared" si="240"/>
        <v>1</v>
      </c>
      <c r="M638" t="str">
        <f t="shared" si="241"/>
        <v>Suele comer</v>
      </c>
      <c r="N638">
        <v>2217651</v>
      </c>
      <c r="O638">
        <f t="shared" si="242"/>
        <v>2</v>
      </c>
      <c r="P638" t="str">
        <f t="shared" si="243"/>
        <v>Mas de 3</v>
      </c>
      <c r="Q638">
        <v>1</v>
      </c>
      <c r="R638" t="str">
        <f t="shared" si="244"/>
        <v>A veces</v>
      </c>
      <c r="S638">
        <v>0</v>
      </c>
      <c r="T638" t="str">
        <f t="shared" si="245"/>
        <v>No fuma</v>
      </c>
      <c r="U638">
        <v>2013605</v>
      </c>
      <c r="V638">
        <f t="shared" si="246"/>
        <v>2</v>
      </c>
      <c r="W638" t="str">
        <f t="shared" si="247"/>
        <v>Siempre</v>
      </c>
      <c r="X638">
        <v>0</v>
      </c>
      <c r="Y638" t="str">
        <f t="shared" si="248"/>
        <v>No controla</v>
      </c>
      <c r="Z638">
        <v>2075293</v>
      </c>
      <c r="AA638">
        <f t="shared" si="249"/>
        <v>3</v>
      </c>
      <c r="AB638" t="str">
        <f t="shared" si="250"/>
        <v>Siempre</v>
      </c>
      <c r="AC638">
        <v>1683261</v>
      </c>
      <c r="AD638">
        <f t="shared" si="251"/>
        <v>2</v>
      </c>
      <c r="AE638" t="str">
        <f t="shared" si="252"/>
        <v>Siempre</v>
      </c>
      <c r="AF638">
        <v>1</v>
      </c>
      <c r="AG638" t="str">
        <f t="shared" si="253"/>
        <v>A veces</v>
      </c>
      <c r="AH638">
        <v>0</v>
      </c>
      <c r="AI638" t="str">
        <f t="shared" si="254"/>
        <v>No usa</v>
      </c>
      <c r="AJ638">
        <v>0</v>
      </c>
      <c r="AK638" t="str">
        <f t="shared" si="255"/>
        <v>No usa</v>
      </c>
      <c r="AL638">
        <v>0</v>
      </c>
      <c r="AM638" t="str">
        <f t="shared" si="256"/>
        <v>No usa</v>
      </c>
      <c r="AN638">
        <v>1</v>
      </c>
      <c r="AO638" t="str">
        <f t="shared" si="257"/>
        <v>Usa Transporte</v>
      </c>
      <c r="AP638">
        <v>0</v>
      </c>
      <c r="AQ638" t="str">
        <f t="shared" si="258"/>
        <v>No camina</v>
      </c>
      <c r="AR638">
        <v>0</v>
      </c>
      <c r="AS638" t="str">
        <f t="shared" si="259"/>
        <v>No es obeso</v>
      </c>
    </row>
    <row r="639" spans="1:45" x14ac:dyDescent="0.25">
      <c r="A639">
        <v>1</v>
      </c>
      <c r="B639" t="str">
        <f t="shared" si="234"/>
        <v>M</v>
      </c>
      <c r="C639">
        <v>18</v>
      </c>
      <c r="D639">
        <f t="shared" si="235"/>
        <v>18</v>
      </c>
      <c r="E639">
        <f t="shared" si="236"/>
        <v>18</v>
      </c>
      <c r="F639" t="str">
        <f t="shared" si="237"/>
        <v>1-25</v>
      </c>
      <c r="G639">
        <v>1</v>
      </c>
      <c r="H639" t="str">
        <f t="shared" si="238"/>
        <v>Pariente gordo</v>
      </c>
      <c r="I639">
        <v>1</v>
      </c>
      <c r="J639" t="str">
        <f t="shared" si="239"/>
        <v>Hipercaloricos</v>
      </c>
      <c r="K639">
        <v>3</v>
      </c>
      <c r="L639">
        <f t="shared" si="240"/>
        <v>1</v>
      </c>
      <c r="M639" t="str">
        <f t="shared" si="241"/>
        <v>Suele comer</v>
      </c>
      <c r="N639">
        <v>4</v>
      </c>
      <c r="O639">
        <f t="shared" si="242"/>
        <v>2</v>
      </c>
      <c r="P639" t="str">
        <f t="shared" si="243"/>
        <v>Mas de 3</v>
      </c>
      <c r="Q639">
        <v>1</v>
      </c>
      <c r="R639" t="str">
        <f t="shared" si="244"/>
        <v>A veces</v>
      </c>
      <c r="S639">
        <v>0</v>
      </c>
      <c r="T639" t="str">
        <f t="shared" si="245"/>
        <v>No fuma</v>
      </c>
      <c r="U639">
        <v>2</v>
      </c>
      <c r="V639">
        <f t="shared" si="246"/>
        <v>2</v>
      </c>
      <c r="W639" t="str">
        <f t="shared" si="247"/>
        <v>Siempre</v>
      </c>
      <c r="X639">
        <v>0</v>
      </c>
      <c r="Y639" t="str">
        <f t="shared" si="248"/>
        <v>No controla</v>
      </c>
      <c r="Z639">
        <v>2</v>
      </c>
      <c r="AA639">
        <f t="shared" si="249"/>
        <v>2</v>
      </c>
      <c r="AB639" t="str">
        <f t="shared" si="250"/>
        <v>Usualmente</v>
      </c>
      <c r="AC639">
        <v>0</v>
      </c>
      <c r="AD639">
        <f t="shared" si="251"/>
        <v>0</v>
      </c>
      <c r="AE639" t="str">
        <f t="shared" si="252"/>
        <v>Nunca</v>
      </c>
      <c r="AF639">
        <v>0</v>
      </c>
      <c r="AG639" t="str">
        <f t="shared" si="253"/>
        <v>Nunca</v>
      </c>
      <c r="AH639">
        <v>1</v>
      </c>
      <c r="AI639" t="str">
        <f t="shared" si="254"/>
        <v>Usa auto</v>
      </c>
      <c r="AJ639">
        <v>0</v>
      </c>
      <c r="AK639" t="str">
        <f t="shared" si="255"/>
        <v>No usa</v>
      </c>
      <c r="AL639">
        <v>0</v>
      </c>
      <c r="AM639" t="str">
        <f t="shared" si="256"/>
        <v>No usa</v>
      </c>
      <c r="AN639">
        <v>0</v>
      </c>
      <c r="AO639" t="str">
        <f t="shared" si="257"/>
        <v>No usa</v>
      </c>
      <c r="AP639">
        <v>0</v>
      </c>
      <c r="AQ639" t="str">
        <f t="shared" si="258"/>
        <v>No camina</v>
      </c>
      <c r="AR639">
        <v>0</v>
      </c>
      <c r="AS639" t="str">
        <f t="shared" si="259"/>
        <v>No es obeso</v>
      </c>
    </row>
    <row r="640" spans="1:45" x14ac:dyDescent="0.25">
      <c r="A640">
        <v>1</v>
      </c>
      <c r="B640" t="str">
        <f t="shared" si="234"/>
        <v>M</v>
      </c>
      <c r="C640">
        <v>17491272</v>
      </c>
      <c r="D640">
        <f t="shared" si="235"/>
        <v>47</v>
      </c>
      <c r="E640">
        <f t="shared" si="236"/>
        <v>47</v>
      </c>
      <c r="F640" t="str">
        <f t="shared" si="237"/>
        <v>25-50</v>
      </c>
      <c r="G640">
        <v>1</v>
      </c>
      <c r="H640" t="str">
        <f t="shared" si="238"/>
        <v>Pariente gordo</v>
      </c>
      <c r="I640">
        <v>1</v>
      </c>
      <c r="J640" t="str">
        <f t="shared" si="239"/>
        <v>Hipercaloricos</v>
      </c>
      <c r="K640">
        <v>2943749</v>
      </c>
      <c r="L640">
        <f t="shared" si="240"/>
        <v>1</v>
      </c>
      <c r="M640" t="str">
        <f t="shared" si="241"/>
        <v>Suele comer</v>
      </c>
      <c r="N640">
        <v>4</v>
      </c>
      <c r="O640">
        <f t="shared" si="242"/>
        <v>2</v>
      </c>
      <c r="P640" t="str">
        <f t="shared" si="243"/>
        <v>Mas de 3</v>
      </c>
      <c r="Q640">
        <v>1</v>
      </c>
      <c r="R640" t="str">
        <f t="shared" si="244"/>
        <v>A veces</v>
      </c>
      <c r="S640">
        <v>0</v>
      </c>
      <c r="T640" t="str">
        <f t="shared" si="245"/>
        <v>No fuma</v>
      </c>
      <c r="U640">
        <v>2</v>
      </c>
      <c r="V640">
        <f t="shared" si="246"/>
        <v>2</v>
      </c>
      <c r="W640" t="str">
        <f t="shared" si="247"/>
        <v>Siempre</v>
      </c>
      <c r="X640">
        <v>0</v>
      </c>
      <c r="Y640" t="str">
        <f t="shared" si="248"/>
        <v>No controla</v>
      </c>
      <c r="Z640">
        <v>2</v>
      </c>
      <c r="AA640">
        <f t="shared" si="249"/>
        <v>2</v>
      </c>
      <c r="AB640" t="str">
        <f t="shared" si="250"/>
        <v>Usualmente</v>
      </c>
      <c r="AC640">
        <v>0.12889500000000001</v>
      </c>
      <c r="AD640">
        <f t="shared" si="251"/>
        <v>0</v>
      </c>
      <c r="AE640" t="str">
        <f t="shared" si="252"/>
        <v>Nunca</v>
      </c>
      <c r="AF640">
        <v>0</v>
      </c>
      <c r="AG640" t="str">
        <f t="shared" si="253"/>
        <v>Nunca</v>
      </c>
      <c r="AH640">
        <v>1</v>
      </c>
      <c r="AI640" t="str">
        <f t="shared" si="254"/>
        <v>Usa auto</v>
      </c>
      <c r="AJ640">
        <v>0</v>
      </c>
      <c r="AK640" t="str">
        <f t="shared" si="255"/>
        <v>No usa</v>
      </c>
      <c r="AL640">
        <v>0</v>
      </c>
      <c r="AM640" t="str">
        <f t="shared" si="256"/>
        <v>No usa</v>
      </c>
      <c r="AN640">
        <v>0</v>
      </c>
      <c r="AO640" t="str">
        <f t="shared" si="257"/>
        <v>No usa</v>
      </c>
      <c r="AP640">
        <v>0</v>
      </c>
      <c r="AQ640" t="str">
        <f t="shared" si="258"/>
        <v>No camina</v>
      </c>
      <c r="AR640">
        <v>0</v>
      </c>
      <c r="AS640" t="str">
        <f t="shared" si="259"/>
        <v>No es obeso</v>
      </c>
    </row>
    <row r="641" spans="1:45" x14ac:dyDescent="0.25">
      <c r="A641">
        <v>1</v>
      </c>
      <c r="B641" t="str">
        <f t="shared" si="234"/>
        <v>M</v>
      </c>
      <c r="C641">
        <v>18</v>
      </c>
      <c r="D641">
        <f t="shared" si="235"/>
        <v>18</v>
      </c>
      <c r="E641">
        <f t="shared" si="236"/>
        <v>18</v>
      </c>
      <c r="F641" t="str">
        <f t="shared" si="237"/>
        <v>1-25</v>
      </c>
      <c r="G641">
        <v>1</v>
      </c>
      <c r="H641" t="str">
        <f t="shared" si="238"/>
        <v>Pariente gordo</v>
      </c>
      <c r="I641">
        <v>1</v>
      </c>
      <c r="J641" t="str">
        <f t="shared" si="239"/>
        <v>Hipercaloricos</v>
      </c>
      <c r="K641">
        <v>233998</v>
      </c>
      <c r="L641">
        <f t="shared" si="240"/>
        <v>1</v>
      </c>
      <c r="M641" t="str">
        <f t="shared" si="241"/>
        <v>Suele comer</v>
      </c>
      <c r="N641">
        <v>3</v>
      </c>
      <c r="O641">
        <f t="shared" si="242"/>
        <v>2</v>
      </c>
      <c r="P641" t="str">
        <f t="shared" si="243"/>
        <v>Mas de 3</v>
      </c>
      <c r="Q641">
        <v>1</v>
      </c>
      <c r="R641" t="str">
        <f t="shared" si="244"/>
        <v>A veces</v>
      </c>
      <c r="S641">
        <v>0</v>
      </c>
      <c r="T641" t="str">
        <f t="shared" si="245"/>
        <v>No fuma</v>
      </c>
      <c r="U641">
        <v>2</v>
      </c>
      <c r="V641">
        <f t="shared" si="246"/>
        <v>2</v>
      </c>
      <c r="W641" t="str">
        <f t="shared" si="247"/>
        <v>Siempre</v>
      </c>
      <c r="X641">
        <v>0</v>
      </c>
      <c r="Y641" t="str">
        <f t="shared" si="248"/>
        <v>No controla</v>
      </c>
      <c r="Z641">
        <v>2.7432999999999999E-2</v>
      </c>
      <c r="AA641">
        <f t="shared" si="249"/>
        <v>0</v>
      </c>
      <c r="AB641" t="str">
        <f t="shared" si="250"/>
        <v>Nunca</v>
      </c>
      <c r="AC641">
        <v>1884138</v>
      </c>
      <c r="AD641">
        <f t="shared" si="251"/>
        <v>2</v>
      </c>
      <c r="AE641" t="str">
        <f t="shared" si="252"/>
        <v>Siempre</v>
      </c>
      <c r="AF641">
        <v>1</v>
      </c>
      <c r="AG641" t="str">
        <f t="shared" si="253"/>
        <v>A veces</v>
      </c>
      <c r="AH641">
        <v>0</v>
      </c>
      <c r="AI641" t="str">
        <f t="shared" si="254"/>
        <v>No usa</v>
      </c>
      <c r="AJ641">
        <v>0</v>
      </c>
      <c r="AK641" t="str">
        <f t="shared" si="255"/>
        <v>No usa</v>
      </c>
      <c r="AL641">
        <v>0</v>
      </c>
      <c r="AM641" t="str">
        <f t="shared" si="256"/>
        <v>No usa</v>
      </c>
      <c r="AN641">
        <v>1</v>
      </c>
      <c r="AO641" t="str">
        <f t="shared" si="257"/>
        <v>Usa Transporte</v>
      </c>
      <c r="AP641">
        <v>0</v>
      </c>
      <c r="AQ641" t="str">
        <f t="shared" si="258"/>
        <v>No camina</v>
      </c>
      <c r="AR641">
        <v>0</v>
      </c>
      <c r="AS641" t="str">
        <f t="shared" si="259"/>
        <v>No es obeso</v>
      </c>
    </row>
    <row r="642" spans="1:45" x14ac:dyDescent="0.25">
      <c r="A642">
        <v>0</v>
      </c>
      <c r="B642" t="str">
        <f t="shared" si="234"/>
        <v>F</v>
      </c>
      <c r="C642">
        <v>20172661</v>
      </c>
      <c r="D642">
        <f t="shared" si="235"/>
        <v>55</v>
      </c>
      <c r="E642">
        <f t="shared" si="236"/>
        <v>55</v>
      </c>
      <c r="F642" t="str">
        <f t="shared" si="237"/>
        <v>50-75</v>
      </c>
      <c r="G642">
        <v>0</v>
      </c>
      <c r="H642" t="str">
        <f t="shared" si="238"/>
        <v>Pariente normal</v>
      </c>
      <c r="I642">
        <v>0</v>
      </c>
      <c r="J642" t="str">
        <f t="shared" si="239"/>
        <v>Saludables</v>
      </c>
      <c r="K642">
        <v>3</v>
      </c>
      <c r="L642">
        <f t="shared" si="240"/>
        <v>1</v>
      </c>
      <c r="M642" t="str">
        <f t="shared" si="241"/>
        <v>Suele comer</v>
      </c>
      <c r="N642">
        <v>2893778</v>
      </c>
      <c r="O642">
        <f t="shared" si="242"/>
        <v>2</v>
      </c>
      <c r="P642" t="str">
        <f t="shared" si="243"/>
        <v>Mas de 3</v>
      </c>
      <c r="Q642">
        <v>2</v>
      </c>
      <c r="R642" t="str">
        <f t="shared" si="244"/>
        <v>Usualmente</v>
      </c>
      <c r="S642">
        <v>0</v>
      </c>
      <c r="T642" t="str">
        <f t="shared" si="245"/>
        <v>No fuma</v>
      </c>
      <c r="U642">
        <v>1</v>
      </c>
      <c r="V642">
        <f t="shared" si="246"/>
        <v>1</v>
      </c>
      <c r="W642" t="str">
        <f t="shared" si="247"/>
        <v>Usualmente</v>
      </c>
      <c r="X642">
        <v>1</v>
      </c>
      <c r="Y642" t="str">
        <f t="shared" si="248"/>
        <v>Controla</v>
      </c>
      <c r="Z642">
        <v>0.76972600000000002</v>
      </c>
      <c r="AA642">
        <f t="shared" si="249"/>
        <v>0</v>
      </c>
      <c r="AB642" t="str">
        <f t="shared" si="250"/>
        <v>Nunca</v>
      </c>
      <c r="AC642">
        <v>0</v>
      </c>
      <c r="AD642">
        <f t="shared" si="251"/>
        <v>0</v>
      </c>
      <c r="AE642" t="str">
        <f t="shared" si="252"/>
        <v>Nunca</v>
      </c>
      <c r="AF642">
        <v>1</v>
      </c>
      <c r="AG642" t="str">
        <f t="shared" si="253"/>
        <v>A veces</v>
      </c>
      <c r="AH642">
        <v>0</v>
      </c>
      <c r="AI642" t="str">
        <f t="shared" si="254"/>
        <v>No usa</v>
      </c>
      <c r="AJ642">
        <v>0</v>
      </c>
      <c r="AK642" t="str">
        <f t="shared" si="255"/>
        <v>No usa</v>
      </c>
      <c r="AL642">
        <v>0</v>
      </c>
      <c r="AM642" t="str">
        <f t="shared" si="256"/>
        <v>No usa</v>
      </c>
      <c r="AN642">
        <v>1</v>
      </c>
      <c r="AO642" t="str">
        <f t="shared" si="257"/>
        <v>Usa Transporte</v>
      </c>
      <c r="AP642">
        <v>0</v>
      </c>
      <c r="AQ642" t="str">
        <f t="shared" si="258"/>
        <v>No camina</v>
      </c>
      <c r="AR642">
        <v>0</v>
      </c>
      <c r="AS642" t="str">
        <f t="shared" si="259"/>
        <v>No es obeso</v>
      </c>
    </row>
    <row r="643" spans="1:45" x14ac:dyDescent="0.25">
      <c r="A643">
        <v>0</v>
      </c>
      <c r="B643" t="str">
        <f t="shared" ref="B643:B706" si="260">IF(A643=1,"M","F")</f>
        <v>F</v>
      </c>
      <c r="C643">
        <v>19220108</v>
      </c>
      <c r="D643">
        <f t="shared" ref="D643:D706" si="261">IF(C643&lt;100,C643,ROUNDDOWN((C643/1000)/365,0))</f>
        <v>52</v>
      </c>
      <c r="E643">
        <f t="shared" ref="E643:E706" si="262">IF(AND(D643&gt;1,D643&lt;=100),D643,IF(D643&gt;100,100,5))</f>
        <v>52</v>
      </c>
      <c r="F643" t="str">
        <f t="shared" ref="F643:F706" si="263">IF(AND(E643&gt;=1,E643&lt;=25),"1-25",IF(AND(E643&gt;25,E643&lt;=50),"25-50",IF(AND(E643&gt;50,E643&lt;=75),"50-75","75-100")))</f>
        <v>50-75</v>
      </c>
      <c r="G643">
        <v>0</v>
      </c>
      <c r="H643" t="str">
        <f t="shared" ref="H643:H706" si="264">IF(G643=1,"Pariente gordo","Pariente normal")</f>
        <v>Pariente normal</v>
      </c>
      <c r="I643">
        <v>1</v>
      </c>
      <c r="J643" t="str">
        <f t="shared" ref="J643:J706" si="265">IF(I643=1,"Hipercaloricos","Saludables")</f>
        <v>Hipercaloricos</v>
      </c>
      <c r="K643">
        <v>3</v>
      </c>
      <c r="L643">
        <f t="shared" ref="L643:L706" si="266">IF(AND(K643&gt;=1,K643&lt;=3),1,IF(AND(K643&gt;3,K643&lt;3000000),1))</f>
        <v>1</v>
      </c>
      <c r="M643" t="str">
        <f t="shared" ref="M643:M706" si="267">IF(L643=1,"Suele comer","No come")</f>
        <v>Suele comer</v>
      </c>
      <c r="N643">
        <v>1</v>
      </c>
      <c r="O643">
        <f t="shared" ref="O643:O706" si="268">IF(N643=1,N643,IF(AND(N643&gt;=2,N643&lt;4000000),2))</f>
        <v>1</v>
      </c>
      <c r="P643">
        <f t="shared" ref="P643:P706" si="269">IF(O643=0,"1-2",IF(O643=1,3,"Mas de 3"))</f>
        <v>3</v>
      </c>
      <c r="Q643">
        <v>2</v>
      </c>
      <c r="R643" t="str">
        <f t="shared" ref="R643:R706" si="270">IF(Q643=0,"Nunca",IF(Q643=1,"A veces",IF(Q643=2,"Usualmente","Siempre")))</f>
        <v>Usualmente</v>
      </c>
      <c r="S643">
        <v>0</v>
      </c>
      <c r="T643" t="str">
        <f t="shared" ref="T643:T706" si="271">IF(S643=1,"Fuma","No fuma")</f>
        <v>No fuma</v>
      </c>
      <c r="U643">
        <v>1954889</v>
      </c>
      <c r="V643">
        <f t="shared" ref="V643:V706" si="272">IF(U643=1,U643,IF(U643=2,U643,IF(AND(U643&gt;=3,U643&lt;3000000),2)))</f>
        <v>2</v>
      </c>
      <c r="W643" t="str">
        <f t="shared" ref="W643:W706" si="273">IF(V643=0,"Nunca",IF(V643=1,"Usualmente","Siempre"))</f>
        <v>Siempre</v>
      </c>
      <c r="X643">
        <v>0</v>
      </c>
      <c r="Y643" t="str">
        <f t="shared" ref="Y643:Y706" si="274">IF(X643=1,"Controla","No controla")</f>
        <v>No controla</v>
      </c>
      <c r="Z643">
        <v>0</v>
      </c>
      <c r="AA643">
        <f t="shared" ref="AA643:AA706" si="275">IF(Z643=0,Z643,IF(Z643=1,Z643,IF(Z643=2,Z643,IF(Z643=3,Z643,IF(AND(Z643&gt;3,Z643&lt;300000),2,IF(AND(Z643&gt;300000,Z643&lt;3000000),3,IF(AND(Z643&gt;0,Z643&lt;1),0)))))))</f>
        <v>0</v>
      </c>
      <c r="AB643" t="str">
        <f t="shared" ref="AB643:AB706" si="276">IF(AA643=0,"Nunca",IF(AA643=1,"A veces",IF(AA643=2,"Usualmente","Siempre")))</f>
        <v>Nunca</v>
      </c>
      <c r="AC643">
        <v>0.90786800000000001</v>
      </c>
      <c r="AD643">
        <f t="shared" ref="AD643:AD706" si="277">IF(AC643= 0,AC643,IF(AC643=1,AC643,IF(AC643=2,AC643,IF(AND(AC643&gt;2,AC643&lt;200000),1,IF(AND(AC643&gt;200000,AC643&lt;2000000),2,IF(AND(AC643&gt;0,AC643&lt;1),0))))))</f>
        <v>0</v>
      </c>
      <c r="AE643" t="str">
        <f t="shared" ref="AE643:AE706" si="278">IF(AD643=0,"Nunca",IF(AD643=1,"Usualmente","Siempre"))</f>
        <v>Nunca</v>
      </c>
      <c r="AF643">
        <v>1</v>
      </c>
      <c r="AG643" t="str">
        <f t="shared" ref="AG643:AG706" si="279">IF(AF643=0,"Nunca",IF(AF643=1,"A veces",IF(AF643=2,"Usualmente","Siempre")))</f>
        <v>A veces</v>
      </c>
      <c r="AH643">
        <v>0</v>
      </c>
      <c r="AI643" t="str">
        <f t="shared" ref="AI643:AI706" si="280">IF(AH643=1,"Usa auto","No usa")</f>
        <v>No usa</v>
      </c>
      <c r="AJ643">
        <v>0</v>
      </c>
      <c r="AK643" t="str">
        <f t="shared" ref="AK643:AK706" si="281">IF(AJ643=1,"Usa Bici","No usa")</f>
        <v>No usa</v>
      </c>
      <c r="AL643">
        <v>0</v>
      </c>
      <c r="AM643" t="str">
        <f t="shared" ref="AM643:AM706" si="282">IF(AL643=1,"Usa Moto","No usa")</f>
        <v>No usa</v>
      </c>
      <c r="AN643">
        <v>1</v>
      </c>
      <c r="AO643" t="str">
        <f t="shared" ref="AO643:AO706" si="283">IF(AN643=1,"Usa Transporte","No usa")</f>
        <v>Usa Transporte</v>
      </c>
      <c r="AP643">
        <v>0</v>
      </c>
      <c r="AQ643" t="str">
        <f t="shared" ref="AQ643:AQ706" si="284">IF(AP643=1,"Camina","No camina")</f>
        <v>No camina</v>
      </c>
      <c r="AR643">
        <v>0</v>
      </c>
      <c r="AS643" t="str">
        <f t="shared" ref="AS643:AS706" si="285">IF(AR643=1,"Es Obeso","No es obeso")</f>
        <v>No es obeso</v>
      </c>
    </row>
    <row r="644" spans="1:45" x14ac:dyDescent="0.25">
      <c r="A644">
        <v>1</v>
      </c>
      <c r="B644" t="str">
        <f t="shared" si="260"/>
        <v>M</v>
      </c>
      <c r="C644">
        <v>18</v>
      </c>
      <c r="D644">
        <f t="shared" si="261"/>
        <v>18</v>
      </c>
      <c r="E644">
        <f t="shared" si="262"/>
        <v>18</v>
      </c>
      <c r="F644" t="str">
        <f t="shared" si="263"/>
        <v>1-25</v>
      </c>
      <c r="G644">
        <v>1</v>
      </c>
      <c r="H644" t="str">
        <f t="shared" si="264"/>
        <v>Pariente gordo</v>
      </c>
      <c r="I644">
        <v>1</v>
      </c>
      <c r="J644" t="str">
        <f t="shared" si="265"/>
        <v>Hipercaloricos</v>
      </c>
      <c r="K644">
        <v>1950742</v>
      </c>
      <c r="L644">
        <f t="shared" si="266"/>
        <v>1</v>
      </c>
      <c r="M644" t="str">
        <f t="shared" si="267"/>
        <v>Suele comer</v>
      </c>
      <c r="N644">
        <v>3</v>
      </c>
      <c r="O644">
        <f t="shared" si="268"/>
        <v>2</v>
      </c>
      <c r="P644" t="str">
        <f t="shared" si="269"/>
        <v>Mas de 3</v>
      </c>
      <c r="Q644">
        <v>1</v>
      </c>
      <c r="R644" t="str">
        <f t="shared" si="270"/>
        <v>A veces</v>
      </c>
      <c r="S644">
        <v>0</v>
      </c>
      <c r="T644" t="str">
        <f t="shared" si="271"/>
        <v>No fuma</v>
      </c>
      <c r="U644">
        <v>1751723</v>
      </c>
      <c r="V644">
        <f t="shared" si="272"/>
        <v>2</v>
      </c>
      <c r="W644" t="str">
        <f t="shared" si="273"/>
        <v>Siempre</v>
      </c>
      <c r="X644">
        <v>0</v>
      </c>
      <c r="Y644" t="str">
        <f t="shared" si="274"/>
        <v>No controla</v>
      </c>
      <c r="Z644">
        <v>0.20113600000000001</v>
      </c>
      <c r="AA644">
        <f t="shared" si="275"/>
        <v>0</v>
      </c>
      <c r="AB644" t="str">
        <f t="shared" si="276"/>
        <v>Nunca</v>
      </c>
      <c r="AC644">
        <v>1743319</v>
      </c>
      <c r="AD644">
        <f t="shared" si="277"/>
        <v>2</v>
      </c>
      <c r="AE644" t="str">
        <f t="shared" si="278"/>
        <v>Siempre</v>
      </c>
      <c r="AF644">
        <v>1</v>
      </c>
      <c r="AG644" t="str">
        <f t="shared" si="279"/>
        <v>A veces</v>
      </c>
      <c r="AH644">
        <v>0</v>
      </c>
      <c r="AI644" t="str">
        <f t="shared" si="280"/>
        <v>No usa</v>
      </c>
      <c r="AJ644">
        <v>0</v>
      </c>
      <c r="AK644" t="str">
        <f t="shared" si="281"/>
        <v>No usa</v>
      </c>
      <c r="AL644">
        <v>0</v>
      </c>
      <c r="AM644" t="str">
        <f t="shared" si="282"/>
        <v>No usa</v>
      </c>
      <c r="AN644">
        <v>1</v>
      </c>
      <c r="AO644" t="str">
        <f t="shared" si="283"/>
        <v>Usa Transporte</v>
      </c>
      <c r="AP644">
        <v>0</v>
      </c>
      <c r="AQ644" t="str">
        <f t="shared" si="284"/>
        <v>No camina</v>
      </c>
      <c r="AR644">
        <v>0</v>
      </c>
      <c r="AS644" t="str">
        <f t="shared" si="285"/>
        <v>No es obeso</v>
      </c>
    </row>
    <row r="645" spans="1:45" x14ac:dyDescent="0.25">
      <c r="A645">
        <v>1</v>
      </c>
      <c r="B645" t="str">
        <f t="shared" si="260"/>
        <v>M</v>
      </c>
      <c r="C645">
        <v>1996247</v>
      </c>
      <c r="D645">
        <f t="shared" si="261"/>
        <v>5</v>
      </c>
      <c r="E645">
        <f t="shared" si="262"/>
        <v>5</v>
      </c>
      <c r="F645" t="str">
        <f t="shared" si="263"/>
        <v>1-25</v>
      </c>
      <c r="G645">
        <v>1</v>
      </c>
      <c r="H645" t="str">
        <f t="shared" si="264"/>
        <v>Pariente gordo</v>
      </c>
      <c r="I645">
        <v>1</v>
      </c>
      <c r="J645" t="str">
        <f t="shared" si="265"/>
        <v>Hipercaloricos</v>
      </c>
      <c r="K645">
        <v>2277436</v>
      </c>
      <c r="L645">
        <f t="shared" si="266"/>
        <v>1</v>
      </c>
      <c r="M645" t="str">
        <f t="shared" si="267"/>
        <v>Suele comer</v>
      </c>
      <c r="N645">
        <v>3502604</v>
      </c>
      <c r="O645">
        <f t="shared" si="268"/>
        <v>2</v>
      </c>
      <c r="P645" t="str">
        <f t="shared" si="269"/>
        <v>Mas de 3</v>
      </c>
      <c r="Q645">
        <v>1</v>
      </c>
      <c r="R645" t="str">
        <f t="shared" si="270"/>
        <v>A veces</v>
      </c>
      <c r="S645">
        <v>0</v>
      </c>
      <c r="T645" t="str">
        <f t="shared" si="271"/>
        <v>No fuma</v>
      </c>
      <c r="U645">
        <v>2891713</v>
      </c>
      <c r="V645">
        <f t="shared" si="272"/>
        <v>2</v>
      </c>
      <c r="W645" t="str">
        <f t="shared" si="273"/>
        <v>Siempre</v>
      </c>
      <c r="X645">
        <v>0</v>
      </c>
      <c r="Y645" t="str">
        <f t="shared" si="274"/>
        <v>No controla</v>
      </c>
      <c r="Z645">
        <v>1696294</v>
      </c>
      <c r="AA645">
        <f t="shared" si="275"/>
        <v>3</v>
      </c>
      <c r="AB645" t="str">
        <f t="shared" si="276"/>
        <v>Siempre</v>
      </c>
      <c r="AC645">
        <v>1894902</v>
      </c>
      <c r="AD645">
        <f t="shared" si="277"/>
        <v>2</v>
      </c>
      <c r="AE645" t="str">
        <f t="shared" si="278"/>
        <v>Siempre</v>
      </c>
      <c r="AF645">
        <v>0</v>
      </c>
      <c r="AG645" t="str">
        <f t="shared" si="279"/>
        <v>Nunca</v>
      </c>
      <c r="AH645">
        <v>0</v>
      </c>
      <c r="AI645" t="str">
        <f t="shared" si="280"/>
        <v>No usa</v>
      </c>
      <c r="AJ645">
        <v>0</v>
      </c>
      <c r="AK645" t="str">
        <f t="shared" si="281"/>
        <v>No usa</v>
      </c>
      <c r="AL645">
        <v>0</v>
      </c>
      <c r="AM645" t="str">
        <f t="shared" si="282"/>
        <v>No usa</v>
      </c>
      <c r="AN645">
        <v>1</v>
      </c>
      <c r="AO645" t="str">
        <f t="shared" si="283"/>
        <v>Usa Transporte</v>
      </c>
      <c r="AP645">
        <v>0</v>
      </c>
      <c r="AQ645" t="str">
        <f t="shared" si="284"/>
        <v>No camina</v>
      </c>
      <c r="AR645">
        <v>0</v>
      </c>
      <c r="AS645" t="str">
        <f t="shared" si="285"/>
        <v>No es obeso</v>
      </c>
    </row>
    <row r="646" spans="1:45" x14ac:dyDescent="0.25">
      <c r="A646">
        <v>1</v>
      </c>
      <c r="B646" t="str">
        <f t="shared" si="260"/>
        <v>M</v>
      </c>
      <c r="C646">
        <v>17580627</v>
      </c>
      <c r="D646">
        <f t="shared" si="261"/>
        <v>48</v>
      </c>
      <c r="E646">
        <f t="shared" si="262"/>
        <v>48</v>
      </c>
      <c r="F646" t="str">
        <f t="shared" si="263"/>
        <v>25-50</v>
      </c>
      <c r="G646">
        <v>1</v>
      </c>
      <c r="H646" t="str">
        <f t="shared" si="264"/>
        <v>Pariente gordo</v>
      </c>
      <c r="I646">
        <v>1</v>
      </c>
      <c r="J646" t="str">
        <f t="shared" si="265"/>
        <v>Hipercaloricos</v>
      </c>
      <c r="K646">
        <v>2</v>
      </c>
      <c r="L646">
        <f t="shared" si="266"/>
        <v>1</v>
      </c>
      <c r="M646" t="str">
        <f t="shared" si="267"/>
        <v>Suele comer</v>
      </c>
      <c r="N646">
        <v>4</v>
      </c>
      <c r="O646">
        <f t="shared" si="268"/>
        <v>2</v>
      </c>
      <c r="P646" t="str">
        <f t="shared" si="269"/>
        <v>Mas de 3</v>
      </c>
      <c r="Q646">
        <v>1</v>
      </c>
      <c r="R646" t="str">
        <f t="shared" si="270"/>
        <v>A veces</v>
      </c>
      <c r="S646">
        <v>0</v>
      </c>
      <c r="T646" t="str">
        <f t="shared" si="271"/>
        <v>No fuma</v>
      </c>
      <c r="U646">
        <v>2369627</v>
      </c>
      <c r="V646">
        <f t="shared" si="272"/>
        <v>2</v>
      </c>
      <c r="W646" t="str">
        <f t="shared" si="273"/>
        <v>Siempre</v>
      </c>
      <c r="X646">
        <v>0</v>
      </c>
      <c r="Y646" t="str">
        <f t="shared" si="274"/>
        <v>No controla</v>
      </c>
      <c r="Z646">
        <v>2</v>
      </c>
      <c r="AA646">
        <f t="shared" si="275"/>
        <v>2</v>
      </c>
      <c r="AB646" t="str">
        <f t="shared" si="276"/>
        <v>Usualmente</v>
      </c>
      <c r="AC646">
        <v>1612466</v>
      </c>
      <c r="AD646">
        <f t="shared" si="277"/>
        <v>2</v>
      </c>
      <c r="AE646" t="str">
        <f t="shared" si="278"/>
        <v>Siempre</v>
      </c>
      <c r="AF646">
        <v>0</v>
      </c>
      <c r="AG646" t="str">
        <f t="shared" si="279"/>
        <v>Nunca</v>
      </c>
      <c r="AH646">
        <v>1</v>
      </c>
      <c r="AI646" t="str">
        <f t="shared" si="280"/>
        <v>Usa auto</v>
      </c>
      <c r="AJ646">
        <v>0</v>
      </c>
      <c r="AK646" t="str">
        <f t="shared" si="281"/>
        <v>No usa</v>
      </c>
      <c r="AL646">
        <v>0</v>
      </c>
      <c r="AM646" t="str">
        <f t="shared" si="282"/>
        <v>No usa</v>
      </c>
      <c r="AN646">
        <v>0</v>
      </c>
      <c r="AO646" t="str">
        <f t="shared" si="283"/>
        <v>No usa</v>
      </c>
      <c r="AP646">
        <v>0</v>
      </c>
      <c r="AQ646" t="str">
        <f t="shared" si="284"/>
        <v>No camina</v>
      </c>
      <c r="AR646">
        <v>0</v>
      </c>
      <c r="AS646" t="str">
        <f t="shared" si="285"/>
        <v>No es obeso</v>
      </c>
    </row>
    <row r="647" spans="1:45" x14ac:dyDescent="0.25">
      <c r="A647">
        <v>0</v>
      </c>
      <c r="B647" t="str">
        <f t="shared" si="260"/>
        <v>F</v>
      </c>
      <c r="C647">
        <v>21125098</v>
      </c>
      <c r="D647">
        <f t="shared" si="261"/>
        <v>57</v>
      </c>
      <c r="E647">
        <f t="shared" si="262"/>
        <v>57</v>
      </c>
      <c r="F647" t="str">
        <f t="shared" si="263"/>
        <v>50-75</v>
      </c>
      <c r="G647">
        <v>1</v>
      </c>
      <c r="H647" t="str">
        <f t="shared" si="264"/>
        <v>Pariente gordo</v>
      </c>
      <c r="I647">
        <v>1</v>
      </c>
      <c r="J647" t="str">
        <f t="shared" si="265"/>
        <v>Hipercaloricos</v>
      </c>
      <c r="K647">
        <v>2371338</v>
      </c>
      <c r="L647">
        <f t="shared" si="266"/>
        <v>1</v>
      </c>
      <c r="M647" t="str">
        <f t="shared" si="267"/>
        <v>Suele comer</v>
      </c>
      <c r="N647">
        <v>3998766</v>
      </c>
      <c r="O647">
        <f t="shared" si="268"/>
        <v>2</v>
      </c>
      <c r="P647" t="str">
        <f t="shared" si="269"/>
        <v>Mas de 3</v>
      </c>
      <c r="Q647">
        <v>2</v>
      </c>
      <c r="R647" t="str">
        <f t="shared" si="270"/>
        <v>Usualmente</v>
      </c>
      <c r="S647">
        <v>0</v>
      </c>
      <c r="T647" t="str">
        <f t="shared" si="271"/>
        <v>No fuma</v>
      </c>
      <c r="U647">
        <v>2263466</v>
      </c>
      <c r="V647">
        <f t="shared" si="272"/>
        <v>2</v>
      </c>
      <c r="W647" t="str">
        <f t="shared" si="273"/>
        <v>Siempre</v>
      </c>
      <c r="X647">
        <v>0</v>
      </c>
      <c r="Y647" t="str">
        <f t="shared" si="274"/>
        <v>No controla</v>
      </c>
      <c r="Z647">
        <v>2</v>
      </c>
      <c r="AA647">
        <f t="shared" si="275"/>
        <v>2</v>
      </c>
      <c r="AB647" t="str">
        <f t="shared" si="276"/>
        <v>Usualmente</v>
      </c>
      <c r="AC647">
        <v>0.84400399999999998</v>
      </c>
      <c r="AD647">
        <f t="shared" si="277"/>
        <v>0</v>
      </c>
      <c r="AE647" t="str">
        <f t="shared" si="278"/>
        <v>Nunca</v>
      </c>
      <c r="AF647">
        <v>0</v>
      </c>
      <c r="AG647" t="str">
        <f t="shared" si="279"/>
        <v>Nunca</v>
      </c>
      <c r="AH647">
        <v>0</v>
      </c>
      <c r="AI647" t="str">
        <f t="shared" si="280"/>
        <v>No usa</v>
      </c>
      <c r="AJ647">
        <v>0</v>
      </c>
      <c r="AK647" t="str">
        <f t="shared" si="281"/>
        <v>No usa</v>
      </c>
      <c r="AL647">
        <v>0</v>
      </c>
      <c r="AM647" t="str">
        <f t="shared" si="282"/>
        <v>No usa</v>
      </c>
      <c r="AN647">
        <v>1</v>
      </c>
      <c r="AO647" t="str">
        <f t="shared" si="283"/>
        <v>Usa Transporte</v>
      </c>
      <c r="AP647">
        <v>0</v>
      </c>
      <c r="AQ647" t="str">
        <f t="shared" si="284"/>
        <v>No camina</v>
      </c>
      <c r="AR647">
        <v>0</v>
      </c>
      <c r="AS647" t="str">
        <f t="shared" si="285"/>
        <v>No es obeso</v>
      </c>
    </row>
    <row r="648" spans="1:45" x14ac:dyDescent="0.25">
      <c r="A648">
        <v>0</v>
      </c>
      <c r="B648" t="str">
        <f t="shared" si="260"/>
        <v>F</v>
      </c>
      <c r="C648">
        <v>22033129</v>
      </c>
      <c r="D648">
        <f t="shared" si="261"/>
        <v>60</v>
      </c>
      <c r="E648">
        <f t="shared" si="262"/>
        <v>60</v>
      </c>
      <c r="F648" t="str">
        <f t="shared" si="263"/>
        <v>50-75</v>
      </c>
      <c r="G648">
        <v>1</v>
      </c>
      <c r="H648" t="str">
        <f t="shared" si="264"/>
        <v>Pariente gordo</v>
      </c>
      <c r="I648">
        <v>1</v>
      </c>
      <c r="J648" t="str">
        <f t="shared" si="265"/>
        <v>Hipercaloricos</v>
      </c>
      <c r="K648">
        <v>2984425</v>
      </c>
      <c r="L648">
        <f t="shared" si="266"/>
        <v>1</v>
      </c>
      <c r="M648" t="str">
        <f t="shared" si="267"/>
        <v>Suele comer</v>
      </c>
      <c r="N648">
        <v>3</v>
      </c>
      <c r="O648">
        <f t="shared" si="268"/>
        <v>2</v>
      </c>
      <c r="P648" t="str">
        <f t="shared" si="269"/>
        <v>Mas de 3</v>
      </c>
      <c r="Q648">
        <v>2</v>
      </c>
      <c r="R648" t="str">
        <f t="shared" si="270"/>
        <v>Usualmente</v>
      </c>
      <c r="S648">
        <v>0</v>
      </c>
      <c r="T648" t="str">
        <f t="shared" si="271"/>
        <v>No fuma</v>
      </c>
      <c r="U648">
        <v>2044694</v>
      </c>
      <c r="V648">
        <f t="shared" si="272"/>
        <v>2</v>
      </c>
      <c r="W648" t="str">
        <f t="shared" si="273"/>
        <v>Siempre</v>
      </c>
      <c r="X648">
        <v>0</v>
      </c>
      <c r="Y648" t="str">
        <f t="shared" si="274"/>
        <v>No controla</v>
      </c>
      <c r="Z648">
        <v>2008256</v>
      </c>
      <c r="AA648">
        <f t="shared" si="275"/>
        <v>3</v>
      </c>
      <c r="AB648" t="str">
        <f t="shared" si="276"/>
        <v>Siempre</v>
      </c>
      <c r="AC648">
        <v>1250871</v>
      </c>
      <c r="AD648">
        <f t="shared" si="277"/>
        <v>2</v>
      </c>
      <c r="AE648" t="str">
        <f t="shared" si="278"/>
        <v>Siempre</v>
      </c>
      <c r="AF648">
        <v>0</v>
      </c>
      <c r="AG648" t="str">
        <f t="shared" si="279"/>
        <v>Nunca</v>
      </c>
      <c r="AH648">
        <v>0</v>
      </c>
      <c r="AI648" t="str">
        <f t="shared" si="280"/>
        <v>No usa</v>
      </c>
      <c r="AJ648">
        <v>0</v>
      </c>
      <c r="AK648" t="str">
        <f t="shared" si="281"/>
        <v>No usa</v>
      </c>
      <c r="AL648">
        <v>0</v>
      </c>
      <c r="AM648" t="str">
        <f t="shared" si="282"/>
        <v>No usa</v>
      </c>
      <c r="AN648">
        <v>1</v>
      </c>
      <c r="AO648" t="str">
        <f t="shared" si="283"/>
        <v>Usa Transporte</v>
      </c>
      <c r="AP648">
        <v>0</v>
      </c>
      <c r="AQ648" t="str">
        <f t="shared" si="284"/>
        <v>No camina</v>
      </c>
      <c r="AR648">
        <v>0</v>
      </c>
      <c r="AS648" t="str">
        <f t="shared" si="285"/>
        <v>No es obeso</v>
      </c>
    </row>
    <row r="649" spans="1:45" x14ac:dyDescent="0.25">
      <c r="A649">
        <v>0</v>
      </c>
      <c r="B649" t="str">
        <f t="shared" si="260"/>
        <v>F</v>
      </c>
      <c r="C649">
        <v>20744839</v>
      </c>
      <c r="D649">
        <f t="shared" si="261"/>
        <v>56</v>
      </c>
      <c r="E649">
        <f t="shared" si="262"/>
        <v>56</v>
      </c>
      <c r="F649" t="str">
        <f t="shared" si="263"/>
        <v>50-75</v>
      </c>
      <c r="G649">
        <v>1</v>
      </c>
      <c r="H649" t="str">
        <f t="shared" si="264"/>
        <v>Pariente gordo</v>
      </c>
      <c r="I649">
        <v>1</v>
      </c>
      <c r="J649" t="str">
        <f t="shared" si="265"/>
        <v>Hipercaloricos</v>
      </c>
      <c r="K649">
        <v>2977018</v>
      </c>
      <c r="L649">
        <f t="shared" si="266"/>
        <v>1</v>
      </c>
      <c r="M649" t="str">
        <f t="shared" si="267"/>
        <v>Suele comer</v>
      </c>
      <c r="N649">
        <v>3193671</v>
      </c>
      <c r="O649">
        <f t="shared" si="268"/>
        <v>2</v>
      </c>
      <c r="P649" t="str">
        <f t="shared" si="269"/>
        <v>Mas de 3</v>
      </c>
      <c r="Q649">
        <v>2</v>
      </c>
      <c r="R649" t="str">
        <f t="shared" si="270"/>
        <v>Usualmente</v>
      </c>
      <c r="S649">
        <v>0</v>
      </c>
      <c r="T649" t="str">
        <f t="shared" si="271"/>
        <v>No fuma</v>
      </c>
      <c r="U649">
        <v>2482933</v>
      </c>
      <c r="V649">
        <f t="shared" si="272"/>
        <v>2</v>
      </c>
      <c r="W649" t="str">
        <f t="shared" si="273"/>
        <v>Siempre</v>
      </c>
      <c r="X649">
        <v>0</v>
      </c>
      <c r="Y649" t="str">
        <f t="shared" si="274"/>
        <v>No controla</v>
      </c>
      <c r="Z649">
        <v>2</v>
      </c>
      <c r="AA649">
        <f t="shared" si="275"/>
        <v>2</v>
      </c>
      <c r="AB649" t="str">
        <f t="shared" si="276"/>
        <v>Usualmente</v>
      </c>
      <c r="AC649">
        <v>1</v>
      </c>
      <c r="AD649">
        <f t="shared" si="277"/>
        <v>1</v>
      </c>
      <c r="AE649" t="str">
        <f t="shared" si="278"/>
        <v>Usualmente</v>
      </c>
      <c r="AF649">
        <v>0</v>
      </c>
      <c r="AG649" t="str">
        <f t="shared" si="279"/>
        <v>Nunca</v>
      </c>
      <c r="AH649">
        <v>0</v>
      </c>
      <c r="AI649" t="str">
        <f t="shared" si="280"/>
        <v>No usa</v>
      </c>
      <c r="AJ649">
        <v>0</v>
      </c>
      <c r="AK649" t="str">
        <f t="shared" si="281"/>
        <v>No usa</v>
      </c>
      <c r="AL649">
        <v>0</v>
      </c>
      <c r="AM649" t="str">
        <f t="shared" si="282"/>
        <v>No usa</v>
      </c>
      <c r="AN649">
        <v>1</v>
      </c>
      <c r="AO649" t="str">
        <f t="shared" si="283"/>
        <v>Usa Transporte</v>
      </c>
      <c r="AP649">
        <v>0</v>
      </c>
      <c r="AQ649" t="str">
        <f t="shared" si="284"/>
        <v>No camina</v>
      </c>
      <c r="AR649">
        <v>0</v>
      </c>
      <c r="AS649" t="str">
        <f t="shared" si="285"/>
        <v>No es obeso</v>
      </c>
    </row>
    <row r="650" spans="1:45" x14ac:dyDescent="0.25">
      <c r="A650">
        <v>0</v>
      </c>
      <c r="B650" t="str">
        <f t="shared" si="260"/>
        <v>F</v>
      </c>
      <c r="C650">
        <v>22547298</v>
      </c>
      <c r="D650">
        <f t="shared" si="261"/>
        <v>61</v>
      </c>
      <c r="E650">
        <f t="shared" si="262"/>
        <v>61</v>
      </c>
      <c r="F650" t="str">
        <f t="shared" si="263"/>
        <v>50-75</v>
      </c>
      <c r="G650">
        <v>1</v>
      </c>
      <c r="H650" t="str">
        <f t="shared" si="264"/>
        <v>Pariente gordo</v>
      </c>
      <c r="I650">
        <v>1</v>
      </c>
      <c r="J650" t="str">
        <f t="shared" si="265"/>
        <v>Hipercaloricos</v>
      </c>
      <c r="K650">
        <v>2663421</v>
      </c>
      <c r="L650">
        <f t="shared" si="266"/>
        <v>1</v>
      </c>
      <c r="M650" t="str">
        <f t="shared" si="267"/>
        <v>Suele comer</v>
      </c>
      <c r="N650">
        <v>3</v>
      </c>
      <c r="O650">
        <f t="shared" si="268"/>
        <v>2</v>
      </c>
      <c r="P650" t="str">
        <f t="shared" si="269"/>
        <v>Mas de 3</v>
      </c>
      <c r="Q650">
        <v>2</v>
      </c>
      <c r="R650" t="str">
        <f t="shared" si="270"/>
        <v>Usualmente</v>
      </c>
      <c r="S650">
        <v>0</v>
      </c>
      <c r="T650" t="str">
        <f t="shared" si="271"/>
        <v>No fuma</v>
      </c>
      <c r="U650">
        <v>104111</v>
      </c>
      <c r="V650">
        <f t="shared" si="272"/>
        <v>2</v>
      </c>
      <c r="W650" t="str">
        <f t="shared" si="273"/>
        <v>Siempre</v>
      </c>
      <c r="X650">
        <v>0</v>
      </c>
      <c r="Y650" t="str">
        <f t="shared" si="274"/>
        <v>No controla</v>
      </c>
      <c r="Z650">
        <v>0.79440200000000005</v>
      </c>
      <c r="AA650">
        <f t="shared" si="275"/>
        <v>0</v>
      </c>
      <c r="AB650" t="str">
        <f t="shared" si="276"/>
        <v>Nunca</v>
      </c>
      <c r="AC650">
        <v>1391948</v>
      </c>
      <c r="AD650">
        <f t="shared" si="277"/>
        <v>2</v>
      </c>
      <c r="AE650" t="str">
        <f t="shared" si="278"/>
        <v>Siempre</v>
      </c>
      <c r="AF650">
        <v>0</v>
      </c>
      <c r="AG650" t="str">
        <f t="shared" si="279"/>
        <v>Nunca</v>
      </c>
      <c r="AH650">
        <v>0</v>
      </c>
      <c r="AI650" t="str">
        <f t="shared" si="280"/>
        <v>No usa</v>
      </c>
      <c r="AJ650">
        <v>0</v>
      </c>
      <c r="AK650" t="str">
        <f t="shared" si="281"/>
        <v>No usa</v>
      </c>
      <c r="AL650">
        <v>0</v>
      </c>
      <c r="AM650" t="str">
        <f t="shared" si="282"/>
        <v>No usa</v>
      </c>
      <c r="AN650">
        <v>1</v>
      </c>
      <c r="AO650" t="str">
        <f t="shared" si="283"/>
        <v>Usa Transporte</v>
      </c>
      <c r="AP650">
        <v>0</v>
      </c>
      <c r="AQ650" t="str">
        <f t="shared" si="284"/>
        <v>No camina</v>
      </c>
      <c r="AR650">
        <v>0</v>
      </c>
      <c r="AS650" t="str">
        <f t="shared" si="285"/>
        <v>No es obeso</v>
      </c>
    </row>
    <row r="651" spans="1:45" x14ac:dyDescent="0.25">
      <c r="A651">
        <v>0</v>
      </c>
      <c r="B651" t="str">
        <f t="shared" si="260"/>
        <v>F</v>
      </c>
      <c r="C651">
        <v>21837996</v>
      </c>
      <c r="D651">
        <f t="shared" si="261"/>
        <v>59</v>
      </c>
      <c r="E651">
        <f t="shared" si="262"/>
        <v>59</v>
      </c>
      <c r="F651" t="str">
        <f t="shared" si="263"/>
        <v>50-75</v>
      </c>
      <c r="G651">
        <v>0</v>
      </c>
      <c r="H651" t="str">
        <f t="shared" si="264"/>
        <v>Pariente normal</v>
      </c>
      <c r="I651">
        <v>0</v>
      </c>
      <c r="J651" t="str">
        <f t="shared" si="265"/>
        <v>Saludables</v>
      </c>
      <c r="K651">
        <v>3</v>
      </c>
      <c r="L651">
        <f t="shared" si="266"/>
        <v>1</v>
      </c>
      <c r="M651" t="str">
        <f t="shared" si="267"/>
        <v>Suele comer</v>
      </c>
      <c r="N651">
        <v>169608</v>
      </c>
      <c r="O651">
        <f t="shared" si="268"/>
        <v>2</v>
      </c>
      <c r="P651" t="str">
        <f t="shared" si="269"/>
        <v>Mas de 3</v>
      </c>
      <c r="Q651">
        <v>2</v>
      </c>
      <c r="R651" t="str">
        <f t="shared" si="270"/>
        <v>Usualmente</v>
      </c>
      <c r="S651">
        <v>0</v>
      </c>
      <c r="T651" t="str">
        <f t="shared" si="271"/>
        <v>No fuma</v>
      </c>
      <c r="U651">
        <v>2550307</v>
      </c>
      <c r="V651">
        <f t="shared" si="272"/>
        <v>2</v>
      </c>
      <c r="W651" t="str">
        <f t="shared" si="273"/>
        <v>Siempre</v>
      </c>
      <c r="X651">
        <v>0</v>
      </c>
      <c r="Y651" t="str">
        <f t="shared" si="274"/>
        <v>No controla</v>
      </c>
      <c r="Z651">
        <v>1098862</v>
      </c>
      <c r="AA651">
        <f t="shared" si="275"/>
        <v>3</v>
      </c>
      <c r="AB651" t="str">
        <f t="shared" si="276"/>
        <v>Siempre</v>
      </c>
      <c r="AC651">
        <v>0</v>
      </c>
      <c r="AD651">
        <f t="shared" si="277"/>
        <v>0</v>
      </c>
      <c r="AE651" t="str">
        <f t="shared" si="278"/>
        <v>Nunca</v>
      </c>
      <c r="AF651">
        <v>0</v>
      </c>
      <c r="AG651" t="str">
        <f t="shared" si="279"/>
        <v>Nunca</v>
      </c>
      <c r="AH651">
        <v>0</v>
      </c>
      <c r="AI651" t="str">
        <f t="shared" si="280"/>
        <v>No usa</v>
      </c>
      <c r="AJ651">
        <v>0</v>
      </c>
      <c r="AK651" t="str">
        <f t="shared" si="281"/>
        <v>No usa</v>
      </c>
      <c r="AL651">
        <v>0</v>
      </c>
      <c r="AM651" t="str">
        <f t="shared" si="282"/>
        <v>No usa</v>
      </c>
      <c r="AN651">
        <v>1</v>
      </c>
      <c r="AO651" t="str">
        <f t="shared" si="283"/>
        <v>Usa Transporte</v>
      </c>
      <c r="AP651">
        <v>0</v>
      </c>
      <c r="AQ651" t="str">
        <f t="shared" si="284"/>
        <v>No camina</v>
      </c>
      <c r="AR651">
        <v>0</v>
      </c>
      <c r="AS651" t="str">
        <f t="shared" si="285"/>
        <v>No es obeso</v>
      </c>
    </row>
    <row r="652" spans="1:45" x14ac:dyDescent="0.25">
      <c r="A652">
        <v>0</v>
      </c>
      <c r="B652" t="str">
        <f t="shared" si="260"/>
        <v>F</v>
      </c>
      <c r="C652">
        <v>23035829</v>
      </c>
      <c r="D652">
        <f t="shared" si="261"/>
        <v>63</v>
      </c>
      <c r="E652">
        <f t="shared" si="262"/>
        <v>63</v>
      </c>
      <c r="F652" t="str">
        <f t="shared" si="263"/>
        <v>50-75</v>
      </c>
      <c r="G652">
        <v>0</v>
      </c>
      <c r="H652" t="str">
        <f t="shared" si="264"/>
        <v>Pariente normal</v>
      </c>
      <c r="I652">
        <v>0</v>
      </c>
      <c r="J652" t="str">
        <f t="shared" si="265"/>
        <v>Saludables</v>
      </c>
      <c r="K652">
        <v>2753752</v>
      </c>
      <c r="L652">
        <f t="shared" si="266"/>
        <v>1</v>
      </c>
      <c r="M652" t="str">
        <f t="shared" si="267"/>
        <v>Suele comer</v>
      </c>
      <c r="N652">
        <v>2812377</v>
      </c>
      <c r="O652">
        <f t="shared" si="268"/>
        <v>2</v>
      </c>
      <c r="P652" t="str">
        <f t="shared" si="269"/>
        <v>Mas de 3</v>
      </c>
      <c r="Q652">
        <v>2</v>
      </c>
      <c r="R652" t="str">
        <f t="shared" si="270"/>
        <v>Usualmente</v>
      </c>
      <c r="S652">
        <v>0</v>
      </c>
      <c r="T652" t="str">
        <f t="shared" si="271"/>
        <v>No fuma</v>
      </c>
      <c r="U652">
        <v>2346647</v>
      </c>
      <c r="V652">
        <f t="shared" si="272"/>
        <v>2</v>
      </c>
      <c r="W652" t="str">
        <f t="shared" si="273"/>
        <v>Siempre</v>
      </c>
      <c r="X652">
        <v>0</v>
      </c>
      <c r="Y652" t="str">
        <f t="shared" si="274"/>
        <v>No controla</v>
      </c>
      <c r="Z652">
        <v>1612248</v>
      </c>
      <c r="AA652">
        <f t="shared" si="275"/>
        <v>3</v>
      </c>
      <c r="AB652" t="str">
        <f t="shared" si="276"/>
        <v>Siempre</v>
      </c>
      <c r="AC652">
        <v>0</v>
      </c>
      <c r="AD652">
        <f t="shared" si="277"/>
        <v>0</v>
      </c>
      <c r="AE652" t="str">
        <f t="shared" si="278"/>
        <v>Nunca</v>
      </c>
      <c r="AF652">
        <v>0</v>
      </c>
      <c r="AG652" t="str">
        <f t="shared" si="279"/>
        <v>Nunca</v>
      </c>
      <c r="AH652">
        <v>0</v>
      </c>
      <c r="AI652" t="str">
        <f t="shared" si="280"/>
        <v>No usa</v>
      </c>
      <c r="AJ652">
        <v>0</v>
      </c>
      <c r="AK652" t="str">
        <f t="shared" si="281"/>
        <v>No usa</v>
      </c>
      <c r="AL652">
        <v>0</v>
      </c>
      <c r="AM652" t="str">
        <f t="shared" si="282"/>
        <v>No usa</v>
      </c>
      <c r="AN652">
        <v>1</v>
      </c>
      <c r="AO652" t="str">
        <f t="shared" si="283"/>
        <v>Usa Transporte</v>
      </c>
      <c r="AP652">
        <v>0</v>
      </c>
      <c r="AQ652" t="str">
        <f t="shared" si="284"/>
        <v>No camina</v>
      </c>
      <c r="AR652">
        <v>0</v>
      </c>
      <c r="AS652" t="str">
        <f t="shared" si="285"/>
        <v>No es obeso</v>
      </c>
    </row>
    <row r="653" spans="1:45" x14ac:dyDescent="0.25">
      <c r="A653">
        <v>0</v>
      </c>
      <c r="B653" t="str">
        <f t="shared" si="260"/>
        <v>F</v>
      </c>
      <c r="C653">
        <v>21529439</v>
      </c>
      <c r="D653">
        <f t="shared" si="261"/>
        <v>58</v>
      </c>
      <c r="E653">
        <f t="shared" si="262"/>
        <v>58</v>
      </c>
      <c r="F653" t="str">
        <f t="shared" si="263"/>
        <v>50-75</v>
      </c>
      <c r="G653">
        <v>0</v>
      </c>
      <c r="H653" t="str">
        <f t="shared" si="264"/>
        <v>Pariente normal</v>
      </c>
      <c r="I653">
        <v>0</v>
      </c>
      <c r="J653" t="str">
        <f t="shared" si="265"/>
        <v>Saludables</v>
      </c>
      <c r="K653">
        <v>3</v>
      </c>
      <c r="L653">
        <f t="shared" si="266"/>
        <v>1</v>
      </c>
      <c r="M653" t="str">
        <f t="shared" si="267"/>
        <v>Suele comer</v>
      </c>
      <c r="N653">
        <v>1612747</v>
      </c>
      <c r="O653">
        <f t="shared" si="268"/>
        <v>2</v>
      </c>
      <c r="P653" t="str">
        <f t="shared" si="269"/>
        <v>Mas de 3</v>
      </c>
      <c r="Q653">
        <v>2</v>
      </c>
      <c r="R653" t="str">
        <f t="shared" si="270"/>
        <v>Usualmente</v>
      </c>
      <c r="S653">
        <v>0</v>
      </c>
      <c r="T653" t="str">
        <f t="shared" si="271"/>
        <v>No fuma</v>
      </c>
      <c r="U653">
        <v>2566629</v>
      </c>
      <c r="V653">
        <f t="shared" si="272"/>
        <v>2</v>
      </c>
      <c r="W653" t="str">
        <f t="shared" si="273"/>
        <v>Siempre</v>
      </c>
      <c r="X653">
        <v>0</v>
      </c>
      <c r="Y653" t="str">
        <f t="shared" si="274"/>
        <v>No controla</v>
      </c>
      <c r="Z653">
        <v>1190465</v>
      </c>
      <c r="AA653">
        <f t="shared" si="275"/>
        <v>3</v>
      </c>
      <c r="AB653" t="str">
        <f t="shared" si="276"/>
        <v>Siempre</v>
      </c>
      <c r="AC653">
        <v>0</v>
      </c>
      <c r="AD653">
        <f t="shared" si="277"/>
        <v>0</v>
      </c>
      <c r="AE653" t="str">
        <f t="shared" si="278"/>
        <v>Nunca</v>
      </c>
      <c r="AF653">
        <v>0</v>
      </c>
      <c r="AG653" t="str">
        <f t="shared" si="279"/>
        <v>Nunca</v>
      </c>
      <c r="AH653">
        <v>0</v>
      </c>
      <c r="AI653" t="str">
        <f t="shared" si="280"/>
        <v>No usa</v>
      </c>
      <c r="AJ653">
        <v>0</v>
      </c>
      <c r="AK653" t="str">
        <f t="shared" si="281"/>
        <v>No usa</v>
      </c>
      <c r="AL653">
        <v>0</v>
      </c>
      <c r="AM653" t="str">
        <f t="shared" si="282"/>
        <v>No usa</v>
      </c>
      <c r="AN653">
        <v>1</v>
      </c>
      <c r="AO653" t="str">
        <f t="shared" si="283"/>
        <v>Usa Transporte</v>
      </c>
      <c r="AP653">
        <v>0</v>
      </c>
      <c r="AQ653" t="str">
        <f t="shared" si="284"/>
        <v>No camina</v>
      </c>
      <c r="AR653">
        <v>0</v>
      </c>
      <c r="AS653" t="str">
        <f t="shared" si="285"/>
        <v>No es obeso</v>
      </c>
    </row>
    <row r="654" spans="1:45" x14ac:dyDescent="0.25">
      <c r="A654">
        <v>0</v>
      </c>
      <c r="B654" t="str">
        <f t="shared" si="260"/>
        <v>F</v>
      </c>
      <c r="C654">
        <v>21287999</v>
      </c>
      <c r="D654">
        <f t="shared" si="261"/>
        <v>58</v>
      </c>
      <c r="E654">
        <f t="shared" si="262"/>
        <v>58</v>
      </c>
      <c r="F654" t="str">
        <f t="shared" si="263"/>
        <v>50-75</v>
      </c>
      <c r="G654">
        <v>0</v>
      </c>
      <c r="H654" t="str">
        <f t="shared" si="264"/>
        <v>Pariente normal</v>
      </c>
      <c r="I654">
        <v>0</v>
      </c>
      <c r="J654" t="str">
        <f t="shared" si="265"/>
        <v>Saludables</v>
      </c>
      <c r="K654">
        <v>2318355</v>
      </c>
      <c r="L654">
        <f t="shared" si="266"/>
        <v>1</v>
      </c>
      <c r="M654" t="str">
        <f t="shared" si="267"/>
        <v>Suele comer</v>
      </c>
      <c r="N654">
        <v>1082304</v>
      </c>
      <c r="O654">
        <f t="shared" si="268"/>
        <v>2</v>
      </c>
      <c r="P654" t="str">
        <f t="shared" si="269"/>
        <v>Mas de 3</v>
      </c>
      <c r="Q654">
        <v>2</v>
      </c>
      <c r="R654" t="str">
        <f t="shared" si="270"/>
        <v>Usualmente</v>
      </c>
      <c r="S654">
        <v>0</v>
      </c>
      <c r="T654" t="str">
        <f t="shared" si="271"/>
        <v>No fuma</v>
      </c>
      <c r="U654">
        <v>1220365</v>
      </c>
      <c r="V654">
        <f t="shared" si="272"/>
        <v>2</v>
      </c>
      <c r="W654" t="str">
        <f t="shared" si="273"/>
        <v>Siempre</v>
      </c>
      <c r="X654">
        <v>0</v>
      </c>
      <c r="Y654" t="str">
        <f t="shared" si="274"/>
        <v>No controla</v>
      </c>
      <c r="Z654">
        <v>3.3328000000000003E-2</v>
      </c>
      <c r="AA654">
        <f t="shared" si="275"/>
        <v>0</v>
      </c>
      <c r="AB654" t="str">
        <f t="shared" si="276"/>
        <v>Nunca</v>
      </c>
      <c r="AC654">
        <v>0</v>
      </c>
      <c r="AD654">
        <f t="shared" si="277"/>
        <v>0</v>
      </c>
      <c r="AE654" t="str">
        <f t="shared" si="278"/>
        <v>Nunca</v>
      </c>
      <c r="AF654">
        <v>0</v>
      </c>
      <c r="AG654" t="str">
        <f t="shared" si="279"/>
        <v>Nunca</v>
      </c>
      <c r="AH654">
        <v>0</v>
      </c>
      <c r="AI654" t="str">
        <f t="shared" si="280"/>
        <v>No usa</v>
      </c>
      <c r="AJ654">
        <v>0</v>
      </c>
      <c r="AK654" t="str">
        <f t="shared" si="281"/>
        <v>No usa</v>
      </c>
      <c r="AL654">
        <v>0</v>
      </c>
      <c r="AM654" t="str">
        <f t="shared" si="282"/>
        <v>No usa</v>
      </c>
      <c r="AN654">
        <v>1</v>
      </c>
      <c r="AO654" t="str">
        <f t="shared" si="283"/>
        <v>Usa Transporte</v>
      </c>
      <c r="AP654">
        <v>0</v>
      </c>
      <c r="AQ654" t="str">
        <f t="shared" si="284"/>
        <v>No camina</v>
      </c>
      <c r="AR654">
        <v>0</v>
      </c>
      <c r="AS654" t="str">
        <f t="shared" si="285"/>
        <v>No es obeso</v>
      </c>
    </row>
    <row r="655" spans="1:45" x14ac:dyDescent="0.25">
      <c r="A655">
        <v>0</v>
      </c>
      <c r="B655" t="str">
        <f t="shared" si="260"/>
        <v>F</v>
      </c>
      <c r="C655">
        <v>23444286</v>
      </c>
      <c r="D655">
        <f t="shared" si="261"/>
        <v>64</v>
      </c>
      <c r="E655">
        <f t="shared" si="262"/>
        <v>64</v>
      </c>
      <c r="F655" t="str">
        <f t="shared" si="263"/>
        <v>50-75</v>
      </c>
      <c r="G655">
        <v>0</v>
      </c>
      <c r="H655" t="str">
        <f t="shared" si="264"/>
        <v>Pariente normal</v>
      </c>
      <c r="I655">
        <v>0</v>
      </c>
      <c r="J655" t="str">
        <f t="shared" si="265"/>
        <v>Saludables</v>
      </c>
      <c r="K655">
        <v>2594653</v>
      </c>
      <c r="L655">
        <f t="shared" si="266"/>
        <v>1</v>
      </c>
      <c r="M655" t="str">
        <f t="shared" si="267"/>
        <v>Suele comer</v>
      </c>
      <c r="N655">
        <v>1882158</v>
      </c>
      <c r="O655">
        <f t="shared" si="268"/>
        <v>2</v>
      </c>
      <c r="P655" t="str">
        <f t="shared" si="269"/>
        <v>Mas de 3</v>
      </c>
      <c r="Q655">
        <v>2</v>
      </c>
      <c r="R655" t="str">
        <f t="shared" si="270"/>
        <v>Usualmente</v>
      </c>
      <c r="S655">
        <v>0</v>
      </c>
      <c r="T655" t="str">
        <f t="shared" si="271"/>
        <v>No fuma</v>
      </c>
      <c r="U655">
        <v>1916812</v>
      </c>
      <c r="V655">
        <f t="shared" si="272"/>
        <v>2</v>
      </c>
      <c r="W655" t="str">
        <f t="shared" si="273"/>
        <v>Siempre</v>
      </c>
      <c r="X655">
        <v>0</v>
      </c>
      <c r="Y655" t="str">
        <f t="shared" si="274"/>
        <v>No controla</v>
      </c>
      <c r="Z655">
        <v>0.41711900000000002</v>
      </c>
      <c r="AA655">
        <f t="shared" si="275"/>
        <v>0</v>
      </c>
      <c r="AB655" t="str">
        <f t="shared" si="276"/>
        <v>Nunca</v>
      </c>
      <c r="AC655">
        <v>0</v>
      </c>
      <c r="AD655">
        <f t="shared" si="277"/>
        <v>0</v>
      </c>
      <c r="AE655" t="str">
        <f t="shared" si="278"/>
        <v>Nunca</v>
      </c>
      <c r="AF655">
        <v>0</v>
      </c>
      <c r="AG655" t="str">
        <f t="shared" si="279"/>
        <v>Nunca</v>
      </c>
      <c r="AH655">
        <v>0</v>
      </c>
      <c r="AI655" t="str">
        <f t="shared" si="280"/>
        <v>No usa</v>
      </c>
      <c r="AJ655">
        <v>0</v>
      </c>
      <c r="AK655" t="str">
        <f t="shared" si="281"/>
        <v>No usa</v>
      </c>
      <c r="AL655">
        <v>0</v>
      </c>
      <c r="AM655" t="str">
        <f t="shared" si="282"/>
        <v>No usa</v>
      </c>
      <c r="AN655">
        <v>1</v>
      </c>
      <c r="AO655" t="str">
        <f t="shared" si="283"/>
        <v>Usa Transporte</v>
      </c>
      <c r="AP655">
        <v>0</v>
      </c>
      <c r="AQ655" t="str">
        <f t="shared" si="284"/>
        <v>No camina</v>
      </c>
      <c r="AR655">
        <v>0</v>
      </c>
      <c r="AS655" t="str">
        <f t="shared" si="285"/>
        <v>No es obeso</v>
      </c>
    </row>
    <row r="656" spans="1:45" x14ac:dyDescent="0.25">
      <c r="A656">
        <v>0</v>
      </c>
      <c r="B656" t="str">
        <f t="shared" si="260"/>
        <v>F</v>
      </c>
      <c r="C656">
        <v>22329041</v>
      </c>
      <c r="D656">
        <f t="shared" si="261"/>
        <v>61</v>
      </c>
      <c r="E656">
        <f t="shared" si="262"/>
        <v>61</v>
      </c>
      <c r="F656" t="str">
        <f t="shared" si="263"/>
        <v>50-75</v>
      </c>
      <c r="G656">
        <v>0</v>
      </c>
      <c r="H656" t="str">
        <f t="shared" si="264"/>
        <v>Pariente normal</v>
      </c>
      <c r="I656">
        <v>0</v>
      </c>
      <c r="J656" t="str">
        <f t="shared" si="265"/>
        <v>Saludables</v>
      </c>
      <c r="K656">
        <v>2886157</v>
      </c>
      <c r="L656">
        <f t="shared" si="266"/>
        <v>1</v>
      </c>
      <c r="M656" t="str">
        <f t="shared" si="267"/>
        <v>Suele comer</v>
      </c>
      <c r="N656">
        <v>2326233</v>
      </c>
      <c r="O656">
        <f t="shared" si="268"/>
        <v>2</v>
      </c>
      <c r="P656" t="str">
        <f t="shared" si="269"/>
        <v>Mas de 3</v>
      </c>
      <c r="Q656">
        <v>2</v>
      </c>
      <c r="R656" t="str">
        <f t="shared" si="270"/>
        <v>Usualmente</v>
      </c>
      <c r="S656">
        <v>0</v>
      </c>
      <c r="T656" t="str">
        <f t="shared" si="271"/>
        <v>No fuma</v>
      </c>
      <c r="U656">
        <v>2306821</v>
      </c>
      <c r="V656">
        <f t="shared" si="272"/>
        <v>2</v>
      </c>
      <c r="W656" t="str">
        <f t="shared" si="273"/>
        <v>Siempre</v>
      </c>
      <c r="X656">
        <v>0</v>
      </c>
      <c r="Y656" t="str">
        <f t="shared" si="274"/>
        <v>No controla</v>
      </c>
      <c r="Z656">
        <v>142237</v>
      </c>
      <c r="AA656">
        <f t="shared" si="275"/>
        <v>2</v>
      </c>
      <c r="AB656" t="str">
        <f t="shared" si="276"/>
        <v>Usualmente</v>
      </c>
      <c r="AC656">
        <v>0</v>
      </c>
      <c r="AD656">
        <f t="shared" si="277"/>
        <v>0</v>
      </c>
      <c r="AE656" t="str">
        <f t="shared" si="278"/>
        <v>Nunca</v>
      </c>
      <c r="AF656">
        <v>0</v>
      </c>
      <c r="AG656" t="str">
        <f t="shared" si="279"/>
        <v>Nunca</v>
      </c>
      <c r="AH656">
        <v>0</v>
      </c>
      <c r="AI656" t="str">
        <f t="shared" si="280"/>
        <v>No usa</v>
      </c>
      <c r="AJ656">
        <v>0</v>
      </c>
      <c r="AK656" t="str">
        <f t="shared" si="281"/>
        <v>No usa</v>
      </c>
      <c r="AL656">
        <v>0</v>
      </c>
      <c r="AM656" t="str">
        <f t="shared" si="282"/>
        <v>No usa</v>
      </c>
      <c r="AN656">
        <v>1</v>
      </c>
      <c r="AO656" t="str">
        <f t="shared" si="283"/>
        <v>Usa Transporte</v>
      </c>
      <c r="AP656">
        <v>0</v>
      </c>
      <c r="AQ656" t="str">
        <f t="shared" si="284"/>
        <v>No camina</v>
      </c>
      <c r="AR656">
        <v>0</v>
      </c>
      <c r="AS656" t="str">
        <f t="shared" si="285"/>
        <v>No es obeso</v>
      </c>
    </row>
    <row r="657" spans="1:45" x14ac:dyDescent="0.25">
      <c r="A657">
        <v>0</v>
      </c>
      <c r="B657" t="str">
        <f t="shared" si="260"/>
        <v>F</v>
      </c>
      <c r="C657">
        <v>1891505</v>
      </c>
      <c r="D657">
        <f t="shared" si="261"/>
        <v>5</v>
      </c>
      <c r="E657">
        <f t="shared" si="262"/>
        <v>5</v>
      </c>
      <c r="F657" t="str">
        <f t="shared" si="263"/>
        <v>1-25</v>
      </c>
      <c r="G657">
        <v>0</v>
      </c>
      <c r="H657" t="str">
        <f t="shared" si="264"/>
        <v>Pariente normal</v>
      </c>
      <c r="I657">
        <v>1</v>
      </c>
      <c r="J657" t="str">
        <f t="shared" si="265"/>
        <v>Hipercaloricos</v>
      </c>
      <c r="K657">
        <v>3</v>
      </c>
      <c r="L657">
        <f t="shared" si="266"/>
        <v>1</v>
      </c>
      <c r="M657" t="str">
        <f t="shared" si="267"/>
        <v>Suele comer</v>
      </c>
      <c r="N657">
        <v>3</v>
      </c>
      <c r="O657">
        <f t="shared" si="268"/>
        <v>2</v>
      </c>
      <c r="P657" t="str">
        <f t="shared" si="269"/>
        <v>Mas de 3</v>
      </c>
      <c r="Q657">
        <v>1</v>
      </c>
      <c r="R657" t="str">
        <f t="shared" si="270"/>
        <v>A veces</v>
      </c>
      <c r="S657">
        <v>0</v>
      </c>
      <c r="T657" t="str">
        <f t="shared" si="271"/>
        <v>No fuma</v>
      </c>
      <c r="U657">
        <v>2924594</v>
      </c>
      <c r="V657">
        <f t="shared" si="272"/>
        <v>2</v>
      </c>
      <c r="W657" t="str">
        <f t="shared" si="273"/>
        <v>Siempre</v>
      </c>
      <c r="X657">
        <v>1</v>
      </c>
      <c r="Y657" t="str">
        <f t="shared" si="274"/>
        <v>Controla</v>
      </c>
      <c r="Z657">
        <v>1352558</v>
      </c>
      <c r="AA657">
        <f t="shared" si="275"/>
        <v>3</v>
      </c>
      <c r="AB657" t="str">
        <f t="shared" si="276"/>
        <v>Siempre</v>
      </c>
      <c r="AC657">
        <v>0.220087</v>
      </c>
      <c r="AD657">
        <f t="shared" si="277"/>
        <v>0</v>
      </c>
      <c r="AE657" t="str">
        <f t="shared" si="278"/>
        <v>Nunca</v>
      </c>
      <c r="AF657">
        <v>1</v>
      </c>
      <c r="AG657" t="str">
        <f t="shared" si="279"/>
        <v>A veces</v>
      </c>
      <c r="AH657">
        <v>0</v>
      </c>
      <c r="AI657" t="str">
        <f t="shared" si="280"/>
        <v>No usa</v>
      </c>
      <c r="AJ657">
        <v>0</v>
      </c>
      <c r="AK657" t="str">
        <f t="shared" si="281"/>
        <v>No usa</v>
      </c>
      <c r="AL657">
        <v>0</v>
      </c>
      <c r="AM657" t="str">
        <f t="shared" si="282"/>
        <v>No usa</v>
      </c>
      <c r="AN657">
        <v>1</v>
      </c>
      <c r="AO657" t="str">
        <f t="shared" si="283"/>
        <v>Usa Transporte</v>
      </c>
      <c r="AP657">
        <v>0</v>
      </c>
      <c r="AQ657" t="str">
        <f t="shared" si="284"/>
        <v>No camina</v>
      </c>
      <c r="AR657">
        <v>0</v>
      </c>
      <c r="AS657" t="str">
        <f t="shared" si="285"/>
        <v>No es obeso</v>
      </c>
    </row>
    <row r="658" spans="1:45" x14ac:dyDescent="0.25">
      <c r="A658">
        <v>0</v>
      </c>
      <c r="B658" t="str">
        <f t="shared" si="260"/>
        <v>F</v>
      </c>
      <c r="C658">
        <v>19</v>
      </c>
      <c r="D658">
        <f t="shared" si="261"/>
        <v>19</v>
      </c>
      <c r="E658">
        <f t="shared" si="262"/>
        <v>19</v>
      </c>
      <c r="F658" t="str">
        <f t="shared" si="263"/>
        <v>1-25</v>
      </c>
      <c r="G658">
        <v>0</v>
      </c>
      <c r="H658" t="str">
        <f t="shared" si="264"/>
        <v>Pariente normal</v>
      </c>
      <c r="I658">
        <v>1</v>
      </c>
      <c r="J658" t="str">
        <f t="shared" si="265"/>
        <v>Hipercaloricos</v>
      </c>
      <c r="K658">
        <v>3</v>
      </c>
      <c r="L658">
        <f t="shared" si="266"/>
        <v>1</v>
      </c>
      <c r="M658" t="str">
        <f t="shared" si="267"/>
        <v>Suele comer</v>
      </c>
      <c r="N658">
        <v>1989398</v>
      </c>
      <c r="O658">
        <f t="shared" si="268"/>
        <v>2</v>
      </c>
      <c r="P658" t="str">
        <f t="shared" si="269"/>
        <v>Mas de 3</v>
      </c>
      <c r="Q658">
        <v>1</v>
      </c>
      <c r="R658" t="str">
        <f t="shared" si="270"/>
        <v>A veces</v>
      </c>
      <c r="S658">
        <v>0</v>
      </c>
      <c r="T658" t="str">
        <f t="shared" si="271"/>
        <v>No fuma</v>
      </c>
      <c r="U658">
        <v>2241607</v>
      </c>
      <c r="V658">
        <f t="shared" si="272"/>
        <v>2</v>
      </c>
      <c r="W658" t="str">
        <f t="shared" si="273"/>
        <v>Siempre</v>
      </c>
      <c r="X658">
        <v>0</v>
      </c>
      <c r="Y658" t="str">
        <f t="shared" si="274"/>
        <v>No controla</v>
      </c>
      <c r="Z658">
        <v>0.20602500000000001</v>
      </c>
      <c r="AA658">
        <f t="shared" si="275"/>
        <v>0</v>
      </c>
      <c r="AB658" t="str">
        <f t="shared" si="276"/>
        <v>Nunca</v>
      </c>
      <c r="AC658">
        <v>0.28445300000000001</v>
      </c>
      <c r="AD658">
        <f t="shared" si="277"/>
        <v>0</v>
      </c>
      <c r="AE658" t="str">
        <f t="shared" si="278"/>
        <v>Nunca</v>
      </c>
      <c r="AF658">
        <v>0</v>
      </c>
      <c r="AG658" t="str">
        <f t="shared" si="279"/>
        <v>Nunca</v>
      </c>
      <c r="AH658">
        <v>0</v>
      </c>
      <c r="AI658" t="str">
        <f t="shared" si="280"/>
        <v>No usa</v>
      </c>
      <c r="AJ658">
        <v>0</v>
      </c>
      <c r="AK658" t="str">
        <f t="shared" si="281"/>
        <v>No usa</v>
      </c>
      <c r="AL658">
        <v>0</v>
      </c>
      <c r="AM658" t="str">
        <f t="shared" si="282"/>
        <v>No usa</v>
      </c>
      <c r="AN658">
        <v>1</v>
      </c>
      <c r="AO658" t="str">
        <f t="shared" si="283"/>
        <v>Usa Transporte</v>
      </c>
      <c r="AP658">
        <v>0</v>
      </c>
      <c r="AQ658" t="str">
        <f t="shared" si="284"/>
        <v>No camina</v>
      </c>
      <c r="AR658">
        <v>0</v>
      </c>
      <c r="AS658" t="str">
        <f t="shared" si="285"/>
        <v>No es obeso</v>
      </c>
    </row>
    <row r="659" spans="1:45" x14ac:dyDescent="0.25">
      <c r="A659">
        <v>0</v>
      </c>
      <c r="B659" t="str">
        <f t="shared" si="260"/>
        <v>F</v>
      </c>
      <c r="C659">
        <v>19052833</v>
      </c>
      <c r="D659">
        <f t="shared" si="261"/>
        <v>52</v>
      </c>
      <c r="E659">
        <f t="shared" si="262"/>
        <v>52</v>
      </c>
      <c r="F659" t="str">
        <f t="shared" si="263"/>
        <v>50-75</v>
      </c>
      <c r="G659">
        <v>0</v>
      </c>
      <c r="H659" t="str">
        <f t="shared" si="264"/>
        <v>Pariente normal</v>
      </c>
      <c r="I659">
        <v>1</v>
      </c>
      <c r="J659" t="str">
        <f t="shared" si="265"/>
        <v>Hipercaloricos</v>
      </c>
      <c r="K659">
        <v>3</v>
      </c>
      <c r="L659">
        <f t="shared" si="266"/>
        <v>1</v>
      </c>
      <c r="M659" t="str">
        <f t="shared" si="267"/>
        <v>Suele comer</v>
      </c>
      <c r="N659">
        <v>1735493</v>
      </c>
      <c r="O659">
        <f t="shared" si="268"/>
        <v>2</v>
      </c>
      <c r="P659" t="str">
        <f t="shared" si="269"/>
        <v>Mas de 3</v>
      </c>
      <c r="Q659">
        <v>1</v>
      </c>
      <c r="R659" t="str">
        <f t="shared" si="270"/>
        <v>A veces</v>
      </c>
      <c r="S659">
        <v>0</v>
      </c>
      <c r="T659" t="str">
        <f t="shared" si="271"/>
        <v>No fuma</v>
      </c>
      <c r="U659">
        <v>2318736</v>
      </c>
      <c r="V659">
        <f t="shared" si="272"/>
        <v>2</v>
      </c>
      <c r="W659" t="str">
        <f t="shared" si="273"/>
        <v>Siempre</v>
      </c>
      <c r="X659">
        <v>0</v>
      </c>
      <c r="Y659" t="str">
        <f t="shared" si="274"/>
        <v>No controla</v>
      </c>
      <c r="Z659">
        <v>1193486</v>
      </c>
      <c r="AA659">
        <f t="shared" si="275"/>
        <v>3</v>
      </c>
      <c r="AB659" t="str">
        <f t="shared" si="276"/>
        <v>Siempre</v>
      </c>
      <c r="AC659">
        <v>0.74568000000000001</v>
      </c>
      <c r="AD659">
        <f t="shared" si="277"/>
        <v>0</v>
      </c>
      <c r="AE659" t="str">
        <f t="shared" si="278"/>
        <v>Nunca</v>
      </c>
      <c r="AF659">
        <v>0</v>
      </c>
      <c r="AG659" t="str">
        <f t="shared" si="279"/>
        <v>Nunca</v>
      </c>
      <c r="AH659">
        <v>0</v>
      </c>
      <c r="AI659" t="str">
        <f t="shared" si="280"/>
        <v>No usa</v>
      </c>
      <c r="AJ659">
        <v>0</v>
      </c>
      <c r="AK659" t="str">
        <f t="shared" si="281"/>
        <v>No usa</v>
      </c>
      <c r="AL659">
        <v>0</v>
      </c>
      <c r="AM659" t="str">
        <f t="shared" si="282"/>
        <v>No usa</v>
      </c>
      <c r="AN659">
        <v>1</v>
      </c>
      <c r="AO659" t="str">
        <f t="shared" si="283"/>
        <v>Usa Transporte</v>
      </c>
      <c r="AP659">
        <v>0</v>
      </c>
      <c r="AQ659" t="str">
        <f t="shared" si="284"/>
        <v>No camina</v>
      </c>
      <c r="AR659">
        <v>0</v>
      </c>
      <c r="AS659" t="str">
        <f t="shared" si="285"/>
        <v>No es obeso</v>
      </c>
    </row>
    <row r="660" spans="1:45" x14ac:dyDescent="0.25">
      <c r="A660">
        <v>0</v>
      </c>
      <c r="B660" t="str">
        <f t="shared" si="260"/>
        <v>F</v>
      </c>
      <c r="C660">
        <v>1959904</v>
      </c>
      <c r="D660">
        <f t="shared" si="261"/>
        <v>5</v>
      </c>
      <c r="E660">
        <f t="shared" si="262"/>
        <v>5</v>
      </c>
      <c r="F660" t="str">
        <f t="shared" si="263"/>
        <v>1-25</v>
      </c>
      <c r="G660">
        <v>0</v>
      </c>
      <c r="H660" t="str">
        <f t="shared" si="264"/>
        <v>Pariente normal</v>
      </c>
      <c r="I660">
        <v>1</v>
      </c>
      <c r="J660" t="str">
        <f t="shared" si="265"/>
        <v>Hipercaloricos</v>
      </c>
      <c r="K660">
        <v>2967853</v>
      </c>
      <c r="L660">
        <f t="shared" si="266"/>
        <v>1</v>
      </c>
      <c r="M660" t="str">
        <f t="shared" si="267"/>
        <v>Suele comer</v>
      </c>
      <c r="N660">
        <v>1</v>
      </c>
      <c r="O660">
        <f t="shared" si="268"/>
        <v>1</v>
      </c>
      <c r="P660">
        <f t="shared" si="269"/>
        <v>3</v>
      </c>
      <c r="Q660">
        <v>2</v>
      </c>
      <c r="R660" t="str">
        <f t="shared" si="270"/>
        <v>Usualmente</v>
      </c>
      <c r="S660">
        <v>0</v>
      </c>
      <c r="T660" t="str">
        <f t="shared" si="271"/>
        <v>No fuma</v>
      </c>
      <c r="U660">
        <v>1131185</v>
      </c>
      <c r="V660">
        <f t="shared" si="272"/>
        <v>2</v>
      </c>
      <c r="W660" t="str">
        <f t="shared" si="273"/>
        <v>Siempre</v>
      </c>
      <c r="X660">
        <v>0</v>
      </c>
      <c r="Y660" t="str">
        <f t="shared" si="274"/>
        <v>No controla</v>
      </c>
      <c r="Z660">
        <v>0</v>
      </c>
      <c r="AA660">
        <f t="shared" si="275"/>
        <v>0</v>
      </c>
      <c r="AB660" t="str">
        <f t="shared" si="276"/>
        <v>Nunca</v>
      </c>
      <c r="AC660">
        <v>0.50417599999999996</v>
      </c>
      <c r="AD660">
        <f t="shared" si="277"/>
        <v>0</v>
      </c>
      <c r="AE660" t="str">
        <f t="shared" si="278"/>
        <v>Nunca</v>
      </c>
      <c r="AF660">
        <v>1</v>
      </c>
      <c r="AG660" t="str">
        <f t="shared" si="279"/>
        <v>A veces</v>
      </c>
      <c r="AH660">
        <v>0</v>
      </c>
      <c r="AI660" t="str">
        <f t="shared" si="280"/>
        <v>No usa</v>
      </c>
      <c r="AJ660">
        <v>0</v>
      </c>
      <c r="AK660" t="str">
        <f t="shared" si="281"/>
        <v>No usa</v>
      </c>
      <c r="AL660">
        <v>0</v>
      </c>
      <c r="AM660" t="str">
        <f t="shared" si="282"/>
        <v>No usa</v>
      </c>
      <c r="AN660">
        <v>1</v>
      </c>
      <c r="AO660" t="str">
        <f t="shared" si="283"/>
        <v>Usa Transporte</v>
      </c>
      <c r="AP660">
        <v>0</v>
      </c>
      <c r="AQ660" t="str">
        <f t="shared" si="284"/>
        <v>No camina</v>
      </c>
      <c r="AR660">
        <v>0</v>
      </c>
      <c r="AS660" t="str">
        <f t="shared" si="285"/>
        <v>No es obeso</v>
      </c>
    </row>
    <row r="661" spans="1:45" x14ac:dyDescent="0.25">
      <c r="A661">
        <v>0</v>
      </c>
      <c r="B661" t="str">
        <f t="shared" si="260"/>
        <v>F</v>
      </c>
      <c r="C661">
        <v>21</v>
      </c>
      <c r="D661">
        <f t="shared" si="261"/>
        <v>21</v>
      </c>
      <c r="E661">
        <f t="shared" si="262"/>
        <v>21</v>
      </c>
      <c r="F661" t="str">
        <f t="shared" si="263"/>
        <v>1-25</v>
      </c>
      <c r="G661">
        <v>0</v>
      </c>
      <c r="H661" t="str">
        <f t="shared" si="264"/>
        <v>Pariente normal</v>
      </c>
      <c r="I661">
        <v>1</v>
      </c>
      <c r="J661" t="str">
        <f t="shared" si="265"/>
        <v>Hipercaloricos</v>
      </c>
      <c r="K661">
        <v>3</v>
      </c>
      <c r="L661">
        <f t="shared" si="266"/>
        <v>1</v>
      </c>
      <c r="M661" t="str">
        <f t="shared" si="267"/>
        <v>Suele comer</v>
      </c>
      <c r="N661">
        <v>1</v>
      </c>
      <c r="O661">
        <f t="shared" si="268"/>
        <v>1</v>
      </c>
      <c r="P661">
        <f t="shared" si="269"/>
        <v>3</v>
      </c>
      <c r="Q661">
        <v>2</v>
      </c>
      <c r="R661" t="str">
        <f t="shared" si="270"/>
        <v>Usualmente</v>
      </c>
      <c r="S661">
        <v>0</v>
      </c>
      <c r="T661" t="str">
        <f t="shared" si="271"/>
        <v>No fuma</v>
      </c>
      <c r="U661">
        <v>1</v>
      </c>
      <c r="V661">
        <f t="shared" si="272"/>
        <v>1</v>
      </c>
      <c r="W661" t="str">
        <f t="shared" si="273"/>
        <v>Usualmente</v>
      </c>
      <c r="X661">
        <v>0</v>
      </c>
      <c r="Y661" t="str">
        <f t="shared" si="274"/>
        <v>No controla</v>
      </c>
      <c r="Z661">
        <v>0</v>
      </c>
      <c r="AA661">
        <f t="shared" si="275"/>
        <v>0</v>
      </c>
      <c r="AB661" t="str">
        <f t="shared" si="276"/>
        <v>Nunca</v>
      </c>
      <c r="AC661">
        <v>0</v>
      </c>
      <c r="AD661">
        <f t="shared" si="277"/>
        <v>0</v>
      </c>
      <c r="AE661" t="str">
        <f t="shared" si="278"/>
        <v>Nunca</v>
      </c>
      <c r="AF661">
        <v>1</v>
      </c>
      <c r="AG661" t="str">
        <f t="shared" si="279"/>
        <v>A veces</v>
      </c>
      <c r="AH661">
        <v>0</v>
      </c>
      <c r="AI661" t="str">
        <f t="shared" si="280"/>
        <v>No usa</v>
      </c>
      <c r="AJ661">
        <v>0</v>
      </c>
      <c r="AK661" t="str">
        <f t="shared" si="281"/>
        <v>No usa</v>
      </c>
      <c r="AL661">
        <v>0</v>
      </c>
      <c r="AM661" t="str">
        <f t="shared" si="282"/>
        <v>No usa</v>
      </c>
      <c r="AN661">
        <v>1</v>
      </c>
      <c r="AO661" t="str">
        <f t="shared" si="283"/>
        <v>Usa Transporte</v>
      </c>
      <c r="AP661">
        <v>0</v>
      </c>
      <c r="AQ661" t="str">
        <f t="shared" si="284"/>
        <v>No camina</v>
      </c>
      <c r="AR661">
        <v>0</v>
      </c>
      <c r="AS661" t="str">
        <f t="shared" si="285"/>
        <v>No es obeso</v>
      </c>
    </row>
    <row r="662" spans="1:45" x14ac:dyDescent="0.25">
      <c r="A662">
        <v>0</v>
      </c>
      <c r="B662" t="str">
        <f t="shared" si="260"/>
        <v>F</v>
      </c>
      <c r="C662">
        <v>19673262</v>
      </c>
      <c r="D662">
        <f t="shared" si="261"/>
        <v>53</v>
      </c>
      <c r="E662">
        <f t="shared" si="262"/>
        <v>53</v>
      </c>
      <c r="F662" t="str">
        <f t="shared" si="263"/>
        <v>50-75</v>
      </c>
      <c r="G662">
        <v>0</v>
      </c>
      <c r="H662" t="str">
        <f t="shared" si="264"/>
        <v>Pariente normal</v>
      </c>
      <c r="I662">
        <v>0</v>
      </c>
      <c r="J662" t="str">
        <f t="shared" si="265"/>
        <v>Saludables</v>
      </c>
      <c r="K662">
        <v>3</v>
      </c>
      <c r="L662">
        <f t="shared" si="266"/>
        <v>1</v>
      </c>
      <c r="M662" t="str">
        <f t="shared" si="267"/>
        <v>Suele comer</v>
      </c>
      <c r="N662">
        <v>2974568</v>
      </c>
      <c r="O662">
        <f t="shared" si="268"/>
        <v>2</v>
      </c>
      <c r="P662" t="str">
        <f t="shared" si="269"/>
        <v>Mas de 3</v>
      </c>
      <c r="Q662">
        <v>2</v>
      </c>
      <c r="R662" t="str">
        <f t="shared" si="270"/>
        <v>Usualmente</v>
      </c>
      <c r="S662">
        <v>0</v>
      </c>
      <c r="T662" t="str">
        <f t="shared" si="271"/>
        <v>No fuma</v>
      </c>
      <c r="U662">
        <v>1145761</v>
      </c>
      <c r="V662">
        <f t="shared" si="272"/>
        <v>2</v>
      </c>
      <c r="W662" t="str">
        <f t="shared" si="273"/>
        <v>Siempre</v>
      </c>
      <c r="X662">
        <v>1</v>
      </c>
      <c r="Y662" t="str">
        <f t="shared" si="274"/>
        <v>Controla</v>
      </c>
      <c r="Z662">
        <v>0.87966999999999995</v>
      </c>
      <c r="AA662">
        <f t="shared" si="275"/>
        <v>0</v>
      </c>
      <c r="AB662" t="str">
        <f t="shared" si="276"/>
        <v>Nunca</v>
      </c>
      <c r="AC662">
        <v>0</v>
      </c>
      <c r="AD662">
        <f t="shared" si="277"/>
        <v>0</v>
      </c>
      <c r="AE662" t="str">
        <f t="shared" si="278"/>
        <v>Nunca</v>
      </c>
      <c r="AF662">
        <v>1</v>
      </c>
      <c r="AG662" t="str">
        <f t="shared" si="279"/>
        <v>A veces</v>
      </c>
      <c r="AH662">
        <v>0</v>
      </c>
      <c r="AI662" t="str">
        <f t="shared" si="280"/>
        <v>No usa</v>
      </c>
      <c r="AJ662">
        <v>0</v>
      </c>
      <c r="AK662" t="str">
        <f t="shared" si="281"/>
        <v>No usa</v>
      </c>
      <c r="AL662">
        <v>0</v>
      </c>
      <c r="AM662" t="str">
        <f t="shared" si="282"/>
        <v>No usa</v>
      </c>
      <c r="AN662">
        <v>1</v>
      </c>
      <c r="AO662" t="str">
        <f t="shared" si="283"/>
        <v>Usa Transporte</v>
      </c>
      <c r="AP662">
        <v>0</v>
      </c>
      <c r="AQ662" t="str">
        <f t="shared" si="284"/>
        <v>No camina</v>
      </c>
      <c r="AR662">
        <v>0</v>
      </c>
      <c r="AS662" t="str">
        <f t="shared" si="285"/>
        <v>No es obeso</v>
      </c>
    </row>
    <row r="663" spans="1:45" x14ac:dyDescent="0.25">
      <c r="A663">
        <v>0</v>
      </c>
      <c r="B663" t="str">
        <f t="shared" si="260"/>
        <v>F</v>
      </c>
      <c r="C663">
        <v>20244359</v>
      </c>
      <c r="D663">
        <f t="shared" si="261"/>
        <v>55</v>
      </c>
      <c r="E663">
        <f t="shared" si="262"/>
        <v>55</v>
      </c>
      <c r="F663" t="str">
        <f t="shared" si="263"/>
        <v>50-75</v>
      </c>
      <c r="G663">
        <v>0</v>
      </c>
      <c r="H663" t="str">
        <f t="shared" si="264"/>
        <v>Pariente normal</v>
      </c>
      <c r="I663">
        <v>1</v>
      </c>
      <c r="J663" t="str">
        <f t="shared" si="265"/>
        <v>Hipercaloricos</v>
      </c>
      <c r="K663">
        <v>2619835</v>
      </c>
      <c r="L663">
        <f t="shared" si="266"/>
        <v>1</v>
      </c>
      <c r="M663" t="str">
        <f t="shared" si="267"/>
        <v>Suele comer</v>
      </c>
      <c r="N663">
        <v>1</v>
      </c>
      <c r="O663">
        <f t="shared" si="268"/>
        <v>1</v>
      </c>
      <c r="P663">
        <f t="shared" si="269"/>
        <v>3</v>
      </c>
      <c r="Q663">
        <v>2</v>
      </c>
      <c r="R663" t="str">
        <f t="shared" si="270"/>
        <v>Usualmente</v>
      </c>
      <c r="S663">
        <v>0</v>
      </c>
      <c r="T663" t="str">
        <f t="shared" si="271"/>
        <v>No fuma</v>
      </c>
      <c r="U663">
        <v>1198883</v>
      </c>
      <c r="V663">
        <f t="shared" si="272"/>
        <v>2</v>
      </c>
      <c r="W663" t="str">
        <f t="shared" si="273"/>
        <v>Siempre</v>
      </c>
      <c r="X663">
        <v>0</v>
      </c>
      <c r="Y663" t="str">
        <f t="shared" si="274"/>
        <v>No controla</v>
      </c>
      <c r="Z663">
        <v>0</v>
      </c>
      <c r="AA663">
        <f t="shared" si="275"/>
        <v>0</v>
      </c>
      <c r="AB663" t="str">
        <f t="shared" si="276"/>
        <v>Nunca</v>
      </c>
      <c r="AC663">
        <v>0.75121199999999999</v>
      </c>
      <c r="AD663">
        <f t="shared" si="277"/>
        <v>0</v>
      </c>
      <c r="AE663" t="str">
        <f t="shared" si="278"/>
        <v>Nunca</v>
      </c>
      <c r="AF663">
        <v>1</v>
      </c>
      <c r="AG663" t="str">
        <f t="shared" si="279"/>
        <v>A veces</v>
      </c>
      <c r="AH663">
        <v>0</v>
      </c>
      <c r="AI663" t="str">
        <f t="shared" si="280"/>
        <v>No usa</v>
      </c>
      <c r="AJ663">
        <v>0</v>
      </c>
      <c r="AK663" t="str">
        <f t="shared" si="281"/>
        <v>No usa</v>
      </c>
      <c r="AL663">
        <v>0</v>
      </c>
      <c r="AM663" t="str">
        <f t="shared" si="282"/>
        <v>No usa</v>
      </c>
      <c r="AN663">
        <v>1</v>
      </c>
      <c r="AO663" t="str">
        <f t="shared" si="283"/>
        <v>Usa Transporte</v>
      </c>
      <c r="AP663">
        <v>0</v>
      </c>
      <c r="AQ663" t="str">
        <f t="shared" si="284"/>
        <v>No camina</v>
      </c>
      <c r="AR663">
        <v>0</v>
      </c>
      <c r="AS663" t="str">
        <f t="shared" si="285"/>
        <v>No es obeso</v>
      </c>
    </row>
    <row r="664" spans="1:45" x14ac:dyDescent="0.25">
      <c r="A664">
        <v>0</v>
      </c>
      <c r="B664" t="str">
        <f t="shared" si="260"/>
        <v>F</v>
      </c>
      <c r="C664">
        <v>20552695</v>
      </c>
      <c r="D664">
        <f t="shared" si="261"/>
        <v>56</v>
      </c>
      <c r="E664">
        <f t="shared" si="262"/>
        <v>56</v>
      </c>
      <c r="F664" t="str">
        <f t="shared" si="263"/>
        <v>50-75</v>
      </c>
      <c r="G664">
        <v>0</v>
      </c>
      <c r="H664" t="str">
        <f t="shared" si="264"/>
        <v>Pariente normal</v>
      </c>
      <c r="I664">
        <v>1</v>
      </c>
      <c r="J664" t="str">
        <f t="shared" si="265"/>
        <v>Hipercaloricos</v>
      </c>
      <c r="K664">
        <v>3</v>
      </c>
      <c r="L664">
        <f t="shared" si="266"/>
        <v>1</v>
      </c>
      <c r="M664" t="str">
        <f t="shared" si="267"/>
        <v>Suele comer</v>
      </c>
      <c r="N664">
        <v>1</v>
      </c>
      <c r="O664">
        <f t="shared" si="268"/>
        <v>1</v>
      </c>
      <c r="P664">
        <f t="shared" si="269"/>
        <v>3</v>
      </c>
      <c r="Q664">
        <v>2</v>
      </c>
      <c r="R664" t="str">
        <f t="shared" si="270"/>
        <v>Usualmente</v>
      </c>
      <c r="S664">
        <v>0</v>
      </c>
      <c r="T664" t="str">
        <f t="shared" si="271"/>
        <v>No fuma</v>
      </c>
      <c r="U664">
        <v>1185062</v>
      </c>
      <c r="V664">
        <f t="shared" si="272"/>
        <v>2</v>
      </c>
      <c r="W664" t="str">
        <f t="shared" si="273"/>
        <v>Siempre</v>
      </c>
      <c r="X664">
        <v>0</v>
      </c>
      <c r="Y664" t="str">
        <f t="shared" si="274"/>
        <v>No controla</v>
      </c>
      <c r="Z664">
        <v>0</v>
      </c>
      <c r="AA664">
        <f t="shared" si="275"/>
        <v>0</v>
      </c>
      <c r="AB664" t="str">
        <f t="shared" si="276"/>
        <v>Nunca</v>
      </c>
      <c r="AC664">
        <v>7.6654E-2</v>
      </c>
      <c r="AD664">
        <f t="shared" si="277"/>
        <v>0</v>
      </c>
      <c r="AE664" t="str">
        <f t="shared" si="278"/>
        <v>Nunca</v>
      </c>
      <c r="AF664">
        <v>1</v>
      </c>
      <c r="AG664" t="str">
        <f t="shared" si="279"/>
        <v>A veces</v>
      </c>
      <c r="AH664">
        <v>0</v>
      </c>
      <c r="AI664" t="str">
        <f t="shared" si="280"/>
        <v>No usa</v>
      </c>
      <c r="AJ664">
        <v>0</v>
      </c>
      <c r="AK664" t="str">
        <f t="shared" si="281"/>
        <v>No usa</v>
      </c>
      <c r="AL664">
        <v>0</v>
      </c>
      <c r="AM664" t="str">
        <f t="shared" si="282"/>
        <v>No usa</v>
      </c>
      <c r="AN664">
        <v>1</v>
      </c>
      <c r="AO664" t="str">
        <f t="shared" si="283"/>
        <v>Usa Transporte</v>
      </c>
      <c r="AP664">
        <v>0</v>
      </c>
      <c r="AQ664" t="str">
        <f t="shared" si="284"/>
        <v>No camina</v>
      </c>
      <c r="AR664">
        <v>0</v>
      </c>
      <c r="AS664" t="str">
        <f t="shared" si="285"/>
        <v>No es obeso</v>
      </c>
    </row>
    <row r="665" spans="1:45" x14ac:dyDescent="0.25">
      <c r="A665">
        <v>0</v>
      </c>
      <c r="B665" t="str">
        <f t="shared" si="260"/>
        <v>F</v>
      </c>
      <c r="C665">
        <v>21</v>
      </c>
      <c r="D665">
        <f t="shared" si="261"/>
        <v>21</v>
      </c>
      <c r="E665">
        <f t="shared" si="262"/>
        <v>21</v>
      </c>
      <c r="F665" t="str">
        <f t="shared" si="263"/>
        <v>1-25</v>
      </c>
      <c r="G665">
        <v>0</v>
      </c>
      <c r="H665" t="str">
        <f t="shared" si="264"/>
        <v>Pariente normal</v>
      </c>
      <c r="I665">
        <v>1</v>
      </c>
      <c r="J665" t="str">
        <f t="shared" si="265"/>
        <v>Hipercaloricos</v>
      </c>
      <c r="K665">
        <v>3</v>
      </c>
      <c r="L665">
        <f t="shared" si="266"/>
        <v>1</v>
      </c>
      <c r="M665" t="str">
        <f t="shared" si="267"/>
        <v>Suele comer</v>
      </c>
      <c r="N665">
        <v>1</v>
      </c>
      <c r="O665">
        <f t="shared" si="268"/>
        <v>1</v>
      </c>
      <c r="P665">
        <f t="shared" si="269"/>
        <v>3</v>
      </c>
      <c r="Q665">
        <v>2</v>
      </c>
      <c r="R665" t="str">
        <f t="shared" si="270"/>
        <v>Usualmente</v>
      </c>
      <c r="S665">
        <v>0</v>
      </c>
      <c r="T665" t="str">
        <f t="shared" si="271"/>
        <v>No fuma</v>
      </c>
      <c r="U665">
        <v>1</v>
      </c>
      <c r="V665">
        <f t="shared" si="272"/>
        <v>1</v>
      </c>
      <c r="W665" t="str">
        <f t="shared" si="273"/>
        <v>Usualmente</v>
      </c>
      <c r="X665">
        <v>0</v>
      </c>
      <c r="Y665" t="str">
        <f t="shared" si="274"/>
        <v>No controla</v>
      </c>
      <c r="Z665">
        <v>0</v>
      </c>
      <c r="AA665">
        <f t="shared" si="275"/>
        <v>0</v>
      </c>
      <c r="AB665" t="str">
        <f t="shared" si="276"/>
        <v>Nunca</v>
      </c>
      <c r="AC665">
        <v>0</v>
      </c>
      <c r="AD665">
        <f t="shared" si="277"/>
        <v>0</v>
      </c>
      <c r="AE665" t="str">
        <f t="shared" si="278"/>
        <v>Nunca</v>
      </c>
      <c r="AF665">
        <v>1</v>
      </c>
      <c r="AG665" t="str">
        <f t="shared" si="279"/>
        <v>A veces</v>
      </c>
      <c r="AH665">
        <v>0</v>
      </c>
      <c r="AI665" t="str">
        <f t="shared" si="280"/>
        <v>No usa</v>
      </c>
      <c r="AJ665">
        <v>0</v>
      </c>
      <c r="AK665" t="str">
        <f t="shared" si="281"/>
        <v>No usa</v>
      </c>
      <c r="AL665">
        <v>0</v>
      </c>
      <c r="AM665" t="str">
        <f t="shared" si="282"/>
        <v>No usa</v>
      </c>
      <c r="AN665">
        <v>1</v>
      </c>
      <c r="AO665" t="str">
        <f t="shared" si="283"/>
        <v>Usa Transporte</v>
      </c>
      <c r="AP665">
        <v>0</v>
      </c>
      <c r="AQ665" t="str">
        <f t="shared" si="284"/>
        <v>No camina</v>
      </c>
      <c r="AR665">
        <v>0</v>
      </c>
      <c r="AS665" t="str">
        <f t="shared" si="285"/>
        <v>No es obeso</v>
      </c>
    </row>
    <row r="666" spans="1:45" x14ac:dyDescent="0.25">
      <c r="A666">
        <v>0</v>
      </c>
      <c r="B666" t="str">
        <f t="shared" si="260"/>
        <v>F</v>
      </c>
      <c r="C666">
        <v>21997683</v>
      </c>
      <c r="D666">
        <f t="shared" si="261"/>
        <v>60</v>
      </c>
      <c r="E666">
        <f t="shared" si="262"/>
        <v>60</v>
      </c>
      <c r="F666" t="str">
        <f t="shared" si="263"/>
        <v>50-75</v>
      </c>
      <c r="G666">
        <v>1</v>
      </c>
      <c r="H666" t="str">
        <f t="shared" si="264"/>
        <v>Pariente gordo</v>
      </c>
      <c r="I666">
        <v>1</v>
      </c>
      <c r="J666" t="str">
        <f t="shared" si="265"/>
        <v>Hipercaloricos</v>
      </c>
      <c r="K666">
        <v>3</v>
      </c>
      <c r="L666">
        <f t="shared" si="266"/>
        <v>1</v>
      </c>
      <c r="M666" t="str">
        <f t="shared" si="267"/>
        <v>Suele comer</v>
      </c>
      <c r="N666">
        <v>3715118</v>
      </c>
      <c r="O666">
        <f t="shared" si="268"/>
        <v>2</v>
      </c>
      <c r="P666" t="str">
        <f t="shared" si="269"/>
        <v>Mas de 3</v>
      </c>
      <c r="Q666">
        <v>2</v>
      </c>
      <c r="R666" t="str">
        <f t="shared" si="270"/>
        <v>Usualmente</v>
      </c>
      <c r="S666">
        <v>0</v>
      </c>
      <c r="T666" t="str">
        <f t="shared" si="271"/>
        <v>No fuma</v>
      </c>
      <c r="U666">
        <v>1774576</v>
      </c>
      <c r="V666">
        <f t="shared" si="272"/>
        <v>2</v>
      </c>
      <c r="W666" t="str">
        <f t="shared" si="273"/>
        <v>Siempre</v>
      </c>
      <c r="X666">
        <v>0</v>
      </c>
      <c r="Y666" t="str">
        <f t="shared" si="274"/>
        <v>No controla</v>
      </c>
      <c r="Z666">
        <v>0.10297000000000001</v>
      </c>
      <c r="AA666">
        <f t="shared" si="275"/>
        <v>0</v>
      </c>
      <c r="AB666" t="str">
        <f t="shared" si="276"/>
        <v>Nunca</v>
      </c>
      <c r="AC666">
        <v>0.64642299999999997</v>
      </c>
      <c r="AD666">
        <f t="shared" si="277"/>
        <v>0</v>
      </c>
      <c r="AE666" t="str">
        <f t="shared" si="278"/>
        <v>Nunca</v>
      </c>
      <c r="AF666">
        <v>0</v>
      </c>
      <c r="AG666" t="str">
        <f t="shared" si="279"/>
        <v>Nunca</v>
      </c>
      <c r="AH666">
        <v>0</v>
      </c>
      <c r="AI666" t="str">
        <f t="shared" si="280"/>
        <v>No usa</v>
      </c>
      <c r="AJ666">
        <v>0</v>
      </c>
      <c r="AK666" t="str">
        <f t="shared" si="281"/>
        <v>No usa</v>
      </c>
      <c r="AL666">
        <v>0</v>
      </c>
      <c r="AM666" t="str">
        <f t="shared" si="282"/>
        <v>No usa</v>
      </c>
      <c r="AN666">
        <v>1</v>
      </c>
      <c r="AO666" t="str">
        <f t="shared" si="283"/>
        <v>Usa Transporte</v>
      </c>
      <c r="AP666">
        <v>0</v>
      </c>
      <c r="AQ666" t="str">
        <f t="shared" si="284"/>
        <v>No camina</v>
      </c>
      <c r="AR666">
        <v>0</v>
      </c>
      <c r="AS666" t="str">
        <f t="shared" si="285"/>
        <v>No es obeso</v>
      </c>
    </row>
    <row r="667" spans="1:45" x14ac:dyDescent="0.25">
      <c r="A667">
        <v>0</v>
      </c>
      <c r="B667" t="str">
        <f t="shared" si="260"/>
        <v>F</v>
      </c>
      <c r="C667">
        <v>21274628</v>
      </c>
      <c r="D667">
        <f t="shared" si="261"/>
        <v>58</v>
      </c>
      <c r="E667">
        <f t="shared" si="262"/>
        <v>58</v>
      </c>
      <c r="F667" t="str">
        <f t="shared" si="263"/>
        <v>50-75</v>
      </c>
      <c r="G667">
        <v>1</v>
      </c>
      <c r="H667" t="str">
        <f t="shared" si="264"/>
        <v>Pariente gordo</v>
      </c>
      <c r="I667">
        <v>1</v>
      </c>
      <c r="J667" t="str">
        <f t="shared" si="265"/>
        <v>Hipercaloricos</v>
      </c>
      <c r="K667">
        <v>3</v>
      </c>
      <c r="L667">
        <f t="shared" si="266"/>
        <v>1</v>
      </c>
      <c r="M667" t="str">
        <f t="shared" si="267"/>
        <v>Suele comer</v>
      </c>
      <c r="N667">
        <v>3489918</v>
      </c>
      <c r="O667">
        <f t="shared" si="268"/>
        <v>2</v>
      </c>
      <c r="P667" t="str">
        <f t="shared" si="269"/>
        <v>Mas de 3</v>
      </c>
      <c r="Q667">
        <v>2</v>
      </c>
      <c r="R667" t="str">
        <f t="shared" si="270"/>
        <v>Usualmente</v>
      </c>
      <c r="S667">
        <v>0</v>
      </c>
      <c r="T667" t="str">
        <f t="shared" si="271"/>
        <v>No fuma</v>
      </c>
      <c r="U667">
        <v>1326694</v>
      </c>
      <c r="V667">
        <f t="shared" si="272"/>
        <v>2</v>
      </c>
      <c r="W667" t="str">
        <f t="shared" si="273"/>
        <v>Siempre</v>
      </c>
      <c r="X667">
        <v>0</v>
      </c>
      <c r="Y667" t="str">
        <f t="shared" si="274"/>
        <v>No controla</v>
      </c>
      <c r="Z667">
        <v>0.79192899999999999</v>
      </c>
      <c r="AA667">
        <f t="shared" si="275"/>
        <v>0</v>
      </c>
      <c r="AB667" t="str">
        <f t="shared" si="276"/>
        <v>Nunca</v>
      </c>
      <c r="AC667">
        <v>0.12839400000000001</v>
      </c>
      <c r="AD667">
        <f t="shared" si="277"/>
        <v>0</v>
      </c>
      <c r="AE667" t="str">
        <f t="shared" si="278"/>
        <v>Nunca</v>
      </c>
      <c r="AF667">
        <v>0</v>
      </c>
      <c r="AG667" t="str">
        <f t="shared" si="279"/>
        <v>Nunca</v>
      </c>
      <c r="AH667">
        <v>0</v>
      </c>
      <c r="AI667" t="str">
        <f t="shared" si="280"/>
        <v>No usa</v>
      </c>
      <c r="AJ667">
        <v>0</v>
      </c>
      <c r="AK667" t="str">
        <f t="shared" si="281"/>
        <v>No usa</v>
      </c>
      <c r="AL667">
        <v>0</v>
      </c>
      <c r="AM667" t="str">
        <f t="shared" si="282"/>
        <v>No usa</v>
      </c>
      <c r="AN667">
        <v>1</v>
      </c>
      <c r="AO667" t="str">
        <f t="shared" si="283"/>
        <v>Usa Transporte</v>
      </c>
      <c r="AP667">
        <v>0</v>
      </c>
      <c r="AQ667" t="str">
        <f t="shared" si="284"/>
        <v>No camina</v>
      </c>
      <c r="AR667">
        <v>0</v>
      </c>
      <c r="AS667" t="str">
        <f t="shared" si="285"/>
        <v>No es obeso</v>
      </c>
    </row>
    <row r="668" spans="1:45" x14ac:dyDescent="0.25">
      <c r="A668">
        <v>0</v>
      </c>
      <c r="B668" t="str">
        <f t="shared" si="260"/>
        <v>F</v>
      </c>
      <c r="C668">
        <v>18909439</v>
      </c>
      <c r="D668">
        <f t="shared" si="261"/>
        <v>51</v>
      </c>
      <c r="E668">
        <f t="shared" si="262"/>
        <v>51</v>
      </c>
      <c r="F668" t="str">
        <f t="shared" si="263"/>
        <v>50-75</v>
      </c>
      <c r="G668">
        <v>0</v>
      </c>
      <c r="H668" t="str">
        <f t="shared" si="264"/>
        <v>Pariente normal</v>
      </c>
      <c r="I668">
        <v>1</v>
      </c>
      <c r="J668" t="str">
        <f t="shared" si="265"/>
        <v>Hipercaloricos</v>
      </c>
      <c r="K668">
        <v>1053534</v>
      </c>
      <c r="L668">
        <f t="shared" si="266"/>
        <v>1</v>
      </c>
      <c r="M668" t="str">
        <f t="shared" si="267"/>
        <v>Suele comer</v>
      </c>
      <c r="N668">
        <v>3378859</v>
      </c>
      <c r="O668">
        <f t="shared" si="268"/>
        <v>2</v>
      </c>
      <c r="P668" t="str">
        <f t="shared" si="269"/>
        <v>Mas de 3</v>
      </c>
      <c r="Q668">
        <v>1</v>
      </c>
      <c r="R668" t="str">
        <f t="shared" si="270"/>
        <v>A veces</v>
      </c>
      <c r="S668">
        <v>0</v>
      </c>
      <c r="T668" t="str">
        <f t="shared" si="271"/>
        <v>No fuma</v>
      </c>
      <c r="U668">
        <v>1</v>
      </c>
      <c r="V668">
        <f t="shared" si="272"/>
        <v>1</v>
      </c>
      <c r="W668" t="str">
        <f t="shared" si="273"/>
        <v>Usualmente</v>
      </c>
      <c r="X668">
        <v>0</v>
      </c>
      <c r="Y668" t="str">
        <f t="shared" si="274"/>
        <v>No controla</v>
      </c>
      <c r="Z668">
        <v>1853425</v>
      </c>
      <c r="AA668">
        <f t="shared" si="275"/>
        <v>3</v>
      </c>
      <c r="AB668" t="str">
        <f t="shared" si="276"/>
        <v>Siempre</v>
      </c>
      <c r="AC668">
        <v>0.86180900000000005</v>
      </c>
      <c r="AD668">
        <f t="shared" si="277"/>
        <v>0</v>
      </c>
      <c r="AE668" t="str">
        <f t="shared" si="278"/>
        <v>Nunca</v>
      </c>
      <c r="AF668">
        <v>1</v>
      </c>
      <c r="AG668" t="str">
        <f t="shared" si="279"/>
        <v>A veces</v>
      </c>
      <c r="AH668">
        <v>0</v>
      </c>
      <c r="AI668" t="str">
        <f t="shared" si="280"/>
        <v>No usa</v>
      </c>
      <c r="AJ668">
        <v>0</v>
      </c>
      <c r="AK668" t="str">
        <f t="shared" si="281"/>
        <v>No usa</v>
      </c>
      <c r="AL668">
        <v>0</v>
      </c>
      <c r="AM668" t="str">
        <f t="shared" si="282"/>
        <v>No usa</v>
      </c>
      <c r="AN668">
        <v>1</v>
      </c>
      <c r="AO668" t="str">
        <f t="shared" si="283"/>
        <v>Usa Transporte</v>
      </c>
      <c r="AP668">
        <v>0</v>
      </c>
      <c r="AQ668" t="str">
        <f t="shared" si="284"/>
        <v>No camina</v>
      </c>
      <c r="AR668">
        <v>0</v>
      </c>
      <c r="AS668" t="str">
        <f t="shared" si="285"/>
        <v>No es obeso</v>
      </c>
    </row>
    <row r="669" spans="1:45" x14ac:dyDescent="0.25">
      <c r="A669">
        <v>1</v>
      </c>
      <c r="B669" t="str">
        <f t="shared" si="260"/>
        <v>M</v>
      </c>
      <c r="C669">
        <v>22396504</v>
      </c>
      <c r="D669">
        <f t="shared" si="261"/>
        <v>61</v>
      </c>
      <c r="E669">
        <f t="shared" si="262"/>
        <v>61</v>
      </c>
      <c r="F669" t="str">
        <f t="shared" si="263"/>
        <v>50-75</v>
      </c>
      <c r="G669">
        <v>1</v>
      </c>
      <c r="H669" t="str">
        <f t="shared" si="264"/>
        <v>Pariente gordo</v>
      </c>
      <c r="I669">
        <v>1</v>
      </c>
      <c r="J669" t="str">
        <f t="shared" si="265"/>
        <v>Hipercaloricos</v>
      </c>
      <c r="K669">
        <v>3</v>
      </c>
      <c r="L669">
        <f t="shared" si="266"/>
        <v>1</v>
      </c>
      <c r="M669" t="str">
        <f t="shared" si="267"/>
        <v>Suele comer</v>
      </c>
      <c r="N669">
        <v>3263201</v>
      </c>
      <c r="O669">
        <f t="shared" si="268"/>
        <v>2</v>
      </c>
      <c r="P669" t="str">
        <f t="shared" si="269"/>
        <v>Mas de 3</v>
      </c>
      <c r="Q669">
        <v>1</v>
      </c>
      <c r="R669" t="str">
        <f t="shared" si="270"/>
        <v>A veces</v>
      </c>
      <c r="S669">
        <v>0</v>
      </c>
      <c r="T669" t="str">
        <f t="shared" si="271"/>
        <v>No fuma</v>
      </c>
      <c r="U669">
        <v>2233274</v>
      </c>
      <c r="V669">
        <f t="shared" si="272"/>
        <v>2</v>
      </c>
      <c r="W669" t="str">
        <f t="shared" si="273"/>
        <v>Siempre</v>
      </c>
      <c r="X669">
        <v>0</v>
      </c>
      <c r="Y669" t="str">
        <f t="shared" si="274"/>
        <v>No controla</v>
      </c>
      <c r="Z669">
        <v>1557737</v>
      </c>
      <c r="AA669">
        <f t="shared" si="275"/>
        <v>3</v>
      </c>
      <c r="AB669" t="str">
        <f t="shared" si="276"/>
        <v>Siempre</v>
      </c>
      <c r="AC669">
        <v>3.5500000000000001E-4</v>
      </c>
      <c r="AD669">
        <f t="shared" si="277"/>
        <v>0</v>
      </c>
      <c r="AE669" t="str">
        <f t="shared" si="278"/>
        <v>Nunca</v>
      </c>
      <c r="AF669">
        <v>1</v>
      </c>
      <c r="AG669" t="str">
        <f t="shared" si="279"/>
        <v>A veces</v>
      </c>
      <c r="AH669">
        <v>1</v>
      </c>
      <c r="AI669" t="str">
        <f t="shared" si="280"/>
        <v>Usa auto</v>
      </c>
      <c r="AJ669">
        <v>0</v>
      </c>
      <c r="AK669" t="str">
        <f t="shared" si="281"/>
        <v>No usa</v>
      </c>
      <c r="AL669">
        <v>0</v>
      </c>
      <c r="AM669" t="str">
        <f t="shared" si="282"/>
        <v>No usa</v>
      </c>
      <c r="AN669">
        <v>0</v>
      </c>
      <c r="AO669" t="str">
        <f t="shared" si="283"/>
        <v>No usa</v>
      </c>
      <c r="AP669">
        <v>0</v>
      </c>
      <c r="AQ669" t="str">
        <f t="shared" si="284"/>
        <v>No camina</v>
      </c>
      <c r="AR669">
        <v>0</v>
      </c>
      <c r="AS669" t="str">
        <f t="shared" si="285"/>
        <v>No es obeso</v>
      </c>
    </row>
    <row r="670" spans="1:45" x14ac:dyDescent="0.25">
      <c r="A670">
        <v>1</v>
      </c>
      <c r="B670" t="str">
        <f t="shared" si="260"/>
        <v>M</v>
      </c>
      <c r="C670">
        <v>19084317</v>
      </c>
      <c r="D670">
        <f t="shared" si="261"/>
        <v>52</v>
      </c>
      <c r="E670">
        <f t="shared" si="262"/>
        <v>52</v>
      </c>
      <c r="F670" t="str">
        <f t="shared" si="263"/>
        <v>50-75</v>
      </c>
      <c r="G670">
        <v>1</v>
      </c>
      <c r="H670" t="str">
        <f t="shared" si="264"/>
        <v>Pariente gordo</v>
      </c>
      <c r="I670">
        <v>1</v>
      </c>
      <c r="J670" t="str">
        <f t="shared" si="265"/>
        <v>Hipercaloricos</v>
      </c>
      <c r="K670">
        <v>3</v>
      </c>
      <c r="L670">
        <f t="shared" si="266"/>
        <v>1</v>
      </c>
      <c r="M670" t="str">
        <f t="shared" si="267"/>
        <v>Suele comer</v>
      </c>
      <c r="N670">
        <v>3994588</v>
      </c>
      <c r="O670">
        <f t="shared" si="268"/>
        <v>2</v>
      </c>
      <c r="P670" t="str">
        <f t="shared" si="269"/>
        <v>Mas de 3</v>
      </c>
      <c r="Q670">
        <v>1</v>
      </c>
      <c r="R670" t="str">
        <f t="shared" si="270"/>
        <v>A veces</v>
      </c>
      <c r="S670">
        <v>0</v>
      </c>
      <c r="T670" t="str">
        <f t="shared" si="271"/>
        <v>No fuma</v>
      </c>
      <c r="U670">
        <v>2548527</v>
      </c>
      <c r="V670">
        <f t="shared" si="272"/>
        <v>2</v>
      </c>
      <c r="W670" t="str">
        <f t="shared" si="273"/>
        <v>Siempre</v>
      </c>
      <c r="X670">
        <v>0</v>
      </c>
      <c r="Y670" t="str">
        <f t="shared" si="274"/>
        <v>No controla</v>
      </c>
      <c r="Z670">
        <v>1285976</v>
      </c>
      <c r="AA670">
        <f t="shared" si="275"/>
        <v>3</v>
      </c>
      <c r="AB670" t="str">
        <f t="shared" si="276"/>
        <v>Siempre</v>
      </c>
      <c r="AC670">
        <v>0.26707599999999998</v>
      </c>
      <c r="AD670">
        <f t="shared" si="277"/>
        <v>0</v>
      </c>
      <c r="AE670" t="str">
        <f t="shared" si="278"/>
        <v>Nunca</v>
      </c>
      <c r="AF670">
        <v>1</v>
      </c>
      <c r="AG670" t="str">
        <f t="shared" si="279"/>
        <v>A veces</v>
      </c>
      <c r="AH670">
        <v>1</v>
      </c>
      <c r="AI670" t="str">
        <f t="shared" si="280"/>
        <v>Usa auto</v>
      </c>
      <c r="AJ670">
        <v>0</v>
      </c>
      <c r="AK670" t="str">
        <f t="shared" si="281"/>
        <v>No usa</v>
      </c>
      <c r="AL670">
        <v>0</v>
      </c>
      <c r="AM670" t="str">
        <f t="shared" si="282"/>
        <v>No usa</v>
      </c>
      <c r="AN670">
        <v>0</v>
      </c>
      <c r="AO670" t="str">
        <f t="shared" si="283"/>
        <v>No usa</v>
      </c>
      <c r="AP670">
        <v>0</v>
      </c>
      <c r="AQ670" t="str">
        <f t="shared" si="284"/>
        <v>No camina</v>
      </c>
      <c r="AR670">
        <v>0</v>
      </c>
      <c r="AS670" t="str">
        <f t="shared" si="285"/>
        <v>No es obeso</v>
      </c>
    </row>
    <row r="671" spans="1:45" x14ac:dyDescent="0.25">
      <c r="A671">
        <v>1</v>
      </c>
      <c r="B671" t="str">
        <f t="shared" si="260"/>
        <v>M</v>
      </c>
      <c r="C671">
        <v>21084625</v>
      </c>
      <c r="D671">
        <f t="shared" si="261"/>
        <v>57</v>
      </c>
      <c r="E671">
        <f t="shared" si="262"/>
        <v>57</v>
      </c>
      <c r="F671" t="str">
        <f t="shared" si="263"/>
        <v>50-75</v>
      </c>
      <c r="G671">
        <v>1</v>
      </c>
      <c r="H671" t="str">
        <f t="shared" si="264"/>
        <v>Pariente gordo</v>
      </c>
      <c r="I671">
        <v>1</v>
      </c>
      <c r="J671" t="str">
        <f t="shared" si="265"/>
        <v>Hipercaloricos</v>
      </c>
      <c r="K671">
        <v>2530233</v>
      </c>
      <c r="L671">
        <f t="shared" si="266"/>
        <v>1</v>
      </c>
      <c r="M671" t="str">
        <f t="shared" si="267"/>
        <v>Suele comer</v>
      </c>
      <c r="N671">
        <v>324934</v>
      </c>
      <c r="O671">
        <f t="shared" si="268"/>
        <v>2</v>
      </c>
      <c r="P671" t="str">
        <f t="shared" si="269"/>
        <v>Mas de 3</v>
      </c>
      <c r="Q671">
        <v>1</v>
      </c>
      <c r="R671" t="str">
        <f t="shared" si="270"/>
        <v>A veces</v>
      </c>
      <c r="S671">
        <v>0</v>
      </c>
      <c r="T671" t="str">
        <f t="shared" si="271"/>
        <v>No fuma</v>
      </c>
      <c r="U671">
        <v>2387945</v>
      </c>
      <c r="V671">
        <f t="shared" si="272"/>
        <v>2</v>
      </c>
      <c r="W671" t="str">
        <f t="shared" si="273"/>
        <v>Siempre</v>
      </c>
      <c r="X671">
        <v>0</v>
      </c>
      <c r="Y671" t="str">
        <f t="shared" si="274"/>
        <v>No controla</v>
      </c>
      <c r="Z671">
        <v>1976341</v>
      </c>
      <c r="AA671">
        <f t="shared" si="275"/>
        <v>3</v>
      </c>
      <c r="AB671" t="str">
        <f t="shared" si="276"/>
        <v>Siempre</v>
      </c>
      <c r="AC671">
        <v>1672508</v>
      </c>
      <c r="AD671">
        <f t="shared" si="277"/>
        <v>2</v>
      </c>
      <c r="AE671" t="str">
        <f t="shared" si="278"/>
        <v>Siempre</v>
      </c>
      <c r="AF671">
        <v>0</v>
      </c>
      <c r="AG671" t="str">
        <f t="shared" si="279"/>
        <v>Nunca</v>
      </c>
      <c r="AH671">
        <v>1</v>
      </c>
      <c r="AI671" t="str">
        <f t="shared" si="280"/>
        <v>Usa auto</v>
      </c>
      <c r="AJ671">
        <v>0</v>
      </c>
      <c r="AK671" t="str">
        <f t="shared" si="281"/>
        <v>No usa</v>
      </c>
      <c r="AL671">
        <v>0</v>
      </c>
      <c r="AM671" t="str">
        <f t="shared" si="282"/>
        <v>No usa</v>
      </c>
      <c r="AN671">
        <v>0</v>
      </c>
      <c r="AO671" t="str">
        <f t="shared" si="283"/>
        <v>No usa</v>
      </c>
      <c r="AP671">
        <v>0</v>
      </c>
      <c r="AQ671" t="str">
        <f t="shared" si="284"/>
        <v>No camina</v>
      </c>
      <c r="AR671">
        <v>0</v>
      </c>
      <c r="AS671" t="str">
        <f t="shared" si="285"/>
        <v>No es obeso</v>
      </c>
    </row>
    <row r="672" spans="1:45" x14ac:dyDescent="0.25">
      <c r="A672">
        <v>1</v>
      </c>
      <c r="B672" t="str">
        <f t="shared" si="260"/>
        <v>M</v>
      </c>
      <c r="C672">
        <v>18068767</v>
      </c>
      <c r="D672">
        <f t="shared" si="261"/>
        <v>49</v>
      </c>
      <c r="E672">
        <f t="shared" si="262"/>
        <v>49</v>
      </c>
      <c r="F672" t="str">
        <f t="shared" si="263"/>
        <v>25-50</v>
      </c>
      <c r="G672">
        <v>1</v>
      </c>
      <c r="H672" t="str">
        <f t="shared" si="264"/>
        <v>Pariente gordo</v>
      </c>
      <c r="I672">
        <v>1</v>
      </c>
      <c r="J672" t="str">
        <f t="shared" si="265"/>
        <v>Hipercaloricos</v>
      </c>
      <c r="K672">
        <v>3</v>
      </c>
      <c r="L672">
        <f t="shared" si="266"/>
        <v>1</v>
      </c>
      <c r="M672" t="str">
        <f t="shared" si="267"/>
        <v>Suele comer</v>
      </c>
      <c r="N672">
        <v>3</v>
      </c>
      <c r="O672">
        <f t="shared" si="268"/>
        <v>2</v>
      </c>
      <c r="P672" t="str">
        <f t="shared" si="269"/>
        <v>Mas de 3</v>
      </c>
      <c r="Q672">
        <v>1</v>
      </c>
      <c r="R672" t="str">
        <f t="shared" si="270"/>
        <v>A veces</v>
      </c>
      <c r="S672">
        <v>0</v>
      </c>
      <c r="T672" t="str">
        <f t="shared" si="271"/>
        <v>No fuma</v>
      </c>
      <c r="U672">
        <v>2</v>
      </c>
      <c r="V672">
        <f t="shared" si="272"/>
        <v>2</v>
      </c>
      <c r="W672" t="str">
        <f t="shared" si="273"/>
        <v>Siempre</v>
      </c>
      <c r="X672">
        <v>0</v>
      </c>
      <c r="Y672" t="str">
        <f t="shared" si="274"/>
        <v>No controla</v>
      </c>
      <c r="Z672">
        <v>0.85433700000000001</v>
      </c>
      <c r="AA672">
        <f t="shared" si="275"/>
        <v>0</v>
      </c>
      <c r="AB672" t="str">
        <f t="shared" si="276"/>
        <v>Nunca</v>
      </c>
      <c r="AC672">
        <v>1</v>
      </c>
      <c r="AD672">
        <f t="shared" si="277"/>
        <v>1</v>
      </c>
      <c r="AE672" t="str">
        <f t="shared" si="278"/>
        <v>Usualmente</v>
      </c>
      <c r="AF672">
        <v>1</v>
      </c>
      <c r="AG672" t="str">
        <f t="shared" si="279"/>
        <v>A veces</v>
      </c>
      <c r="AH672">
        <v>0</v>
      </c>
      <c r="AI672" t="str">
        <f t="shared" si="280"/>
        <v>No usa</v>
      </c>
      <c r="AJ672">
        <v>0</v>
      </c>
      <c r="AK672" t="str">
        <f t="shared" si="281"/>
        <v>No usa</v>
      </c>
      <c r="AL672">
        <v>0</v>
      </c>
      <c r="AM672" t="str">
        <f t="shared" si="282"/>
        <v>No usa</v>
      </c>
      <c r="AN672">
        <v>1</v>
      </c>
      <c r="AO672" t="str">
        <f t="shared" si="283"/>
        <v>Usa Transporte</v>
      </c>
      <c r="AP672">
        <v>0</v>
      </c>
      <c r="AQ672" t="str">
        <f t="shared" si="284"/>
        <v>No camina</v>
      </c>
      <c r="AR672">
        <v>0</v>
      </c>
      <c r="AS672" t="str">
        <f t="shared" si="285"/>
        <v>No es obeso</v>
      </c>
    </row>
    <row r="673" spans="1:45" x14ac:dyDescent="0.25">
      <c r="A673">
        <v>0</v>
      </c>
      <c r="B673" t="str">
        <f t="shared" si="260"/>
        <v>F</v>
      </c>
      <c r="C673">
        <v>21813083</v>
      </c>
      <c r="D673">
        <f t="shared" si="261"/>
        <v>59</v>
      </c>
      <c r="E673">
        <f t="shared" si="262"/>
        <v>59</v>
      </c>
      <c r="F673" t="str">
        <f t="shared" si="263"/>
        <v>50-75</v>
      </c>
      <c r="G673">
        <v>1</v>
      </c>
      <c r="H673" t="str">
        <f t="shared" si="264"/>
        <v>Pariente gordo</v>
      </c>
      <c r="I673">
        <v>1</v>
      </c>
      <c r="J673" t="str">
        <f t="shared" si="265"/>
        <v>Hipercaloricos</v>
      </c>
      <c r="K673">
        <v>28813</v>
      </c>
      <c r="L673">
        <f t="shared" si="266"/>
        <v>1</v>
      </c>
      <c r="M673" t="str">
        <f t="shared" si="267"/>
        <v>Suele comer</v>
      </c>
      <c r="N673">
        <v>3087544</v>
      </c>
      <c r="O673">
        <f t="shared" si="268"/>
        <v>2</v>
      </c>
      <c r="P673" t="str">
        <f t="shared" si="269"/>
        <v>Mas de 3</v>
      </c>
      <c r="Q673">
        <v>2</v>
      </c>
      <c r="R673" t="str">
        <f t="shared" si="270"/>
        <v>Usualmente</v>
      </c>
      <c r="S673">
        <v>0</v>
      </c>
      <c r="T673" t="str">
        <f t="shared" si="271"/>
        <v>No fuma</v>
      </c>
      <c r="U673">
        <v>124818</v>
      </c>
      <c r="V673">
        <f t="shared" si="272"/>
        <v>2</v>
      </c>
      <c r="W673" t="str">
        <f t="shared" si="273"/>
        <v>Siempre</v>
      </c>
      <c r="X673">
        <v>0</v>
      </c>
      <c r="Y673" t="str">
        <f t="shared" si="274"/>
        <v>No controla</v>
      </c>
      <c r="Z673">
        <v>1952427</v>
      </c>
      <c r="AA673">
        <f t="shared" si="275"/>
        <v>3</v>
      </c>
      <c r="AB673" t="str">
        <f t="shared" si="276"/>
        <v>Siempre</v>
      </c>
      <c r="AC673">
        <v>0.42746099999999998</v>
      </c>
      <c r="AD673">
        <f t="shared" si="277"/>
        <v>0</v>
      </c>
      <c r="AE673" t="str">
        <f t="shared" si="278"/>
        <v>Nunca</v>
      </c>
      <c r="AF673">
        <v>0</v>
      </c>
      <c r="AG673" t="str">
        <f t="shared" si="279"/>
        <v>Nunca</v>
      </c>
      <c r="AH673">
        <v>0</v>
      </c>
      <c r="AI673" t="str">
        <f t="shared" si="280"/>
        <v>No usa</v>
      </c>
      <c r="AJ673">
        <v>0</v>
      </c>
      <c r="AK673" t="str">
        <f t="shared" si="281"/>
        <v>No usa</v>
      </c>
      <c r="AL673">
        <v>0</v>
      </c>
      <c r="AM673" t="str">
        <f t="shared" si="282"/>
        <v>No usa</v>
      </c>
      <c r="AN673">
        <v>1</v>
      </c>
      <c r="AO673" t="str">
        <f t="shared" si="283"/>
        <v>Usa Transporte</v>
      </c>
      <c r="AP673">
        <v>0</v>
      </c>
      <c r="AQ673" t="str">
        <f t="shared" si="284"/>
        <v>No camina</v>
      </c>
      <c r="AR673">
        <v>0</v>
      </c>
      <c r="AS673" t="str">
        <f t="shared" si="285"/>
        <v>No es obeso</v>
      </c>
    </row>
    <row r="674" spans="1:45" x14ac:dyDescent="0.25">
      <c r="A674">
        <v>1</v>
      </c>
      <c r="B674" t="str">
        <f t="shared" si="260"/>
        <v>M</v>
      </c>
      <c r="C674">
        <v>18038422</v>
      </c>
      <c r="D674">
        <f t="shared" si="261"/>
        <v>49</v>
      </c>
      <c r="E674">
        <f t="shared" si="262"/>
        <v>49</v>
      </c>
      <c r="F674" t="str">
        <f t="shared" si="263"/>
        <v>25-50</v>
      </c>
      <c r="G674">
        <v>1</v>
      </c>
      <c r="H674" t="str">
        <f t="shared" si="264"/>
        <v>Pariente gordo</v>
      </c>
      <c r="I674">
        <v>1</v>
      </c>
      <c r="J674" t="str">
        <f t="shared" si="265"/>
        <v>Hipercaloricos</v>
      </c>
      <c r="K674">
        <v>2824559</v>
      </c>
      <c r="L674">
        <f t="shared" si="266"/>
        <v>1</v>
      </c>
      <c r="M674" t="str">
        <f t="shared" si="267"/>
        <v>Suele comer</v>
      </c>
      <c r="N674">
        <v>3</v>
      </c>
      <c r="O674">
        <f t="shared" si="268"/>
        <v>2</v>
      </c>
      <c r="P674" t="str">
        <f t="shared" si="269"/>
        <v>Mas de 3</v>
      </c>
      <c r="Q674">
        <v>1</v>
      </c>
      <c r="R674" t="str">
        <f t="shared" si="270"/>
        <v>A veces</v>
      </c>
      <c r="S674">
        <v>0</v>
      </c>
      <c r="T674" t="str">
        <f t="shared" si="271"/>
        <v>No fuma</v>
      </c>
      <c r="U674">
        <v>2</v>
      </c>
      <c r="V674">
        <f t="shared" si="272"/>
        <v>2</v>
      </c>
      <c r="W674" t="str">
        <f t="shared" si="273"/>
        <v>Siempre</v>
      </c>
      <c r="X674">
        <v>0</v>
      </c>
      <c r="Y674" t="str">
        <f t="shared" si="274"/>
        <v>No controla</v>
      </c>
      <c r="Z674">
        <v>0.53330900000000003</v>
      </c>
      <c r="AA674">
        <f t="shared" si="275"/>
        <v>0</v>
      </c>
      <c r="AB674" t="str">
        <f t="shared" si="276"/>
        <v>Nunca</v>
      </c>
      <c r="AC674">
        <v>1099764</v>
      </c>
      <c r="AD674">
        <f t="shared" si="277"/>
        <v>2</v>
      </c>
      <c r="AE674" t="str">
        <f t="shared" si="278"/>
        <v>Siempre</v>
      </c>
      <c r="AF674">
        <v>1</v>
      </c>
      <c r="AG674" t="str">
        <f t="shared" si="279"/>
        <v>A veces</v>
      </c>
      <c r="AH674">
        <v>0</v>
      </c>
      <c r="AI674" t="str">
        <f t="shared" si="280"/>
        <v>No usa</v>
      </c>
      <c r="AJ674">
        <v>0</v>
      </c>
      <c r="AK674" t="str">
        <f t="shared" si="281"/>
        <v>No usa</v>
      </c>
      <c r="AL674">
        <v>0</v>
      </c>
      <c r="AM674" t="str">
        <f t="shared" si="282"/>
        <v>No usa</v>
      </c>
      <c r="AN674">
        <v>1</v>
      </c>
      <c r="AO674" t="str">
        <f t="shared" si="283"/>
        <v>Usa Transporte</v>
      </c>
      <c r="AP674">
        <v>0</v>
      </c>
      <c r="AQ674" t="str">
        <f t="shared" si="284"/>
        <v>No camina</v>
      </c>
      <c r="AR674">
        <v>0</v>
      </c>
      <c r="AS674" t="str">
        <f t="shared" si="285"/>
        <v>No es obeso</v>
      </c>
    </row>
    <row r="675" spans="1:45" x14ac:dyDescent="0.25">
      <c r="A675">
        <v>0</v>
      </c>
      <c r="B675" t="str">
        <f t="shared" si="260"/>
        <v>F</v>
      </c>
      <c r="C675">
        <v>18874591</v>
      </c>
      <c r="D675">
        <f t="shared" si="261"/>
        <v>51</v>
      </c>
      <c r="E675">
        <f t="shared" si="262"/>
        <v>51</v>
      </c>
      <c r="F675" t="str">
        <f t="shared" si="263"/>
        <v>50-75</v>
      </c>
      <c r="G675">
        <v>0</v>
      </c>
      <c r="H675" t="str">
        <f t="shared" si="264"/>
        <v>Pariente normal</v>
      </c>
      <c r="I675">
        <v>1</v>
      </c>
      <c r="J675" t="str">
        <f t="shared" si="265"/>
        <v>Hipercaloricos</v>
      </c>
      <c r="K675">
        <v>2762325</v>
      </c>
      <c r="L675">
        <f t="shared" si="266"/>
        <v>1</v>
      </c>
      <c r="M675" t="str">
        <f t="shared" si="267"/>
        <v>Suele comer</v>
      </c>
      <c r="N675">
        <v>1163666</v>
      </c>
      <c r="O675">
        <f t="shared" si="268"/>
        <v>2</v>
      </c>
      <c r="P675" t="str">
        <f t="shared" si="269"/>
        <v>Mas de 3</v>
      </c>
      <c r="Q675">
        <v>1</v>
      </c>
      <c r="R675" t="str">
        <f t="shared" si="270"/>
        <v>A veces</v>
      </c>
      <c r="S675">
        <v>0</v>
      </c>
      <c r="T675" t="str">
        <f t="shared" si="271"/>
        <v>No fuma</v>
      </c>
      <c r="U675">
        <v>130491</v>
      </c>
      <c r="V675">
        <f t="shared" si="272"/>
        <v>2</v>
      </c>
      <c r="W675" t="str">
        <f t="shared" si="273"/>
        <v>Siempre</v>
      </c>
      <c r="X675">
        <v>0</v>
      </c>
      <c r="Y675" t="str">
        <f t="shared" si="274"/>
        <v>No controla</v>
      </c>
      <c r="Z675">
        <v>0.25289</v>
      </c>
      <c r="AA675">
        <f t="shared" si="275"/>
        <v>0</v>
      </c>
      <c r="AB675" t="str">
        <f t="shared" si="276"/>
        <v>Nunca</v>
      </c>
      <c r="AC675">
        <v>1001405</v>
      </c>
      <c r="AD675">
        <f t="shared" si="277"/>
        <v>2</v>
      </c>
      <c r="AE675" t="str">
        <f t="shared" si="278"/>
        <v>Siempre</v>
      </c>
      <c r="AF675">
        <v>1</v>
      </c>
      <c r="AG675" t="str">
        <f t="shared" si="279"/>
        <v>A veces</v>
      </c>
      <c r="AH675">
        <v>0</v>
      </c>
      <c r="AI675" t="str">
        <f t="shared" si="280"/>
        <v>No usa</v>
      </c>
      <c r="AJ675">
        <v>0</v>
      </c>
      <c r="AK675" t="str">
        <f t="shared" si="281"/>
        <v>No usa</v>
      </c>
      <c r="AL675">
        <v>0</v>
      </c>
      <c r="AM675" t="str">
        <f t="shared" si="282"/>
        <v>No usa</v>
      </c>
      <c r="AN675">
        <v>1</v>
      </c>
      <c r="AO675" t="str">
        <f t="shared" si="283"/>
        <v>Usa Transporte</v>
      </c>
      <c r="AP675">
        <v>0</v>
      </c>
      <c r="AQ675" t="str">
        <f t="shared" si="284"/>
        <v>No camina</v>
      </c>
      <c r="AR675">
        <v>0</v>
      </c>
      <c r="AS675" t="str">
        <f t="shared" si="285"/>
        <v>No es obeso</v>
      </c>
    </row>
    <row r="676" spans="1:45" x14ac:dyDescent="0.25">
      <c r="A676">
        <v>0</v>
      </c>
      <c r="B676" t="str">
        <f t="shared" si="260"/>
        <v>F</v>
      </c>
      <c r="C676">
        <v>1921164</v>
      </c>
      <c r="D676">
        <f t="shared" si="261"/>
        <v>5</v>
      </c>
      <c r="E676">
        <f t="shared" si="262"/>
        <v>5</v>
      </c>
      <c r="F676" t="str">
        <f t="shared" si="263"/>
        <v>1-25</v>
      </c>
      <c r="G676">
        <v>0</v>
      </c>
      <c r="H676" t="str">
        <f t="shared" si="264"/>
        <v>Pariente normal</v>
      </c>
      <c r="I676">
        <v>1</v>
      </c>
      <c r="J676" t="str">
        <f t="shared" si="265"/>
        <v>Hipercaloricos</v>
      </c>
      <c r="K676">
        <v>2070964</v>
      </c>
      <c r="L676">
        <f t="shared" si="266"/>
        <v>1</v>
      </c>
      <c r="M676" t="str">
        <f t="shared" si="267"/>
        <v>Suele comer</v>
      </c>
      <c r="N676">
        <v>1</v>
      </c>
      <c r="O676">
        <f t="shared" si="268"/>
        <v>1</v>
      </c>
      <c r="P676">
        <f t="shared" si="269"/>
        <v>3</v>
      </c>
      <c r="Q676">
        <v>1</v>
      </c>
      <c r="R676" t="str">
        <f t="shared" si="270"/>
        <v>A veces</v>
      </c>
      <c r="S676">
        <v>0</v>
      </c>
      <c r="T676" t="str">
        <f t="shared" si="271"/>
        <v>No fuma</v>
      </c>
      <c r="U676">
        <v>1676975</v>
      </c>
      <c r="V676">
        <f t="shared" si="272"/>
        <v>2</v>
      </c>
      <c r="W676" t="str">
        <f t="shared" si="273"/>
        <v>Siempre</v>
      </c>
      <c r="X676">
        <v>0</v>
      </c>
      <c r="Y676" t="str">
        <f t="shared" si="274"/>
        <v>No controla</v>
      </c>
      <c r="Z676">
        <v>0</v>
      </c>
      <c r="AA676">
        <f t="shared" si="275"/>
        <v>0</v>
      </c>
      <c r="AB676" t="str">
        <f t="shared" si="276"/>
        <v>Nunca</v>
      </c>
      <c r="AC676">
        <v>1718513</v>
      </c>
      <c r="AD676">
        <f t="shared" si="277"/>
        <v>2</v>
      </c>
      <c r="AE676" t="str">
        <f t="shared" si="278"/>
        <v>Siempre</v>
      </c>
      <c r="AF676">
        <v>1</v>
      </c>
      <c r="AG676" t="str">
        <f t="shared" si="279"/>
        <v>A veces</v>
      </c>
      <c r="AH676">
        <v>0</v>
      </c>
      <c r="AI676" t="str">
        <f t="shared" si="280"/>
        <v>No usa</v>
      </c>
      <c r="AJ676">
        <v>0</v>
      </c>
      <c r="AK676" t="str">
        <f t="shared" si="281"/>
        <v>No usa</v>
      </c>
      <c r="AL676">
        <v>0</v>
      </c>
      <c r="AM676" t="str">
        <f t="shared" si="282"/>
        <v>No usa</v>
      </c>
      <c r="AN676">
        <v>1</v>
      </c>
      <c r="AO676" t="str">
        <f t="shared" si="283"/>
        <v>Usa Transporte</v>
      </c>
      <c r="AP676">
        <v>0</v>
      </c>
      <c r="AQ676" t="str">
        <f t="shared" si="284"/>
        <v>No camina</v>
      </c>
      <c r="AR676">
        <v>0</v>
      </c>
      <c r="AS676" t="str">
        <f t="shared" si="285"/>
        <v>No es obeso</v>
      </c>
    </row>
    <row r="677" spans="1:45" x14ac:dyDescent="0.25">
      <c r="A677">
        <v>0</v>
      </c>
      <c r="B677" t="str">
        <f t="shared" si="260"/>
        <v>F</v>
      </c>
      <c r="C677">
        <v>18988581</v>
      </c>
      <c r="D677">
        <f t="shared" si="261"/>
        <v>52</v>
      </c>
      <c r="E677">
        <f t="shared" si="262"/>
        <v>52</v>
      </c>
      <c r="F677" t="str">
        <f t="shared" si="263"/>
        <v>50-75</v>
      </c>
      <c r="G677">
        <v>0</v>
      </c>
      <c r="H677" t="str">
        <f t="shared" si="264"/>
        <v>Pariente normal</v>
      </c>
      <c r="I677">
        <v>1</v>
      </c>
      <c r="J677" t="str">
        <f t="shared" si="265"/>
        <v>Hipercaloricos</v>
      </c>
      <c r="K677">
        <v>268601</v>
      </c>
      <c r="L677">
        <f t="shared" si="266"/>
        <v>1</v>
      </c>
      <c r="M677" t="str">
        <f t="shared" si="267"/>
        <v>Suele comer</v>
      </c>
      <c r="N677">
        <v>1</v>
      </c>
      <c r="O677">
        <f t="shared" si="268"/>
        <v>1</v>
      </c>
      <c r="P677">
        <f t="shared" si="269"/>
        <v>3</v>
      </c>
      <c r="Q677">
        <v>1</v>
      </c>
      <c r="R677" t="str">
        <f t="shared" si="270"/>
        <v>A veces</v>
      </c>
      <c r="S677">
        <v>0</v>
      </c>
      <c r="T677" t="str">
        <f t="shared" si="271"/>
        <v>No fuma</v>
      </c>
      <c r="U677">
        <v>1310074</v>
      </c>
      <c r="V677">
        <f t="shared" si="272"/>
        <v>2</v>
      </c>
      <c r="W677" t="str">
        <f t="shared" si="273"/>
        <v>Siempre</v>
      </c>
      <c r="X677">
        <v>0</v>
      </c>
      <c r="Y677" t="str">
        <f t="shared" si="274"/>
        <v>No controla</v>
      </c>
      <c r="Z677">
        <v>0</v>
      </c>
      <c r="AA677">
        <f t="shared" si="275"/>
        <v>0</v>
      </c>
      <c r="AB677" t="str">
        <f t="shared" si="276"/>
        <v>Nunca</v>
      </c>
      <c r="AC677">
        <v>10647</v>
      </c>
      <c r="AD677">
        <f t="shared" si="277"/>
        <v>1</v>
      </c>
      <c r="AE677" t="str">
        <f t="shared" si="278"/>
        <v>Usualmente</v>
      </c>
      <c r="AF677">
        <v>1</v>
      </c>
      <c r="AG677" t="str">
        <f t="shared" si="279"/>
        <v>A veces</v>
      </c>
      <c r="AH677">
        <v>0</v>
      </c>
      <c r="AI677" t="str">
        <f t="shared" si="280"/>
        <v>No usa</v>
      </c>
      <c r="AJ677">
        <v>0</v>
      </c>
      <c r="AK677" t="str">
        <f t="shared" si="281"/>
        <v>No usa</v>
      </c>
      <c r="AL677">
        <v>0</v>
      </c>
      <c r="AM677" t="str">
        <f t="shared" si="282"/>
        <v>No usa</v>
      </c>
      <c r="AN677">
        <v>1</v>
      </c>
      <c r="AO677" t="str">
        <f t="shared" si="283"/>
        <v>Usa Transporte</v>
      </c>
      <c r="AP677">
        <v>0</v>
      </c>
      <c r="AQ677" t="str">
        <f t="shared" si="284"/>
        <v>No camina</v>
      </c>
      <c r="AR677">
        <v>0</v>
      </c>
      <c r="AS677" t="str">
        <f t="shared" si="285"/>
        <v>No es obeso</v>
      </c>
    </row>
    <row r="678" spans="1:45" x14ac:dyDescent="0.25">
      <c r="A678">
        <v>0</v>
      </c>
      <c r="B678" t="str">
        <f t="shared" si="260"/>
        <v>F</v>
      </c>
      <c r="C678">
        <v>19408999</v>
      </c>
      <c r="D678">
        <f t="shared" si="261"/>
        <v>53</v>
      </c>
      <c r="E678">
        <f t="shared" si="262"/>
        <v>53</v>
      </c>
      <c r="F678" t="str">
        <f t="shared" si="263"/>
        <v>50-75</v>
      </c>
      <c r="G678">
        <v>0</v>
      </c>
      <c r="H678" t="str">
        <f t="shared" si="264"/>
        <v>Pariente normal</v>
      </c>
      <c r="I678">
        <v>1</v>
      </c>
      <c r="J678" t="str">
        <f t="shared" si="265"/>
        <v>Hipercaloricos</v>
      </c>
      <c r="K678">
        <v>2794197</v>
      </c>
      <c r="L678">
        <f t="shared" si="266"/>
        <v>1</v>
      </c>
      <c r="M678" t="str">
        <f t="shared" si="267"/>
        <v>Suele comer</v>
      </c>
      <c r="N678">
        <v>3409363</v>
      </c>
      <c r="O678">
        <f t="shared" si="268"/>
        <v>2</v>
      </c>
      <c r="P678" t="str">
        <f t="shared" si="269"/>
        <v>Mas de 3</v>
      </c>
      <c r="Q678">
        <v>1</v>
      </c>
      <c r="R678" t="str">
        <f t="shared" si="270"/>
        <v>A veces</v>
      </c>
      <c r="S678">
        <v>0</v>
      </c>
      <c r="T678" t="str">
        <f t="shared" si="271"/>
        <v>No fuma</v>
      </c>
      <c r="U678">
        <v>1543021</v>
      </c>
      <c r="V678">
        <f t="shared" si="272"/>
        <v>2</v>
      </c>
      <c r="W678" t="str">
        <f t="shared" si="273"/>
        <v>Siempre</v>
      </c>
      <c r="X678">
        <v>0</v>
      </c>
      <c r="Y678" t="str">
        <f t="shared" si="274"/>
        <v>No controla</v>
      </c>
      <c r="Z678">
        <v>2</v>
      </c>
      <c r="AA678">
        <f t="shared" si="275"/>
        <v>2</v>
      </c>
      <c r="AB678" t="str">
        <f t="shared" si="276"/>
        <v>Usualmente</v>
      </c>
      <c r="AC678">
        <v>1</v>
      </c>
      <c r="AD678">
        <f t="shared" si="277"/>
        <v>1</v>
      </c>
      <c r="AE678" t="str">
        <f t="shared" si="278"/>
        <v>Usualmente</v>
      </c>
      <c r="AF678">
        <v>1</v>
      </c>
      <c r="AG678" t="str">
        <f t="shared" si="279"/>
        <v>A veces</v>
      </c>
      <c r="AH678">
        <v>0</v>
      </c>
      <c r="AI678" t="str">
        <f t="shared" si="280"/>
        <v>No usa</v>
      </c>
      <c r="AJ678">
        <v>0</v>
      </c>
      <c r="AK678" t="str">
        <f t="shared" si="281"/>
        <v>No usa</v>
      </c>
      <c r="AL678">
        <v>0</v>
      </c>
      <c r="AM678" t="str">
        <f t="shared" si="282"/>
        <v>No usa</v>
      </c>
      <c r="AN678">
        <v>1</v>
      </c>
      <c r="AO678" t="str">
        <f t="shared" si="283"/>
        <v>Usa Transporte</v>
      </c>
      <c r="AP678">
        <v>0</v>
      </c>
      <c r="AQ678" t="str">
        <f t="shared" si="284"/>
        <v>No camina</v>
      </c>
      <c r="AR678">
        <v>0</v>
      </c>
      <c r="AS678" t="str">
        <f t="shared" si="285"/>
        <v>No es obeso</v>
      </c>
    </row>
    <row r="679" spans="1:45" x14ac:dyDescent="0.25">
      <c r="A679">
        <v>0</v>
      </c>
      <c r="B679" t="str">
        <f t="shared" si="260"/>
        <v>F</v>
      </c>
      <c r="C679">
        <v>19665881</v>
      </c>
      <c r="D679">
        <f t="shared" si="261"/>
        <v>53</v>
      </c>
      <c r="E679">
        <f t="shared" si="262"/>
        <v>53</v>
      </c>
      <c r="F679" t="str">
        <f t="shared" si="263"/>
        <v>50-75</v>
      </c>
      <c r="G679">
        <v>0</v>
      </c>
      <c r="H679" t="str">
        <f t="shared" si="264"/>
        <v>Pariente normal</v>
      </c>
      <c r="I679">
        <v>0</v>
      </c>
      <c r="J679" t="str">
        <f t="shared" si="265"/>
        <v>Saludables</v>
      </c>
      <c r="K679">
        <v>2720701</v>
      </c>
      <c r="L679">
        <f t="shared" si="266"/>
        <v>1</v>
      </c>
      <c r="M679" t="str">
        <f t="shared" si="267"/>
        <v>Suele comer</v>
      </c>
      <c r="N679">
        <v>3</v>
      </c>
      <c r="O679">
        <f t="shared" si="268"/>
        <v>2</v>
      </c>
      <c r="P679" t="str">
        <f t="shared" si="269"/>
        <v>Mas de 3</v>
      </c>
      <c r="Q679">
        <v>1</v>
      </c>
      <c r="R679" t="str">
        <f t="shared" si="270"/>
        <v>A veces</v>
      </c>
      <c r="S679">
        <v>0</v>
      </c>
      <c r="T679" t="str">
        <f t="shared" si="271"/>
        <v>No fuma</v>
      </c>
      <c r="U679">
        <v>2</v>
      </c>
      <c r="V679">
        <f t="shared" si="272"/>
        <v>2</v>
      </c>
      <c r="W679" t="str">
        <f t="shared" si="273"/>
        <v>Siempre</v>
      </c>
      <c r="X679">
        <v>0</v>
      </c>
      <c r="Y679" t="str">
        <f t="shared" si="274"/>
        <v>No controla</v>
      </c>
      <c r="Z679">
        <v>1862235</v>
      </c>
      <c r="AA679">
        <f t="shared" si="275"/>
        <v>3</v>
      </c>
      <c r="AB679" t="str">
        <f t="shared" si="276"/>
        <v>Siempre</v>
      </c>
      <c r="AC679">
        <v>1</v>
      </c>
      <c r="AD679">
        <f t="shared" si="277"/>
        <v>1</v>
      </c>
      <c r="AE679" t="str">
        <f t="shared" si="278"/>
        <v>Usualmente</v>
      </c>
      <c r="AF679">
        <v>1</v>
      </c>
      <c r="AG679" t="str">
        <f t="shared" si="279"/>
        <v>A veces</v>
      </c>
      <c r="AH679">
        <v>0</v>
      </c>
      <c r="AI679" t="str">
        <f t="shared" si="280"/>
        <v>No usa</v>
      </c>
      <c r="AJ679">
        <v>0</v>
      </c>
      <c r="AK679" t="str">
        <f t="shared" si="281"/>
        <v>No usa</v>
      </c>
      <c r="AL679">
        <v>0</v>
      </c>
      <c r="AM679" t="str">
        <f t="shared" si="282"/>
        <v>No usa</v>
      </c>
      <c r="AN679">
        <v>1</v>
      </c>
      <c r="AO679" t="str">
        <f t="shared" si="283"/>
        <v>Usa Transporte</v>
      </c>
      <c r="AP679">
        <v>0</v>
      </c>
      <c r="AQ679" t="str">
        <f t="shared" si="284"/>
        <v>No camina</v>
      </c>
      <c r="AR679">
        <v>0</v>
      </c>
      <c r="AS679" t="str">
        <f t="shared" si="285"/>
        <v>No es obeso</v>
      </c>
    </row>
    <row r="680" spans="1:45" x14ac:dyDescent="0.25">
      <c r="A680">
        <v>0</v>
      </c>
      <c r="B680" t="str">
        <f t="shared" si="260"/>
        <v>F</v>
      </c>
      <c r="C680">
        <v>19758286</v>
      </c>
      <c r="D680">
        <f t="shared" si="261"/>
        <v>54</v>
      </c>
      <c r="E680">
        <f t="shared" si="262"/>
        <v>54</v>
      </c>
      <c r="F680" t="str">
        <f t="shared" si="263"/>
        <v>50-75</v>
      </c>
      <c r="G680">
        <v>0</v>
      </c>
      <c r="H680" t="str">
        <f t="shared" si="264"/>
        <v>Pariente normal</v>
      </c>
      <c r="I680">
        <v>0</v>
      </c>
      <c r="J680" t="str">
        <f t="shared" si="265"/>
        <v>Saludables</v>
      </c>
      <c r="K680">
        <v>2880792</v>
      </c>
      <c r="L680">
        <f t="shared" si="266"/>
        <v>1</v>
      </c>
      <c r="M680" t="str">
        <f t="shared" si="267"/>
        <v>Suele comer</v>
      </c>
      <c r="N680">
        <v>3281391</v>
      </c>
      <c r="O680">
        <f t="shared" si="268"/>
        <v>2</v>
      </c>
      <c r="P680" t="str">
        <f t="shared" si="269"/>
        <v>Mas de 3</v>
      </c>
      <c r="Q680">
        <v>1</v>
      </c>
      <c r="R680" t="str">
        <f t="shared" si="270"/>
        <v>A veces</v>
      </c>
      <c r="S680">
        <v>0</v>
      </c>
      <c r="T680" t="str">
        <f t="shared" si="271"/>
        <v>No fuma</v>
      </c>
      <c r="U680">
        <v>1960131</v>
      </c>
      <c r="V680">
        <f t="shared" si="272"/>
        <v>2</v>
      </c>
      <c r="W680" t="str">
        <f t="shared" si="273"/>
        <v>Siempre</v>
      </c>
      <c r="X680">
        <v>0</v>
      </c>
      <c r="Y680" t="str">
        <f t="shared" si="274"/>
        <v>No controla</v>
      </c>
      <c r="Z680">
        <v>1513029</v>
      </c>
      <c r="AA680">
        <f t="shared" si="275"/>
        <v>3</v>
      </c>
      <c r="AB680" t="str">
        <f t="shared" si="276"/>
        <v>Siempre</v>
      </c>
      <c r="AC680">
        <v>1</v>
      </c>
      <c r="AD680">
        <f t="shared" si="277"/>
        <v>1</v>
      </c>
      <c r="AE680" t="str">
        <f t="shared" si="278"/>
        <v>Usualmente</v>
      </c>
      <c r="AF680">
        <v>1</v>
      </c>
      <c r="AG680" t="str">
        <f t="shared" si="279"/>
        <v>A veces</v>
      </c>
      <c r="AH680">
        <v>0</v>
      </c>
      <c r="AI680" t="str">
        <f t="shared" si="280"/>
        <v>No usa</v>
      </c>
      <c r="AJ680">
        <v>0</v>
      </c>
      <c r="AK680" t="str">
        <f t="shared" si="281"/>
        <v>No usa</v>
      </c>
      <c r="AL680">
        <v>0</v>
      </c>
      <c r="AM680" t="str">
        <f t="shared" si="282"/>
        <v>No usa</v>
      </c>
      <c r="AN680">
        <v>1</v>
      </c>
      <c r="AO680" t="str">
        <f t="shared" si="283"/>
        <v>Usa Transporte</v>
      </c>
      <c r="AP680">
        <v>0</v>
      </c>
      <c r="AQ680" t="str">
        <f t="shared" si="284"/>
        <v>No camina</v>
      </c>
      <c r="AR680">
        <v>0</v>
      </c>
      <c r="AS680" t="str">
        <f t="shared" si="285"/>
        <v>No es obeso</v>
      </c>
    </row>
    <row r="681" spans="1:45" x14ac:dyDescent="0.25">
      <c r="A681">
        <v>0</v>
      </c>
      <c r="B681" t="str">
        <f t="shared" si="260"/>
        <v>F</v>
      </c>
      <c r="C681">
        <v>22422674</v>
      </c>
      <c r="D681">
        <f t="shared" si="261"/>
        <v>61</v>
      </c>
      <c r="E681">
        <f t="shared" si="262"/>
        <v>61</v>
      </c>
      <c r="F681" t="str">
        <f t="shared" si="263"/>
        <v>50-75</v>
      </c>
      <c r="G681">
        <v>1</v>
      </c>
      <c r="H681" t="str">
        <f t="shared" si="264"/>
        <v>Pariente gordo</v>
      </c>
      <c r="I681">
        <v>1</v>
      </c>
      <c r="J681" t="str">
        <f t="shared" si="265"/>
        <v>Hipercaloricos</v>
      </c>
      <c r="K681">
        <v>2674431</v>
      </c>
      <c r="L681">
        <f t="shared" si="266"/>
        <v>1</v>
      </c>
      <c r="M681" t="str">
        <f t="shared" si="267"/>
        <v>Suele comer</v>
      </c>
      <c r="N681">
        <v>3</v>
      </c>
      <c r="O681">
        <f t="shared" si="268"/>
        <v>2</v>
      </c>
      <c r="P681" t="str">
        <f t="shared" si="269"/>
        <v>Mas de 3</v>
      </c>
      <c r="Q681">
        <v>2</v>
      </c>
      <c r="R681" t="str">
        <f t="shared" si="270"/>
        <v>Usualmente</v>
      </c>
      <c r="S681">
        <v>0</v>
      </c>
      <c r="T681" t="str">
        <f t="shared" si="271"/>
        <v>No fuma</v>
      </c>
      <c r="U681">
        <v>2453384</v>
      </c>
      <c r="V681">
        <f t="shared" si="272"/>
        <v>2</v>
      </c>
      <c r="W681" t="str">
        <f t="shared" si="273"/>
        <v>Siempre</v>
      </c>
      <c r="X681">
        <v>0</v>
      </c>
      <c r="Y681" t="str">
        <f t="shared" si="274"/>
        <v>No controla</v>
      </c>
      <c r="Z681">
        <v>1321624</v>
      </c>
      <c r="AA681">
        <f t="shared" si="275"/>
        <v>3</v>
      </c>
      <c r="AB681" t="str">
        <f t="shared" si="276"/>
        <v>Siempre</v>
      </c>
      <c r="AC681">
        <v>1990617</v>
      </c>
      <c r="AD681">
        <f t="shared" si="277"/>
        <v>2</v>
      </c>
      <c r="AE681" t="str">
        <f t="shared" si="278"/>
        <v>Siempre</v>
      </c>
      <c r="AF681">
        <v>0</v>
      </c>
      <c r="AG681" t="str">
        <f t="shared" si="279"/>
        <v>Nunca</v>
      </c>
      <c r="AH681">
        <v>0</v>
      </c>
      <c r="AI681" t="str">
        <f t="shared" si="280"/>
        <v>No usa</v>
      </c>
      <c r="AJ681">
        <v>0</v>
      </c>
      <c r="AK681" t="str">
        <f t="shared" si="281"/>
        <v>No usa</v>
      </c>
      <c r="AL681">
        <v>0</v>
      </c>
      <c r="AM681" t="str">
        <f t="shared" si="282"/>
        <v>No usa</v>
      </c>
      <c r="AN681">
        <v>1</v>
      </c>
      <c r="AO681" t="str">
        <f t="shared" si="283"/>
        <v>Usa Transporte</v>
      </c>
      <c r="AP681">
        <v>0</v>
      </c>
      <c r="AQ681" t="str">
        <f t="shared" si="284"/>
        <v>No camina</v>
      </c>
      <c r="AR681">
        <v>0</v>
      </c>
      <c r="AS681" t="str">
        <f t="shared" si="285"/>
        <v>No es obeso</v>
      </c>
    </row>
    <row r="682" spans="1:45" x14ac:dyDescent="0.25">
      <c r="A682">
        <v>1</v>
      </c>
      <c r="B682" t="str">
        <f t="shared" si="260"/>
        <v>M</v>
      </c>
      <c r="C682">
        <v>20242237</v>
      </c>
      <c r="D682">
        <f t="shared" si="261"/>
        <v>55</v>
      </c>
      <c r="E682">
        <f t="shared" si="262"/>
        <v>55</v>
      </c>
      <c r="F682" t="str">
        <f t="shared" si="263"/>
        <v>50-75</v>
      </c>
      <c r="G682">
        <v>1</v>
      </c>
      <c r="H682" t="str">
        <f t="shared" si="264"/>
        <v>Pariente gordo</v>
      </c>
      <c r="I682">
        <v>1</v>
      </c>
      <c r="J682" t="str">
        <f t="shared" si="265"/>
        <v>Hipercaloricos</v>
      </c>
      <c r="K682">
        <v>2</v>
      </c>
      <c r="L682">
        <f t="shared" si="266"/>
        <v>1</v>
      </c>
      <c r="M682" t="str">
        <f t="shared" si="267"/>
        <v>Suele comer</v>
      </c>
      <c r="N682">
        <v>398525</v>
      </c>
      <c r="O682">
        <f t="shared" si="268"/>
        <v>2</v>
      </c>
      <c r="P682" t="str">
        <f t="shared" si="269"/>
        <v>Mas de 3</v>
      </c>
      <c r="Q682">
        <v>1</v>
      </c>
      <c r="R682" t="str">
        <f t="shared" si="270"/>
        <v>A veces</v>
      </c>
      <c r="S682">
        <v>0</v>
      </c>
      <c r="T682" t="str">
        <f t="shared" si="271"/>
        <v>No fuma</v>
      </c>
      <c r="U682">
        <v>2654078</v>
      </c>
      <c r="V682">
        <f t="shared" si="272"/>
        <v>2</v>
      </c>
      <c r="W682" t="str">
        <f t="shared" si="273"/>
        <v>Siempre</v>
      </c>
      <c r="X682">
        <v>0</v>
      </c>
      <c r="Y682" t="str">
        <f t="shared" si="274"/>
        <v>No controla</v>
      </c>
      <c r="Z682">
        <v>2113151</v>
      </c>
      <c r="AA682">
        <f t="shared" si="275"/>
        <v>3</v>
      </c>
      <c r="AB682" t="str">
        <f t="shared" si="276"/>
        <v>Siempre</v>
      </c>
      <c r="AC682">
        <v>2</v>
      </c>
      <c r="AD682">
        <f t="shared" si="277"/>
        <v>2</v>
      </c>
      <c r="AE682" t="str">
        <f t="shared" si="278"/>
        <v>Siempre</v>
      </c>
      <c r="AF682">
        <v>0</v>
      </c>
      <c r="AG682" t="str">
        <f t="shared" si="279"/>
        <v>Nunca</v>
      </c>
      <c r="AH682">
        <v>0</v>
      </c>
      <c r="AI682" t="str">
        <f t="shared" si="280"/>
        <v>No usa</v>
      </c>
      <c r="AJ682">
        <v>0</v>
      </c>
      <c r="AK682" t="str">
        <f t="shared" si="281"/>
        <v>No usa</v>
      </c>
      <c r="AL682">
        <v>0</v>
      </c>
      <c r="AM682" t="str">
        <f t="shared" si="282"/>
        <v>No usa</v>
      </c>
      <c r="AN682">
        <v>1</v>
      </c>
      <c r="AO682" t="str">
        <f t="shared" si="283"/>
        <v>Usa Transporte</v>
      </c>
      <c r="AP682">
        <v>0</v>
      </c>
      <c r="AQ682" t="str">
        <f t="shared" si="284"/>
        <v>No camina</v>
      </c>
      <c r="AR682">
        <v>0</v>
      </c>
      <c r="AS682" t="str">
        <f t="shared" si="285"/>
        <v>No es obeso</v>
      </c>
    </row>
    <row r="683" spans="1:45" x14ac:dyDescent="0.25">
      <c r="A683">
        <v>0</v>
      </c>
      <c r="B683" t="str">
        <f t="shared" si="260"/>
        <v>F</v>
      </c>
      <c r="C683">
        <v>22637018</v>
      </c>
      <c r="D683">
        <f t="shared" si="261"/>
        <v>62</v>
      </c>
      <c r="E683">
        <f t="shared" si="262"/>
        <v>62</v>
      </c>
      <c r="F683" t="str">
        <f t="shared" si="263"/>
        <v>50-75</v>
      </c>
      <c r="G683">
        <v>1</v>
      </c>
      <c r="H683" t="str">
        <f t="shared" si="264"/>
        <v>Pariente gordo</v>
      </c>
      <c r="I683">
        <v>1</v>
      </c>
      <c r="J683" t="str">
        <f t="shared" si="265"/>
        <v>Hipercaloricos</v>
      </c>
      <c r="K683">
        <v>255996</v>
      </c>
      <c r="L683">
        <f t="shared" si="266"/>
        <v>1</v>
      </c>
      <c r="M683" t="str">
        <f t="shared" si="267"/>
        <v>Suele comer</v>
      </c>
      <c r="N683">
        <v>3</v>
      </c>
      <c r="O683">
        <f t="shared" si="268"/>
        <v>2</v>
      </c>
      <c r="P683" t="str">
        <f t="shared" si="269"/>
        <v>Mas de 3</v>
      </c>
      <c r="Q683">
        <v>2</v>
      </c>
      <c r="R683" t="str">
        <f t="shared" si="270"/>
        <v>Usualmente</v>
      </c>
      <c r="S683">
        <v>0</v>
      </c>
      <c r="T683" t="str">
        <f t="shared" si="271"/>
        <v>No fuma</v>
      </c>
      <c r="U683">
        <v>1990788</v>
      </c>
      <c r="V683">
        <f t="shared" si="272"/>
        <v>2</v>
      </c>
      <c r="W683" t="str">
        <f t="shared" si="273"/>
        <v>Siempre</v>
      </c>
      <c r="X683">
        <v>0</v>
      </c>
      <c r="Y683" t="str">
        <f t="shared" si="274"/>
        <v>No controla</v>
      </c>
      <c r="Z683">
        <v>0.48600599999999999</v>
      </c>
      <c r="AA683">
        <f t="shared" si="275"/>
        <v>0</v>
      </c>
      <c r="AB683" t="str">
        <f t="shared" si="276"/>
        <v>Nunca</v>
      </c>
      <c r="AC683">
        <v>1561272</v>
      </c>
      <c r="AD683">
        <f t="shared" si="277"/>
        <v>2</v>
      </c>
      <c r="AE683" t="str">
        <f t="shared" si="278"/>
        <v>Siempre</v>
      </c>
      <c r="AF683">
        <v>0</v>
      </c>
      <c r="AG683" t="str">
        <f t="shared" si="279"/>
        <v>Nunca</v>
      </c>
      <c r="AH683">
        <v>0</v>
      </c>
      <c r="AI683" t="str">
        <f t="shared" si="280"/>
        <v>No usa</v>
      </c>
      <c r="AJ683">
        <v>0</v>
      </c>
      <c r="AK683" t="str">
        <f t="shared" si="281"/>
        <v>No usa</v>
      </c>
      <c r="AL683">
        <v>0</v>
      </c>
      <c r="AM683" t="str">
        <f t="shared" si="282"/>
        <v>No usa</v>
      </c>
      <c r="AN683">
        <v>1</v>
      </c>
      <c r="AO683" t="str">
        <f t="shared" si="283"/>
        <v>Usa Transporte</v>
      </c>
      <c r="AP683">
        <v>0</v>
      </c>
      <c r="AQ683" t="str">
        <f t="shared" si="284"/>
        <v>No camina</v>
      </c>
      <c r="AR683">
        <v>0</v>
      </c>
      <c r="AS683" t="str">
        <f t="shared" si="285"/>
        <v>No es obeso</v>
      </c>
    </row>
    <row r="684" spans="1:45" x14ac:dyDescent="0.25">
      <c r="A684">
        <v>0</v>
      </c>
      <c r="B684" t="str">
        <f t="shared" si="260"/>
        <v>F</v>
      </c>
      <c r="C684">
        <v>19007177</v>
      </c>
      <c r="D684">
        <f t="shared" si="261"/>
        <v>52</v>
      </c>
      <c r="E684">
        <f t="shared" si="262"/>
        <v>52</v>
      </c>
      <c r="F684" t="str">
        <f t="shared" si="263"/>
        <v>50-75</v>
      </c>
      <c r="G684">
        <v>0</v>
      </c>
      <c r="H684" t="str">
        <f t="shared" si="264"/>
        <v>Pariente normal</v>
      </c>
      <c r="I684">
        <v>1</v>
      </c>
      <c r="J684" t="str">
        <f t="shared" si="265"/>
        <v>Hipercaloricos</v>
      </c>
      <c r="K684">
        <v>1212908</v>
      </c>
      <c r="L684">
        <f t="shared" si="266"/>
        <v>1</v>
      </c>
      <c r="M684" t="str">
        <f t="shared" si="267"/>
        <v>Suele comer</v>
      </c>
      <c r="N684">
        <v>3207071</v>
      </c>
      <c r="O684">
        <f t="shared" si="268"/>
        <v>2</v>
      </c>
      <c r="P684" t="str">
        <f t="shared" si="269"/>
        <v>Mas de 3</v>
      </c>
      <c r="Q684">
        <v>1</v>
      </c>
      <c r="R684" t="str">
        <f t="shared" si="270"/>
        <v>A veces</v>
      </c>
      <c r="S684">
        <v>0</v>
      </c>
      <c r="T684" t="str">
        <f t="shared" si="271"/>
        <v>No fuma</v>
      </c>
      <c r="U684">
        <v>1029703</v>
      </c>
      <c r="V684">
        <f t="shared" si="272"/>
        <v>2</v>
      </c>
      <c r="W684" t="str">
        <f t="shared" si="273"/>
        <v>Siempre</v>
      </c>
      <c r="X684">
        <v>0</v>
      </c>
      <c r="Y684" t="str">
        <f t="shared" si="274"/>
        <v>No controla</v>
      </c>
      <c r="Z684">
        <v>2</v>
      </c>
      <c r="AA684">
        <f t="shared" si="275"/>
        <v>2</v>
      </c>
      <c r="AB684" t="str">
        <f t="shared" si="276"/>
        <v>Usualmente</v>
      </c>
      <c r="AC684">
        <v>1</v>
      </c>
      <c r="AD684">
        <f t="shared" si="277"/>
        <v>1</v>
      </c>
      <c r="AE684" t="str">
        <f t="shared" si="278"/>
        <v>Usualmente</v>
      </c>
      <c r="AF684">
        <v>1</v>
      </c>
      <c r="AG684" t="str">
        <f t="shared" si="279"/>
        <v>A veces</v>
      </c>
      <c r="AH684">
        <v>0</v>
      </c>
      <c r="AI684" t="str">
        <f t="shared" si="280"/>
        <v>No usa</v>
      </c>
      <c r="AJ684">
        <v>0</v>
      </c>
      <c r="AK684" t="str">
        <f t="shared" si="281"/>
        <v>No usa</v>
      </c>
      <c r="AL684">
        <v>0</v>
      </c>
      <c r="AM684" t="str">
        <f t="shared" si="282"/>
        <v>No usa</v>
      </c>
      <c r="AN684">
        <v>1</v>
      </c>
      <c r="AO684" t="str">
        <f t="shared" si="283"/>
        <v>Usa Transporte</v>
      </c>
      <c r="AP684">
        <v>0</v>
      </c>
      <c r="AQ684" t="str">
        <f t="shared" si="284"/>
        <v>No camina</v>
      </c>
      <c r="AR684">
        <v>0</v>
      </c>
      <c r="AS684" t="str">
        <f t="shared" si="285"/>
        <v>No es obeso</v>
      </c>
    </row>
    <row r="685" spans="1:45" x14ac:dyDescent="0.25">
      <c r="A685">
        <v>0</v>
      </c>
      <c r="B685" t="str">
        <f t="shared" si="260"/>
        <v>F</v>
      </c>
      <c r="C685">
        <v>18288205</v>
      </c>
      <c r="D685">
        <f t="shared" si="261"/>
        <v>50</v>
      </c>
      <c r="E685">
        <f t="shared" si="262"/>
        <v>50</v>
      </c>
      <c r="F685" t="str">
        <f t="shared" si="263"/>
        <v>25-50</v>
      </c>
      <c r="G685">
        <v>0</v>
      </c>
      <c r="H685" t="str">
        <f t="shared" si="264"/>
        <v>Pariente normal</v>
      </c>
      <c r="I685">
        <v>1</v>
      </c>
      <c r="J685" t="str">
        <f t="shared" si="265"/>
        <v>Hipercaloricos</v>
      </c>
      <c r="K685">
        <v>1140615</v>
      </c>
      <c r="L685">
        <f t="shared" si="266"/>
        <v>1</v>
      </c>
      <c r="M685" t="str">
        <f t="shared" si="267"/>
        <v>Suele comer</v>
      </c>
      <c r="N685">
        <v>3471536</v>
      </c>
      <c r="O685">
        <f t="shared" si="268"/>
        <v>2</v>
      </c>
      <c r="P685" t="str">
        <f t="shared" si="269"/>
        <v>Mas de 3</v>
      </c>
      <c r="Q685">
        <v>1</v>
      </c>
      <c r="R685" t="str">
        <f t="shared" si="270"/>
        <v>A veces</v>
      </c>
      <c r="S685">
        <v>0</v>
      </c>
      <c r="T685" t="str">
        <f t="shared" si="271"/>
        <v>No fuma</v>
      </c>
      <c r="U685">
        <v>1</v>
      </c>
      <c r="V685">
        <f t="shared" si="272"/>
        <v>1</v>
      </c>
      <c r="W685" t="str">
        <f t="shared" si="273"/>
        <v>Usualmente</v>
      </c>
      <c r="X685">
        <v>0</v>
      </c>
      <c r="Y685" t="str">
        <f t="shared" si="274"/>
        <v>No controla</v>
      </c>
      <c r="Z685">
        <v>2</v>
      </c>
      <c r="AA685">
        <f t="shared" si="275"/>
        <v>2</v>
      </c>
      <c r="AB685" t="str">
        <f t="shared" si="276"/>
        <v>Usualmente</v>
      </c>
      <c r="AC685">
        <v>1</v>
      </c>
      <c r="AD685">
        <f t="shared" si="277"/>
        <v>1</v>
      </c>
      <c r="AE685" t="str">
        <f t="shared" si="278"/>
        <v>Usualmente</v>
      </c>
      <c r="AF685">
        <v>1</v>
      </c>
      <c r="AG685" t="str">
        <f t="shared" si="279"/>
        <v>A veces</v>
      </c>
      <c r="AH685">
        <v>0</v>
      </c>
      <c r="AI685" t="str">
        <f t="shared" si="280"/>
        <v>No usa</v>
      </c>
      <c r="AJ685">
        <v>0</v>
      </c>
      <c r="AK685" t="str">
        <f t="shared" si="281"/>
        <v>No usa</v>
      </c>
      <c r="AL685">
        <v>0</v>
      </c>
      <c r="AM685" t="str">
        <f t="shared" si="282"/>
        <v>No usa</v>
      </c>
      <c r="AN685">
        <v>1</v>
      </c>
      <c r="AO685" t="str">
        <f t="shared" si="283"/>
        <v>Usa Transporte</v>
      </c>
      <c r="AP685">
        <v>0</v>
      </c>
      <c r="AQ685" t="str">
        <f t="shared" si="284"/>
        <v>No camina</v>
      </c>
      <c r="AR685">
        <v>0</v>
      </c>
      <c r="AS685" t="str">
        <f t="shared" si="285"/>
        <v>No es obeso</v>
      </c>
    </row>
    <row r="686" spans="1:45" x14ac:dyDescent="0.25">
      <c r="A686">
        <v>0</v>
      </c>
      <c r="B686" t="str">
        <f t="shared" si="260"/>
        <v>F</v>
      </c>
      <c r="C686">
        <v>19314429</v>
      </c>
      <c r="D686">
        <f t="shared" si="261"/>
        <v>52</v>
      </c>
      <c r="E686">
        <f t="shared" si="262"/>
        <v>52</v>
      </c>
      <c r="F686" t="str">
        <f t="shared" si="263"/>
        <v>50-75</v>
      </c>
      <c r="G686">
        <v>0</v>
      </c>
      <c r="H686" t="str">
        <f t="shared" si="264"/>
        <v>Pariente normal</v>
      </c>
      <c r="I686">
        <v>1</v>
      </c>
      <c r="J686" t="str">
        <f t="shared" si="265"/>
        <v>Hipercaloricos</v>
      </c>
      <c r="K686">
        <v>2562409</v>
      </c>
      <c r="L686">
        <f t="shared" si="266"/>
        <v>1</v>
      </c>
      <c r="M686" t="str">
        <f t="shared" si="267"/>
        <v>Suele comer</v>
      </c>
      <c r="N686">
        <v>3488342</v>
      </c>
      <c r="O686">
        <f t="shared" si="268"/>
        <v>2</v>
      </c>
      <c r="P686" t="str">
        <f t="shared" si="269"/>
        <v>Mas de 3</v>
      </c>
      <c r="Q686">
        <v>1</v>
      </c>
      <c r="R686" t="str">
        <f t="shared" si="270"/>
        <v>A veces</v>
      </c>
      <c r="S686">
        <v>0</v>
      </c>
      <c r="T686" t="str">
        <f t="shared" si="271"/>
        <v>No fuma</v>
      </c>
      <c r="U686">
        <v>167062</v>
      </c>
      <c r="V686">
        <f t="shared" si="272"/>
        <v>2</v>
      </c>
      <c r="W686" t="str">
        <f t="shared" si="273"/>
        <v>Siempre</v>
      </c>
      <c r="X686">
        <v>0</v>
      </c>
      <c r="Y686" t="str">
        <f t="shared" si="274"/>
        <v>No controla</v>
      </c>
      <c r="Z686">
        <v>2</v>
      </c>
      <c r="AA686">
        <f t="shared" si="275"/>
        <v>2</v>
      </c>
      <c r="AB686" t="str">
        <f t="shared" si="276"/>
        <v>Usualmente</v>
      </c>
      <c r="AC686">
        <v>1</v>
      </c>
      <c r="AD686">
        <f t="shared" si="277"/>
        <v>1</v>
      </c>
      <c r="AE686" t="str">
        <f t="shared" si="278"/>
        <v>Usualmente</v>
      </c>
      <c r="AF686">
        <v>1</v>
      </c>
      <c r="AG686" t="str">
        <f t="shared" si="279"/>
        <v>A veces</v>
      </c>
      <c r="AH686">
        <v>0</v>
      </c>
      <c r="AI686" t="str">
        <f t="shared" si="280"/>
        <v>No usa</v>
      </c>
      <c r="AJ686">
        <v>0</v>
      </c>
      <c r="AK686" t="str">
        <f t="shared" si="281"/>
        <v>No usa</v>
      </c>
      <c r="AL686">
        <v>0</v>
      </c>
      <c r="AM686" t="str">
        <f t="shared" si="282"/>
        <v>No usa</v>
      </c>
      <c r="AN686">
        <v>1</v>
      </c>
      <c r="AO686" t="str">
        <f t="shared" si="283"/>
        <v>Usa Transporte</v>
      </c>
      <c r="AP686">
        <v>0</v>
      </c>
      <c r="AQ686" t="str">
        <f t="shared" si="284"/>
        <v>No camina</v>
      </c>
      <c r="AR686">
        <v>0</v>
      </c>
      <c r="AS686" t="str">
        <f t="shared" si="285"/>
        <v>No es obeso</v>
      </c>
    </row>
    <row r="687" spans="1:45" x14ac:dyDescent="0.25">
      <c r="A687">
        <v>0</v>
      </c>
      <c r="B687" t="str">
        <f t="shared" si="260"/>
        <v>F</v>
      </c>
      <c r="C687">
        <v>2714823</v>
      </c>
      <c r="D687">
        <f t="shared" si="261"/>
        <v>7</v>
      </c>
      <c r="E687">
        <f t="shared" si="262"/>
        <v>7</v>
      </c>
      <c r="F687" t="str">
        <f t="shared" si="263"/>
        <v>1-25</v>
      </c>
      <c r="G687">
        <v>1</v>
      </c>
      <c r="H687" t="str">
        <f t="shared" si="264"/>
        <v>Pariente gordo</v>
      </c>
      <c r="I687">
        <v>1</v>
      </c>
      <c r="J687" t="str">
        <f t="shared" si="265"/>
        <v>Hipercaloricos</v>
      </c>
      <c r="K687">
        <v>2004146</v>
      </c>
      <c r="L687">
        <f t="shared" si="266"/>
        <v>1</v>
      </c>
      <c r="M687" t="str">
        <f t="shared" si="267"/>
        <v>Suele comer</v>
      </c>
      <c r="N687">
        <v>3443456</v>
      </c>
      <c r="O687">
        <f t="shared" si="268"/>
        <v>2</v>
      </c>
      <c r="P687" t="str">
        <f t="shared" si="269"/>
        <v>Mas de 3</v>
      </c>
      <c r="Q687">
        <v>2</v>
      </c>
      <c r="R687" t="str">
        <f t="shared" si="270"/>
        <v>Usualmente</v>
      </c>
      <c r="S687">
        <v>0</v>
      </c>
      <c r="T687" t="str">
        <f t="shared" si="271"/>
        <v>No fuma</v>
      </c>
      <c r="U687">
        <v>2020764</v>
      </c>
      <c r="V687">
        <f t="shared" si="272"/>
        <v>2</v>
      </c>
      <c r="W687" t="str">
        <f t="shared" si="273"/>
        <v>Siempre</v>
      </c>
      <c r="X687">
        <v>0</v>
      </c>
      <c r="Y687" t="str">
        <f t="shared" si="274"/>
        <v>No controla</v>
      </c>
      <c r="Z687">
        <v>1078719</v>
      </c>
      <c r="AA687">
        <f t="shared" si="275"/>
        <v>3</v>
      </c>
      <c r="AB687" t="str">
        <f t="shared" si="276"/>
        <v>Siempre</v>
      </c>
      <c r="AC687">
        <v>126729</v>
      </c>
      <c r="AD687">
        <f t="shared" si="277"/>
        <v>1</v>
      </c>
      <c r="AE687" t="str">
        <f t="shared" si="278"/>
        <v>Usualmente</v>
      </c>
      <c r="AF687">
        <v>0</v>
      </c>
      <c r="AG687" t="str">
        <f t="shared" si="279"/>
        <v>Nunca</v>
      </c>
      <c r="AH687">
        <v>0</v>
      </c>
      <c r="AI687" t="str">
        <f t="shared" si="280"/>
        <v>No usa</v>
      </c>
      <c r="AJ687">
        <v>0</v>
      </c>
      <c r="AK687" t="str">
        <f t="shared" si="281"/>
        <v>No usa</v>
      </c>
      <c r="AL687">
        <v>0</v>
      </c>
      <c r="AM687" t="str">
        <f t="shared" si="282"/>
        <v>No usa</v>
      </c>
      <c r="AN687">
        <v>1</v>
      </c>
      <c r="AO687" t="str">
        <f t="shared" si="283"/>
        <v>Usa Transporte</v>
      </c>
      <c r="AP687">
        <v>0</v>
      </c>
      <c r="AQ687" t="str">
        <f t="shared" si="284"/>
        <v>No camina</v>
      </c>
      <c r="AR687">
        <v>0</v>
      </c>
      <c r="AS687" t="str">
        <f t="shared" si="285"/>
        <v>No es obeso</v>
      </c>
    </row>
    <row r="688" spans="1:45" x14ac:dyDescent="0.25">
      <c r="A688">
        <v>0</v>
      </c>
      <c r="B688" t="str">
        <f t="shared" si="260"/>
        <v>F</v>
      </c>
      <c r="C688">
        <v>25380557</v>
      </c>
      <c r="D688">
        <f t="shared" si="261"/>
        <v>69</v>
      </c>
      <c r="E688">
        <f t="shared" si="262"/>
        <v>69</v>
      </c>
      <c r="F688" t="str">
        <f t="shared" si="263"/>
        <v>50-75</v>
      </c>
      <c r="G688">
        <v>1</v>
      </c>
      <c r="H688" t="str">
        <f t="shared" si="264"/>
        <v>Pariente gordo</v>
      </c>
      <c r="I688">
        <v>1</v>
      </c>
      <c r="J688" t="str">
        <f t="shared" si="265"/>
        <v>Hipercaloricos</v>
      </c>
      <c r="K688">
        <v>2690754</v>
      </c>
      <c r="L688">
        <f t="shared" si="266"/>
        <v>1</v>
      </c>
      <c r="M688" t="str">
        <f t="shared" si="267"/>
        <v>Suele comer</v>
      </c>
      <c r="N688">
        <v>303779</v>
      </c>
      <c r="O688">
        <f t="shared" si="268"/>
        <v>2</v>
      </c>
      <c r="P688" t="str">
        <f t="shared" si="269"/>
        <v>Mas de 3</v>
      </c>
      <c r="Q688">
        <v>2</v>
      </c>
      <c r="R688" t="str">
        <f t="shared" si="270"/>
        <v>Usualmente</v>
      </c>
      <c r="S688">
        <v>0</v>
      </c>
      <c r="T688" t="str">
        <f t="shared" si="271"/>
        <v>No fuma</v>
      </c>
      <c r="U688">
        <v>2212296</v>
      </c>
      <c r="V688">
        <f t="shared" si="272"/>
        <v>2</v>
      </c>
      <c r="W688" t="str">
        <f t="shared" si="273"/>
        <v>Siempre</v>
      </c>
      <c r="X688">
        <v>0</v>
      </c>
      <c r="Y688" t="str">
        <f t="shared" si="274"/>
        <v>No controla</v>
      </c>
      <c r="Z688">
        <v>1616882</v>
      </c>
      <c r="AA688">
        <f t="shared" si="275"/>
        <v>3</v>
      </c>
      <c r="AB688" t="str">
        <f t="shared" si="276"/>
        <v>Siempre</v>
      </c>
      <c r="AC688">
        <v>0</v>
      </c>
      <c r="AD688">
        <f t="shared" si="277"/>
        <v>0</v>
      </c>
      <c r="AE688" t="str">
        <f t="shared" si="278"/>
        <v>Nunca</v>
      </c>
      <c r="AF688">
        <v>0</v>
      </c>
      <c r="AG688" t="str">
        <f t="shared" si="279"/>
        <v>Nunca</v>
      </c>
      <c r="AH688">
        <v>0</v>
      </c>
      <c r="AI688" t="str">
        <f t="shared" si="280"/>
        <v>No usa</v>
      </c>
      <c r="AJ688">
        <v>0</v>
      </c>
      <c r="AK688" t="str">
        <f t="shared" si="281"/>
        <v>No usa</v>
      </c>
      <c r="AL688">
        <v>0</v>
      </c>
      <c r="AM688" t="str">
        <f t="shared" si="282"/>
        <v>No usa</v>
      </c>
      <c r="AN688">
        <v>1</v>
      </c>
      <c r="AO688" t="str">
        <f t="shared" si="283"/>
        <v>Usa Transporte</v>
      </c>
      <c r="AP688">
        <v>0</v>
      </c>
      <c r="AQ688" t="str">
        <f t="shared" si="284"/>
        <v>No camina</v>
      </c>
      <c r="AR688">
        <v>0</v>
      </c>
      <c r="AS688" t="str">
        <f t="shared" si="285"/>
        <v>No es obeso</v>
      </c>
    </row>
    <row r="689" spans="1:45" x14ac:dyDescent="0.25">
      <c r="A689">
        <v>0</v>
      </c>
      <c r="B689" t="str">
        <f t="shared" si="260"/>
        <v>F</v>
      </c>
      <c r="C689">
        <v>22867719</v>
      </c>
      <c r="D689">
        <f t="shared" si="261"/>
        <v>62</v>
      </c>
      <c r="E689">
        <f t="shared" si="262"/>
        <v>62</v>
      </c>
      <c r="F689" t="str">
        <f t="shared" si="263"/>
        <v>50-75</v>
      </c>
      <c r="G689">
        <v>1</v>
      </c>
      <c r="H689" t="str">
        <f t="shared" si="264"/>
        <v>Pariente gordo</v>
      </c>
      <c r="I689">
        <v>1</v>
      </c>
      <c r="J689" t="str">
        <f t="shared" si="265"/>
        <v>Hipercaloricos</v>
      </c>
      <c r="K689">
        <v>3</v>
      </c>
      <c r="L689">
        <f t="shared" si="266"/>
        <v>1</v>
      </c>
      <c r="M689" t="str">
        <f t="shared" si="267"/>
        <v>Suele comer</v>
      </c>
      <c r="N689">
        <v>3642802</v>
      </c>
      <c r="O689">
        <f t="shared" si="268"/>
        <v>2</v>
      </c>
      <c r="P689" t="str">
        <f t="shared" si="269"/>
        <v>Mas de 3</v>
      </c>
      <c r="Q689">
        <v>2</v>
      </c>
      <c r="R689" t="str">
        <f t="shared" si="270"/>
        <v>Usualmente</v>
      </c>
      <c r="S689">
        <v>0</v>
      </c>
      <c r="T689" t="str">
        <f t="shared" si="271"/>
        <v>No fuma</v>
      </c>
      <c r="U689">
        <v>1995177</v>
      </c>
      <c r="V689">
        <f t="shared" si="272"/>
        <v>2</v>
      </c>
      <c r="W689" t="str">
        <f t="shared" si="273"/>
        <v>Siempre</v>
      </c>
      <c r="X689">
        <v>0</v>
      </c>
      <c r="Y689" t="str">
        <f t="shared" si="274"/>
        <v>No controla</v>
      </c>
      <c r="Z689">
        <v>0.118271</v>
      </c>
      <c r="AA689">
        <f t="shared" si="275"/>
        <v>0</v>
      </c>
      <c r="AB689" t="str">
        <f t="shared" si="276"/>
        <v>Nunca</v>
      </c>
      <c r="AC689">
        <v>6.5515000000000004E-2</v>
      </c>
      <c r="AD689">
        <f t="shared" si="277"/>
        <v>0</v>
      </c>
      <c r="AE689" t="str">
        <f t="shared" si="278"/>
        <v>Nunca</v>
      </c>
      <c r="AF689">
        <v>0</v>
      </c>
      <c r="AG689" t="str">
        <f t="shared" si="279"/>
        <v>Nunca</v>
      </c>
      <c r="AH689">
        <v>0</v>
      </c>
      <c r="AI689" t="str">
        <f t="shared" si="280"/>
        <v>No usa</v>
      </c>
      <c r="AJ689">
        <v>0</v>
      </c>
      <c r="AK689" t="str">
        <f t="shared" si="281"/>
        <v>No usa</v>
      </c>
      <c r="AL689">
        <v>0</v>
      </c>
      <c r="AM689" t="str">
        <f t="shared" si="282"/>
        <v>No usa</v>
      </c>
      <c r="AN689">
        <v>1</v>
      </c>
      <c r="AO689" t="str">
        <f t="shared" si="283"/>
        <v>Usa Transporte</v>
      </c>
      <c r="AP689">
        <v>0</v>
      </c>
      <c r="AQ689" t="str">
        <f t="shared" si="284"/>
        <v>No camina</v>
      </c>
      <c r="AR689">
        <v>0</v>
      </c>
      <c r="AS689" t="str">
        <f t="shared" si="285"/>
        <v>No es obeso</v>
      </c>
    </row>
    <row r="690" spans="1:45" x14ac:dyDescent="0.25">
      <c r="A690">
        <v>1</v>
      </c>
      <c r="B690" t="str">
        <f t="shared" si="260"/>
        <v>M</v>
      </c>
      <c r="C690">
        <v>17729923</v>
      </c>
      <c r="D690">
        <f t="shared" si="261"/>
        <v>48</v>
      </c>
      <c r="E690">
        <f t="shared" si="262"/>
        <v>48</v>
      </c>
      <c r="F690" t="str">
        <f t="shared" si="263"/>
        <v>25-50</v>
      </c>
      <c r="G690">
        <v>0</v>
      </c>
      <c r="H690" t="str">
        <f t="shared" si="264"/>
        <v>Pariente normal</v>
      </c>
      <c r="I690">
        <v>1</v>
      </c>
      <c r="J690" t="str">
        <f t="shared" si="265"/>
        <v>Hipercaloricos</v>
      </c>
      <c r="K690">
        <v>2051283</v>
      </c>
      <c r="L690">
        <f t="shared" si="266"/>
        <v>1</v>
      </c>
      <c r="M690" t="str">
        <f t="shared" si="267"/>
        <v>Suele comer</v>
      </c>
      <c r="N690">
        <v>2645858</v>
      </c>
      <c r="O690">
        <f t="shared" si="268"/>
        <v>2</v>
      </c>
      <c r="P690" t="str">
        <f t="shared" si="269"/>
        <v>Mas de 3</v>
      </c>
      <c r="Q690">
        <v>1</v>
      </c>
      <c r="R690" t="str">
        <f t="shared" si="270"/>
        <v>A veces</v>
      </c>
      <c r="S690">
        <v>0</v>
      </c>
      <c r="T690" t="str">
        <f t="shared" si="271"/>
        <v>No fuma</v>
      </c>
      <c r="U690">
        <v>235752</v>
      </c>
      <c r="V690">
        <f t="shared" si="272"/>
        <v>2</v>
      </c>
      <c r="W690" t="str">
        <f t="shared" si="273"/>
        <v>Siempre</v>
      </c>
      <c r="X690">
        <v>0</v>
      </c>
      <c r="Y690" t="str">
        <f t="shared" si="274"/>
        <v>No controla</v>
      </c>
      <c r="Z690">
        <v>0.29130899999999998</v>
      </c>
      <c r="AA690">
        <f t="shared" si="275"/>
        <v>0</v>
      </c>
      <c r="AB690" t="str">
        <f t="shared" si="276"/>
        <v>Nunca</v>
      </c>
      <c r="AC690">
        <v>0.89794200000000002</v>
      </c>
      <c r="AD690">
        <f t="shared" si="277"/>
        <v>0</v>
      </c>
      <c r="AE690" t="str">
        <f t="shared" si="278"/>
        <v>Nunca</v>
      </c>
      <c r="AF690">
        <v>1</v>
      </c>
      <c r="AG690" t="str">
        <f t="shared" si="279"/>
        <v>A veces</v>
      </c>
      <c r="AH690">
        <v>0</v>
      </c>
      <c r="AI690" t="str">
        <f t="shared" si="280"/>
        <v>No usa</v>
      </c>
      <c r="AJ690">
        <v>0</v>
      </c>
      <c r="AK690" t="str">
        <f t="shared" si="281"/>
        <v>No usa</v>
      </c>
      <c r="AL690">
        <v>0</v>
      </c>
      <c r="AM690" t="str">
        <f t="shared" si="282"/>
        <v>No usa</v>
      </c>
      <c r="AN690">
        <v>1</v>
      </c>
      <c r="AO690" t="str">
        <f t="shared" si="283"/>
        <v>Usa Transporte</v>
      </c>
      <c r="AP690">
        <v>0</v>
      </c>
      <c r="AQ690" t="str">
        <f t="shared" si="284"/>
        <v>No camina</v>
      </c>
      <c r="AR690">
        <v>0</v>
      </c>
      <c r="AS690" t="str">
        <f t="shared" si="285"/>
        <v>No es obeso</v>
      </c>
    </row>
    <row r="691" spans="1:45" x14ac:dyDescent="0.25">
      <c r="A691">
        <v>0</v>
      </c>
      <c r="B691" t="str">
        <f t="shared" si="260"/>
        <v>F</v>
      </c>
      <c r="C691">
        <v>16834813</v>
      </c>
      <c r="D691">
        <f t="shared" si="261"/>
        <v>46</v>
      </c>
      <c r="E691">
        <f t="shared" si="262"/>
        <v>46</v>
      </c>
      <c r="F691" t="str">
        <f t="shared" si="263"/>
        <v>25-50</v>
      </c>
      <c r="G691">
        <v>0</v>
      </c>
      <c r="H691" t="str">
        <f t="shared" si="264"/>
        <v>Pariente normal</v>
      </c>
      <c r="I691">
        <v>1</v>
      </c>
      <c r="J691" t="str">
        <f t="shared" si="265"/>
        <v>Hipercaloricos</v>
      </c>
      <c r="K691">
        <v>219005</v>
      </c>
      <c r="L691">
        <f t="shared" si="266"/>
        <v>1</v>
      </c>
      <c r="M691" t="str">
        <f t="shared" si="267"/>
        <v>Suele comer</v>
      </c>
      <c r="N691">
        <v>3420618</v>
      </c>
      <c r="O691">
        <f t="shared" si="268"/>
        <v>2</v>
      </c>
      <c r="P691" t="str">
        <f t="shared" si="269"/>
        <v>Mas de 3</v>
      </c>
      <c r="Q691">
        <v>1</v>
      </c>
      <c r="R691" t="str">
        <f t="shared" si="270"/>
        <v>A veces</v>
      </c>
      <c r="S691">
        <v>0</v>
      </c>
      <c r="T691" t="str">
        <f t="shared" si="271"/>
        <v>No fuma</v>
      </c>
      <c r="U691">
        <v>1356405</v>
      </c>
      <c r="V691">
        <f t="shared" si="272"/>
        <v>2</v>
      </c>
      <c r="W691" t="str">
        <f t="shared" si="273"/>
        <v>Siempre</v>
      </c>
      <c r="X691">
        <v>0</v>
      </c>
      <c r="Y691" t="str">
        <f t="shared" si="274"/>
        <v>No controla</v>
      </c>
      <c r="Z691">
        <v>1351996</v>
      </c>
      <c r="AA691">
        <f t="shared" si="275"/>
        <v>3</v>
      </c>
      <c r="AB691" t="str">
        <f t="shared" si="276"/>
        <v>Siempre</v>
      </c>
      <c r="AC691">
        <v>0.98468</v>
      </c>
      <c r="AD691">
        <f t="shared" si="277"/>
        <v>0</v>
      </c>
      <c r="AE691" t="str">
        <f t="shared" si="278"/>
        <v>Nunca</v>
      </c>
      <c r="AF691">
        <v>1</v>
      </c>
      <c r="AG691" t="str">
        <f t="shared" si="279"/>
        <v>A veces</v>
      </c>
      <c r="AH691">
        <v>0</v>
      </c>
      <c r="AI691" t="str">
        <f t="shared" si="280"/>
        <v>No usa</v>
      </c>
      <c r="AJ691">
        <v>0</v>
      </c>
      <c r="AK691" t="str">
        <f t="shared" si="281"/>
        <v>No usa</v>
      </c>
      <c r="AL691">
        <v>0</v>
      </c>
      <c r="AM691" t="str">
        <f t="shared" si="282"/>
        <v>No usa</v>
      </c>
      <c r="AN691">
        <v>1</v>
      </c>
      <c r="AO691" t="str">
        <f t="shared" si="283"/>
        <v>Usa Transporte</v>
      </c>
      <c r="AP691">
        <v>0</v>
      </c>
      <c r="AQ691" t="str">
        <f t="shared" si="284"/>
        <v>No camina</v>
      </c>
      <c r="AR691">
        <v>0</v>
      </c>
      <c r="AS691" t="str">
        <f t="shared" si="285"/>
        <v>No es obeso</v>
      </c>
    </row>
    <row r="692" spans="1:45" x14ac:dyDescent="0.25">
      <c r="A692">
        <v>1</v>
      </c>
      <c r="B692" t="str">
        <f t="shared" si="260"/>
        <v>M</v>
      </c>
      <c r="C692">
        <v>17521754</v>
      </c>
      <c r="D692">
        <f t="shared" si="261"/>
        <v>48</v>
      </c>
      <c r="E692">
        <f t="shared" si="262"/>
        <v>48</v>
      </c>
      <c r="F692" t="str">
        <f t="shared" si="263"/>
        <v>25-50</v>
      </c>
      <c r="G692">
        <v>0</v>
      </c>
      <c r="H692" t="str">
        <f t="shared" si="264"/>
        <v>Pariente normal</v>
      </c>
      <c r="I692">
        <v>1</v>
      </c>
      <c r="J692" t="str">
        <f t="shared" si="265"/>
        <v>Hipercaloricos</v>
      </c>
      <c r="K692">
        <v>221498</v>
      </c>
      <c r="L692">
        <f t="shared" si="266"/>
        <v>1</v>
      </c>
      <c r="M692" t="str">
        <f t="shared" si="267"/>
        <v>Suele comer</v>
      </c>
      <c r="N692">
        <v>264155</v>
      </c>
      <c r="O692">
        <f t="shared" si="268"/>
        <v>2</v>
      </c>
      <c r="P692" t="str">
        <f t="shared" si="269"/>
        <v>Mas de 3</v>
      </c>
      <c r="Q692">
        <v>1</v>
      </c>
      <c r="R692" t="str">
        <f t="shared" si="270"/>
        <v>A veces</v>
      </c>
      <c r="S692">
        <v>0</v>
      </c>
      <c r="T692" t="str">
        <f t="shared" si="271"/>
        <v>No fuma</v>
      </c>
      <c r="U692">
        <v>2121251</v>
      </c>
      <c r="V692">
        <f t="shared" si="272"/>
        <v>2</v>
      </c>
      <c r="W692" t="str">
        <f t="shared" si="273"/>
        <v>Siempre</v>
      </c>
      <c r="X692">
        <v>0</v>
      </c>
      <c r="Y692" t="str">
        <f t="shared" si="274"/>
        <v>No controla</v>
      </c>
      <c r="Z692">
        <v>0.99839100000000003</v>
      </c>
      <c r="AA692">
        <f t="shared" si="275"/>
        <v>0</v>
      </c>
      <c r="AB692" t="str">
        <f t="shared" si="276"/>
        <v>Nunca</v>
      </c>
      <c r="AC692">
        <v>0.85882000000000003</v>
      </c>
      <c r="AD692">
        <f t="shared" si="277"/>
        <v>0</v>
      </c>
      <c r="AE692" t="str">
        <f t="shared" si="278"/>
        <v>Nunca</v>
      </c>
      <c r="AF692">
        <v>1</v>
      </c>
      <c r="AG692" t="str">
        <f t="shared" si="279"/>
        <v>A veces</v>
      </c>
      <c r="AH692">
        <v>0</v>
      </c>
      <c r="AI692" t="str">
        <f t="shared" si="280"/>
        <v>No usa</v>
      </c>
      <c r="AJ692">
        <v>0</v>
      </c>
      <c r="AK692" t="str">
        <f t="shared" si="281"/>
        <v>No usa</v>
      </c>
      <c r="AL692">
        <v>0</v>
      </c>
      <c r="AM692" t="str">
        <f t="shared" si="282"/>
        <v>No usa</v>
      </c>
      <c r="AN692">
        <v>1</v>
      </c>
      <c r="AO692" t="str">
        <f t="shared" si="283"/>
        <v>Usa Transporte</v>
      </c>
      <c r="AP692">
        <v>0</v>
      </c>
      <c r="AQ692" t="str">
        <f t="shared" si="284"/>
        <v>No camina</v>
      </c>
      <c r="AR692">
        <v>0</v>
      </c>
      <c r="AS692" t="str">
        <f t="shared" si="285"/>
        <v>No es obeso</v>
      </c>
    </row>
    <row r="693" spans="1:45" x14ac:dyDescent="0.25">
      <c r="A693">
        <v>1</v>
      </c>
      <c r="B693" t="str">
        <f t="shared" si="260"/>
        <v>M</v>
      </c>
      <c r="C693">
        <v>18</v>
      </c>
      <c r="D693">
        <f t="shared" si="261"/>
        <v>18</v>
      </c>
      <c r="E693">
        <f t="shared" si="262"/>
        <v>18</v>
      </c>
      <c r="F693" t="str">
        <f t="shared" si="263"/>
        <v>1-25</v>
      </c>
      <c r="G693">
        <v>0</v>
      </c>
      <c r="H693" t="str">
        <f t="shared" si="264"/>
        <v>Pariente normal</v>
      </c>
      <c r="I693">
        <v>1</v>
      </c>
      <c r="J693" t="str">
        <f t="shared" si="265"/>
        <v>Hipercaloricos</v>
      </c>
      <c r="K693">
        <v>291548</v>
      </c>
      <c r="L693">
        <f t="shared" si="266"/>
        <v>1</v>
      </c>
      <c r="M693" t="str">
        <f t="shared" si="267"/>
        <v>Suele comer</v>
      </c>
      <c r="N693">
        <v>3</v>
      </c>
      <c r="O693">
        <f t="shared" si="268"/>
        <v>2</v>
      </c>
      <c r="P693" t="str">
        <f t="shared" si="269"/>
        <v>Mas de 3</v>
      </c>
      <c r="Q693">
        <v>1</v>
      </c>
      <c r="R693" t="str">
        <f t="shared" si="270"/>
        <v>A veces</v>
      </c>
      <c r="S693">
        <v>0</v>
      </c>
      <c r="T693" t="str">
        <f t="shared" si="271"/>
        <v>No fuma</v>
      </c>
      <c r="U693">
        <v>1777486</v>
      </c>
      <c r="V693">
        <f t="shared" si="272"/>
        <v>2</v>
      </c>
      <c r="W693" t="str">
        <f t="shared" si="273"/>
        <v>Siempre</v>
      </c>
      <c r="X693">
        <v>0</v>
      </c>
      <c r="Y693" t="str">
        <f t="shared" si="274"/>
        <v>No controla</v>
      </c>
      <c r="Z693">
        <v>1077469</v>
      </c>
      <c r="AA693">
        <f t="shared" si="275"/>
        <v>3</v>
      </c>
      <c r="AB693" t="str">
        <f t="shared" si="276"/>
        <v>Siempre</v>
      </c>
      <c r="AC693">
        <v>1</v>
      </c>
      <c r="AD693">
        <f t="shared" si="277"/>
        <v>1</v>
      </c>
      <c r="AE693" t="str">
        <f t="shared" si="278"/>
        <v>Usualmente</v>
      </c>
      <c r="AF693">
        <v>1</v>
      </c>
      <c r="AG693" t="str">
        <f t="shared" si="279"/>
        <v>A veces</v>
      </c>
      <c r="AH693">
        <v>0</v>
      </c>
      <c r="AI693" t="str">
        <f t="shared" si="280"/>
        <v>No usa</v>
      </c>
      <c r="AJ693">
        <v>0</v>
      </c>
      <c r="AK693" t="str">
        <f t="shared" si="281"/>
        <v>No usa</v>
      </c>
      <c r="AL693">
        <v>0</v>
      </c>
      <c r="AM693" t="str">
        <f t="shared" si="282"/>
        <v>No usa</v>
      </c>
      <c r="AN693">
        <v>1</v>
      </c>
      <c r="AO693" t="str">
        <f t="shared" si="283"/>
        <v>Usa Transporte</v>
      </c>
      <c r="AP693">
        <v>0</v>
      </c>
      <c r="AQ693" t="str">
        <f t="shared" si="284"/>
        <v>No camina</v>
      </c>
      <c r="AR693">
        <v>0</v>
      </c>
      <c r="AS693" t="str">
        <f t="shared" si="285"/>
        <v>No es obeso</v>
      </c>
    </row>
    <row r="694" spans="1:45" x14ac:dyDescent="0.25">
      <c r="A694">
        <v>1</v>
      </c>
      <c r="B694" t="str">
        <f t="shared" si="260"/>
        <v>M</v>
      </c>
      <c r="C694">
        <v>18</v>
      </c>
      <c r="D694">
        <f t="shared" si="261"/>
        <v>18</v>
      </c>
      <c r="E694">
        <f t="shared" si="262"/>
        <v>18</v>
      </c>
      <c r="F694" t="str">
        <f t="shared" si="263"/>
        <v>1-25</v>
      </c>
      <c r="G694">
        <v>1</v>
      </c>
      <c r="H694" t="str">
        <f t="shared" si="264"/>
        <v>Pariente gordo</v>
      </c>
      <c r="I694">
        <v>1</v>
      </c>
      <c r="J694" t="str">
        <f t="shared" si="265"/>
        <v>Hipercaloricos</v>
      </c>
      <c r="K694">
        <v>2708965</v>
      </c>
      <c r="L694">
        <f t="shared" si="266"/>
        <v>1</v>
      </c>
      <c r="M694" t="str">
        <f t="shared" si="267"/>
        <v>Suele comer</v>
      </c>
      <c r="N694">
        <v>3</v>
      </c>
      <c r="O694">
        <f t="shared" si="268"/>
        <v>2</v>
      </c>
      <c r="P694" t="str">
        <f t="shared" si="269"/>
        <v>Mas de 3</v>
      </c>
      <c r="Q694">
        <v>1</v>
      </c>
      <c r="R694" t="str">
        <f t="shared" si="270"/>
        <v>A veces</v>
      </c>
      <c r="S694">
        <v>0</v>
      </c>
      <c r="T694" t="str">
        <f t="shared" si="271"/>
        <v>No fuma</v>
      </c>
      <c r="U694">
        <v>1873004</v>
      </c>
      <c r="V694">
        <f t="shared" si="272"/>
        <v>2</v>
      </c>
      <c r="W694" t="str">
        <f t="shared" si="273"/>
        <v>Siempre</v>
      </c>
      <c r="X694">
        <v>0</v>
      </c>
      <c r="Y694" t="str">
        <f t="shared" si="274"/>
        <v>No controla</v>
      </c>
      <c r="Z694">
        <v>121718</v>
      </c>
      <c r="AA694">
        <f t="shared" si="275"/>
        <v>2</v>
      </c>
      <c r="AB694" t="str">
        <f t="shared" si="276"/>
        <v>Usualmente</v>
      </c>
      <c r="AC694">
        <v>1</v>
      </c>
      <c r="AD694">
        <f t="shared" si="277"/>
        <v>1</v>
      </c>
      <c r="AE694" t="str">
        <f t="shared" si="278"/>
        <v>Usualmente</v>
      </c>
      <c r="AF694">
        <v>1</v>
      </c>
      <c r="AG694" t="str">
        <f t="shared" si="279"/>
        <v>A veces</v>
      </c>
      <c r="AH694">
        <v>0</v>
      </c>
      <c r="AI694" t="str">
        <f t="shared" si="280"/>
        <v>No usa</v>
      </c>
      <c r="AJ694">
        <v>0</v>
      </c>
      <c r="AK694" t="str">
        <f t="shared" si="281"/>
        <v>No usa</v>
      </c>
      <c r="AL694">
        <v>0</v>
      </c>
      <c r="AM694" t="str">
        <f t="shared" si="282"/>
        <v>No usa</v>
      </c>
      <c r="AN694">
        <v>1</v>
      </c>
      <c r="AO694" t="str">
        <f t="shared" si="283"/>
        <v>Usa Transporte</v>
      </c>
      <c r="AP694">
        <v>0</v>
      </c>
      <c r="AQ694" t="str">
        <f t="shared" si="284"/>
        <v>No camina</v>
      </c>
      <c r="AR694">
        <v>0</v>
      </c>
      <c r="AS694" t="str">
        <f t="shared" si="285"/>
        <v>No es obeso</v>
      </c>
    </row>
    <row r="695" spans="1:45" x14ac:dyDescent="0.25">
      <c r="A695">
        <v>1</v>
      </c>
      <c r="B695" t="str">
        <f t="shared" si="260"/>
        <v>M</v>
      </c>
      <c r="C695">
        <v>18128249</v>
      </c>
      <c r="D695">
        <f t="shared" si="261"/>
        <v>49</v>
      </c>
      <c r="E695">
        <f t="shared" si="262"/>
        <v>49</v>
      </c>
      <c r="F695" t="str">
        <f t="shared" si="263"/>
        <v>25-50</v>
      </c>
      <c r="G695">
        <v>1</v>
      </c>
      <c r="H695" t="str">
        <f t="shared" si="264"/>
        <v>Pariente gordo</v>
      </c>
      <c r="I695">
        <v>1</v>
      </c>
      <c r="J695" t="str">
        <f t="shared" si="265"/>
        <v>Hipercaloricos</v>
      </c>
      <c r="K695">
        <v>2853513</v>
      </c>
      <c r="L695">
        <f t="shared" si="266"/>
        <v>1</v>
      </c>
      <c r="M695" t="str">
        <f t="shared" si="267"/>
        <v>Suele comer</v>
      </c>
      <c r="N695">
        <v>3</v>
      </c>
      <c r="O695">
        <f t="shared" si="268"/>
        <v>2</v>
      </c>
      <c r="P695" t="str">
        <f t="shared" si="269"/>
        <v>Mas de 3</v>
      </c>
      <c r="Q695">
        <v>1</v>
      </c>
      <c r="R695" t="str">
        <f t="shared" si="270"/>
        <v>A veces</v>
      </c>
      <c r="S695">
        <v>0</v>
      </c>
      <c r="T695" t="str">
        <f t="shared" si="271"/>
        <v>No fuma</v>
      </c>
      <c r="U695">
        <v>2</v>
      </c>
      <c r="V695">
        <f t="shared" si="272"/>
        <v>2</v>
      </c>
      <c r="W695" t="str">
        <f t="shared" si="273"/>
        <v>Siempre</v>
      </c>
      <c r="X695">
        <v>0</v>
      </c>
      <c r="Y695" t="str">
        <f t="shared" si="274"/>
        <v>No controla</v>
      </c>
      <c r="Z695">
        <v>0.68046399999999996</v>
      </c>
      <c r="AA695">
        <f t="shared" si="275"/>
        <v>0</v>
      </c>
      <c r="AB695" t="str">
        <f t="shared" si="276"/>
        <v>Nunca</v>
      </c>
      <c r="AC695">
        <v>1258881</v>
      </c>
      <c r="AD695">
        <f t="shared" si="277"/>
        <v>2</v>
      </c>
      <c r="AE695" t="str">
        <f t="shared" si="278"/>
        <v>Siempre</v>
      </c>
      <c r="AF695">
        <v>1</v>
      </c>
      <c r="AG695" t="str">
        <f t="shared" si="279"/>
        <v>A veces</v>
      </c>
      <c r="AH695">
        <v>0</v>
      </c>
      <c r="AI695" t="str">
        <f t="shared" si="280"/>
        <v>No usa</v>
      </c>
      <c r="AJ695">
        <v>0</v>
      </c>
      <c r="AK695" t="str">
        <f t="shared" si="281"/>
        <v>No usa</v>
      </c>
      <c r="AL695">
        <v>0</v>
      </c>
      <c r="AM695" t="str">
        <f t="shared" si="282"/>
        <v>No usa</v>
      </c>
      <c r="AN695">
        <v>1</v>
      </c>
      <c r="AO695" t="str">
        <f t="shared" si="283"/>
        <v>Usa Transporte</v>
      </c>
      <c r="AP695">
        <v>0</v>
      </c>
      <c r="AQ695" t="str">
        <f t="shared" si="284"/>
        <v>No camina</v>
      </c>
      <c r="AR695">
        <v>0</v>
      </c>
      <c r="AS695" t="str">
        <f t="shared" si="285"/>
        <v>No es obeso</v>
      </c>
    </row>
    <row r="696" spans="1:45" x14ac:dyDescent="0.25">
      <c r="A696">
        <v>1</v>
      </c>
      <c r="B696" t="str">
        <f t="shared" si="260"/>
        <v>M</v>
      </c>
      <c r="C696">
        <v>17405104</v>
      </c>
      <c r="D696">
        <f t="shared" si="261"/>
        <v>47</v>
      </c>
      <c r="E696">
        <f t="shared" si="262"/>
        <v>47</v>
      </c>
      <c r="F696" t="str">
        <f t="shared" si="263"/>
        <v>25-50</v>
      </c>
      <c r="G696">
        <v>1</v>
      </c>
      <c r="H696" t="str">
        <f t="shared" si="264"/>
        <v>Pariente gordo</v>
      </c>
      <c r="I696">
        <v>1</v>
      </c>
      <c r="J696" t="str">
        <f t="shared" si="265"/>
        <v>Hipercaloricos</v>
      </c>
      <c r="K696">
        <v>2580872</v>
      </c>
      <c r="L696">
        <f t="shared" si="266"/>
        <v>1</v>
      </c>
      <c r="M696" t="str">
        <f t="shared" si="267"/>
        <v>Suele comer</v>
      </c>
      <c r="N696">
        <v>3887906</v>
      </c>
      <c r="O696">
        <f t="shared" si="268"/>
        <v>2</v>
      </c>
      <c r="P696" t="str">
        <f t="shared" si="269"/>
        <v>Mas de 3</v>
      </c>
      <c r="Q696">
        <v>1</v>
      </c>
      <c r="R696" t="str">
        <f t="shared" si="270"/>
        <v>A veces</v>
      </c>
      <c r="S696">
        <v>0</v>
      </c>
      <c r="T696" t="str">
        <f t="shared" si="271"/>
        <v>No fuma</v>
      </c>
      <c r="U696">
        <v>2</v>
      </c>
      <c r="V696">
        <f t="shared" si="272"/>
        <v>2</v>
      </c>
      <c r="W696" t="str">
        <f t="shared" si="273"/>
        <v>Siempre</v>
      </c>
      <c r="X696">
        <v>0</v>
      </c>
      <c r="Y696" t="str">
        <f t="shared" si="274"/>
        <v>No controla</v>
      </c>
      <c r="Z696">
        <v>2</v>
      </c>
      <c r="AA696">
        <f t="shared" si="275"/>
        <v>2</v>
      </c>
      <c r="AB696" t="str">
        <f t="shared" si="276"/>
        <v>Usualmente</v>
      </c>
      <c r="AC696">
        <v>0.45364900000000002</v>
      </c>
      <c r="AD696">
        <f t="shared" si="277"/>
        <v>0</v>
      </c>
      <c r="AE696" t="str">
        <f t="shared" si="278"/>
        <v>Nunca</v>
      </c>
      <c r="AF696">
        <v>0</v>
      </c>
      <c r="AG696" t="str">
        <f t="shared" si="279"/>
        <v>Nunca</v>
      </c>
      <c r="AH696">
        <v>1</v>
      </c>
      <c r="AI696" t="str">
        <f t="shared" si="280"/>
        <v>Usa auto</v>
      </c>
      <c r="AJ696">
        <v>0</v>
      </c>
      <c r="AK696" t="str">
        <f t="shared" si="281"/>
        <v>No usa</v>
      </c>
      <c r="AL696">
        <v>0</v>
      </c>
      <c r="AM696" t="str">
        <f t="shared" si="282"/>
        <v>No usa</v>
      </c>
      <c r="AN696">
        <v>0</v>
      </c>
      <c r="AO696" t="str">
        <f t="shared" si="283"/>
        <v>No usa</v>
      </c>
      <c r="AP696">
        <v>0</v>
      </c>
      <c r="AQ696" t="str">
        <f t="shared" si="284"/>
        <v>No camina</v>
      </c>
      <c r="AR696">
        <v>0</v>
      </c>
      <c r="AS696" t="str">
        <f t="shared" si="285"/>
        <v>No es obeso</v>
      </c>
    </row>
    <row r="697" spans="1:45" x14ac:dyDescent="0.25">
      <c r="A697">
        <v>1</v>
      </c>
      <c r="B697" t="str">
        <f t="shared" si="260"/>
        <v>M</v>
      </c>
      <c r="C697">
        <v>1972925</v>
      </c>
      <c r="D697">
        <f t="shared" si="261"/>
        <v>5</v>
      </c>
      <c r="E697">
        <f t="shared" si="262"/>
        <v>5</v>
      </c>
      <c r="F697" t="str">
        <f t="shared" si="263"/>
        <v>1-25</v>
      </c>
      <c r="G697">
        <v>1</v>
      </c>
      <c r="H697" t="str">
        <f t="shared" si="264"/>
        <v>Pariente gordo</v>
      </c>
      <c r="I697">
        <v>1</v>
      </c>
      <c r="J697" t="str">
        <f t="shared" si="265"/>
        <v>Hipercaloricos</v>
      </c>
      <c r="K697">
        <v>2508835</v>
      </c>
      <c r="L697">
        <f t="shared" si="266"/>
        <v>1</v>
      </c>
      <c r="M697" t="str">
        <f t="shared" si="267"/>
        <v>Suele comer</v>
      </c>
      <c r="N697">
        <v>3435905</v>
      </c>
      <c r="O697">
        <f t="shared" si="268"/>
        <v>2</v>
      </c>
      <c r="P697" t="str">
        <f t="shared" si="269"/>
        <v>Mas de 3</v>
      </c>
      <c r="Q697">
        <v>1</v>
      </c>
      <c r="R697" t="str">
        <f t="shared" si="270"/>
        <v>A veces</v>
      </c>
      <c r="S697">
        <v>0</v>
      </c>
      <c r="T697" t="str">
        <f t="shared" si="271"/>
        <v>No fuma</v>
      </c>
      <c r="U697">
        <v>2076933</v>
      </c>
      <c r="V697">
        <f t="shared" si="272"/>
        <v>2</v>
      </c>
      <c r="W697" t="str">
        <f t="shared" si="273"/>
        <v>Siempre</v>
      </c>
      <c r="X697">
        <v>0</v>
      </c>
      <c r="Y697" t="str">
        <f t="shared" si="274"/>
        <v>No controla</v>
      </c>
      <c r="Z697">
        <v>2026668</v>
      </c>
      <c r="AA697">
        <f t="shared" si="275"/>
        <v>3</v>
      </c>
      <c r="AB697" t="str">
        <f t="shared" si="276"/>
        <v>Siempre</v>
      </c>
      <c r="AC697">
        <v>1443328</v>
      </c>
      <c r="AD697">
        <f t="shared" si="277"/>
        <v>2</v>
      </c>
      <c r="AE697" t="str">
        <f t="shared" si="278"/>
        <v>Siempre</v>
      </c>
      <c r="AF697">
        <v>0</v>
      </c>
      <c r="AG697" t="str">
        <f t="shared" si="279"/>
        <v>Nunca</v>
      </c>
      <c r="AH697">
        <v>1</v>
      </c>
      <c r="AI697" t="str">
        <f t="shared" si="280"/>
        <v>Usa auto</v>
      </c>
      <c r="AJ697">
        <v>0</v>
      </c>
      <c r="AK697" t="str">
        <f t="shared" si="281"/>
        <v>No usa</v>
      </c>
      <c r="AL697">
        <v>0</v>
      </c>
      <c r="AM697" t="str">
        <f t="shared" si="282"/>
        <v>No usa</v>
      </c>
      <c r="AN697">
        <v>0</v>
      </c>
      <c r="AO697" t="str">
        <f t="shared" si="283"/>
        <v>No usa</v>
      </c>
      <c r="AP697">
        <v>0</v>
      </c>
      <c r="AQ697" t="str">
        <f t="shared" si="284"/>
        <v>No camina</v>
      </c>
      <c r="AR697">
        <v>0</v>
      </c>
      <c r="AS697" t="str">
        <f t="shared" si="285"/>
        <v>No es obeso</v>
      </c>
    </row>
    <row r="698" spans="1:45" x14ac:dyDescent="0.25">
      <c r="A698">
        <v>1</v>
      </c>
      <c r="B698" t="str">
        <f t="shared" si="260"/>
        <v>M</v>
      </c>
      <c r="C698">
        <v>18525834</v>
      </c>
      <c r="D698">
        <f t="shared" si="261"/>
        <v>50</v>
      </c>
      <c r="E698">
        <f t="shared" si="262"/>
        <v>50</v>
      </c>
      <c r="F698" t="str">
        <f t="shared" si="263"/>
        <v>25-50</v>
      </c>
      <c r="G698">
        <v>1</v>
      </c>
      <c r="H698" t="str">
        <f t="shared" si="264"/>
        <v>Pariente gordo</v>
      </c>
      <c r="I698">
        <v>1</v>
      </c>
      <c r="J698" t="str">
        <f t="shared" si="265"/>
        <v>Hipercaloricos</v>
      </c>
      <c r="K698">
        <v>2</v>
      </c>
      <c r="L698">
        <f t="shared" si="266"/>
        <v>1</v>
      </c>
      <c r="M698" t="str">
        <f t="shared" si="267"/>
        <v>Suele comer</v>
      </c>
      <c r="N698">
        <v>3747163</v>
      </c>
      <c r="O698">
        <f t="shared" si="268"/>
        <v>2</v>
      </c>
      <c r="P698" t="str">
        <f t="shared" si="269"/>
        <v>Mas de 3</v>
      </c>
      <c r="Q698">
        <v>1</v>
      </c>
      <c r="R698" t="str">
        <f t="shared" si="270"/>
        <v>A veces</v>
      </c>
      <c r="S698">
        <v>0</v>
      </c>
      <c r="T698" t="str">
        <f t="shared" si="271"/>
        <v>No fuma</v>
      </c>
      <c r="U698">
        <v>2575535</v>
      </c>
      <c r="V698">
        <f t="shared" si="272"/>
        <v>2</v>
      </c>
      <c r="W698" t="str">
        <f t="shared" si="273"/>
        <v>Siempre</v>
      </c>
      <c r="X698">
        <v>0</v>
      </c>
      <c r="Y698" t="str">
        <f t="shared" si="274"/>
        <v>No controla</v>
      </c>
      <c r="Z698">
        <v>2</v>
      </c>
      <c r="AA698">
        <f t="shared" si="275"/>
        <v>2</v>
      </c>
      <c r="AB698" t="str">
        <f t="shared" si="276"/>
        <v>Usualmente</v>
      </c>
      <c r="AC698">
        <v>184383</v>
      </c>
      <c r="AD698">
        <f t="shared" si="277"/>
        <v>1</v>
      </c>
      <c r="AE698" t="str">
        <f t="shared" si="278"/>
        <v>Usualmente</v>
      </c>
      <c r="AF698">
        <v>0</v>
      </c>
      <c r="AG698" t="str">
        <f t="shared" si="279"/>
        <v>Nunca</v>
      </c>
      <c r="AH698">
        <v>1</v>
      </c>
      <c r="AI698" t="str">
        <f t="shared" si="280"/>
        <v>Usa auto</v>
      </c>
      <c r="AJ698">
        <v>0</v>
      </c>
      <c r="AK698" t="str">
        <f t="shared" si="281"/>
        <v>No usa</v>
      </c>
      <c r="AL698">
        <v>0</v>
      </c>
      <c r="AM698" t="str">
        <f t="shared" si="282"/>
        <v>No usa</v>
      </c>
      <c r="AN698">
        <v>0</v>
      </c>
      <c r="AO698" t="str">
        <f t="shared" si="283"/>
        <v>No usa</v>
      </c>
      <c r="AP698">
        <v>0</v>
      </c>
      <c r="AQ698" t="str">
        <f t="shared" si="284"/>
        <v>No camina</v>
      </c>
      <c r="AR698">
        <v>0</v>
      </c>
      <c r="AS698" t="str">
        <f t="shared" si="285"/>
        <v>No es obeso</v>
      </c>
    </row>
    <row r="699" spans="1:45" x14ac:dyDescent="0.25">
      <c r="A699">
        <v>0</v>
      </c>
      <c r="B699" t="str">
        <f t="shared" si="260"/>
        <v>F</v>
      </c>
      <c r="C699">
        <v>18595614</v>
      </c>
      <c r="D699">
        <f t="shared" si="261"/>
        <v>50</v>
      </c>
      <c r="E699">
        <f t="shared" si="262"/>
        <v>50</v>
      </c>
      <c r="F699" t="str">
        <f t="shared" si="263"/>
        <v>25-50</v>
      </c>
      <c r="G699">
        <v>0</v>
      </c>
      <c r="H699" t="str">
        <f t="shared" si="264"/>
        <v>Pariente normal</v>
      </c>
      <c r="I699">
        <v>1</v>
      </c>
      <c r="J699" t="str">
        <f t="shared" si="265"/>
        <v>Hipercaloricos</v>
      </c>
      <c r="K699">
        <v>2896562</v>
      </c>
      <c r="L699">
        <f t="shared" si="266"/>
        <v>1</v>
      </c>
      <c r="M699" t="str">
        <f t="shared" si="267"/>
        <v>Suele comer</v>
      </c>
      <c r="N699">
        <v>2625475</v>
      </c>
      <c r="O699">
        <f t="shared" si="268"/>
        <v>2</v>
      </c>
      <c r="P699" t="str">
        <f t="shared" si="269"/>
        <v>Mas de 3</v>
      </c>
      <c r="Q699">
        <v>1</v>
      </c>
      <c r="R699" t="str">
        <f t="shared" si="270"/>
        <v>A veces</v>
      </c>
      <c r="S699">
        <v>0</v>
      </c>
      <c r="T699" t="str">
        <f t="shared" si="271"/>
        <v>No fuma</v>
      </c>
      <c r="U699">
        <v>2839558</v>
      </c>
      <c r="V699">
        <f t="shared" si="272"/>
        <v>2</v>
      </c>
      <c r="W699" t="str">
        <f t="shared" si="273"/>
        <v>Siempre</v>
      </c>
      <c r="X699">
        <v>1</v>
      </c>
      <c r="Y699" t="str">
        <f t="shared" si="274"/>
        <v>Controla</v>
      </c>
      <c r="Z699">
        <v>1949667</v>
      </c>
      <c r="AA699">
        <f t="shared" si="275"/>
        <v>3</v>
      </c>
      <c r="AB699" t="str">
        <f t="shared" si="276"/>
        <v>Siempre</v>
      </c>
      <c r="AC699">
        <v>1253311</v>
      </c>
      <c r="AD699">
        <f t="shared" si="277"/>
        <v>2</v>
      </c>
      <c r="AE699" t="str">
        <f t="shared" si="278"/>
        <v>Siempre</v>
      </c>
      <c r="AF699">
        <v>0</v>
      </c>
      <c r="AG699" t="str">
        <f t="shared" si="279"/>
        <v>Nunca</v>
      </c>
      <c r="AH699">
        <v>0</v>
      </c>
      <c r="AI699" t="str">
        <f t="shared" si="280"/>
        <v>No usa</v>
      </c>
      <c r="AJ699">
        <v>0</v>
      </c>
      <c r="AK699" t="str">
        <f t="shared" si="281"/>
        <v>No usa</v>
      </c>
      <c r="AL699">
        <v>0</v>
      </c>
      <c r="AM699" t="str">
        <f t="shared" si="282"/>
        <v>No usa</v>
      </c>
      <c r="AN699">
        <v>1</v>
      </c>
      <c r="AO699" t="str">
        <f t="shared" si="283"/>
        <v>Usa Transporte</v>
      </c>
      <c r="AP699">
        <v>0</v>
      </c>
      <c r="AQ699" t="str">
        <f t="shared" si="284"/>
        <v>No camina</v>
      </c>
      <c r="AR699">
        <v>0</v>
      </c>
      <c r="AS699" t="str">
        <f t="shared" si="285"/>
        <v>No es obeso</v>
      </c>
    </row>
    <row r="700" spans="1:45" x14ac:dyDescent="0.25">
      <c r="A700">
        <v>0</v>
      </c>
      <c r="B700" t="str">
        <f t="shared" si="260"/>
        <v>F</v>
      </c>
      <c r="C700">
        <v>16613108</v>
      </c>
      <c r="D700">
        <f t="shared" si="261"/>
        <v>45</v>
      </c>
      <c r="E700">
        <f t="shared" si="262"/>
        <v>45</v>
      </c>
      <c r="F700" t="str">
        <f t="shared" si="263"/>
        <v>25-50</v>
      </c>
      <c r="G700">
        <v>0</v>
      </c>
      <c r="H700" t="str">
        <f t="shared" si="264"/>
        <v>Pariente normal</v>
      </c>
      <c r="I700">
        <v>1</v>
      </c>
      <c r="J700" t="str">
        <f t="shared" si="265"/>
        <v>Hipercaloricos</v>
      </c>
      <c r="K700">
        <v>2911877</v>
      </c>
      <c r="L700">
        <f t="shared" si="266"/>
        <v>1</v>
      </c>
      <c r="M700" t="str">
        <f t="shared" si="267"/>
        <v>Suele comer</v>
      </c>
      <c r="N700">
        <v>3098399</v>
      </c>
      <c r="O700">
        <f t="shared" si="268"/>
        <v>2</v>
      </c>
      <c r="P700" t="str">
        <f t="shared" si="269"/>
        <v>Mas de 3</v>
      </c>
      <c r="Q700">
        <v>1</v>
      </c>
      <c r="R700" t="str">
        <f t="shared" si="270"/>
        <v>A veces</v>
      </c>
      <c r="S700">
        <v>0</v>
      </c>
      <c r="T700" t="str">
        <f t="shared" si="271"/>
        <v>No fuma</v>
      </c>
      <c r="U700">
        <v>2196405</v>
      </c>
      <c r="V700">
        <f t="shared" si="272"/>
        <v>2</v>
      </c>
      <c r="W700" t="str">
        <f t="shared" si="273"/>
        <v>Siempre</v>
      </c>
      <c r="X700">
        <v>0</v>
      </c>
      <c r="Y700" t="str">
        <f t="shared" si="274"/>
        <v>No controla</v>
      </c>
      <c r="Z700">
        <v>2328147</v>
      </c>
      <c r="AA700">
        <f t="shared" si="275"/>
        <v>3</v>
      </c>
      <c r="AB700" t="str">
        <f t="shared" si="276"/>
        <v>Siempre</v>
      </c>
      <c r="AC700">
        <v>155011</v>
      </c>
      <c r="AD700">
        <f t="shared" si="277"/>
        <v>1</v>
      </c>
      <c r="AE700" t="str">
        <f t="shared" si="278"/>
        <v>Usualmente</v>
      </c>
      <c r="AF700">
        <v>1</v>
      </c>
      <c r="AG700" t="str">
        <f t="shared" si="279"/>
        <v>A veces</v>
      </c>
      <c r="AH700">
        <v>0</v>
      </c>
      <c r="AI700" t="str">
        <f t="shared" si="280"/>
        <v>No usa</v>
      </c>
      <c r="AJ700">
        <v>0</v>
      </c>
      <c r="AK700" t="str">
        <f t="shared" si="281"/>
        <v>No usa</v>
      </c>
      <c r="AL700">
        <v>0</v>
      </c>
      <c r="AM700" t="str">
        <f t="shared" si="282"/>
        <v>No usa</v>
      </c>
      <c r="AN700">
        <v>1</v>
      </c>
      <c r="AO700" t="str">
        <f t="shared" si="283"/>
        <v>Usa Transporte</v>
      </c>
      <c r="AP700">
        <v>0</v>
      </c>
      <c r="AQ700" t="str">
        <f t="shared" si="284"/>
        <v>No camina</v>
      </c>
      <c r="AR700">
        <v>0</v>
      </c>
      <c r="AS700" t="str">
        <f t="shared" si="285"/>
        <v>No es obeso</v>
      </c>
    </row>
    <row r="701" spans="1:45" x14ac:dyDescent="0.25">
      <c r="A701">
        <v>0</v>
      </c>
      <c r="B701" t="str">
        <f t="shared" si="260"/>
        <v>F</v>
      </c>
      <c r="C701">
        <v>16928791</v>
      </c>
      <c r="D701">
        <f t="shared" si="261"/>
        <v>46</v>
      </c>
      <c r="E701">
        <f t="shared" si="262"/>
        <v>46</v>
      </c>
      <c r="F701" t="str">
        <f t="shared" si="263"/>
        <v>25-50</v>
      </c>
      <c r="G701">
        <v>0</v>
      </c>
      <c r="H701" t="str">
        <f t="shared" si="264"/>
        <v>Pariente normal</v>
      </c>
      <c r="I701">
        <v>1</v>
      </c>
      <c r="J701" t="str">
        <f t="shared" si="265"/>
        <v>Hipercaloricos</v>
      </c>
      <c r="K701">
        <v>2910733</v>
      </c>
      <c r="L701">
        <f t="shared" si="266"/>
        <v>1</v>
      </c>
      <c r="M701" t="str">
        <f t="shared" si="267"/>
        <v>Suele comer</v>
      </c>
      <c r="N701">
        <v>312544</v>
      </c>
      <c r="O701">
        <f t="shared" si="268"/>
        <v>2</v>
      </c>
      <c r="P701" t="str">
        <f t="shared" si="269"/>
        <v>Mas de 3</v>
      </c>
      <c r="Q701">
        <v>1</v>
      </c>
      <c r="R701" t="str">
        <f t="shared" si="270"/>
        <v>A veces</v>
      </c>
      <c r="S701">
        <v>0</v>
      </c>
      <c r="T701" t="str">
        <f t="shared" si="271"/>
        <v>No fuma</v>
      </c>
      <c r="U701">
        <v>2204263</v>
      </c>
      <c r="V701">
        <f t="shared" si="272"/>
        <v>2</v>
      </c>
      <c r="W701" t="str">
        <f t="shared" si="273"/>
        <v>Siempre</v>
      </c>
      <c r="X701">
        <v>0</v>
      </c>
      <c r="Y701" t="str">
        <f t="shared" si="274"/>
        <v>No controla</v>
      </c>
      <c r="Z701">
        <v>2407906</v>
      </c>
      <c r="AA701">
        <f t="shared" si="275"/>
        <v>3</v>
      </c>
      <c r="AB701" t="str">
        <f t="shared" si="276"/>
        <v>Siempre</v>
      </c>
      <c r="AC701">
        <v>1403037</v>
      </c>
      <c r="AD701">
        <f t="shared" si="277"/>
        <v>2</v>
      </c>
      <c r="AE701" t="str">
        <f t="shared" si="278"/>
        <v>Siempre</v>
      </c>
      <c r="AF701">
        <v>1</v>
      </c>
      <c r="AG701" t="str">
        <f t="shared" si="279"/>
        <v>A veces</v>
      </c>
      <c r="AH701">
        <v>0</v>
      </c>
      <c r="AI701" t="str">
        <f t="shared" si="280"/>
        <v>No usa</v>
      </c>
      <c r="AJ701">
        <v>0</v>
      </c>
      <c r="AK701" t="str">
        <f t="shared" si="281"/>
        <v>No usa</v>
      </c>
      <c r="AL701">
        <v>0</v>
      </c>
      <c r="AM701" t="str">
        <f t="shared" si="282"/>
        <v>No usa</v>
      </c>
      <c r="AN701">
        <v>1</v>
      </c>
      <c r="AO701" t="str">
        <f t="shared" si="283"/>
        <v>Usa Transporte</v>
      </c>
      <c r="AP701">
        <v>0</v>
      </c>
      <c r="AQ701" t="str">
        <f t="shared" si="284"/>
        <v>No camina</v>
      </c>
      <c r="AR701">
        <v>0</v>
      </c>
      <c r="AS701" t="str">
        <f t="shared" si="285"/>
        <v>No es obeso</v>
      </c>
    </row>
    <row r="702" spans="1:45" x14ac:dyDescent="0.25">
      <c r="A702">
        <v>1</v>
      </c>
      <c r="B702" t="str">
        <f t="shared" si="260"/>
        <v>M</v>
      </c>
      <c r="C702">
        <v>17758315</v>
      </c>
      <c r="D702">
        <f t="shared" si="261"/>
        <v>48</v>
      </c>
      <c r="E702">
        <f t="shared" si="262"/>
        <v>48</v>
      </c>
      <c r="F702" t="str">
        <f t="shared" si="263"/>
        <v>25-50</v>
      </c>
      <c r="G702">
        <v>1</v>
      </c>
      <c r="H702" t="str">
        <f t="shared" si="264"/>
        <v>Pariente gordo</v>
      </c>
      <c r="I702">
        <v>1</v>
      </c>
      <c r="J702" t="str">
        <f t="shared" si="265"/>
        <v>Hipercaloricos</v>
      </c>
      <c r="K702">
        <v>2966126</v>
      </c>
      <c r="L702">
        <f t="shared" si="266"/>
        <v>1</v>
      </c>
      <c r="M702" t="str">
        <f t="shared" si="267"/>
        <v>Suele comer</v>
      </c>
      <c r="N702">
        <v>396981</v>
      </c>
      <c r="O702">
        <f t="shared" si="268"/>
        <v>2</v>
      </c>
      <c r="P702" t="str">
        <f t="shared" si="269"/>
        <v>Mas de 3</v>
      </c>
      <c r="Q702">
        <v>1</v>
      </c>
      <c r="R702" t="str">
        <f t="shared" si="270"/>
        <v>A veces</v>
      </c>
      <c r="S702">
        <v>0</v>
      </c>
      <c r="T702" t="str">
        <f t="shared" si="271"/>
        <v>No fuma</v>
      </c>
      <c r="U702">
        <v>2</v>
      </c>
      <c r="V702">
        <f t="shared" si="272"/>
        <v>2</v>
      </c>
      <c r="W702" t="str">
        <f t="shared" si="273"/>
        <v>Siempre</v>
      </c>
      <c r="X702">
        <v>0</v>
      </c>
      <c r="Y702" t="str">
        <f t="shared" si="274"/>
        <v>No controla</v>
      </c>
      <c r="Z702">
        <v>2000088</v>
      </c>
      <c r="AA702">
        <f t="shared" si="275"/>
        <v>3</v>
      </c>
      <c r="AB702" t="str">
        <f t="shared" si="276"/>
        <v>Siempre</v>
      </c>
      <c r="AC702">
        <v>0.37861899999999998</v>
      </c>
      <c r="AD702">
        <f t="shared" si="277"/>
        <v>0</v>
      </c>
      <c r="AE702" t="str">
        <f t="shared" si="278"/>
        <v>Nunca</v>
      </c>
      <c r="AF702">
        <v>0</v>
      </c>
      <c r="AG702" t="str">
        <f t="shared" si="279"/>
        <v>Nunca</v>
      </c>
      <c r="AH702">
        <v>1</v>
      </c>
      <c r="AI702" t="str">
        <f t="shared" si="280"/>
        <v>Usa auto</v>
      </c>
      <c r="AJ702">
        <v>0</v>
      </c>
      <c r="AK702" t="str">
        <f t="shared" si="281"/>
        <v>No usa</v>
      </c>
      <c r="AL702">
        <v>0</v>
      </c>
      <c r="AM702" t="str">
        <f t="shared" si="282"/>
        <v>No usa</v>
      </c>
      <c r="AN702">
        <v>0</v>
      </c>
      <c r="AO702" t="str">
        <f t="shared" si="283"/>
        <v>No usa</v>
      </c>
      <c r="AP702">
        <v>0</v>
      </c>
      <c r="AQ702" t="str">
        <f t="shared" si="284"/>
        <v>No camina</v>
      </c>
      <c r="AR702">
        <v>0</v>
      </c>
      <c r="AS702" t="str">
        <f t="shared" si="285"/>
        <v>No es obeso</v>
      </c>
    </row>
    <row r="703" spans="1:45" x14ac:dyDescent="0.25">
      <c r="A703">
        <v>1</v>
      </c>
      <c r="B703" t="str">
        <f t="shared" si="260"/>
        <v>M</v>
      </c>
      <c r="C703">
        <v>17282945</v>
      </c>
      <c r="D703">
        <f t="shared" si="261"/>
        <v>47</v>
      </c>
      <c r="E703">
        <f t="shared" si="262"/>
        <v>47</v>
      </c>
      <c r="F703" t="str">
        <f t="shared" si="263"/>
        <v>25-50</v>
      </c>
      <c r="G703">
        <v>1</v>
      </c>
      <c r="H703" t="str">
        <f t="shared" si="264"/>
        <v>Pariente gordo</v>
      </c>
      <c r="I703">
        <v>1</v>
      </c>
      <c r="J703" t="str">
        <f t="shared" si="265"/>
        <v>Hipercaloricos</v>
      </c>
      <c r="K703">
        <v>2613249</v>
      </c>
      <c r="L703">
        <f t="shared" si="266"/>
        <v>1</v>
      </c>
      <c r="M703" t="str">
        <f t="shared" si="267"/>
        <v>Suele comer</v>
      </c>
      <c r="N703">
        <v>3712183</v>
      </c>
      <c r="O703">
        <f t="shared" si="268"/>
        <v>2</v>
      </c>
      <c r="P703" t="str">
        <f t="shared" si="269"/>
        <v>Mas de 3</v>
      </c>
      <c r="Q703">
        <v>1</v>
      </c>
      <c r="R703" t="str">
        <f t="shared" si="270"/>
        <v>A veces</v>
      </c>
      <c r="S703">
        <v>0</v>
      </c>
      <c r="T703" t="str">
        <f t="shared" si="271"/>
        <v>No fuma</v>
      </c>
      <c r="U703">
        <v>2</v>
      </c>
      <c r="V703">
        <f t="shared" si="272"/>
        <v>2</v>
      </c>
      <c r="W703" t="str">
        <f t="shared" si="273"/>
        <v>Siempre</v>
      </c>
      <c r="X703">
        <v>0</v>
      </c>
      <c r="Y703" t="str">
        <f t="shared" si="274"/>
        <v>No controla</v>
      </c>
      <c r="Z703">
        <v>2002997</v>
      </c>
      <c r="AA703">
        <f t="shared" si="275"/>
        <v>3</v>
      </c>
      <c r="AB703" t="str">
        <f t="shared" si="276"/>
        <v>Siempre</v>
      </c>
      <c r="AC703">
        <v>0.174848</v>
      </c>
      <c r="AD703">
        <f t="shared" si="277"/>
        <v>0</v>
      </c>
      <c r="AE703" t="str">
        <f t="shared" si="278"/>
        <v>Nunca</v>
      </c>
      <c r="AF703">
        <v>0</v>
      </c>
      <c r="AG703" t="str">
        <f t="shared" si="279"/>
        <v>Nunca</v>
      </c>
      <c r="AH703">
        <v>1</v>
      </c>
      <c r="AI703" t="str">
        <f t="shared" si="280"/>
        <v>Usa auto</v>
      </c>
      <c r="AJ703">
        <v>0</v>
      </c>
      <c r="AK703" t="str">
        <f t="shared" si="281"/>
        <v>No usa</v>
      </c>
      <c r="AL703">
        <v>0</v>
      </c>
      <c r="AM703" t="str">
        <f t="shared" si="282"/>
        <v>No usa</v>
      </c>
      <c r="AN703">
        <v>0</v>
      </c>
      <c r="AO703" t="str">
        <f t="shared" si="283"/>
        <v>No usa</v>
      </c>
      <c r="AP703">
        <v>0</v>
      </c>
      <c r="AQ703" t="str">
        <f t="shared" si="284"/>
        <v>No camina</v>
      </c>
      <c r="AR703">
        <v>0</v>
      </c>
      <c r="AS703" t="str">
        <f t="shared" si="285"/>
        <v>No es obeso</v>
      </c>
    </row>
    <row r="704" spans="1:45" x14ac:dyDescent="0.25">
      <c r="A704">
        <v>1</v>
      </c>
      <c r="B704" t="str">
        <f t="shared" si="260"/>
        <v>M</v>
      </c>
      <c r="C704">
        <v>19993154</v>
      </c>
      <c r="D704">
        <f t="shared" si="261"/>
        <v>54</v>
      </c>
      <c r="E704">
        <f t="shared" si="262"/>
        <v>54</v>
      </c>
      <c r="F704" t="str">
        <f t="shared" si="263"/>
        <v>50-75</v>
      </c>
      <c r="G704">
        <v>1</v>
      </c>
      <c r="H704" t="str">
        <f t="shared" si="264"/>
        <v>Pariente gordo</v>
      </c>
      <c r="I704">
        <v>1</v>
      </c>
      <c r="J704" t="str">
        <f t="shared" si="265"/>
        <v>Hipercaloricos</v>
      </c>
      <c r="K704">
        <v>2</v>
      </c>
      <c r="L704">
        <f t="shared" si="266"/>
        <v>1</v>
      </c>
      <c r="M704" t="str">
        <f t="shared" si="267"/>
        <v>Suele comer</v>
      </c>
      <c r="N704">
        <v>4</v>
      </c>
      <c r="O704">
        <f t="shared" si="268"/>
        <v>2</v>
      </c>
      <c r="P704" t="str">
        <f t="shared" si="269"/>
        <v>Mas de 3</v>
      </c>
      <c r="Q704">
        <v>1</v>
      </c>
      <c r="R704" t="str">
        <f t="shared" si="270"/>
        <v>A veces</v>
      </c>
      <c r="S704">
        <v>0</v>
      </c>
      <c r="T704" t="str">
        <f t="shared" si="271"/>
        <v>No fuma</v>
      </c>
      <c r="U704">
        <v>2542415</v>
      </c>
      <c r="V704">
        <f t="shared" si="272"/>
        <v>2</v>
      </c>
      <c r="W704" t="str">
        <f t="shared" si="273"/>
        <v>Siempre</v>
      </c>
      <c r="X704">
        <v>0</v>
      </c>
      <c r="Y704" t="str">
        <f t="shared" si="274"/>
        <v>No controla</v>
      </c>
      <c r="Z704">
        <v>2</v>
      </c>
      <c r="AA704">
        <f t="shared" si="275"/>
        <v>2</v>
      </c>
      <c r="AB704" t="str">
        <f t="shared" si="276"/>
        <v>Usualmente</v>
      </c>
      <c r="AC704">
        <v>1807465</v>
      </c>
      <c r="AD704">
        <f t="shared" si="277"/>
        <v>2</v>
      </c>
      <c r="AE704" t="str">
        <f t="shared" si="278"/>
        <v>Siempre</v>
      </c>
      <c r="AF704">
        <v>0</v>
      </c>
      <c r="AG704" t="str">
        <f t="shared" si="279"/>
        <v>Nunca</v>
      </c>
      <c r="AH704">
        <v>1</v>
      </c>
      <c r="AI704" t="str">
        <f t="shared" si="280"/>
        <v>Usa auto</v>
      </c>
      <c r="AJ704">
        <v>0</v>
      </c>
      <c r="AK704" t="str">
        <f t="shared" si="281"/>
        <v>No usa</v>
      </c>
      <c r="AL704">
        <v>0</v>
      </c>
      <c r="AM704" t="str">
        <f t="shared" si="282"/>
        <v>No usa</v>
      </c>
      <c r="AN704">
        <v>0</v>
      </c>
      <c r="AO704" t="str">
        <f t="shared" si="283"/>
        <v>No usa</v>
      </c>
      <c r="AP704">
        <v>0</v>
      </c>
      <c r="AQ704" t="str">
        <f t="shared" si="284"/>
        <v>No camina</v>
      </c>
      <c r="AR704">
        <v>0</v>
      </c>
      <c r="AS704" t="str">
        <f t="shared" si="285"/>
        <v>No es obeso</v>
      </c>
    </row>
    <row r="705" spans="1:45" x14ac:dyDescent="0.25">
      <c r="A705">
        <v>0</v>
      </c>
      <c r="B705" t="str">
        <f t="shared" si="260"/>
        <v>F</v>
      </c>
      <c r="C705">
        <v>22935612</v>
      </c>
      <c r="D705">
        <f t="shared" si="261"/>
        <v>62</v>
      </c>
      <c r="E705">
        <f t="shared" si="262"/>
        <v>62</v>
      </c>
      <c r="F705" t="str">
        <f t="shared" si="263"/>
        <v>50-75</v>
      </c>
      <c r="G705">
        <v>1</v>
      </c>
      <c r="H705" t="str">
        <f t="shared" si="264"/>
        <v>Pariente gordo</v>
      </c>
      <c r="I705">
        <v>1</v>
      </c>
      <c r="J705" t="str">
        <f t="shared" si="265"/>
        <v>Hipercaloricos</v>
      </c>
      <c r="K705">
        <v>3</v>
      </c>
      <c r="L705">
        <f t="shared" si="266"/>
        <v>1</v>
      </c>
      <c r="M705" t="str">
        <f t="shared" si="267"/>
        <v>Suele comer</v>
      </c>
      <c r="N705">
        <v>3</v>
      </c>
      <c r="O705">
        <f t="shared" si="268"/>
        <v>2</v>
      </c>
      <c r="P705" t="str">
        <f t="shared" si="269"/>
        <v>Mas de 3</v>
      </c>
      <c r="Q705">
        <v>2</v>
      </c>
      <c r="R705" t="str">
        <f t="shared" si="270"/>
        <v>Usualmente</v>
      </c>
      <c r="S705">
        <v>0</v>
      </c>
      <c r="T705" t="str">
        <f t="shared" si="271"/>
        <v>No fuma</v>
      </c>
      <c r="U705">
        <v>200357</v>
      </c>
      <c r="V705">
        <f t="shared" si="272"/>
        <v>2</v>
      </c>
      <c r="W705" t="str">
        <f t="shared" si="273"/>
        <v>Siempre</v>
      </c>
      <c r="X705">
        <v>0</v>
      </c>
      <c r="Y705" t="str">
        <f t="shared" si="274"/>
        <v>No controla</v>
      </c>
      <c r="Z705">
        <v>125955</v>
      </c>
      <c r="AA705">
        <f t="shared" si="275"/>
        <v>2</v>
      </c>
      <c r="AB705" t="str">
        <f t="shared" si="276"/>
        <v>Usualmente</v>
      </c>
      <c r="AC705">
        <v>0.41711599999999999</v>
      </c>
      <c r="AD705">
        <f t="shared" si="277"/>
        <v>0</v>
      </c>
      <c r="AE705" t="str">
        <f t="shared" si="278"/>
        <v>Nunca</v>
      </c>
      <c r="AF705">
        <v>0</v>
      </c>
      <c r="AG705" t="str">
        <f t="shared" si="279"/>
        <v>Nunca</v>
      </c>
      <c r="AH705">
        <v>0</v>
      </c>
      <c r="AI705" t="str">
        <f t="shared" si="280"/>
        <v>No usa</v>
      </c>
      <c r="AJ705">
        <v>0</v>
      </c>
      <c r="AK705" t="str">
        <f t="shared" si="281"/>
        <v>No usa</v>
      </c>
      <c r="AL705">
        <v>0</v>
      </c>
      <c r="AM705" t="str">
        <f t="shared" si="282"/>
        <v>No usa</v>
      </c>
      <c r="AN705">
        <v>1</v>
      </c>
      <c r="AO705" t="str">
        <f t="shared" si="283"/>
        <v>Usa Transporte</v>
      </c>
      <c r="AP705">
        <v>0</v>
      </c>
      <c r="AQ705" t="str">
        <f t="shared" si="284"/>
        <v>No camina</v>
      </c>
      <c r="AR705">
        <v>0</v>
      </c>
      <c r="AS705" t="str">
        <f t="shared" si="285"/>
        <v>No es obeso</v>
      </c>
    </row>
    <row r="706" spans="1:45" x14ac:dyDescent="0.25">
      <c r="A706">
        <v>1</v>
      </c>
      <c r="B706" t="str">
        <f t="shared" si="260"/>
        <v>M</v>
      </c>
      <c r="C706">
        <v>20738469</v>
      </c>
      <c r="D706">
        <f t="shared" si="261"/>
        <v>56</v>
      </c>
      <c r="E706">
        <f t="shared" si="262"/>
        <v>56</v>
      </c>
      <c r="F706" t="str">
        <f t="shared" si="263"/>
        <v>50-75</v>
      </c>
      <c r="G706">
        <v>1</v>
      </c>
      <c r="H706" t="str">
        <f t="shared" si="264"/>
        <v>Pariente gordo</v>
      </c>
      <c r="I706">
        <v>1</v>
      </c>
      <c r="J706" t="str">
        <f t="shared" si="265"/>
        <v>Hipercaloricos</v>
      </c>
      <c r="K706">
        <v>2627031</v>
      </c>
      <c r="L706">
        <f t="shared" si="266"/>
        <v>1</v>
      </c>
      <c r="M706" t="str">
        <f t="shared" si="267"/>
        <v>Suele comer</v>
      </c>
      <c r="N706">
        <v>3832911</v>
      </c>
      <c r="O706">
        <f t="shared" si="268"/>
        <v>2</v>
      </c>
      <c r="P706" t="str">
        <f t="shared" si="269"/>
        <v>Mas de 3</v>
      </c>
      <c r="Q706">
        <v>1</v>
      </c>
      <c r="R706" t="str">
        <f t="shared" si="270"/>
        <v>A veces</v>
      </c>
      <c r="S706">
        <v>0</v>
      </c>
      <c r="T706" t="str">
        <f t="shared" si="271"/>
        <v>No fuma</v>
      </c>
      <c r="U706">
        <v>2993448</v>
      </c>
      <c r="V706">
        <f t="shared" si="272"/>
        <v>2</v>
      </c>
      <c r="W706" t="str">
        <f t="shared" si="273"/>
        <v>Siempre</v>
      </c>
      <c r="X706">
        <v>0</v>
      </c>
      <c r="Y706" t="str">
        <f t="shared" si="274"/>
        <v>No controla</v>
      </c>
      <c r="Z706">
        <v>2</v>
      </c>
      <c r="AA706">
        <f t="shared" si="275"/>
        <v>2</v>
      </c>
      <c r="AB706" t="str">
        <f t="shared" si="276"/>
        <v>Usualmente</v>
      </c>
      <c r="AC706">
        <v>1425903</v>
      </c>
      <c r="AD706">
        <f t="shared" si="277"/>
        <v>2</v>
      </c>
      <c r="AE706" t="str">
        <f t="shared" si="278"/>
        <v>Siempre</v>
      </c>
      <c r="AF706">
        <v>0</v>
      </c>
      <c r="AG706" t="str">
        <f t="shared" si="279"/>
        <v>Nunca</v>
      </c>
      <c r="AH706">
        <v>0</v>
      </c>
      <c r="AI706" t="str">
        <f t="shared" si="280"/>
        <v>No usa</v>
      </c>
      <c r="AJ706">
        <v>0</v>
      </c>
      <c r="AK706" t="str">
        <f t="shared" si="281"/>
        <v>No usa</v>
      </c>
      <c r="AL706">
        <v>0</v>
      </c>
      <c r="AM706" t="str">
        <f t="shared" si="282"/>
        <v>No usa</v>
      </c>
      <c r="AN706">
        <v>1</v>
      </c>
      <c r="AO706" t="str">
        <f t="shared" si="283"/>
        <v>Usa Transporte</v>
      </c>
      <c r="AP706">
        <v>0</v>
      </c>
      <c r="AQ706" t="str">
        <f t="shared" si="284"/>
        <v>No camina</v>
      </c>
      <c r="AR706">
        <v>0</v>
      </c>
      <c r="AS706" t="str">
        <f t="shared" si="285"/>
        <v>No es obeso</v>
      </c>
    </row>
    <row r="707" spans="1:45" x14ac:dyDescent="0.25">
      <c r="A707">
        <v>0</v>
      </c>
      <c r="B707" t="str">
        <f t="shared" ref="B707:B770" si="286">IF(A707=1,"M","F")</f>
        <v>F</v>
      </c>
      <c r="C707">
        <v>2299368</v>
      </c>
      <c r="D707">
        <f t="shared" ref="D707:D770" si="287">IF(C707&lt;100,C707,ROUNDDOWN((C707/1000)/365,0))</f>
        <v>6</v>
      </c>
      <c r="E707">
        <f t="shared" ref="E707:E770" si="288">IF(AND(D707&gt;1,D707&lt;=100),D707,IF(D707&gt;100,100,5))</f>
        <v>6</v>
      </c>
      <c r="F707" t="str">
        <f t="shared" ref="F707:F770" si="289">IF(AND(E707&gt;=1,E707&lt;=25),"1-25",IF(AND(E707&gt;25,E707&lt;=50),"25-50",IF(AND(E707&gt;50,E707&lt;=75),"50-75","75-100")))</f>
        <v>1-25</v>
      </c>
      <c r="G707">
        <v>1</v>
      </c>
      <c r="H707" t="str">
        <f t="shared" ref="H707:H770" si="290">IF(G707=1,"Pariente gordo","Pariente normal")</f>
        <v>Pariente gordo</v>
      </c>
      <c r="I707">
        <v>1</v>
      </c>
      <c r="J707" t="str">
        <f t="shared" ref="J707:J770" si="291">IF(I707=1,"Hipercaloricos","Saludables")</f>
        <v>Hipercaloricos</v>
      </c>
      <c r="K707">
        <v>3</v>
      </c>
      <c r="L707">
        <f t="shared" ref="L707:L770" si="292">IF(AND(K707&gt;=1,K707&lt;=3),1,IF(AND(K707&gt;3,K707&lt;3000000),1))</f>
        <v>1</v>
      </c>
      <c r="M707" t="str">
        <f t="shared" ref="M707:M770" si="293">IF(L707=1,"Suele comer","No come")</f>
        <v>Suele comer</v>
      </c>
      <c r="N707">
        <v>3</v>
      </c>
      <c r="O707">
        <f t="shared" ref="O707:O770" si="294">IF(N707=1,N707,IF(AND(N707&gt;=2,N707&lt;4000000),2))</f>
        <v>2</v>
      </c>
      <c r="P707" t="str">
        <f t="shared" ref="P707:P770" si="295">IF(O707=0,"1-2",IF(O707=1,3,"Mas de 3"))</f>
        <v>Mas de 3</v>
      </c>
      <c r="Q707">
        <v>2</v>
      </c>
      <c r="R707" t="str">
        <f t="shared" ref="R707:R770" si="296">IF(Q707=0,"Nunca",IF(Q707=1,"A veces",IF(Q707=2,"Usualmente","Siempre")))</f>
        <v>Usualmente</v>
      </c>
      <c r="S707">
        <v>0</v>
      </c>
      <c r="T707" t="str">
        <f t="shared" ref="T707:T770" si="297">IF(S707=1,"Fuma","No fuma")</f>
        <v>No fuma</v>
      </c>
      <c r="U707">
        <v>2009796</v>
      </c>
      <c r="V707">
        <f t="shared" ref="V707:V770" si="298">IF(U707=1,U707,IF(U707=2,U707,IF(AND(U707&gt;=3,U707&lt;3000000),2)))</f>
        <v>2</v>
      </c>
      <c r="W707" t="str">
        <f t="shared" ref="W707:W770" si="299">IF(V707=0,"Nunca",IF(V707=1,"Usualmente","Siempre"))</f>
        <v>Siempre</v>
      </c>
      <c r="X707">
        <v>0</v>
      </c>
      <c r="Y707" t="str">
        <f t="shared" ref="Y707:Y770" si="300">IF(X707=1,"Controla","No controla")</f>
        <v>No controla</v>
      </c>
      <c r="Z707">
        <v>2</v>
      </c>
      <c r="AA707">
        <f t="shared" ref="AA707:AA770" si="301">IF(Z707=0,Z707,IF(Z707=1,Z707,IF(Z707=2,Z707,IF(Z707=3,Z707,IF(AND(Z707&gt;3,Z707&lt;300000),2,IF(AND(Z707&gt;300000,Z707&lt;3000000),3,IF(AND(Z707&gt;0,Z707&lt;1),0)))))))</f>
        <v>2</v>
      </c>
      <c r="AB707" t="str">
        <f t="shared" ref="AB707:AB770" si="302">IF(AA707=0,"Nunca",IF(AA707=1,"A veces",IF(AA707=2,"Usualmente","Siempre")))</f>
        <v>Usualmente</v>
      </c>
      <c r="AC707">
        <v>7.1317000000000005E-2</v>
      </c>
      <c r="AD707">
        <f t="shared" ref="AD707:AD770" si="303">IF(AC707= 0,AC707,IF(AC707=1,AC707,IF(AC707=2,AC707,IF(AND(AC707&gt;2,AC707&lt;200000),1,IF(AND(AC707&gt;200000,AC707&lt;2000000),2,IF(AND(AC707&gt;0,AC707&lt;1),0))))))</f>
        <v>0</v>
      </c>
      <c r="AE707" t="str">
        <f t="shared" ref="AE707:AE770" si="304">IF(AD707=0,"Nunca",IF(AD707=1,"Usualmente","Siempre"))</f>
        <v>Nunca</v>
      </c>
      <c r="AF707">
        <v>0</v>
      </c>
      <c r="AG707" t="str">
        <f t="shared" ref="AG707:AG770" si="305">IF(AF707=0,"Nunca",IF(AF707=1,"A veces",IF(AF707=2,"Usualmente","Siempre")))</f>
        <v>Nunca</v>
      </c>
      <c r="AH707">
        <v>0</v>
      </c>
      <c r="AI707" t="str">
        <f t="shared" ref="AI707:AI770" si="306">IF(AH707=1,"Usa auto","No usa")</f>
        <v>No usa</v>
      </c>
      <c r="AJ707">
        <v>0</v>
      </c>
      <c r="AK707" t="str">
        <f t="shared" ref="AK707:AK770" si="307">IF(AJ707=1,"Usa Bici","No usa")</f>
        <v>No usa</v>
      </c>
      <c r="AL707">
        <v>0</v>
      </c>
      <c r="AM707" t="str">
        <f t="shared" ref="AM707:AM770" si="308">IF(AL707=1,"Usa Moto","No usa")</f>
        <v>No usa</v>
      </c>
      <c r="AN707">
        <v>1</v>
      </c>
      <c r="AO707" t="str">
        <f t="shared" ref="AO707:AO770" si="309">IF(AN707=1,"Usa Transporte","No usa")</f>
        <v>Usa Transporte</v>
      </c>
      <c r="AP707">
        <v>0</v>
      </c>
      <c r="AQ707" t="str">
        <f t="shared" ref="AQ707:AQ770" si="310">IF(AP707=1,"Camina","No camina")</f>
        <v>No camina</v>
      </c>
      <c r="AR707">
        <v>0</v>
      </c>
      <c r="AS707" t="str">
        <f t="shared" ref="AS707:AS770" si="311">IF(AR707=1,"Es Obeso","No es obeso")</f>
        <v>No es obeso</v>
      </c>
    </row>
    <row r="708" spans="1:45" x14ac:dyDescent="0.25">
      <c r="A708">
        <v>0</v>
      </c>
      <c r="B708" t="str">
        <f t="shared" si="286"/>
        <v>F</v>
      </c>
      <c r="C708">
        <v>19317148</v>
      </c>
      <c r="D708">
        <f t="shared" si="287"/>
        <v>52</v>
      </c>
      <c r="E708">
        <f t="shared" si="288"/>
        <v>52</v>
      </c>
      <c r="F708" t="str">
        <f t="shared" si="289"/>
        <v>50-75</v>
      </c>
      <c r="G708">
        <v>0</v>
      </c>
      <c r="H708" t="str">
        <f t="shared" si="290"/>
        <v>Pariente normal</v>
      </c>
      <c r="I708">
        <v>1</v>
      </c>
      <c r="J708" t="str">
        <f t="shared" si="291"/>
        <v>Hipercaloricos</v>
      </c>
      <c r="K708">
        <v>2919751</v>
      </c>
      <c r="L708">
        <f t="shared" si="292"/>
        <v>1</v>
      </c>
      <c r="M708" t="str">
        <f t="shared" si="293"/>
        <v>Suele comer</v>
      </c>
      <c r="N708">
        <v>3576103</v>
      </c>
      <c r="O708">
        <f t="shared" si="294"/>
        <v>2</v>
      </c>
      <c r="P708" t="str">
        <f t="shared" si="295"/>
        <v>Mas de 3</v>
      </c>
      <c r="Q708">
        <v>1</v>
      </c>
      <c r="R708" t="str">
        <f t="shared" si="296"/>
        <v>A veces</v>
      </c>
      <c r="S708">
        <v>0</v>
      </c>
      <c r="T708" t="str">
        <f t="shared" si="297"/>
        <v>No fuma</v>
      </c>
      <c r="U708">
        <v>1949308</v>
      </c>
      <c r="V708">
        <f t="shared" si="298"/>
        <v>2</v>
      </c>
      <c r="W708" t="str">
        <f t="shared" si="299"/>
        <v>Siempre</v>
      </c>
      <c r="X708">
        <v>0</v>
      </c>
      <c r="Y708" t="str">
        <f t="shared" si="300"/>
        <v>No controla</v>
      </c>
      <c r="Z708">
        <v>1940182</v>
      </c>
      <c r="AA708">
        <f t="shared" si="301"/>
        <v>3</v>
      </c>
      <c r="AB708" t="str">
        <f t="shared" si="302"/>
        <v>Siempre</v>
      </c>
      <c r="AC708">
        <v>1</v>
      </c>
      <c r="AD708">
        <f t="shared" si="303"/>
        <v>1</v>
      </c>
      <c r="AE708" t="str">
        <f t="shared" si="304"/>
        <v>Usualmente</v>
      </c>
      <c r="AF708">
        <v>1</v>
      </c>
      <c r="AG708" t="str">
        <f t="shared" si="305"/>
        <v>A veces</v>
      </c>
      <c r="AH708">
        <v>0</v>
      </c>
      <c r="AI708" t="str">
        <f t="shared" si="306"/>
        <v>No usa</v>
      </c>
      <c r="AJ708">
        <v>0</v>
      </c>
      <c r="AK708" t="str">
        <f t="shared" si="307"/>
        <v>No usa</v>
      </c>
      <c r="AL708">
        <v>0</v>
      </c>
      <c r="AM708" t="str">
        <f t="shared" si="308"/>
        <v>No usa</v>
      </c>
      <c r="AN708">
        <v>1</v>
      </c>
      <c r="AO708" t="str">
        <f t="shared" si="309"/>
        <v>Usa Transporte</v>
      </c>
      <c r="AP708">
        <v>0</v>
      </c>
      <c r="AQ708" t="str">
        <f t="shared" si="310"/>
        <v>No camina</v>
      </c>
      <c r="AR708">
        <v>0</v>
      </c>
      <c r="AS708" t="str">
        <f t="shared" si="311"/>
        <v>No es obeso</v>
      </c>
    </row>
    <row r="709" spans="1:45" x14ac:dyDescent="0.25">
      <c r="A709">
        <v>0</v>
      </c>
      <c r="B709" t="str">
        <f t="shared" si="286"/>
        <v>F</v>
      </c>
      <c r="C709">
        <v>16910997</v>
      </c>
      <c r="D709">
        <f t="shared" si="287"/>
        <v>46</v>
      </c>
      <c r="E709">
        <f t="shared" si="288"/>
        <v>46</v>
      </c>
      <c r="F709" t="str">
        <f t="shared" si="289"/>
        <v>25-50</v>
      </c>
      <c r="G709">
        <v>0</v>
      </c>
      <c r="H709" t="str">
        <f t="shared" si="290"/>
        <v>Pariente normal</v>
      </c>
      <c r="I709">
        <v>1</v>
      </c>
      <c r="J709" t="str">
        <f t="shared" si="291"/>
        <v>Hipercaloricos</v>
      </c>
      <c r="K709">
        <v>2494451</v>
      </c>
      <c r="L709">
        <f t="shared" si="292"/>
        <v>1</v>
      </c>
      <c r="M709" t="str">
        <f t="shared" si="293"/>
        <v>Suele comer</v>
      </c>
      <c r="N709">
        <v>356544</v>
      </c>
      <c r="O709">
        <f t="shared" si="294"/>
        <v>2</v>
      </c>
      <c r="P709" t="str">
        <f t="shared" si="295"/>
        <v>Mas de 3</v>
      </c>
      <c r="Q709">
        <v>1</v>
      </c>
      <c r="R709" t="str">
        <f t="shared" si="296"/>
        <v>A veces</v>
      </c>
      <c r="S709">
        <v>0</v>
      </c>
      <c r="T709" t="str">
        <f t="shared" si="297"/>
        <v>No fuma</v>
      </c>
      <c r="U709">
        <v>1491268</v>
      </c>
      <c r="V709">
        <f t="shared" si="298"/>
        <v>2</v>
      </c>
      <c r="W709" t="str">
        <f t="shared" si="299"/>
        <v>Siempre</v>
      </c>
      <c r="X709">
        <v>0</v>
      </c>
      <c r="Y709" t="str">
        <f t="shared" si="300"/>
        <v>No controla</v>
      </c>
      <c r="Z709">
        <v>1951027</v>
      </c>
      <c r="AA709">
        <f t="shared" si="301"/>
        <v>3</v>
      </c>
      <c r="AB709" t="str">
        <f t="shared" si="302"/>
        <v>Siempre</v>
      </c>
      <c r="AC709">
        <v>0.95620400000000005</v>
      </c>
      <c r="AD709">
        <f t="shared" si="303"/>
        <v>0</v>
      </c>
      <c r="AE709" t="str">
        <f t="shared" si="304"/>
        <v>Nunca</v>
      </c>
      <c r="AF709">
        <v>1</v>
      </c>
      <c r="AG709" t="str">
        <f t="shared" si="305"/>
        <v>A veces</v>
      </c>
      <c r="AH709">
        <v>0</v>
      </c>
      <c r="AI709" t="str">
        <f t="shared" si="306"/>
        <v>No usa</v>
      </c>
      <c r="AJ709">
        <v>0</v>
      </c>
      <c r="AK709" t="str">
        <f t="shared" si="307"/>
        <v>No usa</v>
      </c>
      <c r="AL709">
        <v>0</v>
      </c>
      <c r="AM709" t="str">
        <f t="shared" si="308"/>
        <v>No usa</v>
      </c>
      <c r="AN709">
        <v>1</v>
      </c>
      <c r="AO709" t="str">
        <f t="shared" si="309"/>
        <v>Usa Transporte</v>
      </c>
      <c r="AP709">
        <v>0</v>
      </c>
      <c r="AQ709" t="str">
        <f t="shared" si="310"/>
        <v>No camina</v>
      </c>
      <c r="AR709">
        <v>0</v>
      </c>
      <c r="AS709" t="str">
        <f t="shared" si="311"/>
        <v>No es obeso</v>
      </c>
    </row>
    <row r="710" spans="1:45" x14ac:dyDescent="0.25">
      <c r="A710">
        <v>0</v>
      </c>
      <c r="B710" t="str">
        <f t="shared" si="286"/>
        <v>F</v>
      </c>
      <c r="C710">
        <v>19071027</v>
      </c>
      <c r="D710">
        <f t="shared" si="287"/>
        <v>52</v>
      </c>
      <c r="E710">
        <f t="shared" si="288"/>
        <v>52</v>
      </c>
      <c r="F710" t="str">
        <f t="shared" si="289"/>
        <v>50-75</v>
      </c>
      <c r="G710">
        <v>0</v>
      </c>
      <c r="H710" t="str">
        <f t="shared" si="290"/>
        <v>Pariente normal</v>
      </c>
      <c r="I710">
        <v>1</v>
      </c>
      <c r="J710" t="str">
        <f t="shared" si="291"/>
        <v>Hipercaloricos</v>
      </c>
      <c r="K710">
        <v>169427</v>
      </c>
      <c r="L710">
        <f t="shared" si="292"/>
        <v>1</v>
      </c>
      <c r="M710" t="str">
        <f t="shared" si="293"/>
        <v>Suele comer</v>
      </c>
      <c r="N710">
        <v>3266644</v>
      </c>
      <c r="O710">
        <f t="shared" si="294"/>
        <v>2</v>
      </c>
      <c r="P710" t="str">
        <f t="shared" si="295"/>
        <v>Mas de 3</v>
      </c>
      <c r="Q710">
        <v>1</v>
      </c>
      <c r="R710" t="str">
        <f t="shared" si="296"/>
        <v>A veces</v>
      </c>
      <c r="S710">
        <v>0</v>
      </c>
      <c r="T710" t="str">
        <f t="shared" si="297"/>
        <v>No fuma</v>
      </c>
      <c r="U710">
        <v>1095417</v>
      </c>
      <c r="V710">
        <f t="shared" si="298"/>
        <v>2</v>
      </c>
      <c r="W710" t="str">
        <f t="shared" si="299"/>
        <v>Siempre</v>
      </c>
      <c r="X710">
        <v>0</v>
      </c>
      <c r="Y710" t="str">
        <f t="shared" si="300"/>
        <v>No controla</v>
      </c>
      <c r="Z710">
        <v>2</v>
      </c>
      <c r="AA710">
        <f t="shared" si="301"/>
        <v>2</v>
      </c>
      <c r="AB710" t="str">
        <f t="shared" si="302"/>
        <v>Usualmente</v>
      </c>
      <c r="AC710">
        <v>1</v>
      </c>
      <c r="AD710">
        <f t="shared" si="303"/>
        <v>1</v>
      </c>
      <c r="AE710" t="str">
        <f t="shared" si="304"/>
        <v>Usualmente</v>
      </c>
      <c r="AF710">
        <v>1</v>
      </c>
      <c r="AG710" t="str">
        <f t="shared" si="305"/>
        <v>A veces</v>
      </c>
      <c r="AH710">
        <v>0</v>
      </c>
      <c r="AI710" t="str">
        <f t="shared" si="306"/>
        <v>No usa</v>
      </c>
      <c r="AJ710">
        <v>0</v>
      </c>
      <c r="AK710" t="str">
        <f t="shared" si="307"/>
        <v>No usa</v>
      </c>
      <c r="AL710">
        <v>0</v>
      </c>
      <c r="AM710" t="str">
        <f t="shared" si="308"/>
        <v>No usa</v>
      </c>
      <c r="AN710">
        <v>1</v>
      </c>
      <c r="AO710" t="str">
        <f t="shared" si="309"/>
        <v>Usa Transporte</v>
      </c>
      <c r="AP710">
        <v>0</v>
      </c>
      <c r="AQ710" t="str">
        <f t="shared" si="310"/>
        <v>No camina</v>
      </c>
      <c r="AR710">
        <v>0</v>
      </c>
      <c r="AS710" t="str">
        <f t="shared" si="311"/>
        <v>No es obeso</v>
      </c>
    </row>
    <row r="711" spans="1:45" x14ac:dyDescent="0.25">
      <c r="A711">
        <v>0</v>
      </c>
      <c r="B711" t="str">
        <f t="shared" si="286"/>
        <v>F</v>
      </c>
      <c r="C711">
        <v>18019572</v>
      </c>
      <c r="D711">
        <f t="shared" si="287"/>
        <v>49</v>
      </c>
      <c r="E711">
        <f t="shared" si="288"/>
        <v>49</v>
      </c>
      <c r="F711" t="str">
        <f t="shared" si="289"/>
        <v>25-50</v>
      </c>
      <c r="G711">
        <v>0</v>
      </c>
      <c r="H711" t="str">
        <f t="shared" si="290"/>
        <v>Pariente normal</v>
      </c>
      <c r="I711">
        <v>1</v>
      </c>
      <c r="J711" t="str">
        <f t="shared" si="291"/>
        <v>Hipercaloricos</v>
      </c>
      <c r="K711">
        <v>1601236</v>
      </c>
      <c r="L711">
        <f t="shared" si="292"/>
        <v>1</v>
      </c>
      <c r="M711" t="str">
        <f t="shared" si="293"/>
        <v>Suele comer</v>
      </c>
      <c r="N711">
        <v>3433908</v>
      </c>
      <c r="O711">
        <f t="shared" si="294"/>
        <v>2</v>
      </c>
      <c r="P711" t="str">
        <f t="shared" si="295"/>
        <v>Mas de 3</v>
      </c>
      <c r="Q711">
        <v>1</v>
      </c>
      <c r="R711" t="str">
        <f t="shared" si="296"/>
        <v>A veces</v>
      </c>
      <c r="S711">
        <v>0</v>
      </c>
      <c r="T711" t="str">
        <f t="shared" si="297"/>
        <v>No fuma</v>
      </c>
      <c r="U711">
        <v>1055019</v>
      </c>
      <c r="V711">
        <f t="shared" si="298"/>
        <v>2</v>
      </c>
      <c r="W711" t="str">
        <f t="shared" si="299"/>
        <v>Siempre</v>
      </c>
      <c r="X711">
        <v>0</v>
      </c>
      <c r="Y711" t="str">
        <f t="shared" si="300"/>
        <v>No controla</v>
      </c>
      <c r="Z711">
        <v>0.81926900000000002</v>
      </c>
      <c r="AA711">
        <f t="shared" si="301"/>
        <v>0</v>
      </c>
      <c r="AB711" t="str">
        <f t="shared" si="302"/>
        <v>Nunca</v>
      </c>
      <c r="AC711">
        <v>1030848</v>
      </c>
      <c r="AD711">
        <f t="shared" si="303"/>
        <v>2</v>
      </c>
      <c r="AE711" t="str">
        <f t="shared" si="304"/>
        <v>Siempre</v>
      </c>
      <c r="AF711">
        <v>1</v>
      </c>
      <c r="AG711" t="str">
        <f t="shared" si="305"/>
        <v>A veces</v>
      </c>
      <c r="AH711">
        <v>0</v>
      </c>
      <c r="AI711" t="str">
        <f t="shared" si="306"/>
        <v>No usa</v>
      </c>
      <c r="AJ711">
        <v>0</v>
      </c>
      <c r="AK711" t="str">
        <f t="shared" si="307"/>
        <v>No usa</v>
      </c>
      <c r="AL711">
        <v>0</v>
      </c>
      <c r="AM711" t="str">
        <f t="shared" si="308"/>
        <v>No usa</v>
      </c>
      <c r="AN711">
        <v>1</v>
      </c>
      <c r="AO711" t="str">
        <f t="shared" si="309"/>
        <v>Usa Transporte</v>
      </c>
      <c r="AP711">
        <v>0</v>
      </c>
      <c r="AQ711" t="str">
        <f t="shared" si="310"/>
        <v>No camina</v>
      </c>
      <c r="AR711">
        <v>0</v>
      </c>
      <c r="AS711" t="str">
        <f t="shared" si="311"/>
        <v>No es obeso</v>
      </c>
    </row>
    <row r="712" spans="1:45" x14ac:dyDescent="0.25">
      <c r="A712">
        <v>0</v>
      </c>
      <c r="B712" t="str">
        <f t="shared" si="286"/>
        <v>F</v>
      </c>
      <c r="C712">
        <v>19735968</v>
      </c>
      <c r="D712">
        <f t="shared" si="287"/>
        <v>54</v>
      </c>
      <c r="E712">
        <f t="shared" si="288"/>
        <v>54</v>
      </c>
      <c r="F712" t="str">
        <f t="shared" si="289"/>
        <v>50-75</v>
      </c>
      <c r="G712">
        <v>0</v>
      </c>
      <c r="H712" t="str">
        <f t="shared" si="290"/>
        <v>Pariente normal</v>
      </c>
      <c r="I712">
        <v>1</v>
      </c>
      <c r="J712" t="str">
        <f t="shared" si="291"/>
        <v>Hipercaloricos</v>
      </c>
      <c r="K712">
        <v>1204855</v>
      </c>
      <c r="L712">
        <f t="shared" si="292"/>
        <v>1</v>
      </c>
      <c r="M712" t="str">
        <f t="shared" si="293"/>
        <v>Suele comer</v>
      </c>
      <c r="N712">
        <v>3531038</v>
      </c>
      <c r="O712">
        <f t="shared" si="294"/>
        <v>2</v>
      </c>
      <c r="P712" t="str">
        <f t="shared" si="295"/>
        <v>Mas de 3</v>
      </c>
      <c r="Q712">
        <v>1</v>
      </c>
      <c r="R712" t="str">
        <f t="shared" si="296"/>
        <v>A veces</v>
      </c>
      <c r="S712">
        <v>0</v>
      </c>
      <c r="T712" t="str">
        <f t="shared" si="297"/>
        <v>No fuma</v>
      </c>
      <c r="U712">
        <v>1134658</v>
      </c>
      <c r="V712">
        <f t="shared" si="298"/>
        <v>2</v>
      </c>
      <c r="W712" t="str">
        <f t="shared" si="299"/>
        <v>Siempre</v>
      </c>
      <c r="X712">
        <v>0</v>
      </c>
      <c r="Y712" t="str">
        <f t="shared" si="300"/>
        <v>No controla</v>
      </c>
      <c r="Z712">
        <v>2</v>
      </c>
      <c r="AA712">
        <f t="shared" si="301"/>
        <v>2</v>
      </c>
      <c r="AB712" t="str">
        <f t="shared" si="302"/>
        <v>Usualmente</v>
      </c>
      <c r="AC712">
        <v>1</v>
      </c>
      <c r="AD712">
        <f t="shared" si="303"/>
        <v>1</v>
      </c>
      <c r="AE712" t="str">
        <f t="shared" si="304"/>
        <v>Usualmente</v>
      </c>
      <c r="AF712">
        <v>1</v>
      </c>
      <c r="AG712" t="str">
        <f t="shared" si="305"/>
        <v>A veces</v>
      </c>
      <c r="AH712">
        <v>0</v>
      </c>
      <c r="AI712" t="str">
        <f t="shared" si="306"/>
        <v>No usa</v>
      </c>
      <c r="AJ712">
        <v>0</v>
      </c>
      <c r="AK712" t="str">
        <f t="shared" si="307"/>
        <v>No usa</v>
      </c>
      <c r="AL712">
        <v>0</v>
      </c>
      <c r="AM712" t="str">
        <f t="shared" si="308"/>
        <v>No usa</v>
      </c>
      <c r="AN712">
        <v>1</v>
      </c>
      <c r="AO712" t="str">
        <f t="shared" si="309"/>
        <v>Usa Transporte</v>
      </c>
      <c r="AP712">
        <v>0</v>
      </c>
      <c r="AQ712" t="str">
        <f t="shared" si="310"/>
        <v>No camina</v>
      </c>
      <c r="AR712">
        <v>0</v>
      </c>
      <c r="AS712" t="str">
        <f t="shared" si="311"/>
        <v>No es obeso</v>
      </c>
    </row>
    <row r="713" spans="1:45" x14ac:dyDescent="0.25">
      <c r="A713">
        <v>0</v>
      </c>
      <c r="B713" t="str">
        <f t="shared" si="286"/>
        <v>F</v>
      </c>
      <c r="C713">
        <v>18094079</v>
      </c>
      <c r="D713">
        <f t="shared" si="287"/>
        <v>49</v>
      </c>
      <c r="E713">
        <f t="shared" si="288"/>
        <v>49</v>
      </c>
      <c r="F713" t="str">
        <f t="shared" si="289"/>
        <v>25-50</v>
      </c>
      <c r="G713">
        <v>0</v>
      </c>
      <c r="H713" t="str">
        <f t="shared" si="290"/>
        <v>Pariente normal</v>
      </c>
      <c r="I713">
        <v>1</v>
      </c>
      <c r="J713" t="str">
        <f t="shared" si="291"/>
        <v>Hipercaloricos</v>
      </c>
      <c r="K713">
        <v>1052699</v>
      </c>
      <c r="L713">
        <f t="shared" si="292"/>
        <v>1</v>
      </c>
      <c r="M713" t="str">
        <f t="shared" si="293"/>
        <v>Suele comer</v>
      </c>
      <c r="N713">
        <v>3998618</v>
      </c>
      <c r="O713">
        <f t="shared" si="294"/>
        <v>2</v>
      </c>
      <c r="P713" t="str">
        <f t="shared" si="295"/>
        <v>Mas de 3</v>
      </c>
      <c r="Q713">
        <v>2</v>
      </c>
      <c r="R713" t="str">
        <f t="shared" si="296"/>
        <v>Usualmente</v>
      </c>
      <c r="S713">
        <v>0</v>
      </c>
      <c r="T713" t="str">
        <f t="shared" si="297"/>
        <v>No fuma</v>
      </c>
      <c r="U713">
        <v>1</v>
      </c>
      <c r="V713">
        <f t="shared" si="298"/>
        <v>1</v>
      </c>
      <c r="W713" t="str">
        <f t="shared" si="299"/>
        <v>Usualmente</v>
      </c>
      <c r="X713">
        <v>0</v>
      </c>
      <c r="Y713" t="str">
        <f t="shared" si="300"/>
        <v>No controla</v>
      </c>
      <c r="Z713">
        <v>2</v>
      </c>
      <c r="AA713">
        <f t="shared" si="301"/>
        <v>2</v>
      </c>
      <c r="AB713" t="str">
        <f t="shared" si="302"/>
        <v>Usualmente</v>
      </c>
      <c r="AC713">
        <v>1</v>
      </c>
      <c r="AD713">
        <f t="shared" si="303"/>
        <v>1</v>
      </c>
      <c r="AE713" t="str">
        <f t="shared" si="304"/>
        <v>Usualmente</v>
      </c>
      <c r="AF713">
        <v>1</v>
      </c>
      <c r="AG713" t="str">
        <f t="shared" si="305"/>
        <v>A veces</v>
      </c>
      <c r="AH713">
        <v>0</v>
      </c>
      <c r="AI713" t="str">
        <f t="shared" si="306"/>
        <v>No usa</v>
      </c>
      <c r="AJ713">
        <v>0</v>
      </c>
      <c r="AK713" t="str">
        <f t="shared" si="307"/>
        <v>No usa</v>
      </c>
      <c r="AL713">
        <v>0</v>
      </c>
      <c r="AM713" t="str">
        <f t="shared" si="308"/>
        <v>No usa</v>
      </c>
      <c r="AN713">
        <v>1</v>
      </c>
      <c r="AO713" t="str">
        <f t="shared" si="309"/>
        <v>Usa Transporte</v>
      </c>
      <c r="AP713">
        <v>0</v>
      </c>
      <c r="AQ713" t="str">
        <f t="shared" si="310"/>
        <v>No camina</v>
      </c>
      <c r="AR713">
        <v>0</v>
      </c>
      <c r="AS713" t="str">
        <f t="shared" si="311"/>
        <v>No es obeso</v>
      </c>
    </row>
    <row r="714" spans="1:45" x14ac:dyDescent="0.25">
      <c r="A714">
        <v>0</v>
      </c>
      <c r="B714" t="str">
        <f t="shared" si="286"/>
        <v>F</v>
      </c>
      <c r="C714">
        <v>19054938</v>
      </c>
      <c r="D714">
        <f t="shared" si="287"/>
        <v>52</v>
      </c>
      <c r="E714">
        <f t="shared" si="288"/>
        <v>52</v>
      </c>
      <c r="F714" t="str">
        <f t="shared" si="289"/>
        <v>50-75</v>
      </c>
      <c r="G714">
        <v>0</v>
      </c>
      <c r="H714" t="str">
        <f t="shared" si="290"/>
        <v>Pariente normal</v>
      </c>
      <c r="I714">
        <v>0</v>
      </c>
      <c r="J714" t="str">
        <f t="shared" si="291"/>
        <v>Saludables</v>
      </c>
      <c r="K714">
        <v>2910345</v>
      </c>
      <c r="L714">
        <f t="shared" si="292"/>
        <v>1</v>
      </c>
      <c r="M714" t="str">
        <f t="shared" si="293"/>
        <v>Suele comer</v>
      </c>
      <c r="N714">
        <v>3</v>
      </c>
      <c r="O714">
        <f t="shared" si="294"/>
        <v>2</v>
      </c>
      <c r="P714" t="str">
        <f t="shared" si="295"/>
        <v>Mas de 3</v>
      </c>
      <c r="Q714">
        <v>2</v>
      </c>
      <c r="R714" t="str">
        <f t="shared" si="296"/>
        <v>Usualmente</v>
      </c>
      <c r="S714">
        <v>0</v>
      </c>
      <c r="T714" t="str">
        <f t="shared" si="297"/>
        <v>No fuma</v>
      </c>
      <c r="U714">
        <v>1</v>
      </c>
      <c r="V714">
        <f t="shared" si="298"/>
        <v>1</v>
      </c>
      <c r="W714" t="str">
        <f t="shared" si="299"/>
        <v>Usualmente</v>
      </c>
      <c r="X714">
        <v>1</v>
      </c>
      <c r="Y714" t="str">
        <f t="shared" si="300"/>
        <v>Controla</v>
      </c>
      <c r="Z714">
        <v>1461005</v>
      </c>
      <c r="AA714">
        <f t="shared" si="301"/>
        <v>3</v>
      </c>
      <c r="AB714" t="str">
        <f t="shared" si="302"/>
        <v>Siempre</v>
      </c>
      <c r="AC714">
        <v>0</v>
      </c>
      <c r="AD714">
        <f t="shared" si="303"/>
        <v>0</v>
      </c>
      <c r="AE714" t="str">
        <f t="shared" si="304"/>
        <v>Nunca</v>
      </c>
      <c r="AF714">
        <v>1</v>
      </c>
      <c r="AG714" t="str">
        <f t="shared" si="305"/>
        <v>A veces</v>
      </c>
      <c r="AH714">
        <v>0</v>
      </c>
      <c r="AI714" t="str">
        <f t="shared" si="306"/>
        <v>No usa</v>
      </c>
      <c r="AJ714">
        <v>0</v>
      </c>
      <c r="AK714" t="str">
        <f t="shared" si="307"/>
        <v>No usa</v>
      </c>
      <c r="AL714">
        <v>0</v>
      </c>
      <c r="AM714" t="str">
        <f t="shared" si="308"/>
        <v>No usa</v>
      </c>
      <c r="AN714">
        <v>1</v>
      </c>
      <c r="AO714" t="str">
        <f t="shared" si="309"/>
        <v>Usa Transporte</v>
      </c>
      <c r="AP714">
        <v>0</v>
      </c>
      <c r="AQ714" t="str">
        <f t="shared" si="310"/>
        <v>No camina</v>
      </c>
      <c r="AR714">
        <v>0</v>
      </c>
      <c r="AS714" t="str">
        <f t="shared" si="311"/>
        <v>No es obeso</v>
      </c>
    </row>
    <row r="715" spans="1:45" x14ac:dyDescent="0.25">
      <c r="A715">
        <v>0</v>
      </c>
      <c r="B715" t="str">
        <f t="shared" si="286"/>
        <v>F</v>
      </c>
      <c r="C715">
        <v>20850119</v>
      </c>
      <c r="D715">
        <f t="shared" si="287"/>
        <v>57</v>
      </c>
      <c r="E715">
        <f t="shared" si="288"/>
        <v>57</v>
      </c>
      <c r="F715" t="str">
        <f t="shared" si="289"/>
        <v>50-75</v>
      </c>
      <c r="G715">
        <v>0</v>
      </c>
      <c r="H715" t="str">
        <f t="shared" si="290"/>
        <v>Pariente normal</v>
      </c>
      <c r="I715">
        <v>1</v>
      </c>
      <c r="J715" t="str">
        <f t="shared" si="291"/>
        <v>Hipercaloricos</v>
      </c>
      <c r="K715">
        <v>2866383</v>
      </c>
      <c r="L715">
        <f t="shared" si="292"/>
        <v>1</v>
      </c>
      <c r="M715" t="str">
        <f t="shared" si="293"/>
        <v>Suele comer</v>
      </c>
      <c r="N715">
        <v>1226342</v>
      </c>
      <c r="O715">
        <f t="shared" si="294"/>
        <v>2</v>
      </c>
      <c r="P715" t="str">
        <f t="shared" si="295"/>
        <v>Mas de 3</v>
      </c>
      <c r="Q715">
        <v>2</v>
      </c>
      <c r="R715" t="str">
        <f t="shared" si="296"/>
        <v>Usualmente</v>
      </c>
      <c r="S715">
        <v>0</v>
      </c>
      <c r="T715" t="str">
        <f t="shared" si="297"/>
        <v>No fuma</v>
      </c>
      <c r="U715">
        <v>1</v>
      </c>
      <c r="V715">
        <f t="shared" si="298"/>
        <v>1</v>
      </c>
      <c r="W715" t="str">
        <f t="shared" si="299"/>
        <v>Usualmente</v>
      </c>
      <c r="X715">
        <v>0</v>
      </c>
      <c r="Y715" t="str">
        <f t="shared" si="300"/>
        <v>No controla</v>
      </c>
      <c r="Z715">
        <v>0.14495</v>
      </c>
      <c r="AA715">
        <f t="shared" si="301"/>
        <v>0</v>
      </c>
      <c r="AB715" t="str">
        <f t="shared" si="302"/>
        <v>Nunca</v>
      </c>
      <c r="AC715">
        <v>0</v>
      </c>
      <c r="AD715">
        <f t="shared" si="303"/>
        <v>0</v>
      </c>
      <c r="AE715" t="str">
        <f t="shared" si="304"/>
        <v>Nunca</v>
      </c>
      <c r="AF715">
        <v>1</v>
      </c>
      <c r="AG715" t="str">
        <f t="shared" si="305"/>
        <v>A veces</v>
      </c>
      <c r="AH715">
        <v>0</v>
      </c>
      <c r="AI715" t="str">
        <f t="shared" si="306"/>
        <v>No usa</v>
      </c>
      <c r="AJ715">
        <v>0</v>
      </c>
      <c r="AK715" t="str">
        <f t="shared" si="307"/>
        <v>No usa</v>
      </c>
      <c r="AL715">
        <v>0</v>
      </c>
      <c r="AM715" t="str">
        <f t="shared" si="308"/>
        <v>No usa</v>
      </c>
      <c r="AN715">
        <v>1</v>
      </c>
      <c r="AO715" t="str">
        <f t="shared" si="309"/>
        <v>Usa Transporte</v>
      </c>
      <c r="AP715">
        <v>0</v>
      </c>
      <c r="AQ715" t="str">
        <f t="shared" si="310"/>
        <v>No camina</v>
      </c>
      <c r="AR715">
        <v>0</v>
      </c>
      <c r="AS715" t="str">
        <f t="shared" si="311"/>
        <v>No es obeso</v>
      </c>
    </row>
    <row r="716" spans="1:45" x14ac:dyDescent="0.25">
      <c r="A716">
        <v>0</v>
      </c>
      <c r="B716" t="str">
        <f t="shared" si="286"/>
        <v>F</v>
      </c>
      <c r="C716">
        <v>19349258</v>
      </c>
      <c r="D716">
        <f t="shared" si="287"/>
        <v>53</v>
      </c>
      <c r="E716">
        <f t="shared" si="288"/>
        <v>53</v>
      </c>
      <c r="F716" t="str">
        <f t="shared" si="289"/>
        <v>50-75</v>
      </c>
      <c r="G716">
        <v>0</v>
      </c>
      <c r="H716" t="str">
        <f t="shared" si="290"/>
        <v>Pariente normal</v>
      </c>
      <c r="I716">
        <v>1</v>
      </c>
      <c r="J716" t="str">
        <f t="shared" si="291"/>
        <v>Hipercaloricos</v>
      </c>
      <c r="K716">
        <v>2913486</v>
      </c>
      <c r="L716">
        <f t="shared" si="292"/>
        <v>1</v>
      </c>
      <c r="M716" t="str">
        <f t="shared" si="293"/>
        <v>Suele comer</v>
      </c>
      <c r="N716">
        <v>1060796</v>
      </c>
      <c r="O716">
        <f t="shared" si="294"/>
        <v>2</v>
      </c>
      <c r="P716" t="str">
        <f t="shared" si="295"/>
        <v>Mas de 3</v>
      </c>
      <c r="Q716">
        <v>2</v>
      </c>
      <c r="R716" t="str">
        <f t="shared" si="296"/>
        <v>Usualmente</v>
      </c>
      <c r="S716">
        <v>0</v>
      </c>
      <c r="T716" t="str">
        <f t="shared" si="297"/>
        <v>No fuma</v>
      </c>
      <c r="U716">
        <v>1596212</v>
      </c>
      <c r="V716">
        <f t="shared" si="298"/>
        <v>2</v>
      </c>
      <c r="W716" t="str">
        <f t="shared" si="299"/>
        <v>Siempre</v>
      </c>
      <c r="X716">
        <v>0</v>
      </c>
      <c r="Y716" t="str">
        <f t="shared" si="300"/>
        <v>No controla</v>
      </c>
      <c r="Z716">
        <v>0.108948</v>
      </c>
      <c r="AA716">
        <f t="shared" si="301"/>
        <v>0</v>
      </c>
      <c r="AB716" t="str">
        <f t="shared" si="302"/>
        <v>Nunca</v>
      </c>
      <c r="AC716">
        <v>0.77308699999999997</v>
      </c>
      <c r="AD716">
        <f t="shared" si="303"/>
        <v>0</v>
      </c>
      <c r="AE716" t="str">
        <f t="shared" si="304"/>
        <v>Nunca</v>
      </c>
      <c r="AF716">
        <v>1</v>
      </c>
      <c r="AG716" t="str">
        <f t="shared" si="305"/>
        <v>A veces</v>
      </c>
      <c r="AH716">
        <v>0</v>
      </c>
      <c r="AI716" t="str">
        <f t="shared" si="306"/>
        <v>No usa</v>
      </c>
      <c r="AJ716">
        <v>0</v>
      </c>
      <c r="AK716" t="str">
        <f t="shared" si="307"/>
        <v>No usa</v>
      </c>
      <c r="AL716">
        <v>0</v>
      </c>
      <c r="AM716" t="str">
        <f t="shared" si="308"/>
        <v>No usa</v>
      </c>
      <c r="AN716">
        <v>1</v>
      </c>
      <c r="AO716" t="str">
        <f t="shared" si="309"/>
        <v>Usa Transporte</v>
      </c>
      <c r="AP716">
        <v>0</v>
      </c>
      <c r="AQ716" t="str">
        <f t="shared" si="310"/>
        <v>No camina</v>
      </c>
      <c r="AR716">
        <v>0</v>
      </c>
      <c r="AS716" t="str">
        <f t="shared" si="311"/>
        <v>No es obeso</v>
      </c>
    </row>
    <row r="717" spans="1:45" x14ac:dyDescent="0.25">
      <c r="A717">
        <v>1</v>
      </c>
      <c r="B717" t="str">
        <f t="shared" si="286"/>
        <v>M</v>
      </c>
      <c r="C717">
        <v>17</v>
      </c>
      <c r="D717">
        <f t="shared" si="287"/>
        <v>17</v>
      </c>
      <c r="E717">
        <f t="shared" si="288"/>
        <v>17</v>
      </c>
      <c r="F717" t="str">
        <f t="shared" si="289"/>
        <v>1-25</v>
      </c>
      <c r="G717">
        <v>1</v>
      </c>
      <c r="H717" t="str">
        <f t="shared" si="290"/>
        <v>Pariente gordo</v>
      </c>
      <c r="I717">
        <v>1</v>
      </c>
      <c r="J717" t="str">
        <f t="shared" si="291"/>
        <v>Hipercaloricos</v>
      </c>
      <c r="K717">
        <v>2432886</v>
      </c>
      <c r="L717">
        <f t="shared" si="292"/>
        <v>1</v>
      </c>
      <c r="M717" t="str">
        <f t="shared" si="293"/>
        <v>Suele comer</v>
      </c>
      <c r="N717">
        <v>3</v>
      </c>
      <c r="O717">
        <f t="shared" si="294"/>
        <v>2</v>
      </c>
      <c r="P717" t="str">
        <f t="shared" si="295"/>
        <v>Mas de 3</v>
      </c>
      <c r="Q717">
        <v>1</v>
      </c>
      <c r="R717" t="str">
        <f t="shared" si="296"/>
        <v>A veces</v>
      </c>
      <c r="S717">
        <v>0</v>
      </c>
      <c r="T717" t="str">
        <f t="shared" si="297"/>
        <v>No fuma</v>
      </c>
      <c r="U717">
        <v>2</v>
      </c>
      <c r="V717">
        <f t="shared" si="298"/>
        <v>2</v>
      </c>
      <c r="W717" t="str">
        <f t="shared" si="299"/>
        <v>Siempre</v>
      </c>
      <c r="X717">
        <v>0</v>
      </c>
      <c r="Y717" t="str">
        <f t="shared" si="300"/>
        <v>No controla</v>
      </c>
      <c r="Z717">
        <v>2697949</v>
      </c>
      <c r="AA717">
        <f t="shared" si="301"/>
        <v>3</v>
      </c>
      <c r="AB717" t="str">
        <f t="shared" si="302"/>
        <v>Siempre</v>
      </c>
      <c r="AC717">
        <v>1</v>
      </c>
      <c r="AD717">
        <f t="shared" si="303"/>
        <v>1</v>
      </c>
      <c r="AE717" t="str">
        <f t="shared" si="304"/>
        <v>Usualmente</v>
      </c>
      <c r="AF717">
        <v>0</v>
      </c>
      <c r="AG717" t="str">
        <f t="shared" si="305"/>
        <v>Nunca</v>
      </c>
      <c r="AH717">
        <v>1</v>
      </c>
      <c r="AI717" t="str">
        <f t="shared" si="306"/>
        <v>Usa auto</v>
      </c>
      <c r="AJ717">
        <v>0</v>
      </c>
      <c r="AK717" t="str">
        <f t="shared" si="307"/>
        <v>No usa</v>
      </c>
      <c r="AL717">
        <v>0</v>
      </c>
      <c r="AM717" t="str">
        <f t="shared" si="308"/>
        <v>No usa</v>
      </c>
      <c r="AN717">
        <v>0</v>
      </c>
      <c r="AO717" t="str">
        <f t="shared" si="309"/>
        <v>No usa</v>
      </c>
      <c r="AP717">
        <v>0</v>
      </c>
      <c r="AQ717" t="str">
        <f t="shared" si="310"/>
        <v>No camina</v>
      </c>
      <c r="AR717">
        <v>0</v>
      </c>
      <c r="AS717" t="str">
        <f t="shared" si="311"/>
        <v>No es obeso</v>
      </c>
    </row>
    <row r="718" spans="1:45" x14ac:dyDescent="0.25">
      <c r="A718">
        <v>1</v>
      </c>
      <c r="B718" t="str">
        <f t="shared" si="286"/>
        <v>M</v>
      </c>
      <c r="C718">
        <v>17203917</v>
      </c>
      <c r="D718">
        <f t="shared" si="287"/>
        <v>47</v>
      </c>
      <c r="E718">
        <f t="shared" si="288"/>
        <v>47</v>
      </c>
      <c r="F718" t="str">
        <f t="shared" si="289"/>
        <v>25-50</v>
      </c>
      <c r="G718">
        <v>1</v>
      </c>
      <c r="H718" t="str">
        <f t="shared" si="290"/>
        <v>Pariente gordo</v>
      </c>
      <c r="I718">
        <v>1</v>
      </c>
      <c r="J718" t="str">
        <f t="shared" si="291"/>
        <v>Hipercaloricos</v>
      </c>
      <c r="K718">
        <v>2883745</v>
      </c>
      <c r="L718">
        <f t="shared" si="292"/>
        <v>1</v>
      </c>
      <c r="M718" t="str">
        <f t="shared" si="293"/>
        <v>Suele comer</v>
      </c>
      <c r="N718">
        <v>3595761</v>
      </c>
      <c r="O718">
        <f t="shared" si="294"/>
        <v>2</v>
      </c>
      <c r="P718" t="str">
        <f t="shared" si="295"/>
        <v>Mas de 3</v>
      </c>
      <c r="Q718">
        <v>1</v>
      </c>
      <c r="R718" t="str">
        <f t="shared" si="296"/>
        <v>A veces</v>
      </c>
      <c r="S718">
        <v>0</v>
      </c>
      <c r="T718" t="str">
        <f t="shared" si="297"/>
        <v>No fuma</v>
      </c>
      <c r="U718">
        <v>2</v>
      </c>
      <c r="V718">
        <f t="shared" si="298"/>
        <v>2</v>
      </c>
      <c r="W718" t="str">
        <f t="shared" si="299"/>
        <v>Siempre</v>
      </c>
      <c r="X718">
        <v>0</v>
      </c>
      <c r="Y718" t="str">
        <f t="shared" si="300"/>
        <v>No controla</v>
      </c>
      <c r="Z718">
        <v>2077653</v>
      </c>
      <c r="AA718">
        <f t="shared" si="301"/>
        <v>3</v>
      </c>
      <c r="AB718" t="str">
        <f t="shared" si="302"/>
        <v>Siempre</v>
      </c>
      <c r="AC718">
        <v>0.71470100000000003</v>
      </c>
      <c r="AD718">
        <f t="shared" si="303"/>
        <v>0</v>
      </c>
      <c r="AE718" t="str">
        <f t="shared" si="304"/>
        <v>Nunca</v>
      </c>
      <c r="AF718">
        <v>0</v>
      </c>
      <c r="AG718" t="str">
        <f t="shared" si="305"/>
        <v>Nunca</v>
      </c>
      <c r="AH718">
        <v>1</v>
      </c>
      <c r="AI718" t="str">
        <f t="shared" si="306"/>
        <v>Usa auto</v>
      </c>
      <c r="AJ718">
        <v>0</v>
      </c>
      <c r="AK718" t="str">
        <f t="shared" si="307"/>
        <v>No usa</v>
      </c>
      <c r="AL718">
        <v>0</v>
      </c>
      <c r="AM718" t="str">
        <f t="shared" si="308"/>
        <v>No usa</v>
      </c>
      <c r="AN718">
        <v>0</v>
      </c>
      <c r="AO718" t="str">
        <f t="shared" si="309"/>
        <v>No usa</v>
      </c>
      <c r="AP718">
        <v>0</v>
      </c>
      <c r="AQ718" t="str">
        <f t="shared" si="310"/>
        <v>No camina</v>
      </c>
      <c r="AR718">
        <v>0</v>
      </c>
      <c r="AS718" t="str">
        <f t="shared" si="311"/>
        <v>No es obeso</v>
      </c>
    </row>
    <row r="719" spans="1:45" x14ac:dyDescent="0.25">
      <c r="A719">
        <v>1</v>
      </c>
      <c r="B719" t="str">
        <f t="shared" si="286"/>
        <v>M</v>
      </c>
      <c r="C719">
        <v>17671064</v>
      </c>
      <c r="D719">
        <f t="shared" si="287"/>
        <v>48</v>
      </c>
      <c r="E719">
        <f t="shared" si="288"/>
        <v>48</v>
      </c>
      <c r="F719" t="str">
        <f t="shared" si="289"/>
        <v>25-50</v>
      </c>
      <c r="G719">
        <v>1</v>
      </c>
      <c r="H719" t="str">
        <f t="shared" si="290"/>
        <v>Pariente gordo</v>
      </c>
      <c r="I719">
        <v>1</v>
      </c>
      <c r="J719" t="str">
        <f t="shared" si="291"/>
        <v>Hipercaloricos</v>
      </c>
      <c r="K719">
        <v>2707666</v>
      </c>
      <c r="L719">
        <f t="shared" si="292"/>
        <v>1</v>
      </c>
      <c r="M719" t="str">
        <f t="shared" si="293"/>
        <v>Suele comer</v>
      </c>
      <c r="N719">
        <v>3737914</v>
      </c>
      <c r="O719">
        <f t="shared" si="294"/>
        <v>2</v>
      </c>
      <c r="P719" t="str">
        <f t="shared" si="295"/>
        <v>Mas de 3</v>
      </c>
      <c r="Q719">
        <v>1</v>
      </c>
      <c r="R719" t="str">
        <f t="shared" si="296"/>
        <v>A veces</v>
      </c>
      <c r="S719">
        <v>0</v>
      </c>
      <c r="T719" t="str">
        <f t="shared" si="297"/>
        <v>No fuma</v>
      </c>
      <c r="U719">
        <v>2026547</v>
      </c>
      <c r="V719">
        <f t="shared" si="298"/>
        <v>2</v>
      </c>
      <c r="W719" t="str">
        <f t="shared" si="299"/>
        <v>Siempre</v>
      </c>
      <c r="X719">
        <v>0</v>
      </c>
      <c r="Y719" t="str">
        <f t="shared" si="300"/>
        <v>No controla</v>
      </c>
      <c r="Z719">
        <v>2009397</v>
      </c>
      <c r="AA719">
        <f t="shared" si="301"/>
        <v>3</v>
      </c>
      <c r="AB719" t="str">
        <f t="shared" si="302"/>
        <v>Siempre</v>
      </c>
      <c r="AC719">
        <v>0.61397100000000004</v>
      </c>
      <c r="AD719">
        <f t="shared" si="303"/>
        <v>0</v>
      </c>
      <c r="AE719" t="str">
        <f t="shared" si="304"/>
        <v>Nunca</v>
      </c>
      <c r="AF719">
        <v>0</v>
      </c>
      <c r="AG719" t="str">
        <f t="shared" si="305"/>
        <v>Nunca</v>
      </c>
      <c r="AH719">
        <v>1</v>
      </c>
      <c r="AI719" t="str">
        <f t="shared" si="306"/>
        <v>Usa auto</v>
      </c>
      <c r="AJ719">
        <v>0</v>
      </c>
      <c r="AK719" t="str">
        <f t="shared" si="307"/>
        <v>No usa</v>
      </c>
      <c r="AL719">
        <v>0</v>
      </c>
      <c r="AM719" t="str">
        <f t="shared" si="308"/>
        <v>No usa</v>
      </c>
      <c r="AN719">
        <v>0</v>
      </c>
      <c r="AO719" t="str">
        <f t="shared" si="309"/>
        <v>No usa</v>
      </c>
      <c r="AP719">
        <v>0</v>
      </c>
      <c r="AQ719" t="str">
        <f t="shared" si="310"/>
        <v>No camina</v>
      </c>
      <c r="AR719">
        <v>0</v>
      </c>
      <c r="AS719" t="str">
        <f t="shared" si="311"/>
        <v>No es obeso</v>
      </c>
    </row>
    <row r="720" spans="1:45" x14ac:dyDescent="0.25">
      <c r="A720">
        <v>0</v>
      </c>
      <c r="B720" t="str">
        <f t="shared" si="286"/>
        <v>F</v>
      </c>
      <c r="C720">
        <v>21310907</v>
      </c>
      <c r="D720">
        <f t="shared" si="287"/>
        <v>58</v>
      </c>
      <c r="E720">
        <f t="shared" si="288"/>
        <v>58</v>
      </c>
      <c r="F720" t="str">
        <f t="shared" si="289"/>
        <v>50-75</v>
      </c>
      <c r="G720">
        <v>1</v>
      </c>
      <c r="H720" t="str">
        <f t="shared" si="290"/>
        <v>Pariente gordo</v>
      </c>
      <c r="I720">
        <v>1</v>
      </c>
      <c r="J720" t="str">
        <f t="shared" si="291"/>
        <v>Hipercaloricos</v>
      </c>
      <c r="K720">
        <v>2919584</v>
      </c>
      <c r="L720">
        <f t="shared" si="292"/>
        <v>1</v>
      </c>
      <c r="M720" t="str">
        <f t="shared" si="293"/>
        <v>Suele comer</v>
      </c>
      <c r="N720">
        <v>3697831</v>
      </c>
      <c r="O720">
        <f t="shared" si="294"/>
        <v>2</v>
      </c>
      <c r="P720" t="str">
        <f t="shared" si="295"/>
        <v>Mas de 3</v>
      </c>
      <c r="Q720">
        <v>2</v>
      </c>
      <c r="R720" t="str">
        <f t="shared" si="296"/>
        <v>Usualmente</v>
      </c>
      <c r="S720">
        <v>0</v>
      </c>
      <c r="T720" t="str">
        <f t="shared" si="297"/>
        <v>No fuma</v>
      </c>
      <c r="U720">
        <v>1147121</v>
      </c>
      <c r="V720">
        <f t="shared" si="298"/>
        <v>2</v>
      </c>
      <c r="W720" t="str">
        <f t="shared" si="299"/>
        <v>Siempre</v>
      </c>
      <c r="X720">
        <v>0</v>
      </c>
      <c r="Y720" t="str">
        <f t="shared" si="300"/>
        <v>No controla</v>
      </c>
      <c r="Z720">
        <v>0.993058</v>
      </c>
      <c r="AA720">
        <f t="shared" si="301"/>
        <v>0</v>
      </c>
      <c r="AB720" t="str">
        <f t="shared" si="302"/>
        <v>Nunca</v>
      </c>
      <c r="AC720">
        <v>8.9219999999999994E-2</v>
      </c>
      <c r="AD720">
        <f t="shared" si="303"/>
        <v>0</v>
      </c>
      <c r="AE720" t="str">
        <f t="shared" si="304"/>
        <v>Nunca</v>
      </c>
      <c r="AF720">
        <v>0</v>
      </c>
      <c r="AG720" t="str">
        <f t="shared" si="305"/>
        <v>Nunca</v>
      </c>
      <c r="AH720">
        <v>0</v>
      </c>
      <c r="AI720" t="str">
        <f t="shared" si="306"/>
        <v>No usa</v>
      </c>
      <c r="AJ720">
        <v>0</v>
      </c>
      <c r="AK720" t="str">
        <f t="shared" si="307"/>
        <v>No usa</v>
      </c>
      <c r="AL720">
        <v>0</v>
      </c>
      <c r="AM720" t="str">
        <f t="shared" si="308"/>
        <v>No usa</v>
      </c>
      <c r="AN720">
        <v>1</v>
      </c>
      <c r="AO720" t="str">
        <f t="shared" si="309"/>
        <v>Usa Transporte</v>
      </c>
      <c r="AP720">
        <v>0</v>
      </c>
      <c r="AQ720" t="str">
        <f t="shared" si="310"/>
        <v>No camina</v>
      </c>
      <c r="AR720">
        <v>0</v>
      </c>
      <c r="AS720" t="str">
        <f t="shared" si="311"/>
        <v>No es obeso</v>
      </c>
    </row>
    <row r="721" spans="1:45" x14ac:dyDescent="0.25">
      <c r="A721">
        <v>0</v>
      </c>
      <c r="B721" t="str">
        <f t="shared" si="286"/>
        <v>F</v>
      </c>
      <c r="C721">
        <v>21708354</v>
      </c>
      <c r="D721">
        <f t="shared" si="287"/>
        <v>59</v>
      </c>
      <c r="E721">
        <f t="shared" si="288"/>
        <v>59</v>
      </c>
      <c r="F721" t="str">
        <f t="shared" si="289"/>
        <v>50-75</v>
      </c>
      <c r="G721">
        <v>1</v>
      </c>
      <c r="H721" t="str">
        <f t="shared" si="290"/>
        <v>Pariente gordo</v>
      </c>
      <c r="I721">
        <v>1</v>
      </c>
      <c r="J721" t="str">
        <f t="shared" si="291"/>
        <v>Hipercaloricos</v>
      </c>
      <c r="K721">
        <v>2969205</v>
      </c>
      <c r="L721">
        <f t="shared" si="292"/>
        <v>1</v>
      </c>
      <c r="M721" t="str">
        <f t="shared" si="293"/>
        <v>Suele comer</v>
      </c>
      <c r="N721">
        <v>321043</v>
      </c>
      <c r="O721">
        <f t="shared" si="294"/>
        <v>2</v>
      </c>
      <c r="P721" t="str">
        <f t="shared" si="295"/>
        <v>Mas de 3</v>
      </c>
      <c r="Q721">
        <v>2</v>
      </c>
      <c r="R721" t="str">
        <f t="shared" si="296"/>
        <v>Usualmente</v>
      </c>
      <c r="S721">
        <v>0</v>
      </c>
      <c r="T721" t="str">
        <f t="shared" si="297"/>
        <v>No fuma</v>
      </c>
      <c r="U721">
        <v>2765876</v>
      </c>
      <c r="V721">
        <f t="shared" si="298"/>
        <v>2</v>
      </c>
      <c r="W721" t="str">
        <f t="shared" si="299"/>
        <v>Siempre</v>
      </c>
      <c r="X721">
        <v>0</v>
      </c>
      <c r="Y721" t="str">
        <f t="shared" si="300"/>
        <v>No controla</v>
      </c>
      <c r="Z721">
        <v>0.61103700000000005</v>
      </c>
      <c r="AA721">
        <f t="shared" si="301"/>
        <v>0</v>
      </c>
      <c r="AB721" t="str">
        <f t="shared" si="302"/>
        <v>Nunca</v>
      </c>
      <c r="AC721">
        <v>1300692</v>
      </c>
      <c r="AD721">
        <f t="shared" si="303"/>
        <v>2</v>
      </c>
      <c r="AE721" t="str">
        <f t="shared" si="304"/>
        <v>Siempre</v>
      </c>
      <c r="AF721">
        <v>0</v>
      </c>
      <c r="AG721" t="str">
        <f t="shared" si="305"/>
        <v>Nunca</v>
      </c>
      <c r="AH721">
        <v>0</v>
      </c>
      <c r="AI721" t="str">
        <f t="shared" si="306"/>
        <v>No usa</v>
      </c>
      <c r="AJ721">
        <v>0</v>
      </c>
      <c r="AK721" t="str">
        <f t="shared" si="307"/>
        <v>No usa</v>
      </c>
      <c r="AL721">
        <v>0</v>
      </c>
      <c r="AM721" t="str">
        <f t="shared" si="308"/>
        <v>No usa</v>
      </c>
      <c r="AN721">
        <v>1</v>
      </c>
      <c r="AO721" t="str">
        <f t="shared" si="309"/>
        <v>Usa Transporte</v>
      </c>
      <c r="AP721">
        <v>0</v>
      </c>
      <c r="AQ721" t="str">
        <f t="shared" si="310"/>
        <v>No camina</v>
      </c>
      <c r="AR721">
        <v>0</v>
      </c>
      <c r="AS721" t="str">
        <f t="shared" si="311"/>
        <v>No es obeso</v>
      </c>
    </row>
    <row r="722" spans="1:45" x14ac:dyDescent="0.25">
      <c r="A722">
        <v>0</v>
      </c>
      <c r="B722" t="str">
        <f t="shared" si="286"/>
        <v>F</v>
      </c>
      <c r="C722">
        <v>22176922</v>
      </c>
      <c r="D722">
        <f t="shared" si="287"/>
        <v>60</v>
      </c>
      <c r="E722">
        <f t="shared" si="288"/>
        <v>60</v>
      </c>
      <c r="F722" t="str">
        <f t="shared" si="289"/>
        <v>50-75</v>
      </c>
      <c r="G722">
        <v>1</v>
      </c>
      <c r="H722" t="str">
        <f t="shared" si="290"/>
        <v>Pariente gordo</v>
      </c>
      <c r="I722">
        <v>1</v>
      </c>
      <c r="J722" t="str">
        <f t="shared" si="291"/>
        <v>Hipercaloricos</v>
      </c>
      <c r="K722">
        <v>2486189</v>
      </c>
      <c r="L722">
        <f t="shared" si="292"/>
        <v>1</v>
      </c>
      <c r="M722" t="str">
        <f t="shared" si="293"/>
        <v>Suele comer</v>
      </c>
      <c r="N722">
        <v>3</v>
      </c>
      <c r="O722">
        <f t="shared" si="294"/>
        <v>2</v>
      </c>
      <c r="P722" t="str">
        <f t="shared" si="295"/>
        <v>Mas de 3</v>
      </c>
      <c r="Q722">
        <v>2</v>
      </c>
      <c r="R722" t="str">
        <f t="shared" si="296"/>
        <v>Usualmente</v>
      </c>
      <c r="S722">
        <v>0</v>
      </c>
      <c r="T722" t="str">
        <f t="shared" si="297"/>
        <v>No fuma</v>
      </c>
      <c r="U722">
        <v>1064378</v>
      </c>
      <c r="V722">
        <f t="shared" si="298"/>
        <v>2</v>
      </c>
      <c r="W722" t="str">
        <f t="shared" si="299"/>
        <v>Siempre</v>
      </c>
      <c r="X722">
        <v>0</v>
      </c>
      <c r="Y722" t="str">
        <f t="shared" si="300"/>
        <v>No controla</v>
      </c>
      <c r="Z722">
        <v>2206055</v>
      </c>
      <c r="AA722">
        <f t="shared" si="301"/>
        <v>3</v>
      </c>
      <c r="AB722" t="str">
        <f t="shared" si="302"/>
        <v>Siempre</v>
      </c>
      <c r="AC722">
        <v>1958089</v>
      </c>
      <c r="AD722">
        <f t="shared" si="303"/>
        <v>2</v>
      </c>
      <c r="AE722" t="str">
        <f t="shared" si="304"/>
        <v>Siempre</v>
      </c>
      <c r="AF722">
        <v>0</v>
      </c>
      <c r="AG722" t="str">
        <f t="shared" si="305"/>
        <v>Nunca</v>
      </c>
      <c r="AH722">
        <v>0</v>
      </c>
      <c r="AI722" t="str">
        <f t="shared" si="306"/>
        <v>No usa</v>
      </c>
      <c r="AJ722">
        <v>0</v>
      </c>
      <c r="AK722" t="str">
        <f t="shared" si="307"/>
        <v>No usa</v>
      </c>
      <c r="AL722">
        <v>0</v>
      </c>
      <c r="AM722" t="str">
        <f t="shared" si="308"/>
        <v>No usa</v>
      </c>
      <c r="AN722">
        <v>1</v>
      </c>
      <c r="AO722" t="str">
        <f t="shared" si="309"/>
        <v>Usa Transporte</v>
      </c>
      <c r="AP722">
        <v>0</v>
      </c>
      <c r="AQ722" t="str">
        <f t="shared" si="310"/>
        <v>No camina</v>
      </c>
      <c r="AR722">
        <v>0</v>
      </c>
      <c r="AS722" t="str">
        <f t="shared" si="311"/>
        <v>No es obeso</v>
      </c>
    </row>
    <row r="723" spans="1:45" x14ac:dyDescent="0.25">
      <c r="A723">
        <v>0</v>
      </c>
      <c r="B723" t="str">
        <f t="shared" si="286"/>
        <v>F</v>
      </c>
      <c r="C723">
        <v>17823438</v>
      </c>
      <c r="D723">
        <f t="shared" si="287"/>
        <v>48</v>
      </c>
      <c r="E723">
        <f t="shared" si="288"/>
        <v>48</v>
      </c>
      <c r="F723" t="str">
        <f t="shared" si="289"/>
        <v>25-50</v>
      </c>
      <c r="G723">
        <v>0</v>
      </c>
      <c r="H723" t="str">
        <f t="shared" si="290"/>
        <v>Pariente normal</v>
      </c>
      <c r="I723">
        <v>1</v>
      </c>
      <c r="J723" t="str">
        <f t="shared" si="291"/>
        <v>Hipercaloricos</v>
      </c>
      <c r="K723">
        <v>1642241</v>
      </c>
      <c r="L723">
        <f t="shared" si="292"/>
        <v>1</v>
      </c>
      <c r="M723" t="str">
        <f t="shared" si="293"/>
        <v>Suele comer</v>
      </c>
      <c r="N723">
        <v>345259</v>
      </c>
      <c r="O723">
        <f t="shared" si="294"/>
        <v>2</v>
      </c>
      <c r="P723" t="str">
        <f t="shared" si="295"/>
        <v>Mas de 3</v>
      </c>
      <c r="Q723">
        <v>1</v>
      </c>
      <c r="R723" t="str">
        <f t="shared" si="296"/>
        <v>A veces</v>
      </c>
      <c r="S723">
        <v>0</v>
      </c>
      <c r="T723" t="str">
        <f t="shared" si="297"/>
        <v>No fuma</v>
      </c>
      <c r="U723">
        <v>1099231</v>
      </c>
      <c r="V723">
        <f t="shared" si="298"/>
        <v>2</v>
      </c>
      <c r="W723" t="str">
        <f t="shared" si="299"/>
        <v>Siempre</v>
      </c>
      <c r="X723">
        <v>0</v>
      </c>
      <c r="Y723" t="str">
        <f t="shared" si="300"/>
        <v>No controla</v>
      </c>
      <c r="Z723">
        <v>0.418875</v>
      </c>
      <c r="AA723">
        <f t="shared" si="301"/>
        <v>0</v>
      </c>
      <c r="AB723" t="str">
        <f t="shared" si="302"/>
        <v>Nunca</v>
      </c>
      <c r="AC723">
        <v>1</v>
      </c>
      <c r="AD723">
        <f t="shared" si="303"/>
        <v>1</v>
      </c>
      <c r="AE723" t="str">
        <f t="shared" si="304"/>
        <v>Usualmente</v>
      </c>
      <c r="AF723">
        <v>1</v>
      </c>
      <c r="AG723" t="str">
        <f t="shared" si="305"/>
        <v>A veces</v>
      </c>
      <c r="AH723">
        <v>0</v>
      </c>
      <c r="AI723" t="str">
        <f t="shared" si="306"/>
        <v>No usa</v>
      </c>
      <c r="AJ723">
        <v>0</v>
      </c>
      <c r="AK723" t="str">
        <f t="shared" si="307"/>
        <v>No usa</v>
      </c>
      <c r="AL723">
        <v>0</v>
      </c>
      <c r="AM723" t="str">
        <f t="shared" si="308"/>
        <v>No usa</v>
      </c>
      <c r="AN723">
        <v>1</v>
      </c>
      <c r="AO723" t="str">
        <f t="shared" si="309"/>
        <v>Usa Transporte</v>
      </c>
      <c r="AP723">
        <v>0</v>
      </c>
      <c r="AQ723" t="str">
        <f t="shared" si="310"/>
        <v>No camina</v>
      </c>
      <c r="AR723">
        <v>0</v>
      </c>
      <c r="AS723" t="str">
        <f t="shared" si="311"/>
        <v>No es obeso</v>
      </c>
    </row>
    <row r="724" spans="1:45" x14ac:dyDescent="0.25">
      <c r="A724">
        <v>0</v>
      </c>
      <c r="B724" t="str">
        <f t="shared" si="286"/>
        <v>F</v>
      </c>
      <c r="C724">
        <v>18</v>
      </c>
      <c r="D724">
        <f t="shared" si="287"/>
        <v>18</v>
      </c>
      <c r="E724">
        <f t="shared" si="288"/>
        <v>18</v>
      </c>
      <c r="F724" t="str">
        <f t="shared" si="289"/>
        <v>1-25</v>
      </c>
      <c r="G724">
        <v>0</v>
      </c>
      <c r="H724" t="str">
        <f t="shared" si="290"/>
        <v>Pariente normal</v>
      </c>
      <c r="I724">
        <v>1</v>
      </c>
      <c r="J724" t="str">
        <f t="shared" si="291"/>
        <v>Hipercaloricos</v>
      </c>
      <c r="K724">
        <v>1567101</v>
      </c>
      <c r="L724">
        <f t="shared" si="292"/>
        <v>1</v>
      </c>
      <c r="M724" t="str">
        <f t="shared" si="293"/>
        <v>Suele comer</v>
      </c>
      <c r="N724">
        <v>3</v>
      </c>
      <c r="O724">
        <f t="shared" si="294"/>
        <v>2</v>
      </c>
      <c r="P724" t="str">
        <f t="shared" si="295"/>
        <v>Mas de 3</v>
      </c>
      <c r="Q724">
        <v>1</v>
      </c>
      <c r="R724" t="str">
        <f t="shared" si="296"/>
        <v>A veces</v>
      </c>
      <c r="S724">
        <v>0</v>
      </c>
      <c r="T724" t="str">
        <f t="shared" si="297"/>
        <v>No fuma</v>
      </c>
      <c r="U724">
        <v>1994139</v>
      </c>
      <c r="V724">
        <f t="shared" si="298"/>
        <v>2</v>
      </c>
      <c r="W724" t="str">
        <f t="shared" si="299"/>
        <v>Siempre</v>
      </c>
      <c r="X724">
        <v>0</v>
      </c>
      <c r="Y724" t="str">
        <f t="shared" si="300"/>
        <v>No controla</v>
      </c>
      <c r="Z724">
        <v>0.10798099999999999</v>
      </c>
      <c r="AA724">
        <f t="shared" si="301"/>
        <v>0</v>
      </c>
      <c r="AB724" t="str">
        <f t="shared" si="302"/>
        <v>Nunca</v>
      </c>
      <c r="AC724">
        <v>1</v>
      </c>
      <c r="AD724">
        <f t="shared" si="303"/>
        <v>1</v>
      </c>
      <c r="AE724" t="str">
        <f t="shared" si="304"/>
        <v>Usualmente</v>
      </c>
      <c r="AF724">
        <v>1</v>
      </c>
      <c r="AG724" t="str">
        <f t="shared" si="305"/>
        <v>A veces</v>
      </c>
      <c r="AH724">
        <v>0</v>
      </c>
      <c r="AI724" t="str">
        <f t="shared" si="306"/>
        <v>No usa</v>
      </c>
      <c r="AJ724">
        <v>0</v>
      </c>
      <c r="AK724" t="str">
        <f t="shared" si="307"/>
        <v>No usa</v>
      </c>
      <c r="AL724">
        <v>0</v>
      </c>
      <c r="AM724" t="str">
        <f t="shared" si="308"/>
        <v>No usa</v>
      </c>
      <c r="AN724">
        <v>1</v>
      </c>
      <c r="AO724" t="str">
        <f t="shared" si="309"/>
        <v>Usa Transporte</v>
      </c>
      <c r="AP724">
        <v>0</v>
      </c>
      <c r="AQ724" t="str">
        <f t="shared" si="310"/>
        <v>No camina</v>
      </c>
      <c r="AR724">
        <v>0</v>
      </c>
      <c r="AS724" t="str">
        <f t="shared" si="311"/>
        <v>No es obeso</v>
      </c>
    </row>
    <row r="725" spans="1:45" x14ac:dyDescent="0.25">
      <c r="A725">
        <v>0</v>
      </c>
      <c r="B725" t="str">
        <f t="shared" si="286"/>
        <v>F</v>
      </c>
      <c r="C725">
        <v>18281092</v>
      </c>
      <c r="D725">
        <f t="shared" si="287"/>
        <v>50</v>
      </c>
      <c r="E725">
        <f t="shared" si="288"/>
        <v>50</v>
      </c>
      <c r="F725" t="str">
        <f t="shared" si="289"/>
        <v>25-50</v>
      </c>
      <c r="G725">
        <v>0</v>
      </c>
      <c r="H725" t="str">
        <f t="shared" si="290"/>
        <v>Pariente normal</v>
      </c>
      <c r="I725">
        <v>1</v>
      </c>
      <c r="J725" t="str">
        <f t="shared" si="291"/>
        <v>Hipercaloricos</v>
      </c>
      <c r="K725">
        <v>1036414</v>
      </c>
      <c r="L725">
        <f t="shared" si="292"/>
        <v>1</v>
      </c>
      <c r="M725" t="str">
        <f t="shared" si="293"/>
        <v>Suele comer</v>
      </c>
      <c r="N725">
        <v>3205587</v>
      </c>
      <c r="O725">
        <f t="shared" si="294"/>
        <v>2</v>
      </c>
      <c r="P725" t="str">
        <f t="shared" si="295"/>
        <v>Mas de 3</v>
      </c>
      <c r="Q725">
        <v>1</v>
      </c>
      <c r="R725" t="str">
        <f t="shared" si="296"/>
        <v>A veces</v>
      </c>
      <c r="S725">
        <v>0</v>
      </c>
      <c r="T725" t="str">
        <f t="shared" si="297"/>
        <v>No fuma</v>
      </c>
      <c r="U725">
        <v>1745959</v>
      </c>
      <c r="V725">
        <f t="shared" si="298"/>
        <v>2</v>
      </c>
      <c r="W725" t="str">
        <f t="shared" si="299"/>
        <v>Siempre</v>
      </c>
      <c r="X725">
        <v>0</v>
      </c>
      <c r="Y725" t="str">
        <f t="shared" si="300"/>
        <v>No controla</v>
      </c>
      <c r="Z725">
        <v>0.11597399999999999</v>
      </c>
      <c r="AA725">
        <f t="shared" si="301"/>
        <v>0</v>
      </c>
      <c r="AB725" t="str">
        <f t="shared" si="302"/>
        <v>Nunca</v>
      </c>
      <c r="AC725">
        <v>1</v>
      </c>
      <c r="AD725">
        <f t="shared" si="303"/>
        <v>1</v>
      </c>
      <c r="AE725" t="str">
        <f t="shared" si="304"/>
        <v>Usualmente</v>
      </c>
      <c r="AF725">
        <v>1</v>
      </c>
      <c r="AG725" t="str">
        <f t="shared" si="305"/>
        <v>A veces</v>
      </c>
      <c r="AH725">
        <v>0</v>
      </c>
      <c r="AI725" t="str">
        <f t="shared" si="306"/>
        <v>No usa</v>
      </c>
      <c r="AJ725">
        <v>0</v>
      </c>
      <c r="AK725" t="str">
        <f t="shared" si="307"/>
        <v>No usa</v>
      </c>
      <c r="AL725">
        <v>0</v>
      </c>
      <c r="AM725" t="str">
        <f t="shared" si="308"/>
        <v>No usa</v>
      </c>
      <c r="AN725">
        <v>1</v>
      </c>
      <c r="AO725" t="str">
        <f t="shared" si="309"/>
        <v>Usa Transporte</v>
      </c>
      <c r="AP725">
        <v>0</v>
      </c>
      <c r="AQ725" t="str">
        <f t="shared" si="310"/>
        <v>No camina</v>
      </c>
      <c r="AR725">
        <v>0</v>
      </c>
      <c r="AS725" t="str">
        <f t="shared" si="311"/>
        <v>No es obeso</v>
      </c>
    </row>
    <row r="726" spans="1:45" x14ac:dyDescent="0.25">
      <c r="A726">
        <v>0</v>
      </c>
      <c r="B726" t="str">
        <f t="shared" si="286"/>
        <v>F</v>
      </c>
      <c r="C726">
        <v>18656912</v>
      </c>
      <c r="D726">
        <f t="shared" si="287"/>
        <v>51</v>
      </c>
      <c r="E726">
        <f t="shared" si="288"/>
        <v>51</v>
      </c>
      <c r="F726" t="str">
        <f t="shared" si="289"/>
        <v>50-75</v>
      </c>
      <c r="G726">
        <v>0</v>
      </c>
      <c r="H726" t="str">
        <f t="shared" si="290"/>
        <v>Pariente normal</v>
      </c>
      <c r="I726">
        <v>1</v>
      </c>
      <c r="J726" t="str">
        <f t="shared" si="291"/>
        <v>Hipercaloricos</v>
      </c>
      <c r="K726">
        <v>1649974</v>
      </c>
      <c r="L726">
        <f t="shared" si="292"/>
        <v>1</v>
      </c>
      <c r="M726" t="str">
        <f t="shared" si="293"/>
        <v>Suele comer</v>
      </c>
      <c r="N726">
        <v>1513835</v>
      </c>
      <c r="O726">
        <f t="shared" si="294"/>
        <v>2</v>
      </c>
      <c r="P726" t="str">
        <f t="shared" si="295"/>
        <v>Mas de 3</v>
      </c>
      <c r="Q726">
        <v>1</v>
      </c>
      <c r="R726" t="str">
        <f t="shared" si="296"/>
        <v>A veces</v>
      </c>
      <c r="S726">
        <v>0</v>
      </c>
      <c r="T726" t="str">
        <f t="shared" si="297"/>
        <v>No fuma</v>
      </c>
      <c r="U726">
        <v>1549974</v>
      </c>
      <c r="V726">
        <f t="shared" si="298"/>
        <v>2</v>
      </c>
      <c r="W726" t="str">
        <f t="shared" si="299"/>
        <v>Siempre</v>
      </c>
      <c r="X726">
        <v>0</v>
      </c>
      <c r="Y726" t="str">
        <f t="shared" si="300"/>
        <v>No controla</v>
      </c>
      <c r="Z726">
        <v>0.227802</v>
      </c>
      <c r="AA726">
        <f t="shared" si="301"/>
        <v>0</v>
      </c>
      <c r="AB726" t="str">
        <f t="shared" si="302"/>
        <v>Nunca</v>
      </c>
      <c r="AC726">
        <v>1972926</v>
      </c>
      <c r="AD726">
        <f t="shared" si="303"/>
        <v>2</v>
      </c>
      <c r="AE726" t="str">
        <f t="shared" si="304"/>
        <v>Siempre</v>
      </c>
      <c r="AF726">
        <v>1</v>
      </c>
      <c r="AG726" t="str">
        <f t="shared" si="305"/>
        <v>A veces</v>
      </c>
      <c r="AH726">
        <v>0</v>
      </c>
      <c r="AI726" t="str">
        <f t="shared" si="306"/>
        <v>No usa</v>
      </c>
      <c r="AJ726">
        <v>0</v>
      </c>
      <c r="AK726" t="str">
        <f t="shared" si="307"/>
        <v>No usa</v>
      </c>
      <c r="AL726">
        <v>0</v>
      </c>
      <c r="AM726" t="str">
        <f t="shared" si="308"/>
        <v>No usa</v>
      </c>
      <c r="AN726">
        <v>1</v>
      </c>
      <c r="AO726" t="str">
        <f t="shared" si="309"/>
        <v>Usa Transporte</v>
      </c>
      <c r="AP726">
        <v>0</v>
      </c>
      <c r="AQ726" t="str">
        <f t="shared" si="310"/>
        <v>No camina</v>
      </c>
      <c r="AR726">
        <v>0</v>
      </c>
      <c r="AS726" t="str">
        <f t="shared" si="311"/>
        <v>No es obeso</v>
      </c>
    </row>
    <row r="727" spans="1:45" x14ac:dyDescent="0.25">
      <c r="A727">
        <v>0</v>
      </c>
      <c r="B727" t="str">
        <f t="shared" si="286"/>
        <v>F</v>
      </c>
      <c r="C727">
        <v>19994543</v>
      </c>
      <c r="D727">
        <f t="shared" si="287"/>
        <v>54</v>
      </c>
      <c r="E727">
        <f t="shared" si="288"/>
        <v>54</v>
      </c>
      <c r="F727" t="str">
        <f t="shared" si="289"/>
        <v>50-75</v>
      </c>
      <c r="G727">
        <v>0</v>
      </c>
      <c r="H727" t="str">
        <f t="shared" si="290"/>
        <v>Pariente normal</v>
      </c>
      <c r="I727">
        <v>1</v>
      </c>
      <c r="J727" t="str">
        <f t="shared" si="291"/>
        <v>Hipercaloricos</v>
      </c>
      <c r="K727">
        <v>1118436</v>
      </c>
      <c r="L727">
        <f t="shared" si="292"/>
        <v>1</v>
      </c>
      <c r="M727" t="str">
        <f t="shared" si="293"/>
        <v>Suele comer</v>
      </c>
      <c r="N727">
        <v>3</v>
      </c>
      <c r="O727">
        <f t="shared" si="294"/>
        <v>2</v>
      </c>
      <c r="P727" t="str">
        <f t="shared" si="295"/>
        <v>Mas de 3</v>
      </c>
      <c r="Q727">
        <v>1</v>
      </c>
      <c r="R727" t="str">
        <f t="shared" si="296"/>
        <v>A veces</v>
      </c>
      <c r="S727">
        <v>0</v>
      </c>
      <c r="T727" t="str">
        <f t="shared" si="297"/>
        <v>No fuma</v>
      </c>
      <c r="U727">
        <v>1997744</v>
      </c>
      <c r="V727">
        <f t="shared" si="298"/>
        <v>2</v>
      </c>
      <c r="W727" t="str">
        <f t="shared" si="299"/>
        <v>Siempre</v>
      </c>
      <c r="X727">
        <v>0</v>
      </c>
      <c r="Y727" t="str">
        <f t="shared" si="300"/>
        <v>No controla</v>
      </c>
      <c r="Z727">
        <v>2432443</v>
      </c>
      <c r="AA727">
        <f t="shared" si="301"/>
        <v>3</v>
      </c>
      <c r="AB727" t="str">
        <f t="shared" si="302"/>
        <v>Siempre</v>
      </c>
      <c r="AC727">
        <v>1626194</v>
      </c>
      <c r="AD727">
        <f t="shared" si="303"/>
        <v>2</v>
      </c>
      <c r="AE727" t="str">
        <f t="shared" si="304"/>
        <v>Siempre</v>
      </c>
      <c r="AF727">
        <v>1</v>
      </c>
      <c r="AG727" t="str">
        <f t="shared" si="305"/>
        <v>A veces</v>
      </c>
      <c r="AH727">
        <v>0</v>
      </c>
      <c r="AI727" t="str">
        <f t="shared" si="306"/>
        <v>No usa</v>
      </c>
      <c r="AJ727">
        <v>0</v>
      </c>
      <c r="AK727" t="str">
        <f t="shared" si="307"/>
        <v>No usa</v>
      </c>
      <c r="AL727">
        <v>0</v>
      </c>
      <c r="AM727" t="str">
        <f t="shared" si="308"/>
        <v>No usa</v>
      </c>
      <c r="AN727">
        <v>1</v>
      </c>
      <c r="AO727" t="str">
        <f t="shared" si="309"/>
        <v>Usa Transporte</v>
      </c>
      <c r="AP727">
        <v>0</v>
      </c>
      <c r="AQ727" t="str">
        <f t="shared" si="310"/>
        <v>No camina</v>
      </c>
      <c r="AR727">
        <v>0</v>
      </c>
      <c r="AS727" t="str">
        <f t="shared" si="311"/>
        <v>No es obeso</v>
      </c>
    </row>
    <row r="728" spans="1:45" x14ac:dyDescent="0.25">
      <c r="A728">
        <v>0</v>
      </c>
      <c r="B728" t="str">
        <f t="shared" si="286"/>
        <v>F</v>
      </c>
      <c r="C728">
        <v>20255616</v>
      </c>
      <c r="D728">
        <f t="shared" si="287"/>
        <v>55</v>
      </c>
      <c r="E728">
        <f t="shared" si="288"/>
        <v>55</v>
      </c>
      <c r="F728" t="str">
        <f t="shared" si="289"/>
        <v>50-75</v>
      </c>
      <c r="G728">
        <v>0</v>
      </c>
      <c r="H728" t="str">
        <f t="shared" si="290"/>
        <v>Pariente normal</v>
      </c>
      <c r="I728">
        <v>1</v>
      </c>
      <c r="J728" t="str">
        <f t="shared" si="291"/>
        <v>Hipercaloricos</v>
      </c>
      <c r="K728">
        <v>2673638</v>
      </c>
      <c r="L728">
        <f t="shared" si="292"/>
        <v>1</v>
      </c>
      <c r="M728" t="str">
        <f t="shared" si="293"/>
        <v>Suele comer</v>
      </c>
      <c r="N728">
        <v>2779379</v>
      </c>
      <c r="O728">
        <f t="shared" si="294"/>
        <v>2</v>
      </c>
      <c r="P728" t="str">
        <f t="shared" si="295"/>
        <v>Mas de 3</v>
      </c>
      <c r="Q728">
        <v>2</v>
      </c>
      <c r="R728" t="str">
        <f t="shared" si="296"/>
        <v>Usualmente</v>
      </c>
      <c r="S728">
        <v>0</v>
      </c>
      <c r="T728" t="str">
        <f t="shared" si="297"/>
        <v>No fuma</v>
      </c>
      <c r="U728">
        <v>1249074</v>
      </c>
      <c r="V728">
        <f t="shared" si="298"/>
        <v>2</v>
      </c>
      <c r="W728" t="str">
        <f t="shared" si="299"/>
        <v>Siempre</v>
      </c>
      <c r="X728">
        <v>0</v>
      </c>
      <c r="Y728" t="str">
        <f t="shared" si="300"/>
        <v>No controla</v>
      </c>
      <c r="Z728">
        <v>4.3411999999999999E-2</v>
      </c>
      <c r="AA728">
        <f t="shared" si="301"/>
        <v>0</v>
      </c>
      <c r="AB728" t="str">
        <f t="shared" si="302"/>
        <v>Nunca</v>
      </c>
      <c r="AC728">
        <v>0.403694</v>
      </c>
      <c r="AD728">
        <f t="shared" si="303"/>
        <v>0</v>
      </c>
      <c r="AE728" t="str">
        <f t="shared" si="304"/>
        <v>Nunca</v>
      </c>
      <c r="AF728">
        <v>1</v>
      </c>
      <c r="AG728" t="str">
        <f t="shared" si="305"/>
        <v>A veces</v>
      </c>
      <c r="AH728">
        <v>0</v>
      </c>
      <c r="AI728" t="str">
        <f t="shared" si="306"/>
        <v>No usa</v>
      </c>
      <c r="AJ728">
        <v>0</v>
      </c>
      <c r="AK728" t="str">
        <f t="shared" si="307"/>
        <v>No usa</v>
      </c>
      <c r="AL728">
        <v>0</v>
      </c>
      <c r="AM728" t="str">
        <f t="shared" si="308"/>
        <v>No usa</v>
      </c>
      <c r="AN728">
        <v>1</v>
      </c>
      <c r="AO728" t="str">
        <f t="shared" si="309"/>
        <v>Usa Transporte</v>
      </c>
      <c r="AP728">
        <v>0</v>
      </c>
      <c r="AQ728" t="str">
        <f t="shared" si="310"/>
        <v>No camina</v>
      </c>
      <c r="AR728">
        <v>0</v>
      </c>
      <c r="AS728" t="str">
        <f t="shared" si="311"/>
        <v>No es obeso</v>
      </c>
    </row>
    <row r="729" spans="1:45" x14ac:dyDescent="0.25">
      <c r="A729">
        <v>1</v>
      </c>
      <c r="B729" t="str">
        <f t="shared" si="286"/>
        <v>M</v>
      </c>
      <c r="C729">
        <v>19865895</v>
      </c>
      <c r="D729">
        <f t="shared" si="287"/>
        <v>54</v>
      </c>
      <c r="E729">
        <f t="shared" si="288"/>
        <v>54</v>
      </c>
      <c r="F729" t="str">
        <f t="shared" si="289"/>
        <v>50-75</v>
      </c>
      <c r="G729">
        <v>1</v>
      </c>
      <c r="H729" t="str">
        <f t="shared" si="290"/>
        <v>Pariente gordo</v>
      </c>
      <c r="I729">
        <v>1</v>
      </c>
      <c r="J729" t="str">
        <f t="shared" si="291"/>
        <v>Hipercaloricos</v>
      </c>
      <c r="K729">
        <v>2120185</v>
      </c>
      <c r="L729">
        <f t="shared" si="292"/>
        <v>1</v>
      </c>
      <c r="M729" t="str">
        <f t="shared" si="293"/>
        <v>Suele comer</v>
      </c>
      <c r="N729">
        <v>4</v>
      </c>
      <c r="O729">
        <f t="shared" si="294"/>
        <v>2</v>
      </c>
      <c r="P729" t="str">
        <f t="shared" si="295"/>
        <v>Mas de 3</v>
      </c>
      <c r="Q729">
        <v>1</v>
      </c>
      <c r="R729" t="str">
        <f t="shared" si="296"/>
        <v>A veces</v>
      </c>
      <c r="S729">
        <v>0</v>
      </c>
      <c r="T729" t="str">
        <f t="shared" si="297"/>
        <v>No fuma</v>
      </c>
      <c r="U729">
        <v>2582165</v>
      </c>
      <c r="V729">
        <f t="shared" si="298"/>
        <v>2</v>
      </c>
      <c r="W729" t="str">
        <f t="shared" si="299"/>
        <v>Siempre</v>
      </c>
      <c r="X729">
        <v>0</v>
      </c>
      <c r="Y729" t="str">
        <f t="shared" si="300"/>
        <v>No controla</v>
      </c>
      <c r="Z729">
        <v>2</v>
      </c>
      <c r="AA729">
        <f t="shared" si="301"/>
        <v>2</v>
      </c>
      <c r="AB729" t="str">
        <f t="shared" si="302"/>
        <v>Usualmente</v>
      </c>
      <c r="AC729">
        <v>1510609</v>
      </c>
      <c r="AD729">
        <f t="shared" si="303"/>
        <v>2</v>
      </c>
      <c r="AE729" t="str">
        <f t="shared" si="304"/>
        <v>Siempre</v>
      </c>
      <c r="AF729">
        <v>0</v>
      </c>
      <c r="AG729" t="str">
        <f t="shared" si="305"/>
        <v>Nunca</v>
      </c>
      <c r="AH729">
        <v>1</v>
      </c>
      <c r="AI729" t="str">
        <f t="shared" si="306"/>
        <v>Usa auto</v>
      </c>
      <c r="AJ729">
        <v>0</v>
      </c>
      <c r="AK729" t="str">
        <f t="shared" si="307"/>
        <v>No usa</v>
      </c>
      <c r="AL729">
        <v>0</v>
      </c>
      <c r="AM729" t="str">
        <f t="shared" si="308"/>
        <v>No usa</v>
      </c>
      <c r="AN729">
        <v>0</v>
      </c>
      <c r="AO729" t="str">
        <f t="shared" si="309"/>
        <v>No usa</v>
      </c>
      <c r="AP729">
        <v>0</v>
      </c>
      <c r="AQ729" t="str">
        <f t="shared" si="310"/>
        <v>No camina</v>
      </c>
      <c r="AR729">
        <v>0</v>
      </c>
      <c r="AS729" t="str">
        <f t="shared" si="311"/>
        <v>No es obeso</v>
      </c>
    </row>
    <row r="730" spans="1:45" x14ac:dyDescent="0.25">
      <c r="A730">
        <v>1</v>
      </c>
      <c r="B730" t="str">
        <f t="shared" si="286"/>
        <v>M</v>
      </c>
      <c r="C730">
        <v>17888073</v>
      </c>
      <c r="D730">
        <f t="shared" si="287"/>
        <v>49</v>
      </c>
      <c r="E730">
        <f t="shared" si="288"/>
        <v>49</v>
      </c>
      <c r="F730" t="str">
        <f t="shared" si="289"/>
        <v>25-50</v>
      </c>
      <c r="G730">
        <v>1</v>
      </c>
      <c r="H730" t="str">
        <f t="shared" si="290"/>
        <v>Pariente gordo</v>
      </c>
      <c r="I730">
        <v>1</v>
      </c>
      <c r="J730" t="str">
        <f t="shared" si="291"/>
        <v>Hipercaloricos</v>
      </c>
      <c r="K730">
        <v>3</v>
      </c>
      <c r="L730">
        <f t="shared" si="292"/>
        <v>1</v>
      </c>
      <c r="M730" t="str">
        <f t="shared" si="293"/>
        <v>Suele comer</v>
      </c>
      <c r="N730">
        <v>3732126</v>
      </c>
      <c r="O730">
        <f t="shared" si="294"/>
        <v>2</v>
      </c>
      <c r="P730" t="str">
        <f t="shared" si="295"/>
        <v>Mas de 3</v>
      </c>
      <c r="Q730">
        <v>1</v>
      </c>
      <c r="R730" t="str">
        <f t="shared" si="296"/>
        <v>A veces</v>
      </c>
      <c r="S730">
        <v>0</v>
      </c>
      <c r="T730" t="str">
        <f t="shared" si="297"/>
        <v>No fuma</v>
      </c>
      <c r="U730">
        <v>2</v>
      </c>
      <c r="V730">
        <f t="shared" si="298"/>
        <v>2</v>
      </c>
      <c r="W730" t="str">
        <f t="shared" si="299"/>
        <v>Siempre</v>
      </c>
      <c r="X730">
        <v>0</v>
      </c>
      <c r="Y730" t="str">
        <f t="shared" si="300"/>
        <v>No controla</v>
      </c>
      <c r="Z730">
        <v>2000934</v>
      </c>
      <c r="AA730">
        <f t="shared" si="301"/>
        <v>3</v>
      </c>
      <c r="AB730" t="str">
        <f t="shared" si="302"/>
        <v>Siempre</v>
      </c>
      <c r="AC730">
        <v>0.384662</v>
      </c>
      <c r="AD730">
        <f t="shared" si="303"/>
        <v>0</v>
      </c>
      <c r="AE730" t="str">
        <f t="shared" si="304"/>
        <v>Nunca</v>
      </c>
      <c r="AF730">
        <v>0</v>
      </c>
      <c r="AG730" t="str">
        <f t="shared" si="305"/>
        <v>Nunca</v>
      </c>
      <c r="AH730">
        <v>1</v>
      </c>
      <c r="AI730" t="str">
        <f t="shared" si="306"/>
        <v>Usa auto</v>
      </c>
      <c r="AJ730">
        <v>0</v>
      </c>
      <c r="AK730" t="str">
        <f t="shared" si="307"/>
        <v>No usa</v>
      </c>
      <c r="AL730">
        <v>0</v>
      </c>
      <c r="AM730" t="str">
        <f t="shared" si="308"/>
        <v>No usa</v>
      </c>
      <c r="AN730">
        <v>0</v>
      </c>
      <c r="AO730" t="str">
        <f t="shared" si="309"/>
        <v>No usa</v>
      </c>
      <c r="AP730">
        <v>0</v>
      </c>
      <c r="AQ730" t="str">
        <f t="shared" si="310"/>
        <v>No camina</v>
      </c>
      <c r="AR730">
        <v>0</v>
      </c>
      <c r="AS730" t="str">
        <f t="shared" si="311"/>
        <v>No es obeso</v>
      </c>
    </row>
    <row r="731" spans="1:45" x14ac:dyDescent="0.25">
      <c r="A731">
        <v>1</v>
      </c>
      <c r="B731" t="str">
        <f t="shared" si="286"/>
        <v>M</v>
      </c>
      <c r="C731">
        <v>18470562</v>
      </c>
      <c r="D731">
        <f t="shared" si="287"/>
        <v>50</v>
      </c>
      <c r="E731">
        <f t="shared" si="288"/>
        <v>50</v>
      </c>
      <c r="F731" t="str">
        <f t="shared" si="289"/>
        <v>25-50</v>
      </c>
      <c r="G731">
        <v>1</v>
      </c>
      <c r="H731" t="str">
        <f t="shared" si="290"/>
        <v>Pariente gordo</v>
      </c>
      <c r="I731">
        <v>1</v>
      </c>
      <c r="J731" t="str">
        <f t="shared" si="291"/>
        <v>Hipercaloricos</v>
      </c>
      <c r="K731">
        <v>234222</v>
      </c>
      <c r="L731">
        <f t="shared" si="292"/>
        <v>1</v>
      </c>
      <c r="M731" t="str">
        <f t="shared" si="293"/>
        <v>Suele comer</v>
      </c>
      <c r="N731">
        <v>3937099</v>
      </c>
      <c r="O731">
        <f t="shared" si="294"/>
        <v>2</v>
      </c>
      <c r="P731" t="str">
        <f t="shared" si="295"/>
        <v>Mas de 3</v>
      </c>
      <c r="Q731">
        <v>1</v>
      </c>
      <c r="R731" t="str">
        <f t="shared" si="296"/>
        <v>A veces</v>
      </c>
      <c r="S731">
        <v>0</v>
      </c>
      <c r="T731" t="str">
        <f t="shared" si="297"/>
        <v>No fuma</v>
      </c>
      <c r="U731">
        <v>2311791</v>
      </c>
      <c r="V731">
        <f t="shared" si="298"/>
        <v>2</v>
      </c>
      <c r="W731" t="str">
        <f t="shared" si="299"/>
        <v>Siempre</v>
      </c>
      <c r="X731">
        <v>0</v>
      </c>
      <c r="Y731" t="str">
        <f t="shared" si="300"/>
        <v>No controla</v>
      </c>
      <c r="Z731">
        <v>2013377</v>
      </c>
      <c r="AA731">
        <f t="shared" si="301"/>
        <v>3</v>
      </c>
      <c r="AB731" t="str">
        <f t="shared" si="302"/>
        <v>Siempre</v>
      </c>
      <c r="AC731">
        <v>1128355</v>
      </c>
      <c r="AD731">
        <f t="shared" si="303"/>
        <v>2</v>
      </c>
      <c r="AE731" t="str">
        <f t="shared" si="304"/>
        <v>Siempre</v>
      </c>
      <c r="AF731">
        <v>0</v>
      </c>
      <c r="AG731" t="str">
        <f t="shared" si="305"/>
        <v>Nunca</v>
      </c>
      <c r="AH731">
        <v>1</v>
      </c>
      <c r="AI731" t="str">
        <f t="shared" si="306"/>
        <v>Usa auto</v>
      </c>
      <c r="AJ731">
        <v>0</v>
      </c>
      <c r="AK731" t="str">
        <f t="shared" si="307"/>
        <v>No usa</v>
      </c>
      <c r="AL731">
        <v>0</v>
      </c>
      <c r="AM731" t="str">
        <f t="shared" si="308"/>
        <v>No usa</v>
      </c>
      <c r="AN731">
        <v>0</v>
      </c>
      <c r="AO731" t="str">
        <f t="shared" si="309"/>
        <v>No usa</v>
      </c>
      <c r="AP731">
        <v>0</v>
      </c>
      <c r="AQ731" t="str">
        <f t="shared" si="310"/>
        <v>No camina</v>
      </c>
      <c r="AR731">
        <v>0</v>
      </c>
      <c r="AS731" t="str">
        <f t="shared" si="311"/>
        <v>No es obeso</v>
      </c>
    </row>
    <row r="732" spans="1:45" x14ac:dyDescent="0.25">
      <c r="A732">
        <v>1</v>
      </c>
      <c r="B732" t="str">
        <f t="shared" si="286"/>
        <v>M</v>
      </c>
      <c r="C732">
        <v>17925497</v>
      </c>
      <c r="D732">
        <f t="shared" si="287"/>
        <v>49</v>
      </c>
      <c r="E732">
        <f t="shared" si="288"/>
        <v>49</v>
      </c>
      <c r="F732" t="str">
        <f t="shared" si="289"/>
        <v>25-50</v>
      </c>
      <c r="G732">
        <v>1</v>
      </c>
      <c r="H732" t="str">
        <f t="shared" si="290"/>
        <v>Pariente gordo</v>
      </c>
      <c r="I732">
        <v>1</v>
      </c>
      <c r="J732" t="str">
        <f t="shared" si="291"/>
        <v>Hipercaloricos</v>
      </c>
      <c r="K732">
        <v>286099</v>
      </c>
      <c r="L732">
        <f t="shared" si="292"/>
        <v>1</v>
      </c>
      <c r="M732" t="str">
        <f t="shared" si="293"/>
        <v>Suele comer</v>
      </c>
      <c r="N732">
        <v>4</v>
      </c>
      <c r="O732">
        <f t="shared" si="294"/>
        <v>2</v>
      </c>
      <c r="P732" t="str">
        <f t="shared" si="295"/>
        <v>Mas de 3</v>
      </c>
      <c r="Q732">
        <v>1</v>
      </c>
      <c r="R732" t="str">
        <f t="shared" si="296"/>
        <v>A veces</v>
      </c>
      <c r="S732">
        <v>0</v>
      </c>
      <c r="T732" t="str">
        <f t="shared" si="297"/>
        <v>No fuma</v>
      </c>
      <c r="U732">
        <v>2</v>
      </c>
      <c r="V732">
        <f t="shared" si="298"/>
        <v>2</v>
      </c>
      <c r="W732" t="str">
        <f t="shared" si="299"/>
        <v>Siempre</v>
      </c>
      <c r="X732">
        <v>0</v>
      </c>
      <c r="Y732" t="str">
        <f t="shared" si="300"/>
        <v>No controla</v>
      </c>
      <c r="Z732">
        <v>2</v>
      </c>
      <c r="AA732">
        <f t="shared" si="301"/>
        <v>2</v>
      </c>
      <c r="AB732" t="str">
        <f t="shared" si="302"/>
        <v>Usualmente</v>
      </c>
      <c r="AC732">
        <v>7.8720000000000005E-3</v>
      </c>
      <c r="AD732">
        <f t="shared" si="303"/>
        <v>0</v>
      </c>
      <c r="AE732" t="str">
        <f t="shared" si="304"/>
        <v>Nunca</v>
      </c>
      <c r="AF732">
        <v>0</v>
      </c>
      <c r="AG732" t="str">
        <f t="shared" si="305"/>
        <v>Nunca</v>
      </c>
      <c r="AH732">
        <v>1</v>
      </c>
      <c r="AI732" t="str">
        <f t="shared" si="306"/>
        <v>Usa auto</v>
      </c>
      <c r="AJ732">
        <v>0</v>
      </c>
      <c r="AK732" t="str">
        <f t="shared" si="307"/>
        <v>No usa</v>
      </c>
      <c r="AL732">
        <v>0</v>
      </c>
      <c r="AM732" t="str">
        <f t="shared" si="308"/>
        <v>No usa</v>
      </c>
      <c r="AN732">
        <v>0</v>
      </c>
      <c r="AO732" t="str">
        <f t="shared" si="309"/>
        <v>No usa</v>
      </c>
      <c r="AP732">
        <v>0</v>
      </c>
      <c r="AQ732" t="str">
        <f t="shared" si="310"/>
        <v>No camina</v>
      </c>
      <c r="AR732">
        <v>0</v>
      </c>
      <c r="AS732" t="str">
        <f t="shared" si="311"/>
        <v>No es obeso</v>
      </c>
    </row>
    <row r="733" spans="1:45" x14ac:dyDescent="0.25">
      <c r="A733">
        <v>1</v>
      </c>
      <c r="B733" t="str">
        <f t="shared" si="286"/>
        <v>M</v>
      </c>
      <c r="C733">
        <v>17000752</v>
      </c>
      <c r="D733">
        <f t="shared" si="287"/>
        <v>46</v>
      </c>
      <c r="E733">
        <f t="shared" si="288"/>
        <v>46</v>
      </c>
      <c r="F733" t="str">
        <f t="shared" si="289"/>
        <v>25-50</v>
      </c>
      <c r="G733">
        <v>1</v>
      </c>
      <c r="H733" t="str">
        <f t="shared" si="290"/>
        <v>Pariente gordo</v>
      </c>
      <c r="I733">
        <v>1</v>
      </c>
      <c r="J733" t="str">
        <f t="shared" si="291"/>
        <v>Hipercaloricos</v>
      </c>
      <c r="K733">
        <v>2559571</v>
      </c>
      <c r="L733">
        <f t="shared" si="292"/>
        <v>1</v>
      </c>
      <c r="M733" t="str">
        <f t="shared" si="293"/>
        <v>Suele comer</v>
      </c>
      <c r="N733">
        <v>3047959</v>
      </c>
      <c r="O733">
        <f t="shared" si="294"/>
        <v>2</v>
      </c>
      <c r="P733" t="str">
        <f t="shared" si="295"/>
        <v>Mas de 3</v>
      </c>
      <c r="Q733">
        <v>1</v>
      </c>
      <c r="R733" t="str">
        <f t="shared" si="296"/>
        <v>A veces</v>
      </c>
      <c r="S733">
        <v>0</v>
      </c>
      <c r="T733" t="str">
        <f t="shared" si="297"/>
        <v>No fuma</v>
      </c>
      <c r="U733">
        <v>2</v>
      </c>
      <c r="V733">
        <f t="shared" si="298"/>
        <v>2</v>
      </c>
      <c r="W733" t="str">
        <f t="shared" si="299"/>
        <v>Siempre</v>
      </c>
      <c r="X733">
        <v>0</v>
      </c>
      <c r="Y733" t="str">
        <f t="shared" si="300"/>
        <v>No controla</v>
      </c>
      <c r="Z733">
        <v>2011646</v>
      </c>
      <c r="AA733">
        <f t="shared" si="301"/>
        <v>3</v>
      </c>
      <c r="AB733" t="str">
        <f t="shared" si="302"/>
        <v>Siempre</v>
      </c>
      <c r="AC733">
        <v>0.58899400000000002</v>
      </c>
      <c r="AD733">
        <f t="shared" si="303"/>
        <v>0</v>
      </c>
      <c r="AE733" t="str">
        <f t="shared" si="304"/>
        <v>Nunca</v>
      </c>
      <c r="AF733">
        <v>0</v>
      </c>
      <c r="AG733" t="str">
        <f t="shared" si="305"/>
        <v>Nunca</v>
      </c>
      <c r="AH733">
        <v>1</v>
      </c>
      <c r="AI733" t="str">
        <f t="shared" si="306"/>
        <v>Usa auto</v>
      </c>
      <c r="AJ733">
        <v>0</v>
      </c>
      <c r="AK733" t="str">
        <f t="shared" si="307"/>
        <v>No usa</v>
      </c>
      <c r="AL733">
        <v>0</v>
      </c>
      <c r="AM733" t="str">
        <f t="shared" si="308"/>
        <v>No usa</v>
      </c>
      <c r="AN733">
        <v>0</v>
      </c>
      <c r="AO733" t="str">
        <f t="shared" si="309"/>
        <v>No usa</v>
      </c>
      <c r="AP733">
        <v>0</v>
      </c>
      <c r="AQ733" t="str">
        <f t="shared" si="310"/>
        <v>No camina</v>
      </c>
      <c r="AR733">
        <v>0</v>
      </c>
      <c r="AS733" t="str">
        <f t="shared" si="311"/>
        <v>No es obeso</v>
      </c>
    </row>
    <row r="734" spans="1:45" x14ac:dyDescent="0.25">
      <c r="A734">
        <v>1</v>
      </c>
      <c r="B734" t="str">
        <f t="shared" si="286"/>
        <v>M</v>
      </c>
      <c r="C734">
        <v>17362129</v>
      </c>
      <c r="D734">
        <f t="shared" si="287"/>
        <v>47</v>
      </c>
      <c r="E734">
        <f t="shared" si="288"/>
        <v>47</v>
      </c>
      <c r="F734" t="str">
        <f t="shared" si="289"/>
        <v>25-50</v>
      </c>
      <c r="G734">
        <v>1</v>
      </c>
      <c r="H734" t="str">
        <f t="shared" si="290"/>
        <v>Pariente gordo</v>
      </c>
      <c r="I734">
        <v>1</v>
      </c>
      <c r="J734" t="str">
        <f t="shared" si="291"/>
        <v>Hipercaloricos</v>
      </c>
      <c r="K734">
        <v>2424977</v>
      </c>
      <c r="L734">
        <f t="shared" si="292"/>
        <v>1</v>
      </c>
      <c r="M734" t="str">
        <f t="shared" si="293"/>
        <v>Suele comer</v>
      </c>
      <c r="N734">
        <v>4</v>
      </c>
      <c r="O734">
        <f t="shared" si="294"/>
        <v>2</v>
      </c>
      <c r="P734" t="str">
        <f t="shared" si="295"/>
        <v>Mas de 3</v>
      </c>
      <c r="Q734">
        <v>1</v>
      </c>
      <c r="R734" t="str">
        <f t="shared" si="296"/>
        <v>A veces</v>
      </c>
      <c r="S734">
        <v>0</v>
      </c>
      <c r="T734" t="str">
        <f t="shared" si="297"/>
        <v>No fuma</v>
      </c>
      <c r="U734">
        <v>2</v>
      </c>
      <c r="V734">
        <f t="shared" si="298"/>
        <v>2</v>
      </c>
      <c r="W734" t="str">
        <f t="shared" si="299"/>
        <v>Siempre</v>
      </c>
      <c r="X734">
        <v>0</v>
      </c>
      <c r="Y734" t="str">
        <f t="shared" si="300"/>
        <v>No controla</v>
      </c>
      <c r="Z734">
        <v>2</v>
      </c>
      <c r="AA734">
        <f t="shared" si="301"/>
        <v>2</v>
      </c>
      <c r="AB734" t="str">
        <f t="shared" si="302"/>
        <v>Usualmente</v>
      </c>
      <c r="AC734">
        <v>3.9210000000000002E-2</v>
      </c>
      <c r="AD734">
        <f t="shared" si="303"/>
        <v>0</v>
      </c>
      <c r="AE734" t="str">
        <f t="shared" si="304"/>
        <v>Nunca</v>
      </c>
      <c r="AF734">
        <v>0</v>
      </c>
      <c r="AG734" t="str">
        <f t="shared" si="305"/>
        <v>Nunca</v>
      </c>
      <c r="AH734">
        <v>1</v>
      </c>
      <c r="AI734" t="str">
        <f t="shared" si="306"/>
        <v>Usa auto</v>
      </c>
      <c r="AJ734">
        <v>0</v>
      </c>
      <c r="AK734" t="str">
        <f t="shared" si="307"/>
        <v>No usa</v>
      </c>
      <c r="AL734">
        <v>0</v>
      </c>
      <c r="AM734" t="str">
        <f t="shared" si="308"/>
        <v>No usa</v>
      </c>
      <c r="AN734">
        <v>0</v>
      </c>
      <c r="AO734" t="str">
        <f t="shared" si="309"/>
        <v>No usa</v>
      </c>
      <c r="AP734">
        <v>0</v>
      </c>
      <c r="AQ734" t="str">
        <f t="shared" si="310"/>
        <v>No camina</v>
      </c>
      <c r="AR734">
        <v>0</v>
      </c>
      <c r="AS734" t="str">
        <f t="shared" si="311"/>
        <v>No es obeso</v>
      </c>
    </row>
    <row r="735" spans="1:45" x14ac:dyDescent="0.25">
      <c r="A735">
        <v>1</v>
      </c>
      <c r="B735" t="str">
        <f t="shared" si="286"/>
        <v>M</v>
      </c>
      <c r="C735">
        <v>18</v>
      </c>
      <c r="D735">
        <f t="shared" si="287"/>
        <v>18</v>
      </c>
      <c r="E735">
        <f t="shared" si="288"/>
        <v>18</v>
      </c>
      <c r="F735" t="str">
        <f t="shared" si="289"/>
        <v>1-25</v>
      </c>
      <c r="G735">
        <v>1</v>
      </c>
      <c r="H735" t="str">
        <f t="shared" si="290"/>
        <v>Pariente gordo</v>
      </c>
      <c r="I735">
        <v>1</v>
      </c>
      <c r="J735" t="str">
        <f t="shared" si="291"/>
        <v>Hipercaloricos</v>
      </c>
      <c r="K735">
        <v>1786841</v>
      </c>
      <c r="L735">
        <f t="shared" si="292"/>
        <v>1</v>
      </c>
      <c r="M735" t="str">
        <f t="shared" si="293"/>
        <v>Suele comer</v>
      </c>
      <c r="N735">
        <v>3</v>
      </c>
      <c r="O735">
        <f t="shared" si="294"/>
        <v>2</v>
      </c>
      <c r="P735" t="str">
        <f t="shared" si="295"/>
        <v>Mas de 3</v>
      </c>
      <c r="Q735">
        <v>1</v>
      </c>
      <c r="R735" t="str">
        <f t="shared" si="296"/>
        <v>A veces</v>
      </c>
      <c r="S735">
        <v>0</v>
      </c>
      <c r="T735" t="str">
        <f t="shared" si="297"/>
        <v>No fuma</v>
      </c>
      <c r="U735">
        <v>1546856</v>
      </c>
      <c r="V735">
        <f t="shared" si="298"/>
        <v>2</v>
      </c>
      <c r="W735" t="str">
        <f t="shared" si="299"/>
        <v>Siempre</v>
      </c>
      <c r="X735">
        <v>0</v>
      </c>
      <c r="Y735" t="str">
        <f t="shared" si="300"/>
        <v>No controla</v>
      </c>
      <c r="Z735">
        <v>0.51209400000000005</v>
      </c>
      <c r="AA735">
        <f t="shared" si="301"/>
        <v>0</v>
      </c>
      <c r="AB735" t="str">
        <f t="shared" si="302"/>
        <v>Nunca</v>
      </c>
      <c r="AC735">
        <v>1608265</v>
      </c>
      <c r="AD735">
        <f t="shared" si="303"/>
        <v>2</v>
      </c>
      <c r="AE735" t="str">
        <f t="shared" si="304"/>
        <v>Siempre</v>
      </c>
      <c r="AF735">
        <v>1</v>
      </c>
      <c r="AG735" t="str">
        <f t="shared" si="305"/>
        <v>A veces</v>
      </c>
      <c r="AH735">
        <v>0</v>
      </c>
      <c r="AI735" t="str">
        <f t="shared" si="306"/>
        <v>No usa</v>
      </c>
      <c r="AJ735">
        <v>0</v>
      </c>
      <c r="AK735" t="str">
        <f t="shared" si="307"/>
        <v>No usa</v>
      </c>
      <c r="AL735">
        <v>0</v>
      </c>
      <c r="AM735" t="str">
        <f t="shared" si="308"/>
        <v>No usa</v>
      </c>
      <c r="AN735">
        <v>1</v>
      </c>
      <c r="AO735" t="str">
        <f t="shared" si="309"/>
        <v>Usa Transporte</v>
      </c>
      <c r="AP735">
        <v>0</v>
      </c>
      <c r="AQ735" t="str">
        <f t="shared" si="310"/>
        <v>No camina</v>
      </c>
      <c r="AR735">
        <v>0</v>
      </c>
      <c r="AS735" t="str">
        <f t="shared" si="311"/>
        <v>No es obeso</v>
      </c>
    </row>
    <row r="736" spans="1:45" x14ac:dyDescent="0.25">
      <c r="A736">
        <v>1</v>
      </c>
      <c r="B736" t="str">
        <f t="shared" si="286"/>
        <v>M</v>
      </c>
      <c r="C736">
        <v>18</v>
      </c>
      <c r="D736">
        <f t="shared" si="287"/>
        <v>18</v>
      </c>
      <c r="E736">
        <f t="shared" si="288"/>
        <v>18</v>
      </c>
      <c r="F736" t="str">
        <f t="shared" si="289"/>
        <v>1-25</v>
      </c>
      <c r="G736">
        <v>1</v>
      </c>
      <c r="H736" t="str">
        <f t="shared" si="290"/>
        <v>Pariente gordo</v>
      </c>
      <c r="I736">
        <v>1</v>
      </c>
      <c r="J736" t="str">
        <f t="shared" si="291"/>
        <v>Hipercaloricos</v>
      </c>
      <c r="K736">
        <v>1303878</v>
      </c>
      <c r="L736">
        <f t="shared" si="292"/>
        <v>1</v>
      </c>
      <c r="M736" t="str">
        <f t="shared" si="293"/>
        <v>Suele comer</v>
      </c>
      <c r="N736">
        <v>3</v>
      </c>
      <c r="O736">
        <f t="shared" si="294"/>
        <v>2</v>
      </c>
      <c r="P736" t="str">
        <f t="shared" si="295"/>
        <v>Mas de 3</v>
      </c>
      <c r="Q736">
        <v>1</v>
      </c>
      <c r="R736" t="str">
        <f t="shared" si="296"/>
        <v>A veces</v>
      </c>
      <c r="S736">
        <v>0</v>
      </c>
      <c r="T736" t="str">
        <f t="shared" si="297"/>
        <v>No fuma</v>
      </c>
      <c r="U736">
        <v>1755497</v>
      </c>
      <c r="V736">
        <f t="shared" si="298"/>
        <v>2</v>
      </c>
      <c r="W736" t="str">
        <f t="shared" si="299"/>
        <v>Siempre</v>
      </c>
      <c r="X736">
        <v>0</v>
      </c>
      <c r="Y736" t="str">
        <f t="shared" si="300"/>
        <v>No controla</v>
      </c>
      <c r="Z736">
        <v>6.2932000000000002E-2</v>
      </c>
      <c r="AA736">
        <f t="shared" si="301"/>
        <v>0</v>
      </c>
      <c r="AB736" t="str">
        <f t="shared" si="302"/>
        <v>Nunca</v>
      </c>
      <c r="AC736">
        <v>1672532</v>
      </c>
      <c r="AD736">
        <f t="shared" si="303"/>
        <v>2</v>
      </c>
      <c r="AE736" t="str">
        <f t="shared" si="304"/>
        <v>Siempre</v>
      </c>
      <c r="AF736">
        <v>1</v>
      </c>
      <c r="AG736" t="str">
        <f t="shared" si="305"/>
        <v>A veces</v>
      </c>
      <c r="AH736">
        <v>0</v>
      </c>
      <c r="AI736" t="str">
        <f t="shared" si="306"/>
        <v>No usa</v>
      </c>
      <c r="AJ736">
        <v>0</v>
      </c>
      <c r="AK736" t="str">
        <f t="shared" si="307"/>
        <v>No usa</v>
      </c>
      <c r="AL736">
        <v>0</v>
      </c>
      <c r="AM736" t="str">
        <f t="shared" si="308"/>
        <v>No usa</v>
      </c>
      <c r="AN736">
        <v>1</v>
      </c>
      <c r="AO736" t="str">
        <f t="shared" si="309"/>
        <v>Usa Transporte</v>
      </c>
      <c r="AP736">
        <v>0</v>
      </c>
      <c r="AQ736" t="str">
        <f t="shared" si="310"/>
        <v>No camina</v>
      </c>
      <c r="AR736">
        <v>0</v>
      </c>
      <c r="AS736" t="str">
        <f t="shared" si="311"/>
        <v>No es obeso</v>
      </c>
    </row>
    <row r="737" spans="1:45" x14ac:dyDescent="0.25">
      <c r="A737">
        <v>1</v>
      </c>
      <c r="B737" t="str">
        <f t="shared" si="286"/>
        <v>M</v>
      </c>
      <c r="C737">
        <v>18</v>
      </c>
      <c r="D737">
        <f t="shared" si="287"/>
        <v>18</v>
      </c>
      <c r="E737">
        <f t="shared" si="288"/>
        <v>18</v>
      </c>
      <c r="F737" t="str">
        <f t="shared" si="289"/>
        <v>1-25</v>
      </c>
      <c r="G737">
        <v>1</v>
      </c>
      <c r="H737" t="str">
        <f t="shared" si="290"/>
        <v>Pariente gordo</v>
      </c>
      <c r="I737">
        <v>1</v>
      </c>
      <c r="J737" t="str">
        <f t="shared" si="291"/>
        <v>Hipercaloricos</v>
      </c>
      <c r="K737">
        <v>1889883</v>
      </c>
      <c r="L737">
        <f t="shared" si="292"/>
        <v>1</v>
      </c>
      <c r="M737" t="str">
        <f t="shared" si="293"/>
        <v>Suele comer</v>
      </c>
      <c r="N737">
        <v>3</v>
      </c>
      <c r="O737">
        <f t="shared" si="294"/>
        <v>2</v>
      </c>
      <c r="P737" t="str">
        <f t="shared" si="295"/>
        <v>Mas de 3</v>
      </c>
      <c r="Q737">
        <v>1</v>
      </c>
      <c r="R737" t="str">
        <f t="shared" si="296"/>
        <v>A veces</v>
      </c>
      <c r="S737">
        <v>0</v>
      </c>
      <c r="T737" t="str">
        <f t="shared" si="297"/>
        <v>No fuma</v>
      </c>
      <c r="U737">
        <v>1959531</v>
      </c>
      <c r="V737">
        <f t="shared" si="298"/>
        <v>2</v>
      </c>
      <c r="W737" t="str">
        <f t="shared" si="299"/>
        <v>Siempre</v>
      </c>
      <c r="X737">
        <v>0</v>
      </c>
      <c r="Y737" t="str">
        <f t="shared" si="300"/>
        <v>No controla</v>
      </c>
      <c r="Z737">
        <v>0.52040699999999995</v>
      </c>
      <c r="AA737">
        <f t="shared" si="301"/>
        <v>0</v>
      </c>
      <c r="AB737" t="str">
        <f t="shared" si="302"/>
        <v>Nunca</v>
      </c>
      <c r="AC737">
        <v>1151166</v>
      </c>
      <c r="AD737">
        <f t="shared" si="303"/>
        <v>2</v>
      </c>
      <c r="AE737" t="str">
        <f t="shared" si="304"/>
        <v>Siempre</v>
      </c>
      <c r="AF737">
        <v>1</v>
      </c>
      <c r="AG737" t="str">
        <f t="shared" si="305"/>
        <v>A veces</v>
      </c>
      <c r="AH737">
        <v>0</v>
      </c>
      <c r="AI737" t="str">
        <f t="shared" si="306"/>
        <v>No usa</v>
      </c>
      <c r="AJ737">
        <v>0</v>
      </c>
      <c r="AK737" t="str">
        <f t="shared" si="307"/>
        <v>No usa</v>
      </c>
      <c r="AL737">
        <v>0</v>
      </c>
      <c r="AM737" t="str">
        <f t="shared" si="308"/>
        <v>No usa</v>
      </c>
      <c r="AN737">
        <v>1</v>
      </c>
      <c r="AO737" t="str">
        <f t="shared" si="309"/>
        <v>Usa Transporte</v>
      </c>
      <c r="AP737">
        <v>0</v>
      </c>
      <c r="AQ737" t="str">
        <f t="shared" si="310"/>
        <v>No camina</v>
      </c>
      <c r="AR737">
        <v>0</v>
      </c>
      <c r="AS737" t="str">
        <f t="shared" si="311"/>
        <v>No es obeso</v>
      </c>
    </row>
    <row r="738" spans="1:45" x14ac:dyDescent="0.25">
      <c r="A738">
        <v>0</v>
      </c>
      <c r="B738" t="str">
        <f t="shared" si="286"/>
        <v>F</v>
      </c>
      <c r="C738">
        <v>19029494</v>
      </c>
      <c r="D738">
        <f t="shared" si="287"/>
        <v>52</v>
      </c>
      <c r="E738">
        <f t="shared" si="288"/>
        <v>52</v>
      </c>
      <c r="F738" t="str">
        <f t="shared" si="289"/>
        <v>50-75</v>
      </c>
      <c r="G738">
        <v>0</v>
      </c>
      <c r="H738" t="str">
        <f t="shared" si="290"/>
        <v>Pariente normal</v>
      </c>
      <c r="I738">
        <v>0</v>
      </c>
      <c r="J738" t="str">
        <f t="shared" si="291"/>
        <v>Saludables</v>
      </c>
      <c r="K738">
        <v>2984004</v>
      </c>
      <c r="L738">
        <f t="shared" si="292"/>
        <v>1</v>
      </c>
      <c r="M738" t="str">
        <f t="shared" si="293"/>
        <v>Suele comer</v>
      </c>
      <c r="N738">
        <v>3</v>
      </c>
      <c r="O738">
        <f t="shared" si="294"/>
        <v>2</v>
      </c>
      <c r="P738" t="str">
        <f t="shared" si="295"/>
        <v>Mas de 3</v>
      </c>
      <c r="Q738">
        <v>2</v>
      </c>
      <c r="R738" t="str">
        <f t="shared" si="296"/>
        <v>Usualmente</v>
      </c>
      <c r="S738">
        <v>0</v>
      </c>
      <c r="T738" t="str">
        <f t="shared" si="297"/>
        <v>No fuma</v>
      </c>
      <c r="U738">
        <v>1015249</v>
      </c>
      <c r="V738">
        <f t="shared" si="298"/>
        <v>2</v>
      </c>
      <c r="W738" t="str">
        <f t="shared" si="299"/>
        <v>Siempre</v>
      </c>
      <c r="X738">
        <v>1</v>
      </c>
      <c r="Y738" t="str">
        <f t="shared" si="300"/>
        <v>Controla</v>
      </c>
      <c r="Z738">
        <v>1327833</v>
      </c>
      <c r="AA738">
        <f t="shared" si="301"/>
        <v>3</v>
      </c>
      <c r="AB738" t="str">
        <f t="shared" si="302"/>
        <v>Siempre</v>
      </c>
      <c r="AC738">
        <v>0</v>
      </c>
      <c r="AD738">
        <f t="shared" si="303"/>
        <v>0</v>
      </c>
      <c r="AE738" t="str">
        <f t="shared" si="304"/>
        <v>Nunca</v>
      </c>
      <c r="AF738">
        <v>1</v>
      </c>
      <c r="AG738" t="str">
        <f t="shared" si="305"/>
        <v>A veces</v>
      </c>
      <c r="AH738">
        <v>0</v>
      </c>
      <c r="AI738" t="str">
        <f t="shared" si="306"/>
        <v>No usa</v>
      </c>
      <c r="AJ738">
        <v>0</v>
      </c>
      <c r="AK738" t="str">
        <f t="shared" si="307"/>
        <v>No usa</v>
      </c>
      <c r="AL738">
        <v>0</v>
      </c>
      <c r="AM738" t="str">
        <f t="shared" si="308"/>
        <v>No usa</v>
      </c>
      <c r="AN738">
        <v>1</v>
      </c>
      <c r="AO738" t="str">
        <f t="shared" si="309"/>
        <v>Usa Transporte</v>
      </c>
      <c r="AP738">
        <v>0</v>
      </c>
      <c r="AQ738" t="str">
        <f t="shared" si="310"/>
        <v>No camina</v>
      </c>
      <c r="AR738">
        <v>0</v>
      </c>
      <c r="AS738" t="str">
        <f t="shared" si="311"/>
        <v>No es obeso</v>
      </c>
    </row>
    <row r="739" spans="1:45" x14ac:dyDescent="0.25">
      <c r="A739">
        <v>0</v>
      </c>
      <c r="B739" t="str">
        <f t="shared" si="286"/>
        <v>F</v>
      </c>
      <c r="C739">
        <v>19269079</v>
      </c>
      <c r="D739">
        <f t="shared" si="287"/>
        <v>52</v>
      </c>
      <c r="E739">
        <f t="shared" si="288"/>
        <v>52</v>
      </c>
      <c r="F739" t="str">
        <f t="shared" si="289"/>
        <v>50-75</v>
      </c>
      <c r="G739">
        <v>0</v>
      </c>
      <c r="H739" t="str">
        <f t="shared" si="290"/>
        <v>Pariente normal</v>
      </c>
      <c r="I739">
        <v>0</v>
      </c>
      <c r="J739" t="str">
        <f t="shared" si="291"/>
        <v>Saludables</v>
      </c>
      <c r="K739">
        <v>3</v>
      </c>
      <c r="L739">
        <f t="shared" si="292"/>
        <v>1</v>
      </c>
      <c r="M739" t="str">
        <f t="shared" si="293"/>
        <v>Suele comer</v>
      </c>
      <c r="N739">
        <v>2975362</v>
      </c>
      <c r="O739">
        <f t="shared" si="294"/>
        <v>2</v>
      </c>
      <c r="P739" t="str">
        <f t="shared" si="295"/>
        <v>Mas de 3</v>
      </c>
      <c r="Q739">
        <v>2</v>
      </c>
      <c r="R739" t="str">
        <f t="shared" si="296"/>
        <v>Usualmente</v>
      </c>
      <c r="S739">
        <v>0</v>
      </c>
      <c r="T739" t="str">
        <f t="shared" si="297"/>
        <v>No fuma</v>
      </c>
      <c r="U739">
        <v>1246822</v>
      </c>
      <c r="V739">
        <f t="shared" si="298"/>
        <v>2</v>
      </c>
      <c r="W739" t="str">
        <f t="shared" si="299"/>
        <v>Siempre</v>
      </c>
      <c r="X739">
        <v>1</v>
      </c>
      <c r="Y739" t="str">
        <f t="shared" si="300"/>
        <v>Controla</v>
      </c>
      <c r="Z739">
        <v>0.97970100000000004</v>
      </c>
      <c r="AA739">
        <f t="shared" si="301"/>
        <v>0</v>
      </c>
      <c r="AB739" t="str">
        <f t="shared" si="302"/>
        <v>Nunca</v>
      </c>
      <c r="AC739">
        <v>0</v>
      </c>
      <c r="AD739">
        <f t="shared" si="303"/>
        <v>0</v>
      </c>
      <c r="AE739" t="str">
        <f t="shared" si="304"/>
        <v>Nunca</v>
      </c>
      <c r="AF739">
        <v>1</v>
      </c>
      <c r="AG739" t="str">
        <f t="shared" si="305"/>
        <v>A veces</v>
      </c>
      <c r="AH739">
        <v>0</v>
      </c>
      <c r="AI739" t="str">
        <f t="shared" si="306"/>
        <v>No usa</v>
      </c>
      <c r="AJ739">
        <v>0</v>
      </c>
      <c r="AK739" t="str">
        <f t="shared" si="307"/>
        <v>No usa</v>
      </c>
      <c r="AL739">
        <v>0</v>
      </c>
      <c r="AM739" t="str">
        <f t="shared" si="308"/>
        <v>No usa</v>
      </c>
      <c r="AN739">
        <v>1</v>
      </c>
      <c r="AO739" t="str">
        <f t="shared" si="309"/>
        <v>Usa Transporte</v>
      </c>
      <c r="AP739">
        <v>0</v>
      </c>
      <c r="AQ739" t="str">
        <f t="shared" si="310"/>
        <v>No camina</v>
      </c>
      <c r="AR739">
        <v>0</v>
      </c>
      <c r="AS739" t="str">
        <f t="shared" si="311"/>
        <v>No es obeso</v>
      </c>
    </row>
    <row r="740" spans="1:45" x14ac:dyDescent="0.25">
      <c r="A740">
        <v>0</v>
      </c>
      <c r="B740" t="str">
        <f t="shared" si="286"/>
        <v>F</v>
      </c>
      <c r="C740">
        <v>19946244</v>
      </c>
      <c r="D740">
        <f t="shared" si="287"/>
        <v>54</v>
      </c>
      <c r="E740">
        <f t="shared" si="288"/>
        <v>54</v>
      </c>
      <c r="F740" t="str">
        <f t="shared" si="289"/>
        <v>50-75</v>
      </c>
      <c r="G740">
        <v>0</v>
      </c>
      <c r="H740" t="str">
        <f t="shared" si="290"/>
        <v>Pariente normal</v>
      </c>
      <c r="I740">
        <v>0</v>
      </c>
      <c r="J740" t="str">
        <f t="shared" si="291"/>
        <v>Saludables</v>
      </c>
      <c r="K740">
        <v>3</v>
      </c>
      <c r="L740">
        <f t="shared" si="292"/>
        <v>1</v>
      </c>
      <c r="M740" t="str">
        <f t="shared" si="293"/>
        <v>Suele comer</v>
      </c>
      <c r="N740">
        <v>3</v>
      </c>
      <c r="O740">
        <f t="shared" si="294"/>
        <v>2</v>
      </c>
      <c r="P740" t="str">
        <f t="shared" si="295"/>
        <v>Mas de 3</v>
      </c>
      <c r="Q740">
        <v>2</v>
      </c>
      <c r="R740" t="str">
        <f t="shared" si="296"/>
        <v>Usualmente</v>
      </c>
      <c r="S740">
        <v>0</v>
      </c>
      <c r="T740" t="str">
        <f t="shared" si="297"/>
        <v>No fuma</v>
      </c>
      <c r="U740">
        <v>2487919</v>
      </c>
      <c r="V740">
        <f t="shared" si="298"/>
        <v>2</v>
      </c>
      <c r="W740" t="str">
        <f t="shared" si="299"/>
        <v>Siempre</v>
      </c>
      <c r="X740">
        <v>1</v>
      </c>
      <c r="Y740" t="str">
        <f t="shared" si="300"/>
        <v>Controla</v>
      </c>
      <c r="Z740">
        <v>1230441</v>
      </c>
      <c r="AA740">
        <f t="shared" si="301"/>
        <v>3</v>
      </c>
      <c r="AB740" t="str">
        <f t="shared" si="302"/>
        <v>Siempre</v>
      </c>
      <c r="AC740">
        <v>0</v>
      </c>
      <c r="AD740">
        <f t="shared" si="303"/>
        <v>0</v>
      </c>
      <c r="AE740" t="str">
        <f t="shared" si="304"/>
        <v>Nunca</v>
      </c>
      <c r="AF740">
        <v>1</v>
      </c>
      <c r="AG740" t="str">
        <f t="shared" si="305"/>
        <v>A veces</v>
      </c>
      <c r="AH740">
        <v>0</v>
      </c>
      <c r="AI740" t="str">
        <f t="shared" si="306"/>
        <v>No usa</v>
      </c>
      <c r="AJ740">
        <v>0</v>
      </c>
      <c r="AK740" t="str">
        <f t="shared" si="307"/>
        <v>No usa</v>
      </c>
      <c r="AL740">
        <v>0</v>
      </c>
      <c r="AM740" t="str">
        <f t="shared" si="308"/>
        <v>No usa</v>
      </c>
      <c r="AN740">
        <v>1</v>
      </c>
      <c r="AO740" t="str">
        <f t="shared" si="309"/>
        <v>Usa Transporte</v>
      </c>
      <c r="AP740">
        <v>0</v>
      </c>
      <c r="AQ740" t="str">
        <f t="shared" si="310"/>
        <v>No camina</v>
      </c>
      <c r="AR740">
        <v>0</v>
      </c>
      <c r="AS740" t="str">
        <f t="shared" si="311"/>
        <v>No es obeso</v>
      </c>
    </row>
    <row r="741" spans="1:45" x14ac:dyDescent="0.25">
      <c r="A741">
        <v>0</v>
      </c>
      <c r="B741" t="str">
        <f t="shared" si="286"/>
        <v>F</v>
      </c>
      <c r="C741">
        <v>19639431</v>
      </c>
      <c r="D741">
        <f t="shared" si="287"/>
        <v>53</v>
      </c>
      <c r="E741">
        <f t="shared" si="288"/>
        <v>53</v>
      </c>
      <c r="F741" t="str">
        <f t="shared" si="289"/>
        <v>50-75</v>
      </c>
      <c r="G741">
        <v>0</v>
      </c>
      <c r="H741" t="str">
        <f t="shared" si="290"/>
        <v>Pariente normal</v>
      </c>
      <c r="I741">
        <v>1</v>
      </c>
      <c r="J741" t="str">
        <f t="shared" si="291"/>
        <v>Hipercaloricos</v>
      </c>
      <c r="K741">
        <v>3</v>
      </c>
      <c r="L741">
        <f t="shared" si="292"/>
        <v>1</v>
      </c>
      <c r="M741" t="str">
        <f t="shared" si="293"/>
        <v>Suele comer</v>
      </c>
      <c r="N741">
        <v>1</v>
      </c>
      <c r="O741">
        <f t="shared" si="294"/>
        <v>1</v>
      </c>
      <c r="P741">
        <f t="shared" si="295"/>
        <v>3</v>
      </c>
      <c r="Q741">
        <v>2</v>
      </c>
      <c r="R741" t="str">
        <f t="shared" si="296"/>
        <v>Usualmente</v>
      </c>
      <c r="S741">
        <v>0</v>
      </c>
      <c r="T741" t="str">
        <f t="shared" si="297"/>
        <v>No fuma</v>
      </c>
      <c r="U741">
        <v>149681</v>
      </c>
      <c r="V741">
        <f t="shared" si="298"/>
        <v>2</v>
      </c>
      <c r="W741" t="str">
        <f t="shared" si="299"/>
        <v>Siempre</v>
      </c>
      <c r="X741">
        <v>0</v>
      </c>
      <c r="Y741" t="str">
        <f t="shared" si="300"/>
        <v>No controla</v>
      </c>
      <c r="Z741">
        <v>0</v>
      </c>
      <c r="AA741">
        <f t="shared" si="301"/>
        <v>0</v>
      </c>
      <c r="AB741" t="str">
        <f t="shared" si="302"/>
        <v>Nunca</v>
      </c>
      <c r="AC741">
        <v>0.51342699999999997</v>
      </c>
      <c r="AD741">
        <f t="shared" si="303"/>
        <v>0</v>
      </c>
      <c r="AE741" t="str">
        <f t="shared" si="304"/>
        <v>Nunca</v>
      </c>
      <c r="AF741">
        <v>1</v>
      </c>
      <c r="AG741" t="str">
        <f t="shared" si="305"/>
        <v>A veces</v>
      </c>
      <c r="AH741">
        <v>0</v>
      </c>
      <c r="AI741" t="str">
        <f t="shared" si="306"/>
        <v>No usa</v>
      </c>
      <c r="AJ741">
        <v>0</v>
      </c>
      <c r="AK741" t="str">
        <f t="shared" si="307"/>
        <v>No usa</v>
      </c>
      <c r="AL741">
        <v>0</v>
      </c>
      <c r="AM741" t="str">
        <f t="shared" si="308"/>
        <v>No usa</v>
      </c>
      <c r="AN741">
        <v>1</v>
      </c>
      <c r="AO741" t="str">
        <f t="shared" si="309"/>
        <v>Usa Transporte</v>
      </c>
      <c r="AP741">
        <v>0</v>
      </c>
      <c r="AQ741" t="str">
        <f t="shared" si="310"/>
        <v>No camina</v>
      </c>
      <c r="AR741">
        <v>0</v>
      </c>
      <c r="AS741" t="str">
        <f t="shared" si="311"/>
        <v>No es obeso</v>
      </c>
    </row>
    <row r="742" spans="1:45" x14ac:dyDescent="0.25">
      <c r="A742">
        <v>0</v>
      </c>
      <c r="B742" t="str">
        <f t="shared" si="286"/>
        <v>F</v>
      </c>
      <c r="C742">
        <v>19</v>
      </c>
      <c r="D742">
        <f t="shared" si="287"/>
        <v>19</v>
      </c>
      <c r="E742">
        <f t="shared" si="288"/>
        <v>19</v>
      </c>
      <c r="F742" t="str">
        <f t="shared" si="289"/>
        <v>1-25</v>
      </c>
      <c r="G742">
        <v>0</v>
      </c>
      <c r="H742" t="str">
        <f t="shared" si="290"/>
        <v>Pariente normal</v>
      </c>
      <c r="I742">
        <v>1</v>
      </c>
      <c r="J742" t="str">
        <f t="shared" si="291"/>
        <v>Hipercaloricos</v>
      </c>
      <c r="K742">
        <v>2749268</v>
      </c>
      <c r="L742">
        <f t="shared" si="292"/>
        <v>1</v>
      </c>
      <c r="M742" t="str">
        <f t="shared" si="293"/>
        <v>Suele comer</v>
      </c>
      <c r="N742">
        <v>1394539</v>
      </c>
      <c r="O742">
        <f t="shared" si="294"/>
        <v>2</v>
      </c>
      <c r="P742" t="str">
        <f t="shared" si="295"/>
        <v>Mas de 3</v>
      </c>
      <c r="Q742">
        <v>2</v>
      </c>
      <c r="R742" t="str">
        <f t="shared" si="296"/>
        <v>Usualmente</v>
      </c>
      <c r="S742">
        <v>0</v>
      </c>
      <c r="T742" t="str">
        <f t="shared" si="297"/>
        <v>No fuma</v>
      </c>
      <c r="U742">
        <v>1322048</v>
      </c>
      <c r="V742">
        <f t="shared" si="298"/>
        <v>2</v>
      </c>
      <c r="W742" t="str">
        <f t="shared" si="299"/>
        <v>Siempre</v>
      </c>
      <c r="X742">
        <v>0</v>
      </c>
      <c r="Y742" t="str">
        <f t="shared" si="300"/>
        <v>No controla</v>
      </c>
      <c r="Z742">
        <v>0.463949</v>
      </c>
      <c r="AA742">
        <f t="shared" si="301"/>
        <v>0</v>
      </c>
      <c r="AB742" t="str">
        <f t="shared" si="302"/>
        <v>Nunca</v>
      </c>
      <c r="AC742">
        <v>0.80099299999999996</v>
      </c>
      <c r="AD742">
        <f t="shared" si="303"/>
        <v>0</v>
      </c>
      <c r="AE742" t="str">
        <f t="shared" si="304"/>
        <v>Nunca</v>
      </c>
      <c r="AF742">
        <v>1</v>
      </c>
      <c r="AG742" t="str">
        <f t="shared" si="305"/>
        <v>A veces</v>
      </c>
      <c r="AH742">
        <v>0</v>
      </c>
      <c r="AI742" t="str">
        <f t="shared" si="306"/>
        <v>No usa</v>
      </c>
      <c r="AJ742">
        <v>0</v>
      </c>
      <c r="AK742" t="str">
        <f t="shared" si="307"/>
        <v>No usa</v>
      </c>
      <c r="AL742">
        <v>0</v>
      </c>
      <c r="AM742" t="str">
        <f t="shared" si="308"/>
        <v>No usa</v>
      </c>
      <c r="AN742">
        <v>1</v>
      </c>
      <c r="AO742" t="str">
        <f t="shared" si="309"/>
        <v>Usa Transporte</v>
      </c>
      <c r="AP742">
        <v>0</v>
      </c>
      <c r="AQ742" t="str">
        <f t="shared" si="310"/>
        <v>No camina</v>
      </c>
      <c r="AR742">
        <v>0</v>
      </c>
      <c r="AS742" t="str">
        <f t="shared" si="311"/>
        <v>No es obeso</v>
      </c>
    </row>
    <row r="743" spans="1:45" x14ac:dyDescent="0.25">
      <c r="A743">
        <v>0</v>
      </c>
      <c r="B743" t="str">
        <f t="shared" si="286"/>
        <v>F</v>
      </c>
      <c r="C743">
        <v>19434709</v>
      </c>
      <c r="D743">
        <f t="shared" si="287"/>
        <v>53</v>
      </c>
      <c r="E743">
        <f t="shared" si="288"/>
        <v>53</v>
      </c>
      <c r="F743" t="str">
        <f t="shared" si="289"/>
        <v>50-75</v>
      </c>
      <c r="G743">
        <v>0</v>
      </c>
      <c r="H743" t="str">
        <f t="shared" si="290"/>
        <v>Pariente normal</v>
      </c>
      <c r="I743">
        <v>1</v>
      </c>
      <c r="J743" t="str">
        <f t="shared" si="291"/>
        <v>Hipercaloricos</v>
      </c>
      <c r="K743">
        <v>3</v>
      </c>
      <c r="L743">
        <f t="shared" si="292"/>
        <v>1</v>
      </c>
      <c r="M743" t="str">
        <f t="shared" si="293"/>
        <v>Suele comer</v>
      </c>
      <c r="N743">
        <v>1</v>
      </c>
      <c r="O743">
        <f t="shared" si="294"/>
        <v>1</v>
      </c>
      <c r="P743">
        <f t="shared" si="295"/>
        <v>3</v>
      </c>
      <c r="Q743">
        <v>2</v>
      </c>
      <c r="R743" t="str">
        <f t="shared" si="296"/>
        <v>Usualmente</v>
      </c>
      <c r="S743">
        <v>0</v>
      </c>
      <c r="T743" t="str">
        <f t="shared" si="297"/>
        <v>No fuma</v>
      </c>
      <c r="U743">
        <v>1764055</v>
      </c>
      <c r="V743">
        <f t="shared" si="298"/>
        <v>2</v>
      </c>
      <c r="W743" t="str">
        <f t="shared" si="299"/>
        <v>Siempre</v>
      </c>
      <c r="X743">
        <v>0</v>
      </c>
      <c r="Y743" t="str">
        <f t="shared" si="300"/>
        <v>No controla</v>
      </c>
      <c r="Z743">
        <v>0</v>
      </c>
      <c r="AA743">
        <f t="shared" si="301"/>
        <v>0</v>
      </c>
      <c r="AB743" t="str">
        <f t="shared" si="302"/>
        <v>Nunca</v>
      </c>
      <c r="AC743">
        <v>0.56088700000000002</v>
      </c>
      <c r="AD743">
        <f t="shared" si="303"/>
        <v>0</v>
      </c>
      <c r="AE743" t="str">
        <f t="shared" si="304"/>
        <v>Nunca</v>
      </c>
      <c r="AF743">
        <v>1</v>
      </c>
      <c r="AG743" t="str">
        <f t="shared" si="305"/>
        <v>A veces</v>
      </c>
      <c r="AH743">
        <v>0</v>
      </c>
      <c r="AI743" t="str">
        <f t="shared" si="306"/>
        <v>No usa</v>
      </c>
      <c r="AJ743">
        <v>0</v>
      </c>
      <c r="AK743" t="str">
        <f t="shared" si="307"/>
        <v>No usa</v>
      </c>
      <c r="AL743">
        <v>0</v>
      </c>
      <c r="AM743" t="str">
        <f t="shared" si="308"/>
        <v>No usa</v>
      </c>
      <c r="AN743">
        <v>1</v>
      </c>
      <c r="AO743" t="str">
        <f t="shared" si="309"/>
        <v>Usa Transporte</v>
      </c>
      <c r="AP743">
        <v>0</v>
      </c>
      <c r="AQ743" t="str">
        <f t="shared" si="310"/>
        <v>No camina</v>
      </c>
      <c r="AR743">
        <v>0</v>
      </c>
      <c r="AS743" t="str">
        <f t="shared" si="311"/>
        <v>No es obeso</v>
      </c>
    </row>
    <row r="744" spans="1:45" x14ac:dyDescent="0.25">
      <c r="A744">
        <v>1</v>
      </c>
      <c r="B744" t="str">
        <f t="shared" si="286"/>
        <v>M</v>
      </c>
      <c r="C744">
        <v>18</v>
      </c>
      <c r="D744">
        <f t="shared" si="287"/>
        <v>18</v>
      </c>
      <c r="E744">
        <f t="shared" si="288"/>
        <v>18</v>
      </c>
      <c r="F744" t="str">
        <f t="shared" si="289"/>
        <v>1-25</v>
      </c>
      <c r="G744">
        <v>1</v>
      </c>
      <c r="H744" t="str">
        <f t="shared" si="290"/>
        <v>Pariente gordo</v>
      </c>
      <c r="I744">
        <v>1</v>
      </c>
      <c r="J744" t="str">
        <f t="shared" si="291"/>
        <v>Hipercaloricos</v>
      </c>
      <c r="K744">
        <v>1202075</v>
      </c>
      <c r="L744">
        <f t="shared" si="292"/>
        <v>1</v>
      </c>
      <c r="M744" t="str">
        <f t="shared" si="293"/>
        <v>Suele comer</v>
      </c>
      <c r="N744">
        <v>3</v>
      </c>
      <c r="O744">
        <f t="shared" si="294"/>
        <v>2</v>
      </c>
      <c r="P744" t="str">
        <f t="shared" si="295"/>
        <v>Mas de 3</v>
      </c>
      <c r="Q744">
        <v>1</v>
      </c>
      <c r="R744" t="str">
        <f t="shared" si="296"/>
        <v>A veces</v>
      </c>
      <c r="S744">
        <v>0</v>
      </c>
      <c r="T744" t="str">
        <f t="shared" si="297"/>
        <v>No fuma</v>
      </c>
      <c r="U744">
        <v>1927976</v>
      </c>
      <c r="V744">
        <f t="shared" si="298"/>
        <v>2</v>
      </c>
      <c r="W744" t="str">
        <f t="shared" si="299"/>
        <v>Siempre</v>
      </c>
      <c r="X744">
        <v>0</v>
      </c>
      <c r="Y744" t="str">
        <f t="shared" si="300"/>
        <v>No controla</v>
      </c>
      <c r="Z744">
        <v>2.3574000000000001E-2</v>
      </c>
      <c r="AA744">
        <f t="shared" si="301"/>
        <v>0</v>
      </c>
      <c r="AB744" t="str">
        <f t="shared" si="302"/>
        <v>Nunca</v>
      </c>
      <c r="AC744">
        <v>1747256</v>
      </c>
      <c r="AD744">
        <f t="shared" si="303"/>
        <v>2</v>
      </c>
      <c r="AE744" t="str">
        <f t="shared" si="304"/>
        <v>Siempre</v>
      </c>
      <c r="AF744">
        <v>1</v>
      </c>
      <c r="AG744" t="str">
        <f t="shared" si="305"/>
        <v>A veces</v>
      </c>
      <c r="AH744">
        <v>0</v>
      </c>
      <c r="AI744" t="str">
        <f t="shared" si="306"/>
        <v>No usa</v>
      </c>
      <c r="AJ744">
        <v>0</v>
      </c>
      <c r="AK744" t="str">
        <f t="shared" si="307"/>
        <v>No usa</v>
      </c>
      <c r="AL744">
        <v>0</v>
      </c>
      <c r="AM744" t="str">
        <f t="shared" si="308"/>
        <v>No usa</v>
      </c>
      <c r="AN744">
        <v>1</v>
      </c>
      <c r="AO744" t="str">
        <f t="shared" si="309"/>
        <v>Usa Transporte</v>
      </c>
      <c r="AP744">
        <v>0</v>
      </c>
      <c r="AQ744" t="str">
        <f t="shared" si="310"/>
        <v>No camina</v>
      </c>
      <c r="AR744">
        <v>0</v>
      </c>
      <c r="AS744" t="str">
        <f t="shared" si="311"/>
        <v>No es obeso</v>
      </c>
    </row>
    <row r="745" spans="1:45" x14ac:dyDescent="0.25">
      <c r="A745">
        <v>1</v>
      </c>
      <c r="B745" t="str">
        <f t="shared" si="286"/>
        <v>M</v>
      </c>
      <c r="C745">
        <v>18381382</v>
      </c>
      <c r="D745">
        <f t="shared" si="287"/>
        <v>50</v>
      </c>
      <c r="E745">
        <f t="shared" si="288"/>
        <v>50</v>
      </c>
      <c r="F745" t="str">
        <f t="shared" si="289"/>
        <v>25-50</v>
      </c>
      <c r="G745">
        <v>1</v>
      </c>
      <c r="H745" t="str">
        <f t="shared" si="290"/>
        <v>Pariente gordo</v>
      </c>
      <c r="I745">
        <v>1</v>
      </c>
      <c r="J745" t="str">
        <f t="shared" si="291"/>
        <v>Hipercaloricos</v>
      </c>
      <c r="K745">
        <v>2</v>
      </c>
      <c r="L745">
        <f t="shared" si="292"/>
        <v>1</v>
      </c>
      <c r="M745" t="str">
        <f t="shared" si="293"/>
        <v>Suele comer</v>
      </c>
      <c r="N745">
        <v>3131032</v>
      </c>
      <c r="O745">
        <f t="shared" si="294"/>
        <v>2</v>
      </c>
      <c r="P745" t="str">
        <f t="shared" si="295"/>
        <v>Mas de 3</v>
      </c>
      <c r="Q745">
        <v>1</v>
      </c>
      <c r="R745" t="str">
        <f t="shared" si="296"/>
        <v>A veces</v>
      </c>
      <c r="S745">
        <v>0</v>
      </c>
      <c r="T745" t="str">
        <f t="shared" si="297"/>
        <v>No fuma</v>
      </c>
      <c r="U745">
        <v>2072194</v>
      </c>
      <c r="V745">
        <f t="shared" si="298"/>
        <v>2</v>
      </c>
      <c r="W745" t="str">
        <f t="shared" si="299"/>
        <v>Siempre</v>
      </c>
      <c r="X745">
        <v>0</v>
      </c>
      <c r="Y745" t="str">
        <f t="shared" si="300"/>
        <v>No controla</v>
      </c>
      <c r="Z745">
        <v>1487987</v>
      </c>
      <c r="AA745">
        <f t="shared" si="301"/>
        <v>3</v>
      </c>
      <c r="AB745" t="str">
        <f t="shared" si="302"/>
        <v>Siempre</v>
      </c>
      <c r="AC745">
        <v>2</v>
      </c>
      <c r="AD745">
        <f t="shared" si="303"/>
        <v>2</v>
      </c>
      <c r="AE745" t="str">
        <f t="shared" si="304"/>
        <v>Siempre</v>
      </c>
      <c r="AF745">
        <v>1</v>
      </c>
      <c r="AG745" t="str">
        <f t="shared" si="305"/>
        <v>A veces</v>
      </c>
      <c r="AH745">
        <v>0</v>
      </c>
      <c r="AI745" t="str">
        <f t="shared" si="306"/>
        <v>No usa</v>
      </c>
      <c r="AJ745">
        <v>0</v>
      </c>
      <c r="AK745" t="str">
        <f t="shared" si="307"/>
        <v>No usa</v>
      </c>
      <c r="AL745">
        <v>0</v>
      </c>
      <c r="AM745" t="str">
        <f t="shared" si="308"/>
        <v>No usa</v>
      </c>
      <c r="AN745">
        <v>1</v>
      </c>
      <c r="AO745" t="str">
        <f t="shared" si="309"/>
        <v>Usa Transporte</v>
      </c>
      <c r="AP745">
        <v>0</v>
      </c>
      <c r="AQ745" t="str">
        <f t="shared" si="310"/>
        <v>No camina</v>
      </c>
      <c r="AR745">
        <v>0</v>
      </c>
      <c r="AS745" t="str">
        <f t="shared" si="311"/>
        <v>No es obeso</v>
      </c>
    </row>
    <row r="746" spans="1:45" x14ac:dyDescent="0.25">
      <c r="A746">
        <v>1</v>
      </c>
      <c r="B746" t="str">
        <f t="shared" si="286"/>
        <v>M</v>
      </c>
      <c r="C746">
        <v>18</v>
      </c>
      <c r="D746">
        <f t="shared" si="287"/>
        <v>18</v>
      </c>
      <c r="E746">
        <f t="shared" si="288"/>
        <v>18</v>
      </c>
      <c r="F746" t="str">
        <f t="shared" si="289"/>
        <v>1-25</v>
      </c>
      <c r="G746">
        <v>1</v>
      </c>
      <c r="H746" t="str">
        <f t="shared" si="290"/>
        <v>Pariente gordo</v>
      </c>
      <c r="I746">
        <v>1</v>
      </c>
      <c r="J746" t="str">
        <f t="shared" si="291"/>
        <v>Hipercaloricos</v>
      </c>
      <c r="K746">
        <v>1871213</v>
      </c>
      <c r="L746">
        <f t="shared" si="292"/>
        <v>1</v>
      </c>
      <c r="M746" t="str">
        <f t="shared" si="293"/>
        <v>Suele comer</v>
      </c>
      <c r="N746">
        <v>3</v>
      </c>
      <c r="O746">
        <f t="shared" si="294"/>
        <v>2</v>
      </c>
      <c r="P746" t="str">
        <f t="shared" si="295"/>
        <v>Mas de 3</v>
      </c>
      <c r="Q746">
        <v>1</v>
      </c>
      <c r="R746" t="str">
        <f t="shared" si="296"/>
        <v>A veces</v>
      </c>
      <c r="S746">
        <v>0</v>
      </c>
      <c r="T746" t="str">
        <f t="shared" si="297"/>
        <v>No fuma</v>
      </c>
      <c r="U746">
        <v>1283738</v>
      </c>
      <c r="V746">
        <f t="shared" si="298"/>
        <v>2</v>
      </c>
      <c r="W746" t="str">
        <f t="shared" si="299"/>
        <v>Siempre</v>
      </c>
      <c r="X746">
        <v>0</v>
      </c>
      <c r="Y746" t="str">
        <f t="shared" si="300"/>
        <v>No controla</v>
      </c>
      <c r="Z746">
        <v>0.68487900000000002</v>
      </c>
      <c r="AA746">
        <f t="shared" si="301"/>
        <v>0</v>
      </c>
      <c r="AB746" t="str">
        <f t="shared" si="302"/>
        <v>Nunca</v>
      </c>
      <c r="AC746">
        <v>1487223</v>
      </c>
      <c r="AD746">
        <f t="shared" si="303"/>
        <v>2</v>
      </c>
      <c r="AE746" t="str">
        <f t="shared" si="304"/>
        <v>Siempre</v>
      </c>
      <c r="AF746">
        <v>1</v>
      </c>
      <c r="AG746" t="str">
        <f t="shared" si="305"/>
        <v>A veces</v>
      </c>
      <c r="AH746">
        <v>0</v>
      </c>
      <c r="AI746" t="str">
        <f t="shared" si="306"/>
        <v>No usa</v>
      </c>
      <c r="AJ746">
        <v>0</v>
      </c>
      <c r="AK746" t="str">
        <f t="shared" si="307"/>
        <v>No usa</v>
      </c>
      <c r="AL746">
        <v>0</v>
      </c>
      <c r="AM746" t="str">
        <f t="shared" si="308"/>
        <v>No usa</v>
      </c>
      <c r="AN746">
        <v>1</v>
      </c>
      <c r="AO746" t="str">
        <f t="shared" si="309"/>
        <v>Usa Transporte</v>
      </c>
      <c r="AP746">
        <v>0</v>
      </c>
      <c r="AQ746" t="str">
        <f t="shared" si="310"/>
        <v>No camina</v>
      </c>
      <c r="AR746">
        <v>0</v>
      </c>
      <c r="AS746" t="str">
        <f t="shared" si="311"/>
        <v>No es obeso</v>
      </c>
    </row>
    <row r="747" spans="1:45" x14ac:dyDescent="0.25">
      <c r="A747">
        <v>1</v>
      </c>
      <c r="B747" t="str">
        <f t="shared" si="286"/>
        <v>M</v>
      </c>
      <c r="C747">
        <v>2669858</v>
      </c>
      <c r="D747">
        <f t="shared" si="287"/>
        <v>7</v>
      </c>
      <c r="E747">
        <f t="shared" si="288"/>
        <v>7</v>
      </c>
      <c r="F747" t="str">
        <f t="shared" si="289"/>
        <v>1-25</v>
      </c>
      <c r="G747">
        <v>0</v>
      </c>
      <c r="H747" t="str">
        <f t="shared" si="290"/>
        <v>Pariente normal</v>
      </c>
      <c r="I747">
        <v>1</v>
      </c>
      <c r="J747" t="str">
        <f t="shared" si="291"/>
        <v>Hipercaloricos</v>
      </c>
      <c r="K747">
        <v>2341133</v>
      </c>
      <c r="L747">
        <f t="shared" si="292"/>
        <v>1</v>
      </c>
      <c r="M747" t="str">
        <f t="shared" si="293"/>
        <v>Suele comer</v>
      </c>
      <c r="N747">
        <v>1578521</v>
      </c>
      <c r="O747">
        <f t="shared" si="294"/>
        <v>2</v>
      </c>
      <c r="P747" t="str">
        <f t="shared" si="295"/>
        <v>Mas de 3</v>
      </c>
      <c r="Q747">
        <v>1</v>
      </c>
      <c r="R747" t="str">
        <f t="shared" si="296"/>
        <v>A veces</v>
      </c>
      <c r="S747">
        <v>0</v>
      </c>
      <c r="T747" t="str">
        <f t="shared" si="297"/>
        <v>No fuma</v>
      </c>
      <c r="U747">
        <v>2</v>
      </c>
      <c r="V747">
        <f t="shared" si="298"/>
        <v>2</v>
      </c>
      <c r="W747" t="str">
        <f t="shared" si="299"/>
        <v>Siempre</v>
      </c>
      <c r="X747">
        <v>0</v>
      </c>
      <c r="Y747" t="str">
        <f t="shared" si="300"/>
        <v>No controla</v>
      </c>
      <c r="Z747">
        <v>2</v>
      </c>
      <c r="AA747">
        <f t="shared" si="301"/>
        <v>2</v>
      </c>
      <c r="AB747" t="str">
        <f t="shared" si="302"/>
        <v>Usualmente</v>
      </c>
      <c r="AC747">
        <v>0.55407200000000001</v>
      </c>
      <c r="AD747">
        <f t="shared" si="303"/>
        <v>0</v>
      </c>
      <c r="AE747" t="str">
        <f t="shared" si="304"/>
        <v>Nunca</v>
      </c>
      <c r="AF747">
        <v>0</v>
      </c>
      <c r="AG747" t="str">
        <f t="shared" si="305"/>
        <v>Nunca</v>
      </c>
      <c r="AH747">
        <v>1</v>
      </c>
      <c r="AI747" t="str">
        <f t="shared" si="306"/>
        <v>Usa auto</v>
      </c>
      <c r="AJ747">
        <v>0</v>
      </c>
      <c r="AK747" t="str">
        <f t="shared" si="307"/>
        <v>No usa</v>
      </c>
      <c r="AL747">
        <v>0</v>
      </c>
      <c r="AM747" t="str">
        <f t="shared" si="308"/>
        <v>No usa</v>
      </c>
      <c r="AN747">
        <v>0</v>
      </c>
      <c r="AO747" t="str">
        <f t="shared" si="309"/>
        <v>No usa</v>
      </c>
      <c r="AP747">
        <v>0</v>
      </c>
      <c r="AQ747" t="str">
        <f t="shared" si="310"/>
        <v>No camina</v>
      </c>
      <c r="AR747">
        <v>0</v>
      </c>
      <c r="AS747" t="str">
        <f t="shared" si="311"/>
        <v>No es obeso</v>
      </c>
    </row>
    <row r="748" spans="1:45" x14ac:dyDescent="0.25">
      <c r="A748">
        <v>1</v>
      </c>
      <c r="B748" t="str">
        <f t="shared" si="286"/>
        <v>M</v>
      </c>
      <c r="C748">
        <v>21125836</v>
      </c>
      <c r="D748">
        <f t="shared" si="287"/>
        <v>57</v>
      </c>
      <c r="E748">
        <f t="shared" si="288"/>
        <v>57</v>
      </c>
      <c r="F748" t="str">
        <f t="shared" si="289"/>
        <v>50-75</v>
      </c>
      <c r="G748">
        <v>0</v>
      </c>
      <c r="H748" t="str">
        <f t="shared" si="290"/>
        <v>Pariente normal</v>
      </c>
      <c r="I748">
        <v>1</v>
      </c>
      <c r="J748" t="str">
        <f t="shared" si="291"/>
        <v>Hipercaloricos</v>
      </c>
      <c r="K748">
        <v>2</v>
      </c>
      <c r="L748">
        <f t="shared" si="292"/>
        <v>1</v>
      </c>
      <c r="M748" t="str">
        <f t="shared" si="293"/>
        <v>Suele comer</v>
      </c>
      <c r="N748">
        <v>1</v>
      </c>
      <c r="O748">
        <f t="shared" si="294"/>
        <v>1</v>
      </c>
      <c r="P748">
        <f t="shared" si="295"/>
        <v>3</v>
      </c>
      <c r="Q748">
        <v>0</v>
      </c>
      <c r="R748" t="str">
        <f t="shared" si="296"/>
        <v>Nunca</v>
      </c>
      <c r="S748">
        <v>0</v>
      </c>
      <c r="T748" t="str">
        <f t="shared" si="297"/>
        <v>No fuma</v>
      </c>
      <c r="U748">
        <v>2115967</v>
      </c>
      <c r="V748">
        <f t="shared" si="298"/>
        <v>2</v>
      </c>
      <c r="W748" t="str">
        <f t="shared" si="299"/>
        <v>Siempre</v>
      </c>
      <c r="X748">
        <v>0</v>
      </c>
      <c r="Y748" t="str">
        <f t="shared" si="300"/>
        <v>No controla</v>
      </c>
      <c r="Z748">
        <v>0.770536</v>
      </c>
      <c r="AA748">
        <f t="shared" si="301"/>
        <v>0</v>
      </c>
      <c r="AB748" t="str">
        <f t="shared" si="302"/>
        <v>Nunca</v>
      </c>
      <c r="AC748">
        <v>0</v>
      </c>
      <c r="AD748">
        <f t="shared" si="303"/>
        <v>0</v>
      </c>
      <c r="AE748" t="str">
        <f t="shared" si="304"/>
        <v>Nunca</v>
      </c>
      <c r="AF748">
        <v>1</v>
      </c>
      <c r="AG748" t="str">
        <f t="shared" si="305"/>
        <v>A veces</v>
      </c>
      <c r="AH748">
        <v>0</v>
      </c>
      <c r="AI748" t="str">
        <f t="shared" si="306"/>
        <v>No usa</v>
      </c>
      <c r="AJ748">
        <v>0</v>
      </c>
      <c r="AK748" t="str">
        <f t="shared" si="307"/>
        <v>No usa</v>
      </c>
      <c r="AL748">
        <v>0</v>
      </c>
      <c r="AM748" t="str">
        <f t="shared" si="308"/>
        <v>No usa</v>
      </c>
      <c r="AN748">
        <v>1</v>
      </c>
      <c r="AO748" t="str">
        <f t="shared" si="309"/>
        <v>Usa Transporte</v>
      </c>
      <c r="AP748">
        <v>0</v>
      </c>
      <c r="AQ748" t="str">
        <f t="shared" si="310"/>
        <v>No camina</v>
      </c>
      <c r="AR748">
        <v>0</v>
      </c>
      <c r="AS748" t="str">
        <f t="shared" si="311"/>
        <v>No es obeso</v>
      </c>
    </row>
    <row r="749" spans="1:45" x14ac:dyDescent="0.25">
      <c r="A749">
        <v>1</v>
      </c>
      <c r="B749" t="str">
        <f t="shared" si="286"/>
        <v>M</v>
      </c>
      <c r="C749">
        <v>25191627</v>
      </c>
      <c r="D749">
        <f t="shared" si="287"/>
        <v>69</v>
      </c>
      <c r="E749">
        <f t="shared" si="288"/>
        <v>69</v>
      </c>
      <c r="F749" t="str">
        <f t="shared" si="289"/>
        <v>50-75</v>
      </c>
      <c r="G749">
        <v>0</v>
      </c>
      <c r="H749" t="str">
        <f t="shared" si="290"/>
        <v>Pariente normal</v>
      </c>
      <c r="I749">
        <v>1</v>
      </c>
      <c r="J749" t="str">
        <f t="shared" si="291"/>
        <v>Hipercaloricos</v>
      </c>
      <c r="K749">
        <v>1450218</v>
      </c>
      <c r="L749">
        <f t="shared" si="292"/>
        <v>1</v>
      </c>
      <c r="M749" t="str">
        <f t="shared" si="293"/>
        <v>Suele comer</v>
      </c>
      <c r="N749">
        <v>3985442</v>
      </c>
      <c r="O749">
        <f t="shared" si="294"/>
        <v>2</v>
      </c>
      <c r="P749" t="str">
        <f t="shared" si="295"/>
        <v>Mas de 3</v>
      </c>
      <c r="Q749">
        <v>1</v>
      </c>
      <c r="R749" t="str">
        <f t="shared" si="296"/>
        <v>A veces</v>
      </c>
      <c r="S749">
        <v>0</v>
      </c>
      <c r="T749" t="str">
        <f t="shared" si="297"/>
        <v>No fuma</v>
      </c>
      <c r="U749">
        <v>2147746</v>
      </c>
      <c r="V749">
        <f t="shared" si="298"/>
        <v>2</v>
      </c>
      <c r="W749" t="str">
        <f t="shared" si="299"/>
        <v>Siempre</v>
      </c>
      <c r="X749">
        <v>0</v>
      </c>
      <c r="Y749" t="str">
        <f t="shared" si="300"/>
        <v>No controla</v>
      </c>
      <c r="Z749">
        <v>4.6836000000000003E-2</v>
      </c>
      <c r="AA749">
        <f t="shared" si="301"/>
        <v>0</v>
      </c>
      <c r="AB749" t="str">
        <f t="shared" si="302"/>
        <v>Nunca</v>
      </c>
      <c r="AC749">
        <v>1</v>
      </c>
      <c r="AD749">
        <f t="shared" si="303"/>
        <v>1</v>
      </c>
      <c r="AE749" t="str">
        <f t="shared" si="304"/>
        <v>Usualmente</v>
      </c>
      <c r="AF749">
        <v>0</v>
      </c>
      <c r="AG749" t="str">
        <f t="shared" si="305"/>
        <v>Nunca</v>
      </c>
      <c r="AH749">
        <v>1</v>
      </c>
      <c r="AI749" t="str">
        <f t="shared" si="306"/>
        <v>Usa auto</v>
      </c>
      <c r="AJ749">
        <v>0</v>
      </c>
      <c r="AK749" t="str">
        <f t="shared" si="307"/>
        <v>No usa</v>
      </c>
      <c r="AL749">
        <v>0</v>
      </c>
      <c r="AM749" t="str">
        <f t="shared" si="308"/>
        <v>No usa</v>
      </c>
      <c r="AN749">
        <v>0</v>
      </c>
      <c r="AO749" t="str">
        <f t="shared" si="309"/>
        <v>No usa</v>
      </c>
      <c r="AP749">
        <v>0</v>
      </c>
      <c r="AQ749" t="str">
        <f t="shared" si="310"/>
        <v>No camina</v>
      </c>
      <c r="AR749">
        <v>0</v>
      </c>
      <c r="AS749" t="str">
        <f t="shared" si="311"/>
        <v>No es obeso</v>
      </c>
    </row>
    <row r="750" spans="1:45" x14ac:dyDescent="0.25">
      <c r="A750">
        <v>1</v>
      </c>
      <c r="B750" t="str">
        <f t="shared" si="286"/>
        <v>M</v>
      </c>
      <c r="C750">
        <v>21963457</v>
      </c>
      <c r="D750">
        <f t="shared" si="287"/>
        <v>60</v>
      </c>
      <c r="E750">
        <f t="shared" si="288"/>
        <v>60</v>
      </c>
      <c r="F750" t="str">
        <f t="shared" si="289"/>
        <v>50-75</v>
      </c>
      <c r="G750">
        <v>1</v>
      </c>
      <c r="H750" t="str">
        <f t="shared" si="290"/>
        <v>Pariente gordo</v>
      </c>
      <c r="I750">
        <v>1</v>
      </c>
      <c r="J750" t="str">
        <f t="shared" si="291"/>
        <v>Hipercaloricos</v>
      </c>
      <c r="K750">
        <v>2204914</v>
      </c>
      <c r="L750">
        <f t="shared" si="292"/>
        <v>1</v>
      </c>
      <c r="M750" t="str">
        <f t="shared" si="293"/>
        <v>Suele comer</v>
      </c>
      <c r="N750">
        <v>3623364</v>
      </c>
      <c r="O750">
        <f t="shared" si="294"/>
        <v>2</v>
      </c>
      <c r="P750" t="str">
        <f t="shared" si="295"/>
        <v>Mas de 3</v>
      </c>
      <c r="Q750">
        <v>1</v>
      </c>
      <c r="R750" t="str">
        <f t="shared" si="296"/>
        <v>A veces</v>
      </c>
      <c r="S750">
        <v>0</v>
      </c>
      <c r="T750" t="str">
        <f t="shared" si="297"/>
        <v>No fuma</v>
      </c>
      <c r="U750">
        <v>1815293</v>
      </c>
      <c r="V750">
        <f t="shared" si="298"/>
        <v>2</v>
      </c>
      <c r="W750" t="str">
        <f t="shared" si="299"/>
        <v>Siempre</v>
      </c>
      <c r="X750">
        <v>0</v>
      </c>
      <c r="Y750" t="str">
        <f t="shared" si="300"/>
        <v>No controla</v>
      </c>
      <c r="Z750">
        <v>0.98931599999999997</v>
      </c>
      <c r="AA750">
        <f t="shared" si="301"/>
        <v>0</v>
      </c>
      <c r="AB750" t="str">
        <f t="shared" si="302"/>
        <v>Nunca</v>
      </c>
      <c r="AC750">
        <v>0</v>
      </c>
      <c r="AD750">
        <f t="shared" si="303"/>
        <v>0</v>
      </c>
      <c r="AE750" t="str">
        <f t="shared" si="304"/>
        <v>Nunca</v>
      </c>
      <c r="AF750">
        <v>1</v>
      </c>
      <c r="AG750" t="str">
        <f t="shared" si="305"/>
        <v>A veces</v>
      </c>
      <c r="AH750">
        <v>0</v>
      </c>
      <c r="AI750" t="str">
        <f t="shared" si="306"/>
        <v>No usa</v>
      </c>
      <c r="AJ750">
        <v>0</v>
      </c>
      <c r="AK750" t="str">
        <f t="shared" si="307"/>
        <v>No usa</v>
      </c>
      <c r="AL750">
        <v>0</v>
      </c>
      <c r="AM750" t="str">
        <f t="shared" si="308"/>
        <v>No usa</v>
      </c>
      <c r="AN750">
        <v>1</v>
      </c>
      <c r="AO750" t="str">
        <f t="shared" si="309"/>
        <v>Usa Transporte</v>
      </c>
      <c r="AP750">
        <v>0</v>
      </c>
      <c r="AQ750" t="str">
        <f t="shared" si="310"/>
        <v>No camina</v>
      </c>
      <c r="AR750">
        <v>0</v>
      </c>
      <c r="AS750" t="str">
        <f t="shared" si="311"/>
        <v>No es obeso</v>
      </c>
    </row>
    <row r="751" spans="1:45" x14ac:dyDescent="0.25">
      <c r="A751">
        <v>1</v>
      </c>
      <c r="B751" t="str">
        <f t="shared" si="286"/>
        <v>M</v>
      </c>
      <c r="C751">
        <v>21</v>
      </c>
      <c r="D751">
        <f t="shared" si="287"/>
        <v>21</v>
      </c>
      <c r="E751">
        <f t="shared" si="288"/>
        <v>21</v>
      </c>
      <c r="F751" t="str">
        <f t="shared" si="289"/>
        <v>1-25</v>
      </c>
      <c r="G751">
        <v>0</v>
      </c>
      <c r="H751" t="str">
        <f t="shared" si="290"/>
        <v>Pariente normal</v>
      </c>
      <c r="I751">
        <v>1</v>
      </c>
      <c r="J751" t="str">
        <f t="shared" si="291"/>
        <v>Hipercaloricos</v>
      </c>
      <c r="K751">
        <v>1206276</v>
      </c>
      <c r="L751">
        <f t="shared" si="292"/>
        <v>1</v>
      </c>
      <c r="M751" t="str">
        <f t="shared" si="293"/>
        <v>Suele comer</v>
      </c>
      <c r="N751">
        <v>3</v>
      </c>
      <c r="O751">
        <f t="shared" si="294"/>
        <v>2</v>
      </c>
      <c r="P751" t="str">
        <f t="shared" si="295"/>
        <v>Mas de 3</v>
      </c>
      <c r="Q751">
        <v>0</v>
      </c>
      <c r="R751" t="str">
        <f t="shared" si="296"/>
        <v>Nunca</v>
      </c>
      <c r="S751">
        <v>0</v>
      </c>
      <c r="T751" t="str">
        <f t="shared" si="297"/>
        <v>No fuma</v>
      </c>
      <c r="U751">
        <v>2406541</v>
      </c>
      <c r="V751">
        <f t="shared" si="298"/>
        <v>2</v>
      </c>
      <c r="W751" t="str">
        <f t="shared" si="299"/>
        <v>Siempre</v>
      </c>
      <c r="X751">
        <v>0</v>
      </c>
      <c r="Y751" t="str">
        <f t="shared" si="300"/>
        <v>No controla</v>
      </c>
      <c r="Z751">
        <v>0.94984000000000002</v>
      </c>
      <c r="AA751">
        <f t="shared" si="301"/>
        <v>0</v>
      </c>
      <c r="AB751" t="str">
        <f t="shared" si="302"/>
        <v>Nunca</v>
      </c>
      <c r="AC751">
        <v>0.47922100000000001</v>
      </c>
      <c r="AD751">
        <f t="shared" si="303"/>
        <v>0</v>
      </c>
      <c r="AE751" t="str">
        <f t="shared" si="304"/>
        <v>Nunca</v>
      </c>
      <c r="AF751">
        <v>1</v>
      </c>
      <c r="AG751" t="str">
        <f t="shared" si="305"/>
        <v>A veces</v>
      </c>
      <c r="AH751">
        <v>0</v>
      </c>
      <c r="AI751" t="str">
        <f t="shared" si="306"/>
        <v>No usa</v>
      </c>
      <c r="AJ751">
        <v>0</v>
      </c>
      <c r="AK751" t="str">
        <f t="shared" si="307"/>
        <v>No usa</v>
      </c>
      <c r="AL751">
        <v>0</v>
      </c>
      <c r="AM751" t="str">
        <f t="shared" si="308"/>
        <v>No usa</v>
      </c>
      <c r="AN751">
        <v>1</v>
      </c>
      <c r="AO751" t="str">
        <f t="shared" si="309"/>
        <v>Usa Transporte</v>
      </c>
      <c r="AP751">
        <v>0</v>
      </c>
      <c r="AQ751" t="str">
        <f t="shared" si="310"/>
        <v>No camina</v>
      </c>
      <c r="AR751">
        <v>0</v>
      </c>
      <c r="AS751" t="str">
        <f t="shared" si="311"/>
        <v>No es obeso</v>
      </c>
    </row>
    <row r="752" spans="1:45" x14ac:dyDescent="0.25">
      <c r="A752">
        <v>1</v>
      </c>
      <c r="B752" t="str">
        <f t="shared" si="286"/>
        <v>M</v>
      </c>
      <c r="C752">
        <v>19114981</v>
      </c>
      <c r="D752">
        <f t="shared" si="287"/>
        <v>52</v>
      </c>
      <c r="E752">
        <f t="shared" si="288"/>
        <v>52</v>
      </c>
      <c r="F752" t="str">
        <f t="shared" si="289"/>
        <v>50-75</v>
      </c>
      <c r="G752">
        <v>1</v>
      </c>
      <c r="H752" t="str">
        <f t="shared" si="290"/>
        <v>Pariente gordo</v>
      </c>
      <c r="I752">
        <v>1</v>
      </c>
      <c r="J752" t="str">
        <f t="shared" si="291"/>
        <v>Hipercaloricos</v>
      </c>
      <c r="K752">
        <v>2</v>
      </c>
      <c r="L752">
        <f t="shared" si="292"/>
        <v>1</v>
      </c>
      <c r="M752" t="str">
        <f t="shared" si="293"/>
        <v>Suele comer</v>
      </c>
      <c r="N752">
        <v>3</v>
      </c>
      <c r="O752">
        <f t="shared" si="294"/>
        <v>2</v>
      </c>
      <c r="P752" t="str">
        <f t="shared" si="295"/>
        <v>Mas de 3</v>
      </c>
      <c r="Q752">
        <v>1</v>
      </c>
      <c r="R752" t="str">
        <f t="shared" si="296"/>
        <v>A veces</v>
      </c>
      <c r="S752">
        <v>0</v>
      </c>
      <c r="T752" t="str">
        <f t="shared" si="297"/>
        <v>No fuma</v>
      </c>
      <c r="U752">
        <v>1015677</v>
      </c>
      <c r="V752">
        <f t="shared" si="298"/>
        <v>2</v>
      </c>
      <c r="W752" t="str">
        <f t="shared" si="299"/>
        <v>Siempre</v>
      </c>
      <c r="X752">
        <v>0</v>
      </c>
      <c r="Y752" t="str">
        <f t="shared" si="300"/>
        <v>No controla</v>
      </c>
      <c r="Z752">
        <v>0</v>
      </c>
      <c r="AA752">
        <f t="shared" si="301"/>
        <v>0</v>
      </c>
      <c r="AB752" t="str">
        <f t="shared" si="302"/>
        <v>Nunca</v>
      </c>
      <c r="AC752">
        <v>0.37464999999999998</v>
      </c>
      <c r="AD752">
        <f t="shared" si="303"/>
        <v>0</v>
      </c>
      <c r="AE752" t="str">
        <f t="shared" si="304"/>
        <v>Nunca</v>
      </c>
      <c r="AF752">
        <v>1</v>
      </c>
      <c r="AG752" t="str">
        <f t="shared" si="305"/>
        <v>A veces</v>
      </c>
      <c r="AH752">
        <v>0</v>
      </c>
      <c r="AI752" t="str">
        <f t="shared" si="306"/>
        <v>No usa</v>
      </c>
      <c r="AJ752">
        <v>0</v>
      </c>
      <c r="AK752" t="str">
        <f t="shared" si="307"/>
        <v>No usa</v>
      </c>
      <c r="AL752">
        <v>0</v>
      </c>
      <c r="AM752" t="str">
        <f t="shared" si="308"/>
        <v>No usa</v>
      </c>
      <c r="AN752">
        <v>1</v>
      </c>
      <c r="AO752" t="str">
        <f t="shared" si="309"/>
        <v>Usa Transporte</v>
      </c>
      <c r="AP752">
        <v>0</v>
      </c>
      <c r="AQ752" t="str">
        <f t="shared" si="310"/>
        <v>No camina</v>
      </c>
      <c r="AR752">
        <v>0</v>
      </c>
      <c r="AS752" t="str">
        <f t="shared" si="311"/>
        <v>No es obeso</v>
      </c>
    </row>
    <row r="753" spans="1:45" x14ac:dyDescent="0.25">
      <c r="A753">
        <v>0</v>
      </c>
      <c r="B753" t="str">
        <f t="shared" si="286"/>
        <v>F</v>
      </c>
      <c r="C753">
        <v>41823567</v>
      </c>
      <c r="D753">
        <f t="shared" si="287"/>
        <v>114</v>
      </c>
      <c r="E753">
        <f t="shared" si="288"/>
        <v>100</v>
      </c>
      <c r="F753" t="str">
        <f t="shared" si="289"/>
        <v>75-100</v>
      </c>
      <c r="G753">
        <v>0</v>
      </c>
      <c r="H753" t="str">
        <f t="shared" si="290"/>
        <v>Pariente normal</v>
      </c>
      <c r="I753">
        <v>1</v>
      </c>
      <c r="J753" t="str">
        <f t="shared" si="291"/>
        <v>Hipercaloricos</v>
      </c>
      <c r="K753">
        <v>281646</v>
      </c>
      <c r="L753">
        <f t="shared" si="292"/>
        <v>1</v>
      </c>
      <c r="M753" t="str">
        <f t="shared" si="293"/>
        <v>Suele comer</v>
      </c>
      <c r="N753">
        <v>336313</v>
      </c>
      <c r="O753">
        <f t="shared" si="294"/>
        <v>2</v>
      </c>
      <c r="P753" t="str">
        <f t="shared" si="295"/>
        <v>Mas de 3</v>
      </c>
      <c r="Q753">
        <v>1</v>
      </c>
      <c r="R753" t="str">
        <f t="shared" si="296"/>
        <v>A veces</v>
      </c>
      <c r="S753">
        <v>0</v>
      </c>
      <c r="T753" t="str">
        <f t="shared" si="297"/>
        <v>No fuma</v>
      </c>
      <c r="U753">
        <v>2722063</v>
      </c>
      <c r="V753">
        <f t="shared" si="298"/>
        <v>2</v>
      </c>
      <c r="W753" t="str">
        <f t="shared" si="299"/>
        <v>Siempre</v>
      </c>
      <c r="X753">
        <v>0</v>
      </c>
      <c r="Y753" t="str">
        <f t="shared" si="300"/>
        <v>No controla</v>
      </c>
      <c r="Z753">
        <v>3</v>
      </c>
      <c r="AA753">
        <f t="shared" si="301"/>
        <v>3</v>
      </c>
      <c r="AB753" t="str">
        <f t="shared" si="302"/>
        <v>Siempre</v>
      </c>
      <c r="AC753">
        <v>0.26579000000000003</v>
      </c>
      <c r="AD753">
        <f t="shared" si="303"/>
        <v>0</v>
      </c>
      <c r="AE753" t="str">
        <f t="shared" si="304"/>
        <v>Nunca</v>
      </c>
      <c r="AF753">
        <v>1</v>
      </c>
      <c r="AG753" t="str">
        <f t="shared" si="305"/>
        <v>A veces</v>
      </c>
      <c r="AH753">
        <v>1</v>
      </c>
      <c r="AI753" t="str">
        <f t="shared" si="306"/>
        <v>Usa auto</v>
      </c>
      <c r="AJ753">
        <v>0</v>
      </c>
      <c r="AK753" t="str">
        <f t="shared" si="307"/>
        <v>No usa</v>
      </c>
      <c r="AL753">
        <v>0</v>
      </c>
      <c r="AM753" t="str">
        <f t="shared" si="308"/>
        <v>No usa</v>
      </c>
      <c r="AN753">
        <v>0</v>
      </c>
      <c r="AO753" t="str">
        <f t="shared" si="309"/>
        <v>No usa</v>
      </c>
      <c r="AP753">
        <v>0</v>
      </c>
      <c r="AQ753" t="str">
        <f t="shared" si="310"/>
        <v>No camina</v>
      </c>
      <c r="AR753">
        <v>0</v>
      </c>
      <c r="AS753" t="str">
        <f t="shared" si="311"/>
        <v>No es obeso</v>
      </c>
    </row>
    <row r="754" spans="1:45" x14ac:dyDescent="0.25">
      <c r="A754">
        <v>1</v>
      </c>
      <c r="B754" t="str">
        <f t="shared" si="286"/>
        <v>M</v>
      </c>
      <c r="C754">
        <v>21142432</v>
      </c>
      <c r="D754">
        <f t="shared" si="287"/>
        <v>57</v>
      </c>
      <c r="E754">
        <f t="shared" si="288"/>
        <v>57</v>
      </c>
      <c r="F754" t="str">
        <f t="shared" si="289"/>
        <v>50-75</v>
      </c>
      <c r="G754">
        <v>1</v>
      </c>
      <c r="H754" t="str">
        <f t="shared" si="290"/>
        <v>Pariente gordo</v>
      </c>
      <c r="I754">
        <v>1</v>
      </c>
      <c r="J754" t="str">
        <f t="shared" si="291"/>
        <v>Hipercaloricos</v>
      </c>
      <c r="K754">
        <v>2</v>
      </c>
      <c r="L754">
        <f t="shared" si="292"/>
        <v>1</v>
      </c>
      <c r="M754" t="str">
        <f t="shared" si="293"/>
        <v>Suele comer</v>
      </c>
      <c r="N754">
        <v>3</v>
      </c>
      <c r="O754">
        <f t="shared" si="294"/>
        <v>2</v>
      </c>
      <c r="P754" t="str">
        <f t="shared" si="295"/>
        <v>Mas de 3</v>
      </c>
      <c r="Q754">
        <v>1</v>
      </c>
      <c r="R754" t="str">
        <f t="shared" si="296"/>
        <v>A veces</v>
      </c>
      <c r="S754">
        <v>0</v>
      </c>
      <c r="T754" t="str">
        <f t="shared" si="297"/>
        <v>No fuma</v>
      </c>
      <c r="U754">
        <v>1345298</v>
      </c>
      <c r="V754">
        <f t="shared" si="298"/>
        <v>2</v>
      </c>
      <c r="W754" t="str">
        <f t="shared" si="299"/>
        <v>Siempre</v>
      </c>
      <c r="X754">
        <v>0</v>
      </c>
      <c r="Y754" t="str">
        <f t="shared" si="300"/>
        <v>No controla</v>
      </c>
      <c r="Z754">
        <v>1097905</v>
      </c>
      <c r="AA754">
        <f t="shared" si="301"/>
        <v>3</v>
      </c>
      <c r="AB754" t="str">
        <f t="shared" si="302"/>
        <v>Siempre</v>
      </c>
      <c r="AC754">
        <v>1</v>
      </c>
      <c r="AD754">
        <f t="shared" si="303"/>
        <v>1</v>
      </c>
      <c r="AE754" t="str">
        <f t="shared" si="304"/>
        <v>Usualmente</v>
      </c>
      <c r="AF754">
        <v>1</v>
      </c>
      <c r="AG754" t="str">
        <f t="shared" si="305"/>
        <v>A veces</v>
      </c>
      <c r="AH754">
        <v>0</v>
      </c>
      <c r="AI754" t="str">
        <f t="shared" si="306"/>
        <v>No usa</v>
      </c>
      <c r="AJ754">
        <v>0</v>
      </c>
      <c r="AK754" t="str">
        <f t="shared" si="307"/>
        <v>No usa</v>
      </c>
      <c r="AL754">
        <v>0</v>
      </c>
      <c r="AM754" t="str">
        <f t="shared" si="308"/>
        <v>No usa</v>
      </c>
      <c r="AN754">
        <v>1</v>
      </c>
      <c r="AO754" t="str">
        <f t="shared" si="309"/>
        <v>Usa Transporte</v>
      </c>
      <c r="AP754">
        <v>0</v>
      </c>
      <c r="AQ754" t="str">
        <f t="shared" si="310"/>
        <v>No camina</v>
      </c>
      <c r="AR754">
        <v>0</v>
      </c>
      <c r="AS754" t="str">
        <f t="shared" si="311"/>
        <v>No es obeso</v>
      </c>
    </row>
    <row r="755" spans="1:45" x14ac:dyDescent="0.25">
      <c r="A755">
        <v>1</v>
      </c>
      <c r="B755" t="str">
        <f t="shared" si="286"/>
        <v>M</v>
      </c>
      <c r="C755">
        <v>21962426</v>
      </c>
      <c r="D755">
        <f t="shared" si="287"/>
        <v>60</v>
      </c>
      <c r="E755">
        <f t="shared" si="288"/>
        <v>60</v>
      </c>
      <c r="F755" t="str">
        <f t="shared" si="289"/>
        <v>50-75</v>
      </c>
      <c r="G755">
        <v>1</v>
      </c>
      <c r="H755" t="str">
        <f t="shared" si="290"/>
        <v>Pariente gordo</v>
      </c>
      <c r="I755">
        <v>1</v>
      </c>
      <c r="J755" t="str">
        <f t="shared" si="291"/>
        <v>Hipercaloricos</v>
      </c>
      <c r="K755">
        <v>2</v>
      </c>
      <c r="L755">
        <f t="shared" si="292"/>
        <v>1</v>
      </c>
      <c r="M755" t="str">
        <f t="shared" si="293"/>
        <v>Suele comer</v>
      </c>
      <c r="N755">
        <v>3</v>
      </c>
      <c r="O755">
        <f t="shared" si="294"/>
        <v>2</v>
      </c>
      <c r="P755" t="str">
        <f t="shared" si="295"/>
        <v>Mas de 3</v>
      </c>
      <c r="Q755">
        <v>1</v>
      </c>
      <c r="R755" t="str">
        <f t="shared" si="296"/>
        <v>A veces</v>
      </c>
      <c r="S755">
        <v>0</v>
      </c>
      <c r="T755" t="str">
        <f t="shared" si="297"/>
        <v>No fuma</v>
      </c>
      <c r="U755">
        <v>1825629</v>
      </c>
      <c r="V755">
        <f t="shared" si="298"/>
        <v>2</v>
      </c>
      <c r="W755" t="str">
        <f t="shared" si="299"/>
        <v>Siempre</v>
      </c>
      <c r="X755">
        <v>0</v>
      </c>
      <c r="Y755" t="str">
        <f t="shared" si="300"/>
        <v>No controla</v>
      </c>
      <c r="Z755">
        <v>0.69959199999999999</v>
      </c>
      <c r="AA755">
        <f t="shared" si="301"/>
        <v>0</v>
      </c>
      <c r="AB755" t="str">
        <f t="shared" si="302"/>
        <v>Nunca</v>
      </c>
      <c r="AC755">
        <v>0.14205599999999999</v>
      </c>
      <c r="AD755">
        <f t="shared" si="303"/>
        <v>0</v>
      </c>
      <c r="AE755" t="str">
        <f t="shared" si="304"/>
        <v>Nunca</v>
      </c>
      <c r="AF755">
        <v>1</v>
      </c>
      <c r="AG755" t="str">
        <f t="shared" si="305"/>
        <v>A veces</v>
      </c>
      <c r="AH755">
        <v>0</v>
      </c>
      <c r="AI755" t="str">
        <f t="shared" si="306"/>
        <v>No usa</v>
      </c>
      <c r="AJ755">
        <v>0</v>
      </c>
      <c r="AK755" t="str">
        <f t="shared" si="307"/>
        <v>No usa</v>
      </c>
      <c r="AL755">
        <v>0</v>
      </c>
      <c r="AM755" t="str">
        <f t="shared" si="308"/>
        <v>No usa</v>
      </c>
      <c r="AN755">
        <v>1</v>
      </c>
      <c r="AO755" t="str">
        <f t="shared" si="309"/>
        <v>Usa Transporte</v>
      </c>
      <c r="AP755">
        <v>0</v>
      </c>
      <c r="AQ755" t="str">
        <f t="shared" si="310"/>
        <v>No camina</v>
      </c>
      <c r="AR755">
        <v>0</v>
      </c>
      <c r="AS755" t="str">
        <f t="shared" si="311"/>
        <v>No es obeso</v>
      </c>
    </row>
    <row r="756" spans="1:45" x14ac:dyDescent="0.25">
      <c r="A756">
        <v>0</v>
      </c>
      <c r="B756" t="str">
        <f t="shared" si="286"/>
        <v>F</v>
      </c>
      <c r="C756">
        <v>18836315</v>
      </c>
      <c r="D756">
        <f t="shared" si="287"/>
        <v>51</v>
      </c>
      <c r="E756">
        <f t="shared" si="288"/>
        <v>51</v>
      </c>
      <c r="F756" t="str">
        <f t="shared" si="289"/>
        <v>50-75</v>
      </c>
      <c r="G756">
        <v>1</v>
      </c>
      <c r="H756" t="str">
        <f t="shared" si="290"/>
        <v>Pariente gordo</v>
      </c>
      <c r="I756">
        <v>1</v>
      </c>
      <c r="J756" t="str">
        <f t="shared" si="291"/>
        <v>Hipercaloricos</v>
      </c>
      <c r="K756">
        <v>2</v>
      </c>
      <c r="L756">
        <f t="shared" si="292"/>
        <v>1</v>
      </c>
      <c r="M756" t="str">
        <f t="shared" si="293"/>
        <v>Suele comer</v>
      </c>
      <c r="N756">
        <v>173762</v>
      </c>
      <c r="O756">
        <f t="shared" si="294"/>
        <v>2</v>
      </c>
      <c r="P756" t="str">
        <f t="shared" si="295"/>
        <v>Mas de 3</v>
      </c>
      <c r="Q756">
        <v>1</v>
      </c>
      <c r="R756" t="str">
        <f t="shared" si="296"/>
        <v>A veces</v>
      </c>
      <c r="S756">
        <v>0</v>
      </c>
      <c r="T756" t="str">
        <f t="shared" si="297"/>
        <v>No fuma</v>
      </c>
      <c r="U756">
        <v>2207978</v>
      </c>
      <c r="V756">
        <f t="shared" si="298"/>
        <v>2</v>
      </c>
      <c r="W756" t="str">
        <f t="shared" si="299"/>
        <v>Siempre</v>
      </c>
      <c r="X756">
        <v>0</v>
      </c>
      <c r="Y756" t="str">
        <f t="shared" si="300"/>
        <v>No controla</v>
      </c>
      <c r="Z756">
        <v>2641072</v>
      </c>
      <c r="AA756">
        <f t="shared" si="301"/>
        <v>3</v>
      </c>
      <c r="AB756" t="str">
        <f t="shared" si="302"/>
        <v>Siempre</v>
      </c>
      <c r="AC756">
        <v>0.70704400000000001</v>
      </c>
      <c r="AD756">
        <f t="shared" si="303"/>
        <v>0</v>
      </c>
      <c r="AE756" t="str">
        <f t="shared" si="304"/>
        <v>Nunca</v>
      </c>
      <c r="AF756">
        <v>2</v>
      </c>
      <c r="AG756" t="str">
        <f t="shared" si="305"/>
        <v>Usualmente</v>
      </c>
      <c r="AH756">
        <v>0</v>
      </c>
      <c r="AI756" t="str">
        <f t="shared" si="306"/>
        <v>No usa</v>
      </c>
      <c r="AJ756">
        <v>0</v>
      </c>
      <c r="AK756" t="str">
        <f t="shared" si="307"/>
        <v>No usa</v>
      </c>
      <c r="AL756">
        <v>0</v>
      </c>
      <c r="AM756" t="str">
        <f t="shared" si="308"/>
        <v>No usa</v>
      </c>
      <c r="AN756">
        <v>1</v>
      </c>
      <c r="AO756" t="str">
        <f t="shared" si="309"/>
        <v>Usa Transporte</v>
      </c>
      <c r="AP756">
        <v>0</v>
      </c>
      <c r="AQ756" t="str">
        <f t="shared" si="310"/>
        <v>No camina</v>
      </c>
      <c r="AR756">
        <v>0</v>
      </c>
      <c r="AS756" t="str">
        <f t="shared" si="311"/>
        <v>No es obeso</v>
      </c>
    </row>
    <row r="757" spans="1:45" x14ac:dyDescent="0.25">
      <c r="A757">
        <v>1</v>
      </c>
      <c r="B757" t="str">
        <f t="shared" si="286"/>
        <v>M</v>
      </c>
      <c r="C757">
        <v>23572648</v>
      </c>
      <c r="D757">
        <f t="shared" si="287"/>
        <v>64</v>
      </c>
      <c r="E757">
        <f t="shared" si="288"/>
        <v>64</v>
      </c>
      <c r="F757" t="str">
        <f t="shared" si="289"/>
        <v>50-75</v>
      </c>
      <c r="G757">
        <v>1</v>
      </c>
      <c r="H757" t="str">
        <f t="shared" si="290"/>
        <v>Pariente gordo</v>
      </c>
      <c r="I757">
        <v>1</v>
      </c>
      <c r="J757" t="str">
        <f t="shared" si="291"/>
        <v>Hipercaloricos</v>
      </c>
      <c r="K757">
        <v>2</v>
      </c>
      <c r="L757">
        <f t="shared" si="292"/>
        <v>1</v>
      </c>
      <c r="M757" t="str">
        <f t="shared" si="293"/>
        <v>Suele comer</v>
      </c>
      <c r="N757">
        <v>3</v>
      </c>
      <c r="O757">
        <f t="shared" si="294"/>
        <v>2</v>
      </c>
      <c r="P757" t="str">
        <f t="shared" si="295"/>
        <v>Mas de 3</v>
      </c>
      <c r="Q757">
        <v>1</v>
      </c>
      <c r="R757" t="str">
        <f t="shared" si="296"/>
        <v>A veces</v>
      </c>
      <c r="S757">
        <v>0</v>
      </c>
      <c r="T757" t="str">
        <f t="shared" si="297"/>
        <v>No fuma</v>
      </c>
      <c r="U757">
        <v>2</v>
      </c>
      <c r="V757">
        <f t="shared" si="298"/>
        <v>2</v>
      </c>
      <c r="W757" t="str">
        <f t="shared" si="299"/>
        <v>Siempre</v>
      </c>
      <c r="X757">
        <v>0</v>
      </c>
      <c r="Y757" t="str">
        <f t="shared" si="300"/>
        <v>No controla</v>
      </c>
      <c r="Z757">
        <v>0.34568399999999999</v>
      </c>
      <c r="AA757">
        <f t="shared" si="301"/>
        <v>0</v>
      </c>
      <c r="AB757" t="str">
        <f t="shared" si="302"/>
        <v>Nunca</v>
      </c>
      <c r="AC757">
        <v>1415536</v>
      </c>
      <c r="AD757">
        <f t="shared" si="303"/>
        <v>2</v>
      </c>
      <c r="AE757" t="str">
        <f t="shared" si="304"/>
        <v>Siempre</v>
      </c>
      <c r="AF757">
        <v>1</v>
      </c>
      <c r="AG757" t="str">
        <f t="shared" si="305"/>
        <v>A veces</v>
      </c>
      <c r="AH757">
        <v>0</v>
      </c>
      <c r="AI757" t="str">
        <f t="shared" si="306"/>
        <v>No usa</v>
      </c>
      <c r="AJ757">
        <v>0</v>
      </c>
      <c r="AK757" t="str">
        <f t="shared" si="307"/>
        <v>No usa</v>
      </c>
      <c r="AL757">
        <v>0</v>
      </c>
      <c r="AM757" t="str">
        <f t="shared" si="308"/>
        <v>No usa</v>
      </c>
      <c r="AN757">
        <v>1</v>
      </c>
      <c r="AO757" t="str">
        <f t="shared" si="309"/>
        <v>Usa Transporte</v>
      </c>
      <c r="AP757">
        <v>0</v>
      </c>
      <c r="AQ757" t="str">
        <f t="shared" si="310"/>
        <v>No camina</v>
      </c>
      <c r="AR757">
        <v>0</v>
      </c>
      <c r="AS757" t="str">
        <f t="shared" si="311"/>
        <v>No es obeso</v>
      </c>
    </row>
    <row r="758" spans="1:45" x14ac:dyDescent="0.25">
      <c r="A758">
        <v>0</v>
      </c>
      <c r="B758" t="str">
        <f t="shared" si="286"/>
        <v>F</v>
      </c>
      <c r="C758">
        <v>33700749</v>
      </c>
      <c r="D758">
        <f t="shared" si="287"/>
        <v>92</v>
      </c>
      <c r="E758">
        <f t="shared" si="288"/>
        <v>92</v>
      </c>
      <c r="F758" t="str">
        <f t="shared" si="289"/>
        <v>75-100</v>
      </c>
      <c r="G758">
        <v>1</v>
      </c>
      <c r="H758" t="str">
        <f t="shared" si="290"/>
        <v>Pariente gordo</v>
      </c>
      <c r="I758">
        <v>0</v>
      </c>
      <c r="J758" t="str">
        <f t="shared" si="291"/>
        <v>Saludables</v>
      </c>
      <c r="K758">
        <v>3</v>
      </c>
      <c r="L758">
        <f t="shared" si="292"/>
        <v>1</v>
      </c>
      <c r="M758" t="str">
        <f t="shared" si="293"/>
        <v>Suele comer</v>
      </c>
      <c r="N758">
        <v>1146052</v>
      </c>
      <c r="O758">
        <f t="shared" si="294"/>
        <v>2</v>
      </c>
      <c r="P758" t="str">
        <f t="shared" si="295"/>
        <v>Mas de 3</v>
      </c>
      <c r="Q758">
        <v>1</v>
      </c>
      <c r="R758" t="str">
        <f t="shared" si="296"/>
        <v>A veces</v>
      </c>
      <c r="S758">
        <v>0</v>
      </c>
      <c r="T758" t="str">
        <f t="shared" si="297"/>
        <v>No fuma</v>
      </c>
      <c r="U758">
        <v>1074048</v>
      </c>
      <c r="V758">
        <f t="shared" si="298"/>
        <v>2</v>
      </c>
      <c r="W758" t="str">
        <f t="shared" si="299"/>
        <v>Siempre</v>
      </c>
      <c r="X758">
        <v>0</v>
      </c>
      <c r="Y758" t="str">
        <f t="shared" si="300"/>
        <v>No controla</v>
      </c>
      <c r="Z758">
        <v>0.67993499999999996</v>
      </c>
      <c r="AA758">
        <f t="shared" si="301"/>
        <v>0</v>
      </c>
      <c r="AB758" t="str">
        <f t="shared" si="302"/>
        <v>Nunca</v>
      </c>
      <c r="AC758">
        <v>0</v>
      </c>
      <c r="AD758">
        <f t="shared" si="303"/>
        <v>0</v>
      </c>
      <c r="AE758" t="str">
        <f t="shared" si="304"/>
        <v>Nunca</v>
      </c>
      <c r="AF758">
        <v>1</v>
      </c>
      <c r="AG758" t="str">
        <f t="shared" si="305"/>
        <v>A veces</v>
      </c>
      <c r="AH758">
        <v>1</v>
      </c>
      <c r="AI758" t="str">
        <f t="shared" si="306"/>
        <v>Usa auto</v>
      </c>
      <c r="AJ758">
        <v>0</v>
      </c>
      <c r="AK758" t="str">
        <f t="shared" si="307"/>
        <v>No usa</v>
      </c>
      <c r="AL758">
        <v>0</v>
      </c>
      <c r="AM758" t="str">
        <f t="shared" si="308"/>
        <v>No usa</v>
      </c>
      <c r="AN758">
        <v>0</v>
      </c>
      <c r="AO758" t="str">
        <f t="shared" si="309"/>
        <v>No usa</v>
      </c>
      <c r="AP758">
        <v>0</v>
      </c>
      <c r="AQ758" t="str">
        <f t="shared" si="310"/>
        <v>No camina</v>
      </c>
      <c r="AR758">
        <v>0</v>
      </c>
      <c r="AS758" t="str">
        <f t="shared" si="311"/>
        <v>No es obeso</v>
      </c>
    </row>
    <row r="759" spans="1:45" x14ac:dyDescent="0.25">
      <c r="A759">
        <v>0</v>
      </c>
      <c r="B759" t="str">
        <f t="shared" si="286"/>
        <v>F</v>
      </c>
      <c r="C759">
        <v>21845025</v>
      </c>
      <c r="D759">
        <f t="shared" si="287"/>
        <v>59</v>
      </c>
      <c r="E759">
        <f t="shared" si="288"/>
        <v>59</v>
      </c>
      <c r="F759" t="str">
        <f t="shared" si="289"/>
        <v>50-75</v>
      </c>
      <c r="G759">
        <v>1</v>
      </c>
      <c r="H759" t="str">
        <f t="shared" si="290"/>
        <v>Pariente gordo</v>
      </c>
      <c r="I759">
        <v>1</v>
      </c>
      <c r="J759" t="str">
        <f t="shared" si="291"/>
        <v>Hipercaloricos</v>
      </c>
      <c r="K759">
        <v>1758394</v>
      </c>
      <c r="L759">
        <f t="shared" si="292"/>
        <v>1</v>
      </c>
      <c r="M759" t="str">
        <f t="shared" si="293"/>
        <v>Suele comer</v>
      </c>
      <c r="N759">
        <v>3981997</v>
      </c>
      <c r="O759">
        <f t="shared" si="294"/>
        <v>2</v>
      </c>
      <c r="P759" t="str">
        <f t="shared" si="295"/>
        <v>Mas de 3</v>
      </c>
      <c r="Q759">
        <v>1</v>
      </c>
      <c r="R759" t="str">
        <f t="shared" si="296"/>
        <v>A veces</v>
      </c>
      <c r="S759">
        <v>0</v>
      </c>
      <c r="T759" t="str">
        <f t="shared" si="297"/>
        <v>No fuma</v>
      </c>
      <c r="U759">
        <v>2174248</v>
      </c>
      <c r="V759">
        <f t="shared" si="298"/>
        <v>2</v>
      </c>
      <c r="W759" t="str">
        <f t="shared" si="299"/>
        <v>Siempre</v>
      </c>
      <c r="X759">
        <v>0</v>
      </c>
      <c r="Y759" t="str">
        <f t="shared" si="300"/>
        <v>No controla</v>
      </c>
      <c r="Z759">
        <v>0.92047599999999996</v>
      </c>
      <c r="AA759">
        <f t="shared" si="301"/>
        <v>0</v>
      </c>
      <c r="AB759" t="str">
        <f t="shared" si="302"/>
        <v>Nunca</v>
      </c>
      <c r="AC759">
        <v>1358163</v>
      </c>
      <c r="AD759">
        <f t="shared" si="303"/>
        <v>2</v>
      </c>
      <c r="AE759" t="str">
        <f t="shared" si="304"/>
        <v>Siempre</v>
      </c>
      <c r="AF759">
        <v>1</v>
      </c>
      <c r="AG759" t="str">
        <f t="shared" si="305"/>
        <v>A veces</v>
      </c>
      <c r="AH759">
        <v>0</v>
      </c>
      <c r="AI759" t="str">
        <f t="shared" si="306"/>
        <v>No usa</v>
      </c>
      <c r="AJ759">
        <v>0</v>
      </c>
      <c r="AK759" t="str">
        <f t="shared" si="307"/>
        <v>No usa</v>
      </c>
      <c r="AL759">
        <v>0</v>
      </c>
      <c r="AM759" t="str">
        <f t="shared" si="308"/>
        <v>No usa</v>
      </c>
      <c r="AN759">
        <v>1</v>
      </c>
      <c r="AO759" t="str">
        <f t="shared" si="309"/>
        <v>Usa Transporte</v>
      </c>
      <c r="AP759">
        <v>0</v>
      </c>
      <c r="AQ759" t="str">
        <f t="shared" si="310"/>
        <v>No camina</v>
      </c>
      <c r="AR759">
        <v>0</v>
      </c>
      <c r="AS759" t="str">
        <f t="shared" si="311"/>
        <v>No es obeso</v>
      </c>
    </row>
    <row r="760" spans="1:45" x14ac:dyDescent="0.25">
      <c r="A760">
        <v>1</v>
      </c>
      <c r="B760" t="str">
        <f t="shared" si="286"/>
        <v>M</v>
      </c>
      <c r="C760">
        <v>21</v>
      </c>
      <c r="D760">
        <f t="shared" si="287"/>
        <v>21</v>
      </c>
      <c r="E760">
        <f t="shared" si="288"/>
        <v>21</v>
      </c>
      <c r="F760" t="str">
        <f t="shared" si="289"/>
        <v>1-25</v>
      </c>
      <c r="G760">
        <v>0</v>
      </c>
      <c r="H760" t="str">
        <f t="shared" si="290"/>
        <v>Pariente normal</v>
      </c>
      <c r="I760">
        <v>1</v>
      </c>
      <c r="J760" t="str">
        <f t="shared" si="291"/>
        <v>Hipercaloricos</v>
      </c>
      <c r="K760">
        <v>2</v>
      </c>
      <c r="L760">
        <f t="shared" si="292"/>
        <v>1</v>
      </c>
      <c r="M760" t="str">
        <f t="shared" si="293"/>
        <v>Suele comer</v>
      </c>
      <c r="N760">
        <v>19154</v>
      </c>
      <c r="O760">
        <f t="shared" si="294"/>
        <v>2</v>
      </c>
      <c r="P760" t="str">
        <f t="shared" si="295"/>
        <v>Mas de 3</v>
      </c>
      <c r="Q760">
        <v>0</v>
      </c>
      <c r="R760" t="str">
        <f t="shared" si="296"/>
        <v>Nunca</v>
      </c>
      <c r="S760">
        <v>0</v>
      </c>
      <c r="T760" t="str">
        <f t="shared" si="297"/>
        <v>No fuma</v>
      </c>
      <c r="U760">
        <v>3</v>
      </c>
      <c r="V760">
        <f t="shared" si="298"/>
        <v>2</v>
      </c>
      <c r="W760" t="str">
        <f t="shared" si="299"/>
        <v>Siempre</v>
      </c>
      <c r="X760">
        <v>0</v>
      </c>
      <c r="Y760" t="str">
        <f t="shared" si="300"/>
        <v>No controla</v>
      </c>
      <c r="Z760">
        <v>1</v>
      </c>
      <c r="AA760">
        <f t="shared" si="301"/>
        <v>1</v>
      </c>
      <c r="AB760" t="str">
        <f t="shared" si="302"/>
        <v>A veces</v>
      </c>
      <c r="AC760">
        <v>0</v>
      </c>
      <c r="AD760">
        <f t="shared" si="303"/>
        <v>0</v>
      </c>
      <c r="AE760" t="str">
        <f t="shared" si="304"/>
        <v>Nunca</v>
      </c>
      <c r="AF760">
        <v>1</v>
      </c>
      <c r="AG760" t="str">
        <f t="shared" si="305"/>
        <v>A veces</v>
      </c>
      <c r="AH760">
        <v>0</v>
      </c>
      <c r="AI760" t="str">
        <f t="shared" si="306"/>
        <v>No usa</v>
      </c>
      <c r="AJ760">
        <v>0</v>
      </c>
      <c r="AK760" t="str">
        <f t="shared" si="307"/>
        <v>No usa</v>
      </c>
      <c r="AL760">
        <v>0</v>
      </c>
      <c r="AM760" t="str">
        <f t="shared" si="308"/>
        <v>No usa</v>
      </c>
      <c r="AN760">
        <v>1</v>
      </c>
      <c r="AO760" t="str">
        <f t="shared" si="309"/>
        <v>Usa Transporte</v>
      </c>
      <c r="AP760">
        <v>0</v>
      </c>
      <c r="AQ760" t="str">
        <f t="shared" si="310"/>
        <v>No camina</v>
      </c>
      <c r="AR760">
        <v>0</v>
      </c>
      <c r="AS760" t="str">
        <f t="shared" si="311"/>
        <v>No es obeso</v>
      </c>
    </row>
    <row r="761" spans="1:45" x14ac:dyDescent="0.25">
      <c r="A761">
        <v>0</v>
      </c>
      <c r="B761" t="str">
        <f t="shared" si="286"/>
        <v>F</v>
      </c>
      <c r="C761">
        <v>35125401</v>
      </c>
      <c r="D761">
        <f t="shared" si="287"/>
        <v>96</v>
      </c>
      <c r="E761">
        <f t="shared" si="288"/>
        <v>96</v>
      </c>
      <c r="F761" t="str">
        <f t="shared" si="289"/>
        <v>75-100</v>
      </c>
      <c r="G761">
        <v>0</v>
      </c>
      <c r="H761" t="str">
        <f t="shared" si="290"/>
        <v>Pariente normal</v>
      </c>
      <c r="I761">
        <v>1</v>
      </c>
      <c r="J761" t="str">
        <f t="shared" si="291"/>
        <v>Hipercaloricos</v>
      </c>
      <c r="K761">
        <v>2</v>
      </c>
      <c r="L761">
        <f t="shared" si="292"/>
        <v>1</v>
      </c>
      <c r="M761" t="str">
        <f t="shared" si="293"/>
        <v>Suele comer</v>
      </c>
      <c r="N761">
        <v>2105616</v>
      </c>
      <c r="O761">
        <f t="shared" si="294"/>
        <v>2</v>
      </c>
      <c r="P761" t="str">
        <f t="shared" si="295"/>
        <v>Mas de 3</v>
      </c>
      <c r="Q761">
        <v>1</v>
      </c>
      <c r="R761" t="str">
        <f t="shared" si="296"/>
        <v>A veces</v>
      </c>
      <c r="S761">
        <v>0</v>
      </c>
      <c r="T761" t="str">
        <f t="shared" si="297"/>
        <v>No fuma</v>
      </c>
      <c r="U761">
        <v>1456581</v>
      </c>
      <c r="V761">
        <f t="shared" si="298"/>
        <v>2</v>
      </c>
      <c r="W761" t="str">
        <f t="shared" si="299"/>
        <v>Siempre</v>
      </c>
      <c r="X761">
        <v>0</v>
      </c>
      <c r="Y761" t="str">
        <f t="shared" si="300"/>
        <v>No controla</v>
      </c>
      <c r="Z761">
        <v>0</v>
      </c>
      <c r="AA761">
        <f t="shared" si="301"/>
        <v>0</v>
      </c>
      <c r="AB761" t="str">
        <f t="shared" si="302"/>
        <v>Nunca</v>
      </c>
      <c r="AC761">
        <v>0.99739999999999995</v>
      </c>
      <c r="AD761">
        <f t="shared" si="303"/>
        <v>0</v>
      </c>
      <c r="AE761" t="str">
        <f t="shared" si="304"/>
        <v>Nunca</v>
      </c>
      <c r="AF761">
        <v>1</v>
      </c>
      <c r="AG761" t="str">
        <f t="shared" si="305"/>
        <v>A veces</v>
      </c>
      <c r="AH761">
        <v>1</v>
      </c>
      <c r="AI761" t="str">
        <f t="shared" si="306"/>
        <v>Usa auto</v>
      </c>
      <c r="AJ761">
        <v>0</v>
      </c>
      <c r="AK761" t="str">
        <f t="shared" si="307"/>
        <v>No usa</v>
      </c>
      <c r="AL761">
        <v>0</v>
      </c>
      <c r="AM761" t="str">
        <f t="shared" si="308"/>
        <v>No usa</v>
      </c>
      <c r="AN761">
        <v>0</v>
      </c>
      <c r="AO761" t="str">
        <f t="shared" si="309"/>
        <v>No usa</v>
      </c>
      <c r="AP761">
        <v>0</v>
      </c>
      <c r="AQ761" t="str">
        <f t="shared" si="310"/>
        <v>No camina</v>
      </c>
      <c r="AR761">
        <v>0</v>
      </c>
      <c r="AS761" t="str">
        <f t="shared" si="311"/>
        <v>No es obeso</v>
      </c>
    </row>
    <row r="762" spans="1:45" x14ac:dyDescent="0.25">
      <c r="A762">
        <v>0</v>
      </c>
      <c r="B762" t="str">
        <f t="shared" si="286"/>
        <v>F</v>
      </c>
      <c r="C762">
        <v>36769646</v>
      </c>
      <c r="D762">
        <f t="shared" si="287"/>
        <v>100</v>
      </c>
      <c r="E762">
        <f t="shared" si="288"/>
        <v>100</v>
      </c>
      <c r="F762" t="str">
        <f t="shared" si="289"/>
        <v>75-100</v>
      </c>
      <c r="G762">
        <v>1</v>
      </c>
      <c r="H762" t="str">
        <f t="shared" si="290"/>
        <v>Pariente gordo</v>
      </c>
      <c r="I762">
        <v>1</v>
      </c>
      <c r="J762" t="str">
        <f t="shared" si="291"/>
        <v>Hipercaloricos</v>
      </c>
      <c r="K762">
        <v>2392665</v>
      </c>
      <c r="L762">
        <f t="shared" si="292"/>
        <v>1</v>
      </c>
      <c r="M762" t="str">
        <f t="shared" si="293"/>
        <v>Suele comer</v>
      </c>
      <c r="N762">
        <v>3</v>
      </c>
      <c r="O762">
        <f t="shared" si="294"/>
        <v>2</v>
      </c>
      <c r="P762" t="str">
        <f t="shared" si="295"/>
        <v>Mas de 3</v>
      </c>
      <c r="Q762">
        <v>1</v>
      </c>
      <c r="R762" t="str">
        <f t="shared" si="296"/>
        <v>A veces</v>
      </c>
      <c r="S762">
        <v>0</v>
      </c>
      <c r="T762" t="str">
        <f t="shared" si="297"/>
        <v>No fuma</v>
      </c>
      <c r="U762">
        <v>2951056</v>
      </c>
      <c r="V762">
        <f t="shared" si="298"/>
        <v>2</v>
      </c>
      <c r="W762" t="str">
        <f t="shared" si="299"/>
        <v>Siempre</v>
      </c>
      <c r="X762">
        <v>0</v>
      </c>
      <c r="Y762" t="str">
        <f t="shared" si="300"/>
        <v>No controla</v>
      </c>
      <c r="Z762">
        <v>0</v>
      </c>
      <c r="AA762">
        <f t="shared" si="301"/>
        <v>0</v>
      </c>
      <c r="AB762" t="str">
        <f t="shared" si="302"/>
        <v>Nunca</v>
      </c>
      <c r="AC762">
        <v>0.36913400000000002</v>
      </c>
      <c r="AD762">
        <f t="shared" si="303"/>
        <v>0</v>
      </c>
      <c r="AE762" t="str">
        <f t="shared" si="304"/>
        <v>Nunca</v>
      </c>
      <c r="AF762">
        <v>1</v>
      </c>
      <c r="AG762" t="str">
        <f t="shared" si="305"/>
        <v>A veces</v>
      </c>
      <c r="AH762">
        <v>1</v>
      </c>
      <c r="AI762" t="str">
        <f t="shared" si="306"/>
        <v>Usa auto</v>
      </c>
      <c r="AJ762">
        <v>0</v>
      </c>
      <c r="AK762" t="str">
        <f t="shared" si="307"/>
        <v>No usa</v>
      </c>
      <c r="AL762">
        <v>0</v>
      </c>
      <c r="AM762" t="str">
        <f t="shared" si="308"/>
        <v>No usa</v>
      </c>
      <c r="AN762">
        <v>0</v>
      </c>
      <c r="AO762" t="str">
        <f t="shared" si="309"/>
        <v>No usa</v>
      </c>
      <c r="AP762">
        <v>0</v>
      </c>
      <c r="AQ762" t="str">
        <f t="shared" si="310"/>
        <v>No camina</v>
      </c>
      <c r="AR762">
        <v>0</v>
      </c>
      <c r="AS762" t="str">
        <f t="shared" si="311"/>
        <v>No es obeso</v>
      </c>
    </row>
    <row r="763" spans="1:45" x14ac:dyDescent="0.25">
      <c r="A763">
        <v>0</v>
      </c>
      <c r="B763" t="str">
        <f t="shared" si="286"/>
        <v>F</v>
      </c>
      <c r="C763">
        <v>21868932</v>
      </c>
      <c r="D763">
        <f t="shared" si="287"/>
        <v>59</v>
      </c>
      <c r="E763">
        <f t="shared" si="288"/>
        <v>59</v>
      </c>
      <c r="F763" t="str">
        <f t="shared" si="289"/>
        <v>50-75</v>
      </c>
      <c r="G763">
        <v>1</v>
      </c>
      <c r="H763" t="str">
        <f t="shared" si="290"/>
        <v>Pariente gordo</v>
      </c>
      <c r="I763">
        <v>1</v>
      </c>
      <c r="J763" t="str">
        <f t="shared" si="291"/>
        <v>Hipercaloricos</v>
      </c>
      <c r="K763">
        <v>2577427</v>
      </c>
      <c r="L763">
        <f t="shared" si="292"/>
        <v>1</v>
      </c>
      <c r="M763" t="str">
        <f t="shared" si="293"/>
        <v>Suele comer</v>
      </c>
      <c r="N763">
        <v>1</v>
      </c>
      <c r="O763">
        <f t="shared" si="294"/>
        <v>1</v>
      </c>
      <c r="P763">
        <f t="shared" si="295"/>
        <v>3</v>
      </c>
      <c r="Q763">
        <v>1</v>
      </c>
      <c r="R763" t="str">
        <f t="shared" si="296"/>
        <v>A veces</v>
      </c>
      <c r="S763">
        <v>0</v>
      </c>
      <c r="T763" t="str">
        <f t="shared" si="297"/>
        <v>No fuma</v>
      </c>
      <c r="U763">
        <v>2</v>
      </c>
      <c r="V763">
        <f t="shared" si="298"/>
        <v>2</v>
      </c>
      <c r="W763" t="str">
        <f t="shared" si="299"/>
        <v>Siempre</v>
      </c>
      <c r="X763">
        <v>0</v>
      </c>
      <c r="Y763" t="str">
        <f t="shared" si="300"/>
        <v>No controla</v>
      </c>
      <c r="Z763">
        <v>2287423</v>
      </c>
      <c r="AA763">
        <f t="shared" si="301"/>
        <v>3</v>
      </c>
      <c r="AB763" t="str">
        <f t="shared" si="302"/>
        <v>Siempre</v>
      </c>
      <c r="AC763">
        <v>0</v>
      </c>
      <c r="AD763">
        <f t="shared" si="303"/>
        <v>0</v>
      </c>
      <c r="AE763" t="str">
        <f t="shared" si="304"/>
        <v>Nunca</v>
      </c>
      <c r="AF763">
        <v>1</v>
      </c>
      <c r="AG763" t="str">
        <f t="shared" si="305"/>
        <v>A veces</v>
      </c>
      <c r="AH763">
        <v>0</v>
      </c>
      <c r="AI763" t="str">
        <f t="shared" si="306"/>
        <v>No usa</v>
      </c>
      <c r="AJ763">
        <v>0</v>
      </c>
      <c r="AK763" t="str">
        <f t="shared" si="307"/>
        <v>No usa</v>
      </c>
      <c r="AL763">
        <v>0</v>
      </c>
      <c r="AM763" t="str">
        <f t="shared" si="308"/>
        <v>No usa</v>
      </c>
      <c r="AN763">
        <v>1</v>
      </c>
      <c r="AO763" t="str">
        <f t="shared" si="309"/>
        <v>Usa Transporte</v>
      </c>
      <c r="AP763">
        <v>0</v>
      </c>
      <c r="AQ763" t="str">
        <f t="shared" si="310"/>
        <v>No camina</v>
      </c>
      <c r="AR763">
        <v>0</v>
      </c>
      <c r="AS763" t="str">
        <f t="shared" si="311"/>
        <v>No es obeso</v>
      </c>
    </row>
    <row r="764" spans="1:45" x14ac:dyDescent="0.25">
      <c r="A764">
        <v>1</v>
      </c>
      <c r="B764" t="str">
        <f t="shared" si="286"/>
        <v>M</v>
      </c>
      <c r="C764">
        <v>22549208</v>
      </c>
      <c r="D764">
        <f t="shared" si="287"/>
        <v>61</v>
      </c>
      <c r="E764">
        <f t="shared" si="288"/>
        <v>61</v>
      </c>
      <c r="F764" t="str">
        <f t="shared" si="289"/>
        <v>50-75</v>
      </c>
      <c r="G764">
        <v>0</v>
      </c>
      <c r="H764" t="str">
        <f t="shared" si="290"/>
        <v>Pariente normal</v>
      </c>
      <c r="I764">
        <v>1</v>
      </c>
      <c r="J764" t="str">
        <f t="shared" si="291"/>
        <v>Hipercaloricos</v>
      </c>
      <c r="K764">
        <v>2</v>
      </c>
      <c r="L764">
        <f t="shared" si="292"/>
        <v>1</v>
      </c>
      <c r="M764" t="str">
        <f t="shared" si="293"/>
        <v>Suele comer</v>
      </c>
      <c r="N764">
        <v>1</v>
      </c>
      <c r="O764">
        <f t="shared" si="294"/>
        <v>1</v>
      </c>
      <c r="P764">
        <f t="shared" si="295"/>
        <v>3</v>
      </c>
      <c r="Q764">
        <v>0</v>
      </c>
      <c r="R764" t="str">
        <f t="shared" si="296"/>
        <v>Nunca</v>
      </c>
      <c r="S764">
        <v>0</v>
      </c>
      <c r="T764" t="str">
        <f t="shared" si="297"/>
        <v>No fuma</v>
      </c>
      <c r="U764">
        <v>2803311</v>
      </c>
      <c r="V764">
        <f t="shared" si="298"/>
        <v>2</v>
      </c>
      <c r="W764" t="str">
        <f t="shared" si="299"/>
        <v>Siempre</v>
      </c>
      <c r="X764">
        <v>0</v>
      </c>
      <c r="Y764" t="str">
        <f t="shared" si="300"/>
        <v>No controla</v>
      </c>
      <c r="Z764">
        <v>0.24535399999999999</v>
      </c>
      <c r="AA764">
        <f t="shared" si="301"/>
        <v>0</v>
      </c>
      <c r="AB764" t="str">
        <f t="shared" si="302"/>
        <v>Nunca</v>
      </c>
      <c r="AC764">
        <v>0</v>
      </c>
      <c r="AD764">
        <f t="shared" si="303"/>
        <v>0</v>
      </c>
      <c r="AE764" t="str">
        <f t="shared" si="304"/>
        <v>Nunca</v>
      </c>
      <c r="AF764">
        <v>1</v>
      </c>
      <c r="AG764" t="str">
        <f t="shared" si="305"/>
        <v>A veces</v>
      </c>
      <c r="AH764">
        <v>0</v>
      </c>
      <c r="AI764" t="str">
        <f t="shared" si="306"/>
        <v>No usa</v>
      </c>
      <c r="AJ764">
        <v>0</v>
      </c>
      <c r="AK764" t="str">
        <f t="shared" si="307"/>
        <v>No usa</v>
      </c>
      <c r="AL764">
        <v>0</v>
      </c>
      <c r="AM764" t="str">
        <f t="shared" si="308"/>
        <v>No usa</v>
      </c>
      <c r="AN764">
        <v>1</v>
      </c>
      <c r="AO764" t="str">
        <f t="shared" si="309"/>
        <v>Usa Transporte</v>
      </c>
      <c r="AP764">
        <v>0</v>
      </c>
      <c r="AQ764" t="str">
        <f t="shared" si="310"/>
        <v>No camina</v>
      </c>
      <c r="AR764">
        <v>0</v>
      </c>
      <c r="AS764" t="str">
        <f t="shared" si="311"/>
        <v>No es obeso</v>
      </c>
    </row>
    <row r="765" spans="1:45" x14ac:dyDescent="0.25">
      <c r="A765">
        <v>1</v>
      </c>
      <c r="B765" t="str">
        <f t="shared" si="286"/>
        <v>M</v>
      </c>
      <c r="C765">
        <v>21</v>
      </c>
      <c r="D765">
        <f t="shared" si="287"/>
        <v>21</v>
      </c>
      <c r="E765">
        <f t="shared" si="288"/>
        <v>21</v>
      </c>
      <c r="F765" t="str">
        <f t="shared" si="289"/>
        <v>1-25</v>
      </c>
      <c r="G765">
        <v>0</v>
      </c>
      <c r="H765" t="str">
        <f t="shared" si="290"/>
        <v>Pariente normal</v>
      </c>
      <c r="I765">
        <v>1</v>
      </c>
      <c r="J765" t="str">
        <f t="shared" si="291"/>
        <v>Hipercaloricos</v>
      </c>
      <c r="K765">
        <v>2</v>
      </c>
      <c r="L765">
        <f t="shared" si="292"/>
        <v>1</v>
      </c>
      <c r="M765" t="str">
        <f t="shared" si="293"/>
        <v>Suele comer</v>
      </c>
      <c r="N765">
        <v>1</v>
      </c>
      <c r="O765">
        <f t="shared" si="294"/>
        <v>1</v>
      </c>
      <c r="P765">
        <f t="shared" si="295"/>
        <v>3</v>
      </c>
      <c r="Q765">
        <v>0</v>
      </c>
      <c r="R765" t="str">
        <f t="shared" si="296"/>
        <v>Nunca</v>
      </c>
      <c r="S765">
        <v>0</v>
      </c>
      <c r="T765" t="str">
        <f t="shared" si="297"/>
        <v>No fuma</v>
      </c>
      <c r="U765">
        <v>3</v>
      </c>
      <c r="V765">
        <f t="shared" si="298"/>
        <v>2</v>
      </c>
      <c r="W765" t="str">
        <f t="shared" si="299"/>
        <v>Siempre</v>
      </c>
      <c r="X765">
        <v>0</v>
      </c>
      <c r="Y765" t="str">
        <f t="shared" si="300"/>
        <v>No controla</v>
      </c>
      <c r="Z765">
        <v>1</v>
      </c>
      <c r="AA765">
        <f t="shared" si="301"/>
        <v>1</v>
      </c>
      <c r="AB765" t="str">
        <f t="shared" si="302"/>
        <v>A veces</v>
      </c>
      <c r="AC765">
        <v>0</v>
      </c>
      <c r="AD765">
        <f t="shared" si="303"/>
        <v>0</v>
      </c>
      <c r="AE765" t="str">
        <f t="shared" si="304"/>
        <v>Nunca</v>
      </c>
      <c r="AF765">
        <v>1</v>
      </c>
      <c r="AG765" t="str">
        <f t="shared" si="305"/>
        <v>A veces</v>
      </c>
      <c r="AH765">
        <v>0</v>
      </c>
      <c r="AI765" t="str">
        <f t="shared" si="306"/>
        <v>No usa</v>
      </c>
      <c r="AJ765">
        <v>0</v>
      </c>
      <c r="AK765" t="str">
        <f t="shared" si="307"/>
        <v>No usa</v>
      </c>
      <c r="AL765">
        <v>0</v>
      </c>
      <c r="AM765" t="str">
        <f t="shared" si="308"/>
        <v>No usa</v>
      </c>
      <c r="AN765">
        <v>1</v>
      </c>
      <c r="AO765" t="str">
        <f t="shared" si="309"/>
        <v>Usa Transporte</v>
      </c>
      <c r="AP765">
        <v>0</v>
      </c>
      <c r="AQ765" t="str">
        <f t="shared" si="310"/>
        <v>No camina</v>
      </c>
      <c r="AR765">
        <v>0</v>
      </c>
      <c r="AS765" t="str">
        <f t="shared" si="311"/>
        <v>No es obeso</v>
      </c>
    </row>
    <row r="766" spans="1:45" x14ac:dyDescent="0.25">
      <c r="A766">
        <v>1</v>
      </c>
      <c r="B766" t="str">
        <f t="shared" si="286"/>
        <v>M</v>
      </c>
      <c r="C766">
        <v>21</v>
      </c>
      <c r="D766">
        <f t="shared" si="287"/>
        <v>21</v>
      </c>
      <c r="E766">
        <f t="shared" si="288"/>
        <v>21</v>
      </c>
      <c r="F766" t="str">
        <f t="shared" si="289"/>
        <v>1-25</v>
      </c>
      <c r="G766">
        <v>0</v>
      </c>
      <c r="H766" t="str">
        <f t="shared" si="290"/>
        <v>Pariente normal</v>
      </c>
      <c r="I766">
        <v>1</v>
      </c>
      <c r="J766" t="str">
        <f t="shared" si="291"/>
        <v>Hipercaloricos</v>
      </c>
      <c r="K766">
        <v>2</v>
      </c>
      <c r="L766">
        <f t="shared" si="292"/>
        <v>1</v>
      </c>
      <c r="M766" t="str">
        <f t="shared" si="293"/>
        <v>Suele comer</v>
      </c>
      <c r="N766">
        <v>1</v>
      </c>
      <c r="O766">
        <f t="shared" si="294"/>
        <v>1</v>
      </c>
      <c r="P766">
        <f t="shared" si="295"/>
        <v>3</v>
      </c>
      <c r="Q766">
        <v>0</v>
      </c>
      <c r="R766" t="str">
        <f t="shared" si="296"/>
        <v>Nunca</v>
      </c>
      <c r="S766">
        <v>0</v>
      </c>
      <c r="T766" t="str">
        <f t="shared" si="297"/>
        <v>No fuma</v>
      </c>
      <c r="U766">
        <v>3</v>
      </c>
      <c r="V766">
        <f t="shared" si="298"/>
        <v>2</v>
      </c>
      <c r="W766" t="str">
        <f t="shared" si="299"/>
        <v>Siempre</v>
      </c>
      <c r="X766">
        <v>0</v>
      </c>
      <c r="Y766" t="str">
        <f t="shared" si="300"/>
        <v>No controla</v>
      </c>
      <c r="Z766">
        <v>1</v>
      </c>
      <c r="AA766">
        <f t="shared" si="301"/>
        <v>1</v>
      </c>
      <c r="AB766" t="str">
        <f t="shared" si="302"/>
        <v>A veces</v>
      </c>
      <c r="AC766">
        <v>0</v>
      </c>
      <c r="AD766">
        <f t="shared" si="303"/>
        <v>0</v>
      </c>
      <c r="AE766" t="str">
        <f t="shared" si="304"/>
        <v>Nunca</v>
      </c>
      <c r="AF766">
        <v>1</v>
      </c>
      <c r="AG766" t="str">
        <f t="shared" si="305"/>
        <v>A veces</v>
      </c>
      <c r="AH766">
        <v>0</v>
      </c>
      <c r="AI766" t="str">
        <f t="shared" si="306"/>
        <v>No usa</v>
      </c>
      <c r="AJ766">
        <v>0</v>
      </c>
      <c r="AK766" t="str">
        <f t="shared" si="307"/>
        <v>No usa</v>
      </c>
      <c r="AL766">
        <v>0</v>
      </c>
      <c r="AM766" t="str">
        <f t="shared" si="308"/>
        <v>No usa</v>
      </c>
      <c r="AN766">
        <v>1</v>
      </c>
      <c r="AO766" t="str">
        <f t="shared" si="309"/>
        <v>Usa Transporte</v>
      </c>
      <c r="AP766">
        <v>0</v>
      </c>
      <c r="AQ766" t="str">
        <f t="shared" si="310"/>
        <v>No camina</v>
      </c>
      <c r="AR766">
        <v>0</v>
      </c>
      <c r="AS766" t="str">
        <f t="shared" si="311"/>
        <v>No es obeso</v>
      </c>
    </row>
    <row r="767" spans="1:45" x14ac:dyDescent="0.25">
      <c r="A767">
        <v>0</v>
      </c>
      <c r="B767" t="str">
        <f t="shared" si="286"/>
        <v>F</v>
      </c>
      <c r="C767">
        <v>30958957</v>
      </c>
      <c r="D767">
        <f t="shared" si="287"/>
        <v>84</v>
      </c>
      <c r="E767">
        <f t="shared" si="288"/>
        <v>84</v>
      </c>
      <c r="F767" t="str">
        <f t="shared" si="289"/>
        <v>75-100</v>
      </c>
      <c r="G767">
        <v>1</v>
      </c>
      <c r="H767" t="str">
        <f t="shared" si="290"/>
        <v>Pariente gordo</v>
      </c>
      <c r="I767">
        <v>1</v>
      </c>
      <c r="J767" t="str">
        <f t="shared" si="291"/>
        <v>Hipercaloricos</v>
      </c>
      <c r="K767">
        <v>2052152</v>
      </c>
      <c r="L767">
        <f t="shared" si="292"/>
        <v>1</v>
      </c>
      <c r="M767" t="str">
        <f t="shared" si="293"/>
        <v>Suele comer</v>
      </c>
      <c r="N767">
        <v>3</v>
      </c>
      <c r="O767">
        <f t="shared" si="294"/>
        <v>2</v>
      </c>
      <c r="P767" t="str">
        <f t="shared" si="295"/>
        <v>Mas de 3</v>
      </c>
      <c r="Q767">
        <v>1</v>
      </c>
      <c r="R767" t="str">
        <f t="shared" si="296"/>
        <v>A veces</v>
      </c>
      <c r="S767">
        <v>0</v>
      </c>
      <c r="T767" t="str">
        <f t="shared" si="297"/>
        <v>No fuma</v>
      </c>
      <c r="U767">
        <v>1972074</v>
      </c>
      <c r="V767">
        <f t="shared" si="298"/>
        <v>2</v>
      </c>
      <c r="W767" t="str">
        <f t="shared" si="299"/>
        <v>Siempre</v>
      </c>
      <c r="X767">
        <v>0</v>
      </c>
      <c r="Y767" t="str">
        <f t="shared" si="300"/>
        <v>No controla</v>
      </c>
      <c r="Z767">
        <v>0.22830700000000001</v>
      </c>
      <c r="AA767">
        <f t="shared" si="301"/>
        <v>0</v>
      </c>
      <c r="AB767" t="str">
        <f t="shared" si="302"/>
        <v>Nunca</v>
      </c>
      <c r="AC767">
        <v>0</v>
      </c>
      <c r="AD767">
        <f t="shared" si="303"/>
        <v>0</v>
      </c>
      <c r="AE767" t="str">
        <f t="shared" si="304"/>
        <v>Nunca</v>
      </c>
      <c r="AF767">
        <v>1</v>
      </c>
      <c r="AG767" t="str">
        <f t="shared" si="305"/>
        <v>A veces</v>
      </c>
      <c r="AH767">
        <v>1</v>
      </c>
      <c r="AI767" t="str">
        <f t="shared" si="306"/>
        <v>Usa auto</v>
      </c>
      <c r="AJ767">
        <v>0</v>
      </c>
      <c r="AK767" t="str">
        <f t="shared" si="307"/>
        <v>No usa</v>
      </c>
      <c r="AL767">
        <v>0</v>
      </c>
      <c r="AM767" t="str">
        <f t="shared" si="308"/>
        <v>No usa</v>
      </c>
      <c r="AN767">
        <v>0</v>
      </c>
      <c r="AO767" t="str">
        <f t="shared" si="309"/>
        <v>No usa</v>
      </c>
      <c r="AP767">
        <v>0</v>
      </c>
      <c r="AQ767" t="str">
        <f t="shared" si="310"/>
        <v>No camina</v>
      </c>
      <c r="AR767">
        <v>0</v>
      </c>
      <c r="AS767" t="str">
        <f t="shared" si="311"/>
        <v>No es obeso</v>
      </c>
    </row>
    <row r="768" spans="1:45" x14ac:dyDescent="0.25">
      <c r="A768">
        <v>1</v>
      </c>
      <c r="B768" t="str">
        <f t="shared" si="286"/>
        <v>M</v>
      </c>
      <c r="C768">
        <v>21017383</v>
      </c>
      <c r="D768">
        <f t="shared" si="287"/>
        <v>57</v>
      </c>
      <c r="E768">
        <f t="shared" si="288"/>
        <v>57</v>
      </c>
      <c r="F768" t="str">
        <f t="shared" si="289"/>
        <v>50-75</v>
      </c>
      <c r="G768">
        <v>1</v>
      </c>
      <c r="H768" t="str">
        <f t="shared" si="290"/>
        <v>Pariente gordo</v>
      </c>
      <c r="I768">
        <v>1</v>
      </c>
      <c r="J768" t="str">
        <f t="shared" si="291"/>
        <v>Hipercaloricos</v>
      </c>
      <c r="K768">
        <v>3</v>
      </c>
      <c r="L768">
        <f t="shared" si="292"/>
        <v>1</v>
      </c>
      <c r="M768" t="str">
        <f t="shared" si="293"/>
        <v>Suele comer</v>
      </c>
      <c r="N768">
        <v>1</v>
      </c>
      <c r="O768">
        <f t="shared" si="294"/>
        <v>1</v>
      </c>
      <c r="P768">
        <f t="shared" si="295"/>
        <v>3</v>
      </c>
      <c r="Q768">
        <v>1</v>
      </c>
      <c r="R768" t="str">
        <f t="shared" si="296"/>
        <v>A veces</v>
      </c>
      <c r="S768">
        <v>0</v>
      </c>
      <c r="T768" t="str">
        <f t="shared" si="297"/>
        <v>No fuma</v>
      </c>
      <c r="U768">
        <v>2</v>
      </c>
      <c r="V768">
        <f t="shared" si="298"/>
        <v>2</v>
      </c>
      <c r="W768" t="str">
        <f t="shared" si="299"/>
        <v>Siempre</v>
      </c>
      <c r="X768">
        <v>0</v>
      </c>
      <c r="Y768" t="str">
        <f t="shared" si="300"/>
        <v>No controla</v>
      </c>
      <c r="Z768">
        <v>257223</v>
      </c>
      <c r="AA768">
        <f t="shared" si="301"/>
        <v>2</v>
      </c>
      <c r="AB768" t="str">
        <f t="shared" si="302"/>
        <v>Usualmente</v>
      </c>
      <c r="AC768">
        <v>0</v>
      </c>
      <c r="AD768">
        <f t="shared" si="303"/>
        <v>0</v>
      </c>
      <c r="AE768" t="str">
        <f t="shared" si="304"/>
        <v>Nunca</v>
      </c>
      <c r="AF768">
        <v>1</v>
      </c>
      <c r="AG768" t="str">
        <f t="shared" si="305"/>
        <v>A veces</v>
      </c>
      <c r="AH768">
        <v>1</v>
      </c>
      <c r="AI768" t="str">
        <f t="shared" si="306"/>
        <v>Usa auto</v>
      </c>
      <c r="AJ768">
        <v>0</v>
      </c>
      <c r="AK768" t="str">
        <f t="shared" si="307"/>
        <v>No usa</v>
      </c>
      <c r="AL768">
        <v>0</v>
      </c>
      <c r="AM768" t="str">
        <f t="shared" si="308"/>
        <v>No usa</v>
      </c>
      <c r="AN768">
        <v>0</v>
      </c>
      <c r="AO768" t="str">
        <f t="shared" si="309"/>
        <v>No usa</v>
      </c>
      <c r="AP768">
        <v>0</v>
      </c>
      <c r="AQ768" t="str">
        <f t="shared" si="310"/>
        <v>No camina</v>
      </c>
      <c r="AR768">
        <v>0</v>
      </c>
      <c r="AS768" t="str">
        <f t="shared" si="311"/>
        <v>No es obeso</v>
      </c>
    </row>
    <row r="769" spans="1:45" x14ac:dyDescent="0.25">
      <c r="A769">
        <v>1</v>
      </c>
      <c r="B769" t="str">
        <f t="shared" si="286"/>
        <v>M</v>
      </c>
      <c r="C769">
        <v>19623574</v>
      </c>
      <c r="D769">
        <f t="shared" si="287"/>
        <v>53</v>
      </c>
      <c r="E769">
        <f t="shared" si="288"/>
        <v>53</v>
      </c>
      <c r="F769" t="str">
        <f t="shared" si="289"/>
        <v>50-75</v>
      </c>
      <c r="G769">
        <v>1</v>
      </c>
      <c r="H769" t="str">
        <f t="shared" si="290"/>
        <v>Pariente gordo</v>
      </c>
      <c r="I769">
        <v>1</v>
      </c>
      <c r="J769" t="str">
        <f t="shared" si="291"/>
        <v>Hipercaloricos</v>
      </c>
      <c r="K769">
        <v>2954996</v>
      </c>
      <c r="L769">
        <f t="shared" si="292"/>
        <v>1</v>
      </c>
      <c r="M769" t="str">
        <f t="shared" si="293"/>
        <v>Suele comer</v>
      </c>
      <c r="N769">
        <v>3714833</v>
      </c>
      <c r="O769">
        <f t="shared" si="294"/>
        <v>2</v>
      </c>
      <c r="P769" t="str">
        <f t="shared" si="295"/>
        <v>Mas de 3</v>
      </c>
      <c r="Q769">
        <v>1</v>
      </c>
      <c r="R769" t="str">
        <f t="shared" si="296"/>
        <v>A veces</v>
      </c>
      <c r="S769">
        <v>0</v>
      </c>
      <c r="T769" t="str">
        <f t="shared" si="297"/>
        <v>No fuma</v>
      </c>
      <c r="U769">
        <v>2430918</v>
      </c>
      <c r="V769">
        <f t="shared" si="298"/>
        <v>2</v>
      </c>
      <c r="W769" t="str">
        <f t="shared" si="299"/>
        <v>Siempre</v>
      </c>
      <c r="X769">
        <v>0</v>
      </c>
      <c r="Y769" t="str">
        <f t="shared" si="300"/>
        <v>No controla</v>
      </c>
      <c r="Z769">
        <v>2545931</v>
      </c>
      <c r="AA769">
        <f t="shared" si="301"/>
        <v>3</v>
      </c>
      <c r="AB769" t="str">
        <f t="shared" si="302"/>
        <v>Siempre</v>
      </c>
      <c r="AC769">
        <v>0.46973500000000001</v>
      </c>
      <c r="AD769">
        <f t="shared" si="303"/>
        <v>0</v>
      </c>
      <c r="AE769" t="str">
        <f t="shared" si="304"/>
        <v>Nunca</v>
      </c>
      <c r="AF769">
        <v>1</v>
      </c>
      <c r="AG769" t="str">
        <f t="shared" si="305"/>
        <v>A veces</v>
      </c>
      <c r="AH769">
        <v>0</v>
      </c>
      <c r="AI769" t="str">
        <f t="shared" si="306"/>
        <v>No usa</v>
      </c>
      <c r="AJ769">
        <v>0</v>
      </c>
      <c r="AK769" t="str">
        <f t="shared" si="307"/>
        <v>No usa</v>
      </c>
      <c r="AL769">
        <v>0</v>
      </c>
      <c r="AM769" t="str">
        <f t="shared" si="308"/>
        <v>No usa</v>
      </c>
      <c r="AN769">
        <v>1</v>
      </c>
      <c r="AO769" t="str">
        <f t="shared" si="309"/>
        <v>Usa Transporte</v>
      </c>
      <c r="AP769">
        <v>0</v>
      </c>
      <c r="AQ769" t="str">
        <f t="shared" si="310"/>
        <v>No camina</v>
      </c>
      <c r="AR769">
        <v>0</v>
      </c>
      <c r="AS769" t="str">
        <f t="shared" si="311"/>
        <v>No es obeso</v>
      </c>
    </row>
    <row r="770" spans="1:45" x14ac:dyDescent="0.25">
      <c r="A770">
        <v>1</v>
      </c>
      <c r="B770" t="str">
        <f t="shared" si="286"/>
        <v>M</v>
      </c>
      <c r="C770">
        <v>19637947</v>
      </c>
      <c r="D770">
        <f t="shared" si="287"/>
        <v>53</v>
      </c>
      <c r="E770">
        <f t="shared" si="288"/>
        <v>53</v>
      </c>
      <c r="F770" t="str">
        <f t="shared" si="289"/>
        <v>50-75</v>
      </c>
      <c r="G770">
        <v>1</v>
      </c>
      <c r="H770" t="str">
        <f t="shared" si="290"/>
        <v>Pariente gordo</v>
      </c>
      <c r="I770">
        <v>1</v>
      </c>
      <c r="J770" t="str">
        <f t="shared" si="291"/>
        <v>Hipercaloricos</v>
      </c>
      <c r="K770">
        <v>3</v>
      </c>
      <c r="L770">
        <f t="shared" si="292"/>
        <v>1</v>
      </c>
      <c r="M770" t="str">
        <f t="shared" si="293"/>
        <v>Suele comer</v>
      </c>
      <c r="N770">
        <v>3</v>
      </c>
      <c r="O770">
        <f t="shared" si="294"/>
        <v>2</v>
      </c>
      <c r="P770" t="str">
        <f t="shared" si="295"/>
        <v>Mas de 3</v>
      </c>
      <c r="Q770">
        <v>1</v>
      </c>
      <c r="R770" t="str">
        <f t="shared" si="296"/>
        <v>A veces</v>
      </c>
      <c r="S770">
        <v>0</v>
      </c>
      <c r="T770" t="str">
        <f t="shared" si="297"/>
        <v>No fuma</v>
      </c>
      <c r="U770">
        <v>2229171</v>
      </c>
      <c r="V770">
        <f t="shared" si="298"/>
        <v>2</v>
      </c>
      <c r="W770" t="str">
        <f t="shared" si="299"/>
        <v>Siempre</v>
      </c>
      <c r="X770">
        <v>0</v>
      </c>
      <c r="Y770" t="str">
        <f t="shared" si="300"/>
        <v>No controla</v>
      </c>
      <c r="Z770">
        <v>1607953</v>
      </c>
      <c r="AA770">
        <f t="shared" si="301"/>
        <v>3</v>
      </c>
      <c r="AB770" t="str">
        <f t="shared" si="302"/>
        <v>Siempre</v>
      </c>
      <c r="AC770">
        <v>0.62805900000000003</v>
      </c>
      <c r="AD770">
        <f t="shared" si="303"/>
        <v>0</v>
      </c>
      <c r="AE770" t="str">
        <f t="shared" si="304"/>
        <v>Nunca</v>
      </c>
      <c r="AF770">
        <v>1</v>
      </c>
      <c r="AG770" t="str">
        <f t="shared" si="305"/>
        <v>A veces</v>
      </c>
      <c r="AH770">
        <v>0</v>
      </c>
      <c r="AI770" t="str">
        <f t="shared" si="306"/>
        <v>No usa</v>
      </c>
      <c r="AJ770">
        <v>0</v>
      </c>
      <c r="AK770" t="str">
        <f t="shared" si="307"/>
        <v>No usa</v>
      </c>
      <c r="AL770">
        <v>0</v>
      </c>
      <c r="AM770" t="str">
        <f t="shared" si="308"/>
        <v>No usa</v>
      </c>
      <c r="AN770">
        <v>1</v>
      </c>
      <c r="AO770" t="str">
        <f t="shared" si="309"/>
        <v>Usa Transporte</v>
      </c>
      <c r="AP770">
        <v>0</v>
      </c>
      <c r="AQ770" t="str">
        <f t="shared" si="310"/>
        <v>No camina</v>
      </c>
      <c r="AR770">
        <v>0</v>
      </c>
      <c r="AS770" t="str">
        <f t="shared" si="311"/>
        <v>No es obeso</v>
      </c>
    </row>
    <row r="771" spans="1:45" x14ac:dyDescent="0.25">
      <c r="A771">
        <v>1</v>
      </c>
      <c r="B771" t="str">
        <f t="shared" ref="B771:B834" si="312">IF(A771=1,"M","F")</f>
        <v>M</v>
      </c>
      <c r="C771">
        <v>21413642</v>
      </c>
      <c r="D771">
        <f t="shared" ref="D771:D834" si="313">IF(C771&lt;100,C771,ROUNDDOWN((C771/1000)/365,0))</f>
        <v>58</v>
      </c>
      <c r="E771">
        <f t="shared" ref="E771:E834" si="314">IF(AND(D771&gt;1,D771&lt;=100),D771,IF(D771&gt;100,100,5))</f>
        <v>58</v>
      </c>
      <c r="F771" t="str">
        <f t="shared" ref="F771:F834" si="315">IF(AND(E771&gt;=1,E771&lt;=25),"1-25",IF(AND(E771&gt;25,E771&lt;=50),"25-50",IF(AND(E771&gt;50,E771&lt;=75),"50-75","75-100")))</f>
        <v>50-75</v>
      </c>
      <c r="G771">
        <v>1</v>
      </c>
      <c r="H771" t="str">
        <f t="shared" ref="H771:H834" si="316">IF(G771=1,"Pariente gordo","Pariente normal")</f>
        <v>Pariente gordo</v>
      </c>
      <c r="I771">
        <v>1</v>
      </c>
      <c r="J771" t="str">
        <f t="shared" ref="J771:J834" si="317">IF(I771=1,"Hipercaloricos","Saludables")</f>
        <v>Hipercaloricos</v>
      </c>
      <c r="K771">
        <v>2</v>
      </c>
      <c r="L771">
        <f t="shared" ref="L771:L834" si="318">IF(AND(K771&gt;=1,K771&lt;=3),1,IF(AND(K771&gt;3,K771&lt;3000000),1))</f>
        <v>1</v>
      </c>
      <c r="M771" t="str">
        <f t="shared" ref="M771:M834" si="319">IF(L771=1,"Suele comer","No come")</f>
        <v>Suele comer</v>
      </c>
      <c r="N771">
        <v>3</v>
      </c>
      <c r="O771">
        <f t="shared" ref="O771:O834" si="320">IF(N771=1,N771,IF(AND(N771&gt;=2,N771&lt;4000000),2))</f>
        <v>2</v>
      </c>
      <c r="P771" t="str">
        <f t="shared" ref="P771:P834" si="321">IF(O771=0,"1-2",IF(O771=1,3,"Mas de 3"))</f>
        <v>Mas de 3</v>
      </c>
      <c r="Q771">
        <v>1</v>
      </c>
      <c r="R771" t="str">
        <f t="shared" ref="R771:R834" si="322">IF(Q771=0,"Nunca",IF(Q771=1,"A veces",IF(Q771=2,"Usualmente","Siempre")))</f>
        <v>A veces</v>
      </c>
      <c r="S771">
        <v>0</v>
      </c>
      <c r="T771" t="str">
        <f t="shared" ref="T771:T834" si="323">IF(S771=1,"Fuma","No fuma")</f>
        <v>No fuma</v>
      </c>
      <c r="U771">
        <v>2843777</v>
      </c>
      <c r="V771">
        <f t="shared" ref="V771:V834" si="324">IF(U771=1,U771,IF(U771=2,U771,IF(AND(U771&gt;=3,U771&lt;3000000),2)))</f>
        <v>2</v>
      </c>
      <c r="W771" t="str">
        <f t="shared" ref="W771:W834" si="325">IF(V771=0,"Nunca",IF(V771=1,"Usualmente","Siempre"))</f>
        <v>Siempre</v>
      </c>
      <c r="X771">
        <v>0</v>
      </c>
      <c r="Y771" t="str">
        <f t="shared" ref="Y771:Y834" si="326">IF(X771=1,"Controla","No controla")</f>
        <v>No controla</v>
      </c>
      <c r="Z771">
        <v>2022315</v>
      </c>
      <c r="AA771">
        <f t="shared" ref="AA771:AA834" si="327">IF(Z771=0,Z771,IF(Z771=1,Z771,IF(Z771=2,Z771,IF(Z771=3,Z771,IF(AND(Z771&gt;3,Z771&lt;300000),2,IF(AND(Z771&gt;300000,Z771&lt;3000000),3,IF(AND(Z771&gt;0,Z771&lt;1),0)))))))</f>
        <v>3</v>
      </c>
      <c r="AB771" t="str">
        <f t="shared" ref="AB771:AB834" si="328">IF(AA771=0,"Nunca",IF(AA771=1,"A veces",IF(AA771=2,"Usualmente","Siempre")))</f>
        <v>Siempre</v>
      </c>
      <c r="AC771">
        <v>9.2540000000000001E-3</v>
      </c>
      <c r="AD771">
        <f t="shared" ref="AD771:AD834" si="329">IF(AC771= 0,AC771,IF(AC771=1,AC771,IF(AC771=2,AC771,IF(AND(AC771&gt;2,AC771&lt;200000),1,IF(AND(AC771&gt;200000,AC771&lt;2000000),2,IF(AND(AC771&gt;0,AC771&lt;1),0))))))</f>
        <v>0</v>
      </c>
      <c r="AE771" t="str">
        <f t="shared" ref="AE771:AE834" si="330">IF(AD771=0,"Nunca",IF(AD771=1,"Usualmente","Siempre"))</f>
        <v>Nunca</v>
      </c>
      <c r="AF771">
        <v>1</v>
      </c>
      <c r="AG771" t="str">
        <f t="shared" ref="AG771:AG834" si="331">IF(AF771=0,"Nunca",IF(AF771=1,"A veces",IF(AF771=2,"Usualmente","Siempre")))</f>
        <v>A veces</v>
      </c>
      <c r="AH771">
        <v>0</v>
      </c>
      <c r="AI771" t="str">
        <f t="shared" ref="AI771:AI834" si="332">IF(AH771=1,"Usa auto","No usa")</f>
        <v>No usa</v>
      </c>
      <c r="AJ771">
        <v>0</v>
      </c>
      <c r="AK771" t="str">
        <f t="shared" ref="AK771:AK834" si="333">IF(AJ771=1,"Usa Bici","No usa")</f>
        <v>No usa</v>
      </c>
      <c r="AL771">
        <v>0</v>
      </c>
      <c r="AM771" t="str">
        <f t="shared" ref="AM771:AM834" si="334">IF(AL771=1,"Usa Moto","No usa")</f>
        <v>No usa</v>
      </c>
      <c r="AN771">
        <v>1</v>
      </c>
      <c r="AO771" t="str">
        <f t="shared" ref="AO771:AO834" si="335">IF(AN771=1,"Usa Transporte","No usa")</f>
        <v>Usa Transporte</v>
      </c>
      <c r="AP771">
        <v>0</v>
      </c>
      <c r="AQ771" t="str">
        <f t="shared" ref="AQ771:AQ834" si="336">IF(AP771=1,"Camina","No camina")</f>
        <v>No camina</v>
      </c>
      <c r="AR771">
        <v>0</v>
      </c>
      <c r="AS771" t="str">
        <f t="shared" ref="AS771:AS834" si="337">IF(AR771=1,"Es Obeso","No es obeso")</f>
        <v>No es obeso</v>
      </c>
    </row>
    <row r="772" spans="1:45" x14ac:dyDescent="0.25">
      <c r="A772">
        <v>1</v>
      </c>
      <c r="B772" t="str">
        <f t="shared" si="312"/>
        <v>M</v>
      </c>
      <c r="C772">
        <v>21029633</v>
      </c>
      <c r="D772">
        <f t="shared" si="313"/>
        <v>57</v>
      </c>
      <c r="E772">
        <f t="shared" si="314"/>
        <v>57</v>
      </c>
      <c r="F772" t="str">
        <f t="shared" si="315"/>
        <v>50-75</v>
      </c>
      <c r="G772">
        <v>1</v>
      </c>
      <c r="H772" t="str">
        <f t="shared" si="316"/>
        <v>Pariente gordo</v>
      </c>
      <c r="I772">
        <v>1</v>
      </c>
      <c r="J772" t="str">
        <f t="shared" si="317"/>
        <v>Hipercaloricos</v>
      </c>
      <c r="K772">
        <v>2</v>
      </c>
      <c r="L772">
        <f t="shared" si="318"/>
        <v>1</v>
      </c>
      <c r="M772" t="str">
        <f t="shared" si="319"/>
        <v>Suele comer</v>
      </c>
      <c r="N772">
        <v>3691226</v>
      </c>
      <c r="O772">
        <f t="shared" si="320"/>
        <v>2</v>
      </c>
      <c r="P772" t="str">
        <f t="shared" si="321"/>
        <v>Mas de 3</v>
      </c>
      <c r="Q772">
        <v>0</v>
      </c>
      <c r="R772" t="str">
        <f t="shared" si="322"/>
        <v>Nunca</v>
      </c>
      <c r="S772">
        <v>0</v>
      </c>
      <c r="T772" t="str">
        <f t="shared" si="323"/>
        <v>No fuma</v>
      </c>
      <c r="U772">
        <v>3</v>
      </c>
      <c r="V772">
        <f t="shared" si="324"/>
        <v>2</v>
      </c>
      <c r="W772" t="str">
        <f t="shared" si="325"/>
        <v>Siempre</v>
      </c>
      <c r="X772">
        <v>0</v>
      </c>
      <c r="Y772" t="str">
        <f t="shared" si="326"/>
        <v>No controla</v>
      </c>
      <c r="Z772">
        <v>1228136</v>
      </c>
      <c r="AA772">
        <f t="shared" si="327"/>
        <v>3</v>
      </c>
      <c r="AB772" t="str">
        <f t="shared" si="328"/>
        <v>Siempre</v>
      </c>
      <c r="AC772">
        <v>0.3352</v>
      </c>
      <c r="AD772">
        <f t="shared" si="329"/>
        <v>0</v>
      </c>
      <c r="AE772" t="str">
        <f t="shared" si="330"/>
        <v>Nunca</v>
      </c>
      <c r="AF772">
        <v>1</v>
      </c>
      <c r="AG772" t="str">
        <f t="shared" si="331"/>
        <v>A veces</v>
      </c>
      <c r="AH772">
        <v>0</v>
      </c>
      <c r="AI772" t="str">
        <f t="shared" si="332"/>
        <v>No usa</v>
      </c>
      <c r="AJ772">
        <v>0</v>
      </c>
      <c r="AK772" t="str">
        <f t="shared" si="333"/>
        <v>No usa</v>
      </c>
      <c r="AL772">
        <v>0</v>
      </c>
      <c r="AM772" t="str">
        <f t="shared" si="334"/>
        <v>No usa</v>
      </c>
      <c r="AN772">
        <v>1</v>
      </c>
      <c r="AO772" t="str">
        <f t="shared" si="335"/>
        <v>Usa Transporte</v>
      </c>
      <c r="AP772">
        <v>0</v>
      </c>
      <c r="AQ772" t="str">
        <f t="shared" si="336"/>
        <v>No camina</v>
      </c>
      <c r="AR772">
        <v>0</v>
      </c>
      <c r="AS772" t="str">
        <f t="shared" si="337"/>
        <v>No es obeso</v>
      </c>
    </row>
    <row r="773" spans="1:45" x14ac:dyDescent="0.25">
      <c r="A773">
        <v>0</v>
      </c>
      <c r="B773" t="str">
        <f t="shared" si="312"/>
        <v>F</v>
      </c>
      <c r="C773">
        <v>22667596</v>
      </c>
      <c r="D773">
        <f t="shared" si="313"/>
        <v>62</v>
      </c>
      <c r="E773">
        <f t="shared" si="314"/>
        <v>62</v>
      </c>
      <c r="F773" t="str">
        <f t="shared" si="315"/>
        <v>50-75</v>
      </c>
      <c r="G773">
        <v>1</v>
      </c>
      <c r="H773" t="str">
        <f t="shared" si="316"/>
        <v>Pariente gordo</v>
      </c>
      <c r="I773">
        <v>1</v>
      </c>
      <c r="J773" t="str">
        <f t="shared" si="317"/>
        <v>Hipercaloricos</v>
      </c>
      <c r="K773">
        <v>2</v>
      </c>
      <c r="L773">
        <f t="shared" si="318"/>
        <v>1</v>
      </c>
      <c r="M773" t="str">
        <f t="shared" si="319"/>
        <v>Suele comer</v>
      </c>
      <c r="N773">
        <v>3</v>
      </c>
      <c r="O773">
        <f t="shared" si="320"/>
        <v>2</v>
      </c>
      <c r="P773" t="str">
        <f t="shared" si="321"/>
        <v>Mas de 3</v>
      </c>
      <c r="Q773">
        <v>2</v>
      </c>
      <c r="R773" t="str">
        <f t="shared" si="322"/>
        <v>Usualmente</v>
      </c>
      <c r="S773">
        <v>0</v>
      </c>
      <c r="T773" t="str">
        <f t="shared" si="323"/>
        <v>No fuma</v>
      </c>
      <c r="U773">
        <v>2</v>
      </c>
      <c r="V773">
        <f t="shared" si="324"/>
        <v>2</v>
      </c>
      <c r="W773" t="str">
        <f t="shared" si="325"/>
        <v>Siempre</v>
      </c>
      <c r="X773">
        <v>0</v>
      </c>
      <c r="Y773" t="str">
        <f t="shared" si="326"/>
        <v>No controla</v>
      </c>
      <c r="Z773">
        <v>0</v>
      </c>
      <c r="AA773">
        <f t="shared" si="327"/>
        <v>0</v>
      </c>
      <c r="AB773" t="str">
        <f t="shared" si="328"/>
        <v>Nunca</v>
      </c>
      <c r="AC773">
        <v>2</v>
      </c>
      <c r="AD773">
        <f t="shared" si="329"/>
        <v>2</v>
      </c>
      <c r="AE773" t="str">
        <f t="shared" si="330"/>
        <v>Siempre</v>
      </c>
      <c r="AF773">
        <v>1</v>
      </c>
      <c r="AG773" t="str">
        <f t="shared" si="331"/>
        <v>A veces</v>
      </c>
      <c r="AH773">
        <v>0</v>
      </c>
      <c r="AI773" t="str">
        <f t="shared" si="332"/>
        <v>No usa</v>
      </c>
      <c r="AJ773">
        <v>0</v>
      </c>
      <c r="AK773" t="str">
        <f t="shared" si="333"/>
        <v>No usa</v>
      </c>
      <c r="AL773">
        <v>0</v>
      </c>
      <c r="AM773" t="str">
        <f t="shared" si="334"/>
        <v>No usa</v>
      </c>
      <c r="AN773">
        <v>1</v>
      </c>
      <c r="AO773" t="str">
        <f t="shared" si="335"/>
        <v>Usa Transporte</v>
      </c>
      <c r="AP773">
        <v>0</v>
      </c>
      <c r="AQ773" t="str">
        <f t="shared" si="336"/>
        <v>No camina</v>
      </c>
      <c r="AR773">
        <v>0</v>
      </c>
      <c r="AS773" t="str">
        <f t="shared" si="337"/>
        <v>No es obeso</v>
      </c>
    </row>
    <row r="774" spans="1:45" x14ac:dyDescent="0.25">
      <c r="A774">
        <v>1</v>
      </c>
      <c r="B774" t="str">
        <f t="shared" si="312"/>
        <v>M</v>
      </c>
      <c r="C774">
        <v>20</v>
      </c>
      <c r="D774">
        <f t="shared" si="313"/>
        <v>20</v>
      </c>
      <c r="E774">
        <f t="shared" si="314"/>
        <v>20</v>
      </c>
      <c r="F774" t="str">
        <f t="shared" si="315"/>
        <v>1-25</v>
      </c>
      <c r="G774">
        <v>1</v>
      </c>
      <c r="H774" t="str">
        <f t="shared" si="316"/>
        <v>Pariente gordo</v>
      </c>
      <c r="I774">
        <v>1</v>
      </c>
      <c r="J774" t="str">
        <f t="shared" si="317"/>
        <v>Hipercaloricos</v>
      </c>
      <c r="K774">
        <v>2555401</v>
      </c>
      <c r="L774">
        <f t="shared" si="318"/>
        <v>1</v>
      </c>
      <c r="M774" t="str">
        <f t="shared" si="319"/>
        <v>Suele comer</v>
      </c>
      <c r="N774">
        <v>3292386</v>
      </c>
      <c r="O774">
        <f t="shared" si="320"/>
        <v>2</v>
      </c>
      <c r="P774" t="str">
        <f t="shared" si="321"/>
        <v>Mas de 3</v>
      </c>
      <c r="Q774">
        <v>1</v>
      </c>
      <c r="R774" t="str">
        <f t="shared" si="322"/>
        <v>A veces</v>
      </c>
      <c r="S774">
        <v>0</v>
      </c>
      <c r="T774" t="str">
        <f t="shared" si="323"/>
        <v>No fuma</v>
      </c>
      <c r="U774">
        <v>3</v>
      </c>
      <c r="V774">
        <f t="shared" si="324"/>
        <v>2</v>
      </c>
      <c r="W774" t="str">
        <f t="shared" si="325"/>
        <v>Siempre</v>
      </c>
      <c r="X774">
        <v>0</v>
      </c>
      <c r="Y774" t="str">
        <f t="shared" si="326"/>
        <v>No controla</v>
      </c>
      <c r="Z774">
        <v>2</v>
      </c>
      <c r="AA774">
        <f t="shared" si="327"/>
        <v>2</v>
      </c>
      <c r="AB774" t="str">
        <f t="shared" si="328"/>
        <v>Usualmente</v>
      </c>
      <c r="AC774">
        <v>0.31591799999999998</v>
      </c>
      <c r="AD774">
        <f t="shared" si="329"/>
        <v>0</v>
      </c>
      <c r="AE774" t="str">
        <f t="shared" si="330"/>
        <v>Nunca</v>
      </c>
      <c r="AF774">
        <v>1</v>
      </c>
      <c r="AG774" t="str">
        <f t="shared" si="331"/>
        <v>A veces</v>
      </c>
      <c r="AH774">
        <v>0</v>
      </c>
      <c r="AI774" t="str">
        <f t="shared" si="332"/>
        <v>No usa</v>
      </c>
      <c r="AJ774">
        <v>0</v>
      </c>
      <c r="AK774" t="str">
        <f t="shared" si="333"/>
        <v>No usa</v>
      </c>
      <c r="AL774">
        <v>0</v>
      </c>
      <c r="AM774" t="str">
        <f t="shared" si="334"/>
        <v>No usa</v>
      </c>
      <c r="AN774">
        <v>1</v>
      </c>
      <c r="AO774" t="str">
        <f t="shared" si="335"/>
        <v>Usa Transporte</v>
      </c>
      <c r="AP774">
        <v>0</v>
      </c>
      <c r="AQ774" t="str">
        <f t="shared" si="336"/>
        <v>No camina</v>
      </c>
      <c r="AR774">
        <v>0</v>
      </c>
      <c r="AS774" t="str">
        <f t="shared" si="337"/>
        <v>No es obeso</v>
      </c>
    </row>
    <row r="775" spans="1:45" x14ac:dyDescent="0.25">
      <c r="A775">
        <v>0</v>
      </c>
      <c r="B775" t="str">
        <f t="shared" si="312"/>
        <v>F</v>
      </c>
      <c r="C775">
        <v>2181119</v>
      </c>
      <c r="D775">
        <f t="shared" si="313"/>
        <v>5</v>
      </c>
      <c r="E775">
        <f t="shared" si="314"/>
        <v>5</v>
      </c>
      <c r="F775" t="str">
        <f t="shared" si="315"/>
        <v>1-25</v>
      </c>
      <c r="G775">
        <v>1</v>
      </c>
      <c r="H775" t="str">
        <f t="shared" si="316"/>
        <v>Pariente gordo</v>
      </c>
      <c r="I775">
        <v>1</v>
      </c>
      <c r="J775" t="str">
        <f t="shared" si="317"/>
        <v>Hipercaloricos</v>
      </c>
      <c r="K775">
        <v>2108711</v>
      </c>
      <c r="L775">
        <f t="shared" si="318"/>
        <v>1</v>
      </c>
      <c r="M775" t="str">
        <f t="shared" si="319"/>
        <v>Suele comer</v>
      </c>
      <c r="N775">
        <v>3</v>
      </c>
      <c r="O775">
        <f t="shared" si="320"/>
        <v>2</v>
      </c>
      <c r="P775" t="str">
        <f t="shared" si="321"/>
        <v>Mas de 3</v>
      </c>
      <c r="Q775">
        <v>1</v>
      </c>
      <c r="R775" t="str">
        <f t="shared" si="322"/>
        <v>A veces</v>
      </c>
      <c r="S775">
        <v>0</v>
      </c>
      <c r="T775" t="str">
        <f t="shared" si="323"/>
        <v>No fuma</v>
      </c>
      <c r="U775">
        <v>2746197</v>
      </c>
      <c r="V775">
        <f t="shared" si="324"/>
        <v>2</v>
      </c>
      <c r="W775" t="str">
        <f t="shared" si="325"/>
        <v>Siempre</v>
      </c>
      <c r="X775">
        <v>0</v>
      </c>
      <c r="Y775" t="str">
        <f t="shared" si="326"/>
        <v>No controla</v>
      </c>
      <c r="Z775">
        <v>1910432</v>
      </c>
      <c r="AA775">
        <f t="shared" si="327"/>
        <v>3</v>
      </c>
      <c r="AB775" t="str">
        <f t="shared" si="328"/>
        <v>Siempre</v>
      </c>
      <c r="AC775">
        <v>0</v>
      </c>
      <c r="AD775">
        <f t="shared" si="329"/>
        <v>0</v>
      </c>
      <c r="AE775" t="str">
        <f t="shared" si="330"/>
        <v>Nunca</v>
      </c>
      <c r="AF775">
        <v>1</v>
      </c>
      <c r="AG775" t="str">
        <f t="shared" si="331"/>
        <v>A veces</v>
      </c>
      <c r="AH775">
        <v>0</v>
      </c>
      <c r="AI775" t="str">
        <f t="shared" si="332"/>
        <v>No usa</v>
      </c>
      <c r="AJ775">
        <v>0</v>
      </c>
      <c r="AK775" t="str">
        <f t="shared" si="333"/>
        <v>No usa</v>
      </c>
      <c r="AL775">
        <v>0</v>
      </c>
      <c r="AM775" t="str">
        <f t="shared" si="334"/>
        <v>No usa</v>
      </c>
      <c r="AN775">
        <v>1</v>
      </c>
      <c r="AO775" t="str">
        <f t="shared" si="335"/>
        <v>Usa Transporte</v>
      </c>
      <c r="AP775">
        <v>0</v>
      </c>
      <c r="AQ775" t="str">
        <f t="shared" si="336"/>
        <v>No camina</v>
      </c>
      <c r="AR775">
        <v>0</v>
      </c>
      <c r="AS775" t="str">
        <f t="shared" si="337"/>
        <v>No es obeso</v>
      </c>
    </row>
    <row r="776" spans="1:45" x14ac:dyDescent="0.25">
      <c r="A776">
        <v>0</v>
      </c>
      <c r="B776" t="str">
        <f t="shared" si="312"/>
        <v>F</v>
      </c>
      <c r="C776">
        <v>21</v>
      </c>
      <c r="D776">
        <f t="shared" si="313"/>
        <v>21</v>
      </c>
      <c r="E776">
        <f t="shared" si="314"/>
        <v>21</v>
      </c>
      <c r="F776" t="str">
        <f t="shared" si="315"/>
        <v>1-25</v>
      </c>
      <c r="G776">
        <v>1</v>
      </c>
      <c r="H776" t="str">
        <f t="shared" si="316"/>
        <v>Pariente gordo</v>
      </c>
      <c r="I776">
        <v>1</v>
      </c>
      <c r="J776" t="str">
        <f t="shared" si="317"/>
        <v>Hipercaloricos</v>
      </c>
      <c r="K776">
        <v>2915279</v>
      </c>
      <c r="L776">
        <f t="shared" si="318"/>
        <v>1</v>
      </c>
      <c r="M776" t="str">
        <f t="shared" si="319"/>
        <v>Suele comer</v>
      </c>
      <c r="N776">
        <v>1104642</v>
      </c>
      <c r="O776">
        <f t="shared" si="320"/>
        <v>2</v>
      </c>
      <c r="P776" t="str">
        <f t="shared" si="321"/>
        <v>Mas de 3</v>
      </c>
      <c r="Q776">
        <v>1</v>
      </c>
      <c r="R776" t="str">
        <f t="shared" si="322"/>
        <v>A veces</v>
      </c>
      <c r="S776">
        <v>0</v>
      </c>
      <c r="T776" t="str">
        <f t="shared" si="323"/>
        <v>No fuma</v>
      </c>
      <c r="U776">
        <v>1530046</v>
      </c>
      <c r="V776">
        <f t="shared" si="324"/>
        <v>2</v>
      </c>
      <c r="W776" t="str">
        <f t="shared" si="325"/>
        <v>Siempre</v>
      </c>
      <c r="X776">
        <v>0</v>
      </c>
      <c r="Y776" t="str">
        <f t="shared" si="326"/>
        <v>No controla</v>
      </c>
      <c r="Z776">
        <v>1360635</v>
      </c>
      <c r="AA776">
        <f t="shared" si="327"/>
        <v>3</v>
      </c>
      <c r="AB776" t="str">
        <f t="shared" si="328"/>
        <v>Siempre</v>
      </c>
      <c r="AC776">
        <v>0</v>
      </c>
      <c r="AD776">
        <f t="shared" si="329"/>
        <v>0</v>
      </c>
      <c r="AE776" t="str">
        <f t="shared" si="330"/>
        <v>Nunca</v>
      </c>
      <c r="AF776">
        <v>1</v>
      </c>
      <c r="AG776" t="str">
        <f t="shared" si="331"/>
        <v>A veces</v>
      </c>
      <c r="AH776">
        <v>0</v>
      </c>
      <c r="AI776" t="str">
        <f t="shared" si="332"/>
        <v>No usa</v>
      </c>
      <c r="AJ776">
        <v>0</v>
      </c>
      <c r="AK776" t="str">
        <f t="shared" si="333"/>
        <v>No usa</v>
      </c>
      <c r="AL776">
        <v>0</v>
      </c>
      <c r="AM776" t="str">
        <f t="shared" si="334"/>
        <v>No usa</v>
      </c>
      <c r="AN776">
        <v>1</v>
      </c>
      <c r="AO776" t="str">
        <f t="shared" si="335"/>
        <v>Usa Transporte</v>
      </c>
      <c r="AP776">
        <v>0</v>
      </c>
      <c r="AQ776" t="str">
        <f t="shared" si="336"/>
        <v>No camina</v>
      </c>
      <c r="AR776">
        <v>0</v>
      </c>
      <c r="AS776" t="str">
        <f t="shared" si="337"/>
        <v>No es obeso</v>
      </c>
    </row>
    <row r="777" spans="1:45" x14ac:dyDescent="0.25">
      <c r="A777">
        <v>1</v>
      </c>
      <c r="B777" t="str">
        <f t="shared" si="312"/>
        <v>M</v>
      </c>
      <c r="C777">
        <v>18128206</v>
      </c>
      <c r="D777">
        <f t="shared" si="313"/>
        <v>49</v>
      </c>
      <c r="E777">
        <f t="shared" si="314"/>
        <v>49</v>
      </c>
      <c r="F777" t="str">
        <f t="shared" si="315"/>
        <v>25-50</v>
      </c>
      <c r="G777">
        <v>1</v>
      </c>
      <c r="H777" t="str">
        <f t="shared" si="316"/>
        <v>Pariente gordo</v>
      </c>
      <c r="I777">
        <v>1</v>
      </c>
      <c r="J777" t="str">
        <f t="shared" si="317"/>
        <v>Hipercaloricos</v>
      </c>
      <c r="K777">
        <v>1570089</v>
      </c>
      <c r="L777">
        <f t="shared" si="318"/>
        <v>1</v>
      </c>
      <c r="M777" t="str">
        <f t="shared" si="319"/>
        <v>Suele comer</v>
      </c>
      <c r="N777">
        <v>3</v>
      </c>
      <c r="O777">
        <f t="shared" si="320"/>
        <v>2</v>
      </c>
      <c r="P777" t="str">
        <f t="shared" si="321"/>
        <v>Mas de 3</v>
      </c>
      <c r="Q777">
        <v>1</v>
      </c>
      <c r="R777" t="str">
        <f t="shared" si="322"/>
        <v>A veces</v>
      </c>
      <c r="S777">
        <v>0</v>
      </c>
      <c r="T777" t="str">
        <f t="shared" si="323"/>
        <v>No fuma</v>
      </c>
      <c r="U777">
        <v>2</v>
      </c>
      <c r="V777">
        <f t="shared" si="324"/>
        <v>2</v>
      </c>
      <c r="W777" t="str">
        <f t="shared" si="325"/>
        <v>Siempre</v>
      </c>
      <c r="X777">
        <v>0</v>
      </c>
      <c r="Y777" t="str">
        <f t="shared" si="326"/>
        <v>No controla</v>
      </c>
      <c r="Z777">
        <v>2707882</v>
      </c>
      <c r="AA777">
        <f t="shared" si="327"/>
        <v>3</v>
      </c>
      <c r="AB777" t="str">
        <f t="shared" si="328"/>
        <v>Siempre</v>
      </c>
      <c r="AC777">
        <v>0</v>
      </c>
      <c r="AD777">
        <f t="shared" si="329"/>
        <v>0</v>
      </c>
      <c r="AE777" t="str">
        <f t="shared" si="330"/>
        <v>Nunca</v>
      </c>
      <c r="AF777">
        <v>0</v>
      </c>
      <c r="AG777" t="str">
        <f t="shared" si="331"/>
        <v>Nunca</v>
      </c>
      <c r="AH777">
        <v>0</v>
      </c>
      <c r="AI777" t="str">
        <f t="shared" si="332"/>
        <v>No usa</v>
      </c>
      <c r="AJ777">
        <v>0</v>
      </c>
      <c r="AK777" t="str">
        <f t="shared" si="333"/>
        <v>No usa</v>
      </c>
      <c r="AL777">
        <v>0</v>
      </c>
      <c r="AM777" t="str">
        <f t="shared" si="334"/>
        <v>No usa</v>
      </c>
      <c r="AN777">
        <v>1</v>
      </c>
      <c r="AO777" t="str">
        <f t="shared" si="335"/>
        <v>Usa Transporte</v>
      </c>
      <c r="AP777">
        <v>0</v>
      </c>
      <c r="AQ777" t="str">
        <f t="shared" si="336"/>
        <v>No camina</v>
      </c>
      <c r="AR777">
        <v>0</v>
      </c>
      <c r="AS777" t="str">
        <f t="shared" si="337"/>
        <v>No es obeso</v>
      </c>
    </row>
    <row r="778" spans="1:45" x14ac:dyDescent="0.25">
      <c r="A778">
        <v>1</v>
      </c>
      <c r="B778" t="str">
        <f t="shared" si="312"/>
        <v>M</v>
      </c>
      <c r="C778">
        <v>21</v>
      </c>
      <c r="D778">
        <f t="shared" si="313"/>
        <v>21</v>
      </c>
      <c r="E778">
        <f t="shared" si="314"/>
        <v>21</v>
      </c>
      <c r="F778" t="str">
        <f t="shared" si="315"/>
        <v>1-25</v>
      </c>
      <c r="G778">
        <v>1</v>
      </c>
      <c r="H778" t="str">
        <f t="shared" si="316"/>
        <v>Pariente gordo</v>
      </c>
      <c r="I778">
        <v>1</v>
      </c>
      <c r="J778" t="str">
        <f t="shared" si="317"/>
        <v>Hipercaloricos</v>
      </c>
      <c r="K778">
        <v>2</v>
      </c>
      <c r="L778">
        <f t="shared" si="318"/>
        <v>1</v>
      </c>
      <c r="M778" t="str">
        <f t="shared" si="319"/>
        <v>Suele comer</v>
      </c>
      <c r="N778">
        <v>3</v>
      </c>
      <c r="O778">
        <f t="shared" si="320"/>
        <v>2</v>
      </c>
      <c r="P778" t="str">
        <f t="shared" si="321"/>
        <v>Mas de 3</v>
      </c>
      <c r="Q778">
        <v>1</v>
      </c>
      <c r="R778" t="str">
        <f t="shared" si="322"/>
        <v>A veces</v>
      </c>
      <c r="S778">
        <v>0</v>
      </c>
      <c r="T778" t="str">
        <f t="shared" si="323"/>
        <v>No fuma</v>
      </c>
      <c r="U778">
        <v>1636326</v>
      </c>
      <c r="V778">
        <f t="shared" si="324"/>
        <v>2</v>
      </c>
      <c r="W778" t="str">
        <f t="shared" si="325"/>
        <v>Siempre</v>
      </c>
      <c r="X778">
        <v>0</v>
      </c>
      <c r="Y778" t="str">
        <f t="shared" si="326"/>
        <v>No controla</v>
      </c>
      <c r="Z778">
        <v>1</v>
      </c>
      <c r="AA778">
        <f t="shared" si="327"/>
        <v>1</v>
      </c>
      <c r="AB778" t="str">
        <f t="shared" si="328"/>
        <v>A veces</v>
      </c>
      <c r="AC778">
        <v>0</v>
      </c>
      <c r="AD778">
        <f t="shared" si="329"/>
        <v>0</v>
      </c>
      <c r="AE778" t="str">
        <f t="shared" si="330"/>
        <v>Nunca</v>
      </c>
      <c r="AF778">
        <v>1</v>
      </c>
      <c r="AG778" t="str">
        <f t="shared" si="331"/>
        <v>A veces</v>
      </c>
      <c r="AH778">
        <v>0</v>
      </c>
      <c r="AI778" t="str">
        <f t="shared" si="332"/>
        <v>No usa</v>
      </c>
      <c r="AJ778">
        <v>0</v>
      </c>
      <c r="AK778" t="str">
        <f t="shared" si="333"/>
        <v>No usa</v>
      </c>
      <c r="AL778">
        <v>0</v>
      </c>
      <c r="AM778" t="str">
        <f t="shared" si="334"/>
        <v>No usa</v>
      </c>
      <c r="AN778">
        <v>1</v>
      </c>
      <c r="AO778" t="str">
        <f t="shared" si="335"/>
        <v>Usa Transporte</v>
      </c>
      <c r="AP778">
        <v>0</v>
      </c>
      <c r="AQ778" t="str">
        <f t="shared" si="336"/>
        <v>No camina</v>
      </c>
      <c r="AR778">
        <v>0</v>
      </c>
      <c r="AS778" t="str">
        <f t="shared" si="337"/>
        <v>No es obeso</v>
      </c>
    </row>
    <row r="779" spans="1:45" x14ac:dyDescent="0.25">
      <c r="A779">
        <v>0</v>
      </c>
      <c r="B779" t="str">
        <f t="shared" si="312"/>
        <v>F</v>
      </c>
      <c r="C779">
        <v>2908107</v>
      </c>
      <c r="D779">
        <f t="shared" si="313"/>
        <v>7</v>
      </c>
      <c r="E779">
        <f t="shared" si="314"/>
        <v>7</v>
      </c>
      <c r="F779" t="str">
        <f t="shared" si="315"/>
        <v>1-25</v>
      </c>
      <c r="G779">
        <v>1</v>
      </c>
      <c r="H779" t="str">
        <f t="shared" si="316"/>
        <v>Pariente gordo</v>
      </c>
      <c r="I779">
        <v>1</v>
      </c>
      <c r="J779" t="str">
        <f t="shared" si="317"/>
        <v>Hipercaloricos</v>
      </c>
      <c r="K779">
        <v>2</v>
      </c>
      <c r="L779">
        <f t="shared" si="318"/>
        <v>1</v>
      </c>
      <c r="M779" t="str">
        <f t="shared" si="319"/>
        <v>Suele comer</v>
      </c>
      <c r="N779">
        <v>3</v>
      </c>
      <c r="O779">
        <f t="shared" si="320"/>
        <v>2</v>
      </c>
      <c r="P779" t="str">
        <f t="shared" si="321"/>
        <v>Mas de 3</v>
      </c>
      <c r="Q779">
        <v>1</v>
      </c>
      <c r="R779" t="str">
        <f t="shared" si="322"/>
        <v>A veces</v>
      </c>
      <c r="S779">
        <v>0</v>
      </c>
      <c r="T779" t="str">
        <f t="shared" si="323"/>
        <v>No fuma</v>
      </c>
      <c r="U779">
        <v>1701835</v>
      </c>
      <c r="V779">
        <f t="shared" si="324"/>
        <v>2</v>
      </c>
      <c r="W779" t="str">
        <f t="shared" si="325"/>
        <v>Siempre</v>
      </c>
      <c r="X779">
        <v>0</v>
      </c>
      <c r="Y779" t="str">
        <f t="shared" si="326"/>
        <v>No controla</v>
      </c>
      <c r="Z779">
        <v>1682271</v>
      </c>
      <c r="AA779">
        <f t="shared" si="327"/>
        <v>3</v>
      </c>
      <c r="AB779" t="str">
        <f t="shared" si="328"/>
        <v>Siempre</v>
      </c>
      <c r="AC779">
        <v>0</v>
      </c>
      <c r="AD779">
        <f t="shared" si="329"/>
        <v>0</v>
      </c>
      <c r="AE779" t="str">
        <f t="shared" si="330"/>
        <v>Nunca</v>
      </c>
      <c r="AF779">
        <v>1</v>
      </c>
      <c r="AG779" t="str">
        <f t="shared" si="331"/>
        <v>A veces</v>
      </c>
      <c r="AH779">
        <v>1</v>
      </c>
      <c r="AI779" t="str">
        <f t="shared" si="332"/>
        <v>Usa auto</v>
      </c>
      <c r="AJ779">
        <v>0</v>
      </c>
      <c r="AK779" t="str">
        <f t="shared" si="333"/>
        <v>No usa</v>
      </c>
      <c r="AL779">
        <v>0</v>
      </c>
      <c r="AM779" t="str">
        <f t="shared" si="334"/>
        <v>No usa</v>
      </c>
      <c r="AN779">
        <v>0</v>
      </c>
      <c r="AO779" t="str">
        <f t="shared" si="335"/>
        <v>No usa</v>
      </c>
      <c r="AP779">
        <v>0</v>
      </c>
      <c r="AQ779" t="str">
        <f t="shared" si="336"/>
        <v>No camina</v>
      </c>
      <c r="AR779">
        <v>0</v>
      </c>
      <c r="AS779" t="str">
        <f t="shared" si="337"/>
        <v>No es obeso</v>
      </c>
    </row>
    <row r="780" spans="1:45" x14ac:dyDescent="0.25">
      <c r="A780">
        <v>1</v>
      </c>
      <c r="B780" t="str">
        <f t="shared" si="312"/>
        <v>M</v>
      </c>
      <c r="C780">
        <v>26358919</v>
      </c>
      <c r="D780">
        <f t="shared" si="313"/>
        <v>72</v>
      </c>
      <c r="E780">
        <f t="shared" si="314"/>
        <v>72</v>
      </c>
      <c r="F780" t="str">
        <f t="shared" si="315"/>
        <v>50-75</v>
      </c>
      <c r="G780">
        <v>1</v>
      </c>
      <c r="H780" t="str">
        <f t="shared" si="316"/>
        <v>Pariente gordo</v>
      </c>
      <c r="I780">
        <v>1</v>
      </c>
      <c r="J780" t="str">
        <f t="shared" si="317"/>
        <v>Hipercaloricos</v>
      </c>
      <c r="K780">
        <v>194313</v>
      </c>
      <c r="L780">
        <f t="shared" si="318"/>
        <v>1</v>
      </c>
      <c r="M780" t="str">
        <f t="shared" si="319"/>
        <v>Suele comer</v>
      </c>
      <c r="N780">
        <v>3559841</v>
      </c>
      <c r="O780">
        <f t="shared" si="320"/>
        <v>2</v>
      </c>
      <c r="P780" t="str">
        <f t="shared" si="321"/>
        <v>Mas de 3</v>
      </c>
      <c r="Q780">
        <v>1</v>
      </c>
      <c r="R780" t="str">
        <f t="shared" si="322"/>
        <v>A veces</v>
      </c>
      <c r="S780">
        <v>0</v>
      </c>
      <c r="T780" t="str">
        <f t="shared" si="323"/>
        <v>No fuma</v>
      </c>
      <c r="U780">
        <v>2367996</v>
      </c>
      <c r="V780">
        <f t="shared" si="324"/>
        <v>2</v>
      </c>
      <c r="W780" t="str">
        <f t="shared" si="325"/>
        <v>Siempre</v>
      </c>
      <c r="X780">
        <v>0</v>
      </c>
      <c r="Y780" t="str">
        <f t="shared" si="326"/>
        <v>No controla</v>
      </c>
      <c r="Z780">
        <v>0.23552999999999999</v>
      </c>
      <c r="AA780">
        <f t="shared" si="327"/>
        <v>0</v>
      </c>
      <c r="AB780" t="str">
        <f t="shared" si="328"/>
        <v>Nunca</v>
      </c>
      <c r="AC780">
        <v>0.87997700000000001</v>
      </c>
      <c r="AD780">
        <f t="shared" si="329"/>
        <v>0</v>
      </c>
      <c r="AE780" t="str">
        <f t="shared" si="330"/>
        <v>Nunca</v>
      </c>
      <c r="AF780">
        <v>1</v>
      </c>
      <c r="AG780" t="str">
        <f t="shared" si="331"/>
        <v>A veces</v>
      </c>
      <c r="AH780">
        <v>0</v>
      </c>
      <c r="AI780" t="str">
        <f t="shared" si="332"/>
        <v>No usa</v>
      </c>
      <c r="AJ780">
        <v>0</v>
      </c>
      <c r="AK780" t="str">
        <f t="shared" si="333"/>
        <v>No usa</v>
      </c>
      <c r="AL780">
        <v>0</v>
      </c>
      <c r="AM780" t="str">
        <f t="shared" si="334"/>
        <v>No usa</v>
      </c>
      <c r="AN780">
        <v>1</v>
      </c>
      <c r="AO780" t="str">
        <f t="shared" si="335"/>
        <v>Usa Transporte</v>
      </c>
      <c r="AP780">
        <v>0</v>
      </c>
      <c r="AQ780" t="str">
        <f t="shared" si="336"/>
        <v>No camina</v>
      </c>
      <c r="AR780">
        <v>0</v>
      </c>
      <c r="AS780" t="str">
        <f t="shared" si="337"/>
        <v>No es obeso</v>
      </c>
    </row>
    <row r="781" spans="1:45" x14ac:dyDescent="0.25">
      <c r="A781">
        <v>1</v>
      </c>
      <c r="B781" t="str">
        <f t="shared" si="312"/>
        <v>M</v>
      </c>
      <c r="C781">
        <v>22717249</v>
      </c>
      <c r="D781">
        <f t="shared" si="313"/>
        <v>62</v>
      </c>
      <c r="E781">
        <f t="shared" si="314"/>
        <v>62</v>
      </c>
      <c r="F781" t="str">
        <f t="shared" si="315"/>
        <v>50-75</v>
      </c>
      <c r="G781">
        <v>1</v>
      </c>
      <c r="H781" t="str">
        <f t="shared" si="316"/>
        <v>Pariente gordo</v>
      </c>
      <c r="I781">
        <v>1</v>
      </c>
      <c r="J781" t="str">
        <f t="shared" si="317"/>
        <v>Hipercaloricos</v>
      </c>
      <c r="K781">
        <v>2714447</v>
      </c>
      <c r="L781">
        <f t="shared" si="318"/>
        <v>1</v>
      </c>
      <c r="M781" t="str">
        <f t="shared" si="319"/>
        <v>Suele comer</v>
      </c>
      <c r="N781">
        <v>3</v>
      </c>
      <c r="O781">
        <f t="shared" si="320"/>
        <v>2</v>
      </c>
      <c r="P781" t="str">
        <f t="shared" si="321"/>
        <v>Mas de 3</v>
      </c>
      <c r="Q781">
        <v>1</v>
      </c>
      <c r="R781" t="str">
        <f t="shared" si="322"/>
        <v>A veces</v>
      </c>
      <c r="S781">
        <v>0</v>
      </c>
      <c r="T781" t="str">
        <f t="shared" si="323"/>
        <v>No fuma</v>
      </c>
      <c r="U781">
        <v>3</v>
      </c>
      <c r="V781">
        <f t="shared" si="324"/>
        <v>2</v>
      </c>
      <c r="W781" t="str">
        <f t="shared" si="325"/>
        <v>Siempre</v>
      </c>
      <c r="X781">
        <v>0</v>
      </c>
      <c r="Y781" t="str">
        <f t="shared" si="326"/>
        <v>No controla</v>
      </c>
      <c r="Z781">
        <v>1096818</v>
      </c>
      <c r="AA781">
        <f t="shared" si="327"/>
        <v>3</v>
      </c>
      <c r="AB781" t="str">
        <f t="shared" si="328"/>
        <v>Siempre</v>
      </c>
      <c r="AC781">
        <v>189388</v>
      </c>
      <c r="AD781">
        <f t="shared" si="329"/>
        <v>1</v>
      </c>
      <c r="AE781" t="str">
        <f t="shared" si="330"/>
        <v>Usualmente</v>
      </c>
      <c r="AF781">
        <v>1</v>
      </c>
      <c r="AG781" t="str">
        <f t="shared" si="331"/>
        <v>A veces</v>
      </c>
      <c r="AH781">
        <v>0</v>
      </c>
      <c r="AI781" t="str">
        <f t="shared" si="332"/>
        <v>No usa</v>
      </c>
      <c r="AJ781">
        <v>0</v>
      </c>
      <c r="AK781" t="str">
        <f t="shared" si="333"/>
        <v>No usa</v>
      </c>
      <c r="AL781">
        <v>0</v>
      </c>
      <c r="AM781" t="str">
        <f t="shared" si="334"/>
        <v>No usa</v>
      </c>
      <c r="AN781">
        <v>1</v>
      </c>
      <c r="AO781" t="str">
        <f t="shared" si="335"/>
        <v>Usa Transporte</v>
      </c>
      <c r="AP781">
        <v>0</v>
      </c>
      <c r="AQ781" t="str">
        <f t="shared" si="336"/>
        <v>No camina</v>
      </c>
      <c r="AR781">
        <v>0</v>
      </c>
      <c r="AS781" t="str">
        <f t="shared" si="337"/>
        <v>No es obeso</v>
      </c>
    </row>
    <row r="782" spans="1:45" x14ac:dyDescent="0.25">
      <c r="A782">
        <v>1</v>
      </c>
      <c r="B782" t="str">
        <f t="shared" si="312"/>
        <v>M</v>
      </c>
      <c r="C782">
        <v>19816949</v>
      </c>
      <c r="D782">
        <f t="shared" si="313"/>
        <v>54</v>
      </c>
      <c r="E782">
        <f t="shared" si="314"/>
        <v>54</v>
      </c>
      <c r="F782" t="str">
        <f t="shared" si="315"/>
        <v>50-75</v>
      </c>
      <c r="G782">
        <v>1</v>
      </c>
      <c r="H782" t="str">
        <f t="shared" si="316"/>
        <v>Pariente gordo</v>
      </c>
      <c r="I782">
        <v>1</v>
      </c>
      <c r="J782" t="str">
        <f t="shared" si="317"/>
        <v>Hipercaloricos</v>
      </c>
      <c r="K782">
        <v>2</v>
      </c>
      <c r="L782">
        <f t="shared" si="318"/>
        <v>1</v>
      </c>
      <c r="M782" t="str">
        <f t="shared" si="319"/>
        <v>Suele comer</v>
      </c>
      <c r="N782">
        <v>3</v>
      </c>
      <c r="O782">
        <f t="shared" si="320"/>
        <v>2</v>
      </c>
      <c r="P782" t="str">
        <f t="shared" si="321"/>
        <v>Mas de 3</v>
      </c>
      <c r="Q782">
        <v>1</v>
      </c>
      <c r="R782" t="str">
        <f t="shared" si="322"/>
        <v>A veces</v>
      </c>
      <c r="S782">
        <v>0</v>
      </c>
      <c r="T782" t="str">
        <f t="shared" si="323"/>
        <v>No fuma</v>
      </c>
      <c r="U782">
        <v>2292073</v>
      </c>
      <c r="V782">
        <f t="shared" si="324"/>
        <v>2</v>
      </c>
      <c r="W782" t="str">
        <f t="shared" si="325"/>
        <v>Siempre</v>
      </c>
      <c r="X782">
        <v>0</v>
      </c>
      <c r="Y782" t="str">
        <f t="shared" si="326"/>
        <v>No controla</v>
      </c>
      <c r="Z782">
        <v>1067817</v>
      </c>
      <c r="AA782">
        <f t="shared" si="327"/>
        <v>3</v>
      </c>
      <c r="AB782" t="str">
        <f t="shared" si="328"/>
        <v>Siempre</v>
      </c>
      <c r="AC782">
        <v>0.19667999999999999</v>
      </c>
      <c r="AD782">
        <f t="shared" si="329"/>
        <v>0</v>
      </c>
      <c r="AE782" t="str">
        <f t="shared" si="330"/>
        <v>Nunca</v>
      </c>
      <c r="AF782">
        <v>1</v>
      </c>
      <c r="AG782" t="str">
        <f t="shared" si="331"/>
        <v>A veces</v>
      </c>
      <c r="AH782">
        <v>0</v>
      </c>
      <c r="AI782" t="str">
        <f t="shared" si="332"/>
        <v>No usa</v>
      </c>
      <c r="AJ782">
        <v>0</v>
      </c>
      <c r="AK782" t="str">
        <f t="shared" si="333"/>
        <v>No usa</v>
      </c>
      <c r="AL782">
        <v>0</v>
      </c>
      <c r="AM782" t="str">
        <f t="shared" si="334"/>
        <v>No usa</v>
      </c>
      <c r="AN782">
        <v>1</v>
      </c>
      <c r="AO782" t="str">
        <f t="shared" si="335"/>
        <v>Usa Transporte</v>
      </c>
      <c r="AP782">
        <v>0</v>
      </c>
      <c r="AQ782" t="str">
        <f t="shared" si="336"/>
        <v>No camina</v>
      </c>
      <c r="AR782">
        <v>0</v>
      </c>
      <c r="AS782" t="str">
        <f t="shared" si="337"/>
        <v>No es obeso</v>
      </c>
    </row>
    <row r="783" spans="1:45" x14ac:dyDescent="0.25">
      <c r="A783">
        <v>0</v>
      </c>
      <c r="B783" t="str">
        <f t="shared" si="312"/>
        <v>F</v>
      </c>
      <c r="C783">
        <v>24023972</v>
      </c>
      <c r="D783">
        <f t="shared" si="313"/>
        <v>65</v>
      </c>
      <c r="E783">
        <f t="shared" si="314"/>
        <v>65</v>
      </c>
      <c r="F783" t="str">
        <f t="shared" si="315"/>
        <v>50-75</v>
      </c>
      <c r="G783">
        <v>0</v>
      </c>
      <c r="H783" t="str">
        <f t="shared" si="316"/>
        <v>Pariente normal</v>
      </c>
      <c r="I783">
        <v>1</v>
      </c>
      <c r="J783" t="str">
        <f t="shared" si="317"/>
        <v>Hipercaloricos</v>
      </c>
      <c r="K783">
        <v>2903545</v>
      </c>
      <c r="L783">
        <f t="shared" si="318"/>
        <v>1</v>
      </c>
      <c r="M783" t="str">
        <f t="shared" si="319"/>
        <v>Suele comer</v>
      </c>
      <c r="N783">
        <v>3</v>
      </c>
      <c r="O783">
        <f t="shared" si="320"/>
        <v>2</v>
      </c>
      <c r="P783" t="str">
        <f t="shared" si="321"/>
        <v>Mas de 3</v>
      </c>
      <c r="Q783">
        <v>1</v>
      </c>
      <c r="R783" t="str">
        <f t="shared" si="322"/>
        <v>A veces</v>
      </c>
      <c r="S783">
        <v>0</v>
      </c>
      <c r="T783" t="str">
        <f t="shared" si="323"/>
        <v>No fuma</v>
      </c>
      <c r="U783">
        <v>1549931</v>
      </c>
      <c r="V783">
        <f t="shared" si="324"/>
        <v>2</v>
      </c>
      <c r="W783" t="str">
        <f t="shared" si="325"/>
        <v>Siempre</v>
      </c>
      <c r="X783">
        <v>0</v>
      </c>
      <c r="Y783" t="str">
        <f t="shared" si="326"/>
        <v>No controla</v>
      </c>
      <c r="Z783">
        <v>0</v>
      </c>
      <c r="AA783">
        <f t="shared" si="327"/>
        <v>0</v>
      </c>
      <c r="AB783" t="str">
        <f t="shared" si="328"/>
        <v>Nunca</v>
      </c>
      <c r="AC783">
        <v>0.27388200000000001</v>
      </c>
      <c r="AD783">
        <f t="shared" si="329"/>
        <v>0</v>
      </c>
      <c r="AE783" t="str">
        <f t="shared" si="330"/>
        <v>Nunca</v>
      </c>
      <c r="AF783">
        <v>1</v>
      </c>
      <c r="AG783" t="str">
        <f t="shared" si="331"/>
        <v>A veces</v>
      </c>
      <c r="AH783">
        <v>0</v>
      </c>
      <c r="AI783" t="str">
        <f t="shared" si="332"/>
        <v>No usa</v>
      </c>
      <c r="AJ783">
        <v>0</v>
      </c>
      <c r="AK783" t="str">
        <f t="shared" si="333"/>
        <v>No usa</v>
      </c>
      <c r="AL783">
        <v>0</v>
      </c>
      <c r="AM783" t="str">
        <f t="shared" si="334"/>
        <v>No usa</v>
      </c>
      <c r="AN783">
        <v>1</v>
      </c>
      <c r="AO783" t="str">
        <f t="shared" si="335"/>
        <v>Usa Transporte</v>
      </c>
      <c r="AP783">
        <v>0</v>
      </c>
      <c r="AQ783" t="str">
        <f t="shared" si="336"/>
        <v>No camina</v>
      </c>
      <c r="AR783">
        <v>0</v>
      </c>
      <c r="AS783" t="str">
        <f t="shared" si="337"/>
        <v>No es obeso</v>
      </c>
    </row>
    <row r="784" spans="1:45" x14ac:dyDescent="0.25">
      <c r="A784">
        <v>0</v>
      </c>
      <c r="B784" t="str">
        <f t="shared" si="312"/>
        <v>F</v>
      </c>
      <c r="C784">
        <v>32593129</v>
      </c>
      <c r="D784">
        <f t="shared" si="313"/>
        <v>89</v>
      </c>
      <c r="E784">
        <f t="shared" si="314"/>
        <v>89</v>
      </c>
      <c r="F784" t="str">
        <f t="shared" si="315"/>
        <v>75-100</v>
      </c>
      <c r="G784">
        <v>1</v>
      </c>
      <c r="H784" t="str">
        <f t="shared" si="316"/>
        <v>Pariente gordo</v>
      </c>
      <c r="I784">
        <v>1</v>
      </c>
      <c r="J784" t="str">
        <f t="shared" si="317"/>
        <v>Hipercaloricos</v>
      </c>
      <c r="K784">
        <v>2</v>
      </c>
      <c r="L784">
        <f t="shared" si="318"/>
        <v>1</v>
      </c>
      <c r="M784" t="str">
        <f t="shared" si="319"/>
        <v>Suele comer</v>
      </c>
      <c r="N784">
        <v>3</v>
      </c>
      <c r="O784">
        <f t="shared" si="320"/>
        <v>2</v>
      </c>
      <c r="P784" t="str">
        <f t="shared" si="321"/>
        <v>Mas de 3</v>
      </c>
      <c r="Q784">
        <v>1</v>
      </c>
      <c r="R784" t="str">
        <f t="shared" si="322"/>
        <v>A veces</v>
      </c>
      <c r="S784">
        <v>0</v>
      </c>
      <c r="T784" t="str">
        <f t="shared" si="323"/>
        <v>No fuma</v>
      </c>
      <c r="U784">
        <v>1</v>
      </c>
      <c r="V784">
        <f t="shared" si="324"/>
        <v>1</v>
      </c>
      <c r="W784" t="str">
        <f t="shared" si="325"/>
        <v>Usualmente</v>
      </c>
      <c r="X784">
        <v>0</v>
      </c>
      <c r="Y784" t="str">
        <f t="shared" si="326"/>
        <v>No controla</v>
      </c>
      <c r="Z784">
        <v>0</v>
      </c>
      <c r="AA784">
        <f t="shared" si="327"/>
        <v>0</v>
      </c>
      <c r="AB784" t="str">
        <f t="shared" si="328"/>
        <v>Nunca</v>
      </c>
      <c r="AC784">
        <v>1339232</v>
      </c>
      <c r="AD784">
        <f t="shared" si="329"/>
        <v>2</v>
      </c>
      <c r="AE784" t="str">
        <f t="shared" si="330"/>
        <v>Siempre</v>
      </c>
      <c r="AF784">
        <v>1</v>
      </c>
      <c r="AG784" t="str">
        <f t="shared" si="331"/>
        <v>A veces</v>
      </c>
      <c r="AH784">
        <v>1</v>
      </c>
      <c r="AI784" t="str">
        <f t="shared" si="332"/>
        <v>Usa auto</v>
      </c>
      <c r="AJ784">
        <v>0</v>
      </c>
      <c r="AK784" t="str">
        <f t="shared" si="333"/>
        <v>No usa</v>
      </c>
      <c r="AL784">
        <v>0</v>
      </c>
      <c r="AM784" t="str">
        <f t="shared" si="334"/>
        <v>No usa</v>
      </c>
      <c r="AN784">
        <v>0</v>
      </c>
      <c r="AO784" t="str">
        <f t="shared" si="335"/>
        <v>No usa</v>
      </c>
      <c r="AP784">
        <v>0</v>
      </c>
      <c r="AQ784" t="str">
        <f t="shared" si="336"/>
        <v>No camina</v>
      </c>
      <c r="AR784">
        <v>0</v>
      </c>
      <c r="AS784" t="str">
        <f t="shared" si="337"/>
        <v>No es obeso</v>
      </c>
    </row>
    <row r="785" spans="1:45" x14ac:dyDescent="0.25">
      <c r="A785">
        <v>1</v>
      </c>
      <c r="B785" t="str">
        <f t="shared" si="312"/>
        <v>M</v>
      </c>
      <c r="C785">
        <v>23</v>
      </c>
      <c r="D785">
        <f t="shared" si="313"/>
        <v>23</v>
      </c>
      <c r="E785">
        <f t="shared" si="314"/>
        <v>23</v>
      </c>
      <c r="F785" t="str">
        <f t="shared" si="315"/>
        <v>1-25</v>
      </c>
      <c r="G785">
        <v>1</v>
      </c>
      <c r="H785" t="str">
        <f t="shared" si="316"/>
        <v>Pariente gordo</v>
      </c>
      <c r="I785">
        <v>1</v>
      </c>
      <c r="J785" t="str">
        <f t="shared" si="317"/>
        <v>Hipercaloricos</v>
      </c>
      <c r="K785">
        <v>3</v>
      </c>
      <c r="L785">
        <f t="shared" si="318"/>
        <v>1</v>
      </c>
      <c r="M785" t="str">
        <f t="shared" si="319"/>
        <v>Suele comer</v>
      </c>
      <c r="N785">
        <v>3654061</v>
      </c>
      <c r="O785">
        <f t="shared" si="320"/>
        <v>2</v>
      </c>
      <c r="P785" t="str">
        <f t="shared" si="321"/>
        <v>Mas de 3</v>
      </c>
      <c r="Q785">
        <v>1</v>
      </c>
      <c r="R785" t="str">
        <f t="shared" si="322"/>
        <v>A veces</v>
      </c>
      <c r="S785">
        <v>0</v>
      </c>
      <c r="T785" t="str">
        <f t="shared" si="323"/>
        <v>No fuma</v>
      </c>
      <c r="U785">
        <v>1229915</v>
      </c>
      <c r="V785">
        <f t="shared" si="324"/>
        <v>2</v>
      </c>
      <c r="W785" t="str">
        <f t="shared" si="325"/>
        <v>Siempre</v>
      </c>
      <c r="X785">
        <v>0</v>
      </c>
      <c r="Y785" t="str">
        <f t="shared" si="326"/>
        <v>No controla</v>
      </c>
      <c r="Z785">
        <v>0.793489</v>
      </c>
      <c r="AA785">
        <f t="shared" si="327"/>
        <v>0</v>
      </c>
      <c r="AB785" t="str">
        <f t="shared" si="328"/>
        <v>Nunca</v>
      </c>
      <c r="AC785">
        <v>1597608</v>
      </c>
      <c r="AD785">
        <f t="shared" si="329"/>
        <v>2</v>
      </c>
      <c r="AE785" t="str">
        <f t="shared" si="330"/>
        <v>Siempre</v>
      </c>
      <c r="AF785">
        <v>1</v>
      </c>
      <c r="AG785" t="str">
        <f t="shared" si="331"/>
        <v>A veces</v>
      </c>
      <c r="AH785">
        <v>0</v>
      </c>
      <c r="AI785" t="str">
        <f t="shared" si="332"/>
        <v>No usa</v>
      </c>
      <c r="AJ785">
        <v>0</v>
      </c>
      <c r="AK785" t="str">
        <f t="shared" si="333"/>
        <v>No usa</v>
      </c>
      <c r="AL785">
        <v>0</v>
      </c>
      <c r="AM785" t="str">
        <f t="shared" si="334"/>
        <v>No usa</v>
      </c>
      <c r="AN785">
        <v>1</v>
      </c>
      <c r="AO785" t="str">
        <f t="shared" si="335"/>
        <v>Usa Transporte</v>
      </c>
      <c r="AP785">
        <v>0</v>
      </c>
      <c r="AQ785" t="str">
        <f t="shared" si="336"/>
        <v>No camina</v>
      </c>
      <c r="AR785">
        <v>0</v>
      </c>
      <c r="AS785" t="str">
        <f t="shared" si="337"/>
        <v>No es obeso</v>
      </c>
    </row>
    <row r="786" spans="1:45" x14ac:dyDescent="0.25">
      <c r="A786">
        <v>0</v>
      </c>
      <c r="B786" t="str">
        <f t="shared" si="312"/>
        <v>F</v>
      </c>
      <c r="C786">
        <v>16941489</v>
      </c>
      <c r="D786">
        <f t="shared" si="313"/>
        <v>46</v>
      </c>
      <c r="E786">
        <f t="shared" si="314"/>
        <v>46</v>
      </c>
      <c r="F786" t="str">
        <f t="shared" si="315"/>
        <v>25-50</v>
      </c>
      <c r="G786">
        <v>0</v>
      </c>
      <c r="H786" t="str">
        <f t="shared" si="316"/>
        <v>Pariente normal</v>
      </c>
      <c r="I786">
        <v>1</v>
      </c>
      <c r="J786" t="str">
        <f t="shared" si="317"/>
        <v>Hipercaloricos</v>
      </c>
      <c r="K786">
        <v>175375</v>
      </c>
      <c r="L786">
        <f t="shared" si="318"/>
        <v>1</v>
      </c>
      <c r="M786" t="str">
        <f t="shared" si="319"/>
        <v>Suele comer</v>
      </c>
      <c r="N786">
        <v>1296156</v>
      </c>
      <c r="O786">
        <f t="shared" si="320"/>
        <v>2</v>
      </c>
      <c r="P786" t="str">
        <f t="shared" si="321"/>
        <v>Mas de 3</v>
      </c>
      <c r="Q786">
        <v>1</v>
      </c>
      <c r="R786" t="str">
        <f t="shared" si="322"/>
        <v>A veces</v>
      </c>
      <c r="S786">
        <v>0</v>
      </c>
      <c r="T786" t="str">
        <f t="shared" si="323"/>
        <v>No fuma</v>
      </c>
      <c r="U786">
        <v>2</v>
      </c>
      <c r="V786">
        <f t="shared" si="324"/>
        <v>2</v>
      </c>
      <c r="W786" t="str">
        <f t="shared" si="325"/>
        <v>Siempre</v>
      </c>
      <c r="X786">
        <v>1</v>
      </c>
      <c r="Y786" t="str">
        <f t="shared" si="326"/>
        <v>Controla</v>
      </c>
      <c r="Z786">
        <v>0.11017399999999999</v>
      </c>
      <c r="AA786">
        <f t="shared" si="327"/>
        <v>0</v>
      </c>
      <c r="AB786" t="str">
        <f t="shared" si="328"/>
        <v>Nunca</v>
      </c>
      <c r="AC786">
        <v>1944675</v>
      </c>
      <c r="AD786">
        <f t="shared" si="329"/>
        <v>2</v>
      </c>
      <c r="AE786" t="str">
        <f t="shared" si="330"/>
        <v>Siempre</v>
      </c>
      <c r="AF786">
        <v>1</v>
      </c>
      <c r="AG786" t="str">
        <f t="shared" si="331"/>
        <v>A veces</v>
      </c>
      <c r="AH786">
        <v>0</v>
      </c>
      <c r="AI786" t="str">
        <f t="shared" si="332"/>
        <v>No usa</v>
      </c>
      <c r="AJ786">
        <v>0</v>
      </c>
      <c r="AK786" t="str">
        <f t="shared" si="333"/>
        <v>No usa</v>
      </c>
      <c r="AL786">
        <v>0</v>
      </c>
      <c r="AM786" t="str">
        <f t="shared" si="334"/>
        <v>No usa</v>
      </c>
      <c r="AN786">
        <v>1</v>
      </c>
      <c r="AO786" t="str">
        <f t="shared" si="335"/>
        <v>Usa Transporte</v>
      </c>
      <c r="AP786">
        <v>0</v>
      </c>
      <c r="AQ786" t="str">
        <f t="shared" si="336"/>
        <v>No camina</v>
      </c>
      <c r="AR786">
        <v>0</v>
      </c>
      <c r="AS786" t="str">
        <f t="shared" si="337"/>
        <v>No es obeso</v>
      </c>
    </row>
    <row r="787" spans="1:45" x14ac:dyDescent="0.25">
      <c r="A787">
        <v>0</v>
      </c>
      <c r="B787" t="str">
        <f t="shared" si="312"/>
        <v>F</v>
      </c>
      <c r="C787">
        <v>16172992</v>
      </c>
      <c r="D787">
        <f t="shared" si="313"/>
        <v>44</v>
      </c>
      <c r="E787">
        <f t="shared" si="314"/>
        <v>44</v>
      </c>
      <c r="F787" t="str">
        <f t="shared" si="315"/>
        <v>25-50</v>
      </c>
      <c r="G787">
        <v>1</v>
      </c>
      <c r="H787" t="str">
        <f t="shared" si="316"/>
        <v>Pariente gordo</v>
      </c>
      <c r="I787">
        <v>1</v>
      </c>
      <c r="J787" t="str">
        <f t="shared" si="317"/>
        <v>Hipercaloricos</v>
      </c>
      <c r="K787">
        <v>2543563</v>
      </c>
      <c r="L787">
        <f t="shared" si="318"/>
        <v>1</v>
      </c>
      <c r="M787" t="str">
        <f t="shared" si="319"/>
        <v>Suele comer</v>
      </c>
      <c r="N787">
        <v>1</v>
      </c>
      <c r="O787">
        <f t="shared" si="320"/>
        <v>1</v>
      </c>
      <c r="P787">
        <f t="shared" si="321"/>
        <v>3</v>
      </c>
      <c r="Q787">
        <v>1</v>
      </c>
      <c r="R787" t="str">
        <f t="shared" si="322"/>
        <v>A veces</v>
      </c>
      <c r="S787">
        <v>0</v>
      </c>
      <c r="T787" t="str">
        <f t="shared" si="323"/>
        <v>No fuma</v>
      </c>
      <c r="U787">
        <v>2</v>
      </c>
      <c r="V787">
        <f t="shared" si="324"/>
        <v>2</v>
      </c>
      <c r="W787" t="str">
        <f t="shared" si="325"/>
        <v>Siempre</v>
      </c>
      <c r="X787">
        <v>1</v>
      </c>
      <c r="Y787" t="str">
        <f t="shared" si="326"/>
        <v>Controla</v>
      </c>
      <c r="Z787">
        <v>0.69428100000000004</v>
      </c>
      <c r="AA787">
        <f t="shared" si="327"/>
        <v>0</v>
      </c>
      <c r="AB787" t="str">
        <f t="shared" si="328"/>
        <v>Nunca</v>
      </c>
      <c r="AC787">
        <v>1056911</v>
      </c>
      <c r="AD787">
        <f t="shared" si="329"/>
        <v>2</v>
      </c>
      <c r="AE787" t="str">
        <f t="shared" si="330"/>
        <v>Siempre</v>
      </c>
      <c r="AF787">
        <v>1</v>
      </c>
      <c r="AG787" t="str">
        <f t="shared" si="331"/>
        <v>A veces</v>
      </c>
      <c r="AH787">
        <v>0</v>
      </c>
      <c r="AI787" t="str">
        <f t="shared" si="332"/>
        <v>No usa</v>
      </c>
      <c r="AJ787">
        <v>0</v>
      </c>
      <c r="AK787" t="str">
        <f t="shared" si="333"/>
        <v>No usa</v>
      </c>
      <c r="AL787">
        <v>0</v>
      </c>
      <c r="AM787" t="str">
        <f t="shared" si="334"/>
        <v>No usa</v>
      </c>
      <c r="AN787">
        <v>1</v>
      </c>
      <c r="AO787" t="str">
        <f t="shared" si="335"/>
        <v>Usa Transporte</v>
      </c>
      <c r="AP787">
        <v>0</v>
      </c>
      <c r="AQ787" t="str">
        <f t="shared" si="336"/>
        <v>No camina</v>
      </c>
      <c r="AR787">
        <v>0</v>
      </c>
      <c r="AS787" t="str">
        <f t="shared" si="337"/>
        <v>No es obeso</v>
      </c>
    </row>
    <row r="788" spans="1:45" x14ac:dyDescent="0.25">
      <c r="A788">
        <v>0</v>
      </c>
      <c r="B788" t="str">
        <f t="shared" si="312"/>
        <v>F</v>
      </c>
      <c r="C788">
        <v>2371259</v>
      </c>
      <c r="D788">
        <f t="shared" si="313"/>
        <v>6</v>
      </c>
      <c r="E788">
        <f t="shared" si="314"/>
        <v>6</v>
      </c>
      <c r="F788" t="str">
        <f t="shared" si="315"/>
        <v>1-25</v>
      </c>
      <c r="G788">
        <v>0</v>
      </c>
      <c r="H788" t="str">
        <f t="shared" si="316"/>
        <v>Pariente normal</v>
      </c>
      <c r="I788">
        <v>1</v>
      </c>
      <c r="J788" t="str">
        <f t="shared" si="317"/>
        <v>Hipercaloricos</v>
      </c>
      <c r="K788">
        <v>239728</v>
      </c>
      <c r="L788">
        <f t="shared" si="318"/>
        <v>1</v>
      </c>
      <c r="M788" t="str">
        <f t="shared" si="319"/>
        <v>Suele comer</v>
      </c>
      <c r="N788">
        <v>2656588</v>
      </c>
      <c r="O788">
        <f t="shared" si="320"/>
        <v>2</v>
      </c>
      <c r="P788" t="str">
        <f t="shared" si="321"/>
        <v>Mas de 3</v>
      </c>
      <c r="Q788">
        <v>1</v>
      </c>
      <c r="R788" t="str">
        <f t="shared" si="322"/>
        <v>A veces</v>
      </c>
      <c r="S788">
        <v>0</v>
      </c>
      <c r="T788" t="str">
        <f t="shared" si="323"/>
        <v>No fuma</v>
      </c>
      <c r="U788">
        <v>2061062</v>
      </c>
      <c r="V788">
        <f t="shared" si="324"/>
        <v>2</v>
      </c>
      <c r="W788" t="str">
        <f t="shared" si="325"/>
        <v>Siempre</v>
      </c>
      <c r="X788">
        <v>0</v>
      </c>
      <c r="Y788" t="str">
        <f t="shared" si="326"/>
        <v>No controla</v>
      </c>
      <c r="Z788">
        <v>1912981</v>
      </c>
      <c r="AA788">
        <f t="shared" si="327"/>
        <v>3</v>
      </c>
      <c r="AB788" t="str">
        <f t="shared" si="328"/>
        <v>Siempre</v>
      </c>
      <c r="AC788">
        <v>1887386</v>
      </c>
      <c r="AD788">
        <f t="shared" si="329"/>
        <v>2</v>
      </c>
      <c r="AE788" t="str">
        <f t="shared" si="330"/>
        <v>Siempre</v>
      </c>
      <c r="AF788">
        <v>1</v>
      </c>
      <c r="AG788" t="str">
        <f t="shared" si="331"/>
        <v>A veces</v>
      </c>
      <c r="AH788">
        <v>0</v>
      </c>
      <c r="AI788" t="str">
        <f t="shared" si="332"/>
        <v>No usa</v>
      </c>
      <c r="AJ788">
        <v>0</v>
      </c>
      <c r="AK788" t="str">
        <f t="shared" si="333"/>
        <v>No usa</v>
      </c>
      <c r="AL788">
        <v>0</v>
      </c>
      <c r="AM788" t="str">
        <f t="shared" si="334"/>
        <v>No usa</v>
      </c>
      <c r="AN788">
        <v>1</v>
      </c>
      <c r="AO788" t="str">
        <f t="shared" si="335"/>
        <v>Usa Transporte</v>
      </c>
      <c r="AP788">
        <v>0</v>
      </c>
      <c r="AQ788" t="str">
        <f t="shared" si="336"/>
        <v>No camina</v>
      </c>
      <c r="AR788">
        <v>0</v>
      </c>
      <c r="AS788" t="str">
        <f t="shared" si="337"/>
        <v>No es obeso</v>
      </c>
    </row>
    <row r="789" spans="1:45" x14ac:dyDescent="0.25">
      <c r="A789">
        <v>0</v>
      </c>
      <c r="B789" t="str">
        <f t="shared" si="312"/>
        <v>F</v>
      </c>
      <c r="C789">
        <v>35194089</v>
      </c>
      <c r="D789">
        <f t="shared" si="313"/>
        <v>96</v>
      </c>
      <c r="E789">
        <f t="shared" si="314"/>
        <v>96</v>
      </c>
      <c r="F789" t="str">
        <f t="shared" si="315"/>
        <v>75-100</v>
      </c>
      <c r="G789">
        <v>1</v>
      </c>
      <c r="H789" t="str">
        <f t="shared" si="316"/>
        <v>Pariente gordo</v>
      </c>
      <c r="I789">
        <v>0</v>
      </c>
      <c r="J789" t="str">
        <f t="shared" si="317"/>
        <v>Saludables</v>
      </c>
      <c r="K789">
        <v>3</v>
      </c>
      <c r="L789">
        <f t="shared" si="318"/>
        <v>1</v>
      </c>
      <c r="M789" t="str">
        <f t="shared" si="319"/>
        <v>Suele comer</v>
      </c>
      <c r="N789">
        <v>2809716</v>
      </c>
      <c r="O789">
        <f t="shared" si="320"/>
        <v>2</v>
      </c>
      <c r="P789" t="str">
        <f t="shared" si="321"/>
        <v>Mas de 3</v>
      </c>
      <c r="Q789">
        <v>1</v>
      </c>
      <c r="R789" t="str">
        <f t="shared" si="322"/>
        <v>A veces</v>
      </c>
      <c r="S789">
        <v>0</v>
      </c>
      <c r="T789" t="str">
        <f t="shared" si="323"/>
        <v>No fuma</v>
      </c>
      <c r="U789">
        <v>1591425</v>
      </c>
      <c r="V789">
        <f t="shared" si="324"/>
        <v>2</v>
      </c>
      <c r="W789" t="str">
        <f t="shared" si="325"/>
        <v>Siempre</v>
      </c>
      <c r="X789">
        <v>0</v>
      </c>
      <c r="Y789" t="str">
        <f t="shared" si="326"/>
        <v>No controla</v>
      </c>
      <c r="Z789">
        <v>0.17802299999999999</v>
      </c>
      <c r="AA789">
        <f t="shared" si="327"/>
        <v>0</v>
      </c>
      <c r="AB789" t="str">
        <f t="shared" si="328"/>
        <v>Nunca</v>
      </c>
      <c r="AC789">
        <v>0</v>
      </c>
      <c r="AD789">
        <f t="shared" si="329"/>
        <v>0</v>
      </c>
      <c r="AE789" t="str">
        <f t="shared" si="330"/>
        <v>Nunca</v>
      </c>
      <c r="AF789">
        <v>1</v>
      </c>
      <c r="AG789" t="str">
        <f t="shared" si="331"/>
        <v>A veces</v>
      </c>
      <c r="AH789">
        <v>1</v>
      </c>
      <c r="AI789" t="str">
        <f t="shared" si="332"/>
        <v>Usa auto</v>
      </c>
      <c r="AJ789">
        <v>0</v>
      </c>
      <c r="AK789" t="str">
        <f t="shared" si="333"/>
        <v>No usa</v>
      </c>
      <c r="AL789">
        <v>0</v>
      </c>
      <c r="AM789" t="str">
        <f t="shared" si="334"/>
        <v>No usa</v>
      </c>
      <c r="AN789">
        <v>0</v>
      </c>
      <c r="AO789" t="str">
        <f t="shared" si="335"/>
        <v>No usa</v>
      </c>
      <c r="AP789">
        <v>0</v>
      </c>
      <c r="AQ789" t="str">
        <f t="shared" si="336"/>
        <v>No camina</v>
      </c>
      <c r="AR789">
        <v>0</v>
      </c>
      <c r="AS789" t="str">
        <f t="shared" si="337"/>
        <v>No es obeso</v>
      </c>
    </row>
    <row r="790" spans="1:45" x14ac:dyDescent="0.25">
      <c r="A790">
        <v>1</v>
      </c>
      <c r="B790" t="str">
        <f t="shared" si="312"/>
        <v>M</v>
      </c>
      <c r="C790">
        <v>23172982</v>
      </c>
      <c r="D790">
        <f t="shared" si="313"/>
        <v>63</v>
      </c>
      <c r="E790">
        <f t="shared" si="314"/>
        <v>63</v>
      </c>
      <c r="F790" t="str">
        <f t="shared" si="315"/>
        <v>50-75</v>
      </c>
      <c r="G790">
        <v>1</v>
      </c>
      <c r="H790" t="str">
        <f t="shared" si="316"/>
        <v>Pariente gordo</v>
      </c>
      <c r="I790">
        <v>1</v>
      </c>
      <c r="J790" t="str">
        <f t="shared" si="317"/>
        <v>Hipercaloricos</v>
      </c>
      <c r="K790">
        <v>2</v>
      </c>
      <c r="L790">
        <f t="shared" si="318"/>
        <v>1</v>
      </c>
      <c r="M790" t="str">
        <f t="shared" si="319"/>
        <v>Suele comer</v>
      </c>
      <c r="N790">
        <v>277684</v>
      </c>
      <c r="O790">
        <f t="shared" si="320"/>
        <v>2</v>
      </c>
      <c r="P790" t="str">
        <f t="shared" si="321"/>
        <v>Mas de 3</v>
      </c>
      <c r="Q790">
        <v>1</v>
      </c>
      <c r="R790" t="str">
        <f t="shared" si="322"/>
        <v>A veces</v>
      </c>
      <c r="S790">
        <v>0</v>
      </c>
      <c r="T790" t="str">
        <f t="shared" si="323"/>
        <v>No fuma</v>
      </c>
      <c r="U790">
        <v>1278231</v>
      </c>
      <c r="V790">
        <f t="shared" si="324"/>
        <v>2</v>
      </c>
      <c r="W790" t="str">
        <f t="shared" si="325"/>
        <v>Siempre</v>
      </c>
      <c r="X790">
        <v>0</v>
      </c>
      <c r="Y790" t="str">
        <f t="shared" si="326"/>
        <v>No controla</v>
      </c>
      <c r="Z790">
        <v>0.55713000000000001</v>
      </c>
      <c r="AA790">
        <f t="shared" si="327"/>
        <v>0</v>
      </c>
      <c r="AB790" t="str">
        <f t="shared" si="328"/>
        <v>Nunca</v>
      </c>
      <c r="AC790">
        <v>1</v>
      </c>
      <c r="AD790">
        <f t="shared" si="329"/>
        <v>1</v>
      </c>
      <c r="AE790" t="str">
        <f t="shared" si="330"/>
        <v>Usualmente</v>
      </c>
      <c r="AF790">
        <v>1</v>
      </c>
      <c r="AG790" t="str">
        <f t="shared" si="331"/>
        <v>A veces</v>
      </c>
      <c r="AH790">
        <v>1</v>
      </c>
      <c r="AI790" t="str">
        <f t="shared" si="332"/>
        <v>Usa auto</v>
      </c>
      <c r="AJ790">
        <v>0</v>
      </c>
      <c r="AK790" t="str">
        <f t="shared" si="333"/>
        <v>No usa</v>
      </c>
      <c r="AL790">
        <v>0</v>
      </c>
      <c r="AM790" t="str">
        <f t="shared" si="334"/>
        <v>No usa</v>
      </c>
      <c r="AN790">
        <v>0</v>
      </c>
      <c r="AO790" t="str">
        <f t="shared" si="335"/>
        <v>No usa</v>
      </c>
      <c r="AP790">
        <v>0</v>
      </c>
      <c r="AQ790" t="str">
        <f t="shared" si="336"/>
        <v>No camina</v>
      </c>
      <c r="AR790">
        <v>0</v>
      </c>
      <c r="AS790" t="str">
        <f t="shared" si="337"/>
        <v>No es obeso</v>
      </c>
    </row>
    <row r="791" spans="1:45" x14ac:dyDescent="0.25">
      <c r="A791">
        <v>0</v>
      </c>
      <c r="B791" t="str">
        <f t="shared" si="312"/>
        <v>F</v>
      </c>
      <c r="C791">
        <v>37218161</v>
      </c>
      <c r="D791">
        <f t="shared" si="313"/>
        <v>101</v>
      </c>
      <c r="E791">
        <f t="shared" si="314"/>
        <v>100</v>
      </c>
      <c r="F791" t="str">
        <f t="shared" si="315"/>
        <v>75-100</v>
      </c>
      <c r="G791">
        <v>1</v>
      </c>
      <c r="H791" t="str">
        <f t="shared" si="316"/>
        <v>Pariente gordo</v>
      </c>
      <c r="I791">
        <v>1</v>
      </c>
      <c r="J791" t="str">
        <f t="shared" si="317"/>
        <v>Hipercaloricos</v>
      </c>
      <c r="K791">
        <v>237464</v>
      </c>
      <c r="L791">
        <f t="shared" si="318"/>
        <v>1</v>
      </c>
      <c r="M791" t="str">
        <f t="shared" si="319"/>
        <v>Suele comer</v>
      </c>
      <c r="N791">
        <v>3</v>
      </c>
      <c r="O791">
        <f t="shared" si="320"/>
        <v>2</v>
      </c>
      <c r="P791" t="str">
        <f t="shared" si="321"/>
        <v>Mas de 3</v>
      </c>
      <c r="Q791">
        <v>1</v>
      </c>
      <c r="R791" t="str">
        <f t="shared" si="322"/>
        <v>A veces</v>
      </c>
      <c r="S791">
        <v>0</v>
      </c>
      <c r="T791" t="str">
        <f t="shared" si="323"/>
        <v>No fuma</v>
      </c>
      <c r="U791">
        <v>2</v>
      </c>
      <c r="V791">
        <f t="shared" si="324"/>
        <v>2</v>
      </c>
      <c r="W791" t="str">
        <f t="shared" si="325"/>
        <v>Siempre</v>
      </c>
      <c r="X791">
        <v>0</v>
      </c>
      <c r="Y791" t="str">
        <f t="shared" si="326"/>
        <v>No controla</v>
      </c>
      <c r="Z791">
        <v>2892922</v>
      </c>
      <c r="AA791">
        <f t="shared" si="327"/>
        <v>3</v>
      </c>
      <c r="AB791" t="str">
        <f t="shared" si="328"/>
        <v>Siempre</v>
      </c>
      <c r="AC791">
        <v>0.48081299999999999</v>
      </c>
      <c r="AD791">
        <f t="shared" si="329"/>
        <v>0</v>
      </c>
      <c r="AE791" t="str">
        <f t="shared" si="330"/>
        <v>Nunca</v>
      </c>
      <c r="AF791">
        <v>1</v>
      </c>
      <c r="AG791" t="str">
        <f t="shared" si="331"/>
        <v>A veces</v>
      </c>
      <c r="AH791">
        <v>1</v>
      </c>
      <c r="AI791" t="str">
        <f t="shared" si="332"/>
        <v>Usa auto</v>
      </c>
      <c r="AJ791">
        <v>0</v>
      </c>
      <c r="AK791" t="str">
        <f t="shared" si="333"/>
        <v>No usa</v>
      </c>
      <c r="AL791">
        <v>0</v>
      </c>
      <c r="AM791" t="str">
        <f t="shared" si="334"/>
        <v>No usa</v>
      </c>
      <c r="AN791">
        <v>0</v>
      </c>
      <c r="AO791" t="str">
        <f t="shared" si="335"/>
        <v>No usa</v>
      </c>
      <c r="AP791">
        <v>0</v>
      </c>
      <c r="AQ791" t="str">
        <f t="shared" si="336"/>
        <v>No camina</v>
      </c>
      <c r="AR791">
        <v>0</v>
      </c>
      <c r="AS791" t="str">
        <f t="shared" si="337"/>
        <v>No es obeso</v>
      </c>
    </row>
    <row r="792" spans="1:45" x14ac:dyDescent="0.25">
      <c r="A792">
        <v>1</v>
      </c>
      <c r="B792" t="str">
        <f t="shared" si="312"/>
        <v>M</v>
      </c>
      <c r="C792">
        <v>19076443</v>
      </c>
      <c r="D792">
        <f t="shared" si="313"/>
        <v>52</v>
      </c>
      <c r="E792">
        <f t="shared" si="314"/>
        <v>52</v>
      </c>
      <c r="F792" t="str">
        <f t="shared" si="315"/>
        <v>50-75</v>
      </c>
      <c r="G792">
        <v>0</v>
      </c>
      <c r="H792" t="str">
        <f t="shared" si="316"/>
        <v>Pariente normal</v>
      </c>
      <c r="I792">
        <v>1</v>
      </c>
      <c r="J792" t="str">
        <f t="shared" si="317"/>
        <v>Hipercaloricos</v>
      </c>
      <c r="K792">
        <v>2278644</v>
      </c>
      <c r="L792">
        <f t="shared" si="318"/>
        <v>1</v>
      </c>
      <c r="M792" t="str">
        <f t="shared" si="319"/>
        <v>Suele comer</v>
      </c>
      <c r="N792">
        <v>1</v>
      </c>
      <c r="O792">
        <f t="shared" si="320"/>
        <v>1</v>
      </c>
      <c r="P792">
        <f t="shared" si="321"/>
        <v>3</v>
      </c>
      <c r="Q792">
        <v>1</v>
      </c>
      <c r="R792" t="str">
        <f t="shared" si="322"/>
        <v>A veces</v>
      </c>
      <c r="S792">
        <v>0</v>
      </c>
      <c r="T792" t="str">
        <f t="shared" si="323"/>
        <v>No fuma</v>
      </c>
      <c r="U792">
        <v>2628985</v>
      </c>
      <c r="V792">
        <f t="shared" si="324"/>
        <v>2</v>
      </c>
      <c r="W792" t="str">
        <f t="shared" si="325"/>
        <v>Siempre</v>
      </c>
      <c r="X792">
        <v>0</v>
      </c>
      <c r="Y792" t="str">
        <f t="shared" si="326"/>
        <v>No controla</v>
      </c>
      <c r="Z792">
        <v>1</v>
      </c>
      <c r="AA792">
        <f t="shared" si="327"/>
        <v>1</v>
      </c>
      <c r="AB792" t="str">
        <f t="shared" si="328"/>
        <v>A veces</v>
      </c>
      <c r="AC792">
        <v>1285373</v>
      </c>
      <c r="AD792">
        <f t="shared" si="329"/>
        <v>2</v>
      </c>
      <c r="AE792" t="str">
        <f t="shared" si="330"/>
        <v>Siempre</v>
      </c>
      <c r="AF792">
        <v>1</v>
      </c>
      <c r="AG792" t="str">
        <f t="shared" si="331"/>
        <v>A veces</v>
      </c>
      <c r="AH792">
        <v>0</v>
      </c>
      <c r="AI792" t="str">
        <f t="shared" si="332"/>
        <v>No usa</v>
      </c>
      <c r="AJ792">
        <v>0</v>
      </c>
      <c r="AK792" t="str">
        <f t="shared" si="333"/>
        <v>No usa</v>
      </c>
      <c r="AL792">
        <v>0</v>
      </c>
      <c r="AM792" t="str">
        <f t="shared" si="334"/>
        <v>No usa</v>
      </c>
      <c r="AN792">
        <v>1</v>
      </c>
      <c r="AO792" t="str">
        <f t="shared" si="335"/>
        <v>Usa Transporte</v>
      </c>
      <c r="AP792">
        <v>0</v>
      </c>
      <c r="AQ792" t="str">
        <f t="shared" si="336"/>
        <v>No camina</v>
      </c>
      <c r="AR792">
        <v>0</v>
      </c>
      <c r="AS792" t="str">
        <f t="shared" si="337"/>
        <v>No es obeso</v>
      </c>
    </row>
    <row r="793" spans="1:45" x14ac:dyDescent="0.25">
      <c r="A793">
        <v>0</v>
      </c>
      <c r="B793" t="str">
        <f t="shared" si="312"/>
        <v>F</v>
      </c>
      <c r="C793">
        <v>1630687</v>
      </c>
      <c r="D793">
        <f t="shared" si="313"/>
        <v>4</v>
      </c>
      <c r="E793">
        <f t="shared" si="314"/>
        <v>4</v>
      </c>
      <c r="F793" t="str">
        <f t="shared" si="315"/>
        <v>1-25</v>
      </c>
      <c r="G793">
        <v>1</v>
      </c>
      <c r="H793" t="str">
        <f t="shared" si="316"/>
        <v>Pariente gordo</v>
      </c>
      <c r="I793">
        <v>1</v>
      </c>
      <c r="J793" t="str">
        <f t="shared" si="317"/>
        <v>Hipercaloricos</v>
      </c>
      <c r="K793">
        <v>1620845</v>
      </c>
      <c r="L793">
        <f t="shared" si="318"/>
        <v>1</v>
      </c>
      <c r="M793" t="str">
        <f t="shared" si="319"/>
        <v>Suele comer</v>
      </c>
      <c r="N793">
        <v>1</v>
      </c>
      <c r="O793">
        <f t="shared" si="320"/>
        <v>1</v>
      </c>
      <c r="P793">
        <f t="shared" si="321"/>
        <v>3</v>
      </c>
      <c r="Q793">
        <v>1</v>
      </c>
      <c r="R793" t="str">
        <f t="shared" si="322"/>
        <v>A veces</v>
      </c>
      <c r="S793">
        <v>0</v>
      </c>
      <c r="T793" t="str">
        <f t="shared" si="323"/>
        <v>No fuma</v>
      </c>
      <c r="U793">
        <v>2</v>
      </c>
      <c r="V793">
        <f t="shared" si="324"/>
        <v>2</v>
      </c>
      <c r="W793" t="str">
        <f t="shared" si="325"/>
        <v>Siempre</v>
      </c>
      <c r="X793">
        <v>1</v>
      </c>
      <c r="Y793" t="str">
        <f t="shared" si="326"/>
        <v>Controla</v>
      </c>
      <c r="Z793">
        <v>0.92659199999999997</v>
      </c>
      <c r="AA793">
        <f t="shared" si="327"/>
        <v>0</v>
      </c>
      <c r="AB793" t="str">
        <f t="shared" si="328"/>
        <v>Nunca</v>
      </c>
      <c r="AC793">
        <v>1657098</v>
      </c>
      <c r="AD793">
        <f t="shared" si="329"/>
        <v>2</v>
      </c>
      <c r="AE793" t="str">
        <f t="shared" si="330"/>
        <v>Siempre</v>
      </c>
      <c r="AF793">
        <v>0</v>
      </c>
      <c r="AG793" t="str">
        <f t="shared" si="331"/>
        <v>Nunca</v>
      </c>
      <c r="AH793">
        <v>0</v>
      </c>
      <c r="AI793" t="str">
        <f t="shared" si="332"/>
        <v>No usa</v>
      </c>
      <c r="AJ793">
        <v>0</v>
      </c>
      <c r="AK793" t="str">
        <f t="shared" si="333"/>
        <v>No usa</v>
      </c>
      <c r="AL793">
        <v>0</v>
      </c>
      <c r="AM793" t="str">
        <f t="shared" si="334"/>
        <v>No usa</v>
      </c>
      <c r="AN793">
        <v>1</v>
      </c>
      <c r="AO793" t="str">
        <f t="shared" si="335"/>
        <v>Usa Transporte</v>
      </c>
      <c r="AP793">
        <v>0</v>
      </c>
      <c r="AQ793" t="str">
        <f t="shared" si="336"/>
        <v>No camina</v>
      </c>
      <c r="AR793">
        <v>0</v>
      </c>
      <c r="AS793" t="str">
        <f t="shared" si="337"/>
        <v>No es obeso</v>
      </c>
    </row>
    <row r="794" spans="1:45" x14ac:dyDescent="0.25">
      <c r="A794">
        <v>0</v>
      </c>
      <c r="B794" t="str">
        <f t="shared" si="312"/>
        <v>F</v>
      </c>
      <c r="C794">
        <v>18297229</v>
      </c>
      <c r="D794">
        <f t="shared" si="313"/>
        <v>50</v>
      </c>
      <c r="E794">
        <f t="shared" si="314"/>
        <v>50</v>
      </c>
      <c r="F794" t="str">
        <f t="shared" si="315"/>
        <v>25-50</v>
      </c>
      <c r="G794">
        <v>1</v>
      </c>
      <c r="H794" t="str">
        <f t="shared" si="316"/>
        <v>Pariente gordo</v>
      </c>
      <c r="I794">
        <v>1</v>
      </c>
      <c r="J794" t="str">
        <f t="shared" si="317"/>
        <v>Hipercaloricos</v>
      </c>
      <c r="K794">
        <v>2</v>
      </c>
      <c r="L794">
        <f t="shared" si="318"/>
        <v>1</v>
      </c>
      <c r="M794" t="str">
        <f t="shared" si="319"/>
        <v>Suele comer</v>
      </c>
      <c r="N794">
        <v>1999014</v>
      </c>
      <c r="O794">
        <f t="shared" si="320"/>
        <v>2</v>
      </c>
      <c r="P794" t="str">
        <f t="shared" si="321"/>
        <v>Mas de 3</v>
      </c>
      <c r="Q794">
        <v>1</v>
      </c>
      <c r="R794" t="str">
        <f t="shared" si="322"/>
        <v>A veces</v>
      </c>
      <c r="S794">
        <v>0</v>
      </c>
      <c r="T794" t="str">
        <f t="shared" si="323"/>
        <v>No fuma</v>
      </c>
      <c r="U794">
        <v>2326165</v>
      </c>
      <c r="V794">
        <f t="shared" si="324"/>
        <v>2</v>
      </c>
      <c r="W794" t="str">
        <f t="shared" si="325"/>
        <v>Siempre</v>
      </c>
      <c r="X794">
        <v>0</v>
      </c>
      <c r="Y794" t="str">
        <f t="shared" si="326"/>
        <v>No controla</v>
      </c>
      <c r="Z794">
        <v>7.0499999999999998E-3</v>
      </c>
      <c r="AA794">
        <f t="shared" si="327"/>
        <v>0</v>
      </c>
      <c r="AB794" t="str">
        <f t="shared" si="328"/>
        <v>Nunca</v>
      </c>
      <c r="AC794">
        <v>0</v>
      </c>
      <c r="AD794">
        <f t="shared" si="329"/>
        <v>0</v>
      </c>
      <c r="AE794" t="str">
        <f t="shared" si="330"/>
        <v>Nunca</v>
      </c>
      <c r="AF794">
        <v>0</v>
      </c>
      <c r="AG794" t="str">
        <f t="shared" si="331"/>
        <v>Nunca</v>
      </c>
      <c r="AH794">
        <v>0</v>
      </c>
      <c r="AI794" t="str">
        <f t="shared" si="332"/>
        <v>No usa</v>
      </c>
      <c r="AJ794">
        <v>0</v>
      </c>
      <c r="AK794" t="str">
        <f t="shared" si="333"/>
        <v>No usa</v>
      </c>
      <c r="AL794">
        <v>0</v>
      </c>
      <c r="AM794" t="str">
        <f t="shared" si="334"/>
        <v>No usa</v>
      </c>
      <c r="AN794">
        <v>1</v>
      </c>
      <c r="AO794" t="str">
        <f t="shared" si="335"/>
        <v>Usa Transporte</v>
      </c>
      <c r="AP794">
        <v>0</v>
      </c>
      <c r="AQ794" t="str">
        <f t="shared" si="336"/>
        <v>No camina</v>
      </c>
      <c r="AR794">
        <v>0</v>
      </c>
      <c r="AS794" t="str">
        <f t="shared" si="337"/>
        <v>No es obeso</v>
      </c>
    </row>
    <row r="795" spans="1:45" x14ac:dyDescent="0.25">
      <c r="A795">
        <v>0</v>
      </c>
      <c r="B795" t="str">
        <f t="shared" si="312"/>
        <v>F</v>
      </c>
      <c r="C795">
        <v>18610761</v>
      </c>
      <c r="D795">
        <f t="shared" si="313"/>
        <v>50</v>
      </c>
      <c r="E795">
        <f t="shared" si="314"/>
        <v>50</v>
      </c>
      <c r="F795" t="str">
        <f t="shared" si="315"/>
        <v>25-50</v>
      </c>
      <c r="G795">
        <v>0</v>
      </c>
      <c r="H795" t="str">
        <f t="shared" si="316"/>
        <v>Pariente normal</v>
      </c>
      <c r="I795">
        <v>1</v>
      </c>
      <c r="J795" t="str">
        <f t="shared" si="317"/>
        <v>Hipercaloricos</v>
      </c>
      <c r="K795">
        <v>2823179</v>
      </c>
      <c r="L795">
        <f t="shared" si="318"/>
        <v>1</v>
      </c>
      <c r="M795" t="str">
        <f t="shared" si="319"/>
        <v>Suele comer</v>
      </c>
      <c r="N795">
        <v>2644692</v>
      </c>
      <c r="O795">
        <f t="shared" si="320"/>
        <v>2</v>
      </c>
      <c r="P795" t="str">
        <f t="shared" si="321"/>
        <v>Mas de 3</v>
      </c>
      <c r="Q795">
        <v>1</v>
      </c>
      <c r="R795" t="str">
        <f t="shared" si="322"/>
        <v>A veces</v>
      </c>
      <c r="S795">
        <v>0</v>
      </c>
      <c r="T795" t="str">
        <f t="shared" si="323"/>
        <v>No fuma</v>
      </c>
      <c r="U795">
        <v>1226764</v>
      </c>
      <c r="V795">
        <f t="shared" si="324"/>
        <v>2</v>
      </c>
      <c r="W795" t="str">
        <f t="shared" si="325"/>
        <v>Siempre</v>
      </c>
      <c r="X795">
        <v>1</v>
      </c>
      <c r="Y795" t="str">
        <f t="shared" si="326"/>
        <v>Controla</v>
      </c>
      <c r="Z795">
        <v>0.74752799999999997</v>
      </c>
      <c r="AA795">
        <f t="shared" si="327"/>
        <v>0</v>
      </c>
      <c r="AB795" t="str">
        <f t="shared" si="328"/>
        <v>Nunca</v>
      </c>
      <c r="AC795">
        <v>8.8990000000000007E-3</v>
      </c>
      <c r="AD795">
        <f t="shared" si="329"/>
        <v>0</v>
      </c>
      <c r="AE795" t="str">
        <f t="shared" si="330"/>
        <v>Nunca</v>
      </c>
      <c r="AF795">
        <v>1</v>
      </c>
      <c r="AG795" t="str">
        <f t="shared" si="331"/>
        <v>A veces</v>
      </c>
      <c r="AH795">
        <v>0</v>
      </c>
      <c r="AI795" t="str">
        <f t="shared" si="332"/>
        <v>No usa</v>
      </c>
      <c r="AJ795">
        <v>0</v>
      </c>
      <c r="AK795" t="str">
        <f t="shared" si="333"/>
        <v>No usa</v>
      </c>
      <c r="AL795">
        <v>0</v>
      </c>
      <c r="AM795" t="str">
        <f t="shared" si="334"/>
        <v>No usa</v>
      </c>
      <c r="AN795">
        <v>1</v>
      </c>
      <c r="AO795" t="str">
        <f t="shared" si="335"/>
        <v>Usa Transporte</v>
      </c>
      <c r="AP795">
        <v>0</v>
      </c>
      <c r="AQ795" t="str">
        <f t="shared" si="336"/>
        <v>No camina</v>
      </c>
      <c r="AR795">
        <v>0</v>
      </c>
      <c r="AS795" t="str">
        <f t="shared" si="337"/>
        <v>No es obeso</v>
      </c>
    </row>
    <row r="796" spans="1:45" x14ac:dyDescent="0.25">
      <c r="A796">
        <v>0</v>
      </c>
      <c r="B796" t="str">
        <f t="shared" si="312"/>
        <v>F</v>
      </c>
      <c r="C796">
        <v>17451085</v>
      </c>
      <c r="D796">
        <f t="shared" si="313"/>
        <v>47</v>
      </c>
      <c r="E796">
        <f t="shared" si="314"/>
        <v>47</v>
      </c>
      <c r="F796" t="str">
        <f t="shared" si="315"/>
        <v>25-50</v>
      </c>
      <c r="G796">
        <v>1</v>
      </c>
      <c r="H796" t="str">
        <f t="shared" si="316"/>
        <v>Pariente gordo</v>
      </c>
      <c r="I796">
        <v>1</v>
      </c>
      <c r="J796" t="str">
        <f t="shared" si="317"/>
        <v>Hipercaloricos</v>
      </c>
      <c r="K796">
        <v>3</v>
      </c>
      <c r="L796">
        <f t="shared" si="318"/>
        <v>1</v>
      </c>
      <c r="M796" t="str">
        <f t="shared" si="319"/>
        <v>Suele comer</v>
      </c>
      <c r="N796">
        <v>2449723</v>
      </c>
      <c r="O796">
        <f t="shared" si="320"/>
        <v>2</v>
      </c>
      <c r="P796" t="str">
        <f t="shared" si="321"/>
        <v>Mas de 3</v>
      </c>
      <c r="Q796">
        <v>1</v>
      </c>
      <c r="R796" t="str">
        <f t="shared" si="322"/>
        <v>A veces</v>
      </c>
      <c r="S796">
        <v>0</v>
      </c>
      <c r="T796" t="str">
        <f t="shared" si="323"/>
        <v>No fuma</v>
      </c>
      <c r="U796">
        <v>2</v>
      </c>
      <c r="V796">
        <f t="shared" si="324"/>
        <v>2</v>
      </c>
      <c r="W796" t="str">
        <f t="shared" si="325"/>
        <v>Siempre</v>
      </c>
      <c r="X796">
        <v>1</v>
      </c>
      <c r="Y796" t="str">
        <f t="shared" si="326"/>
        <v>Controla</v>
      </c>
      <c r="Z796">
        <v>0.47959200000000002</v>
      </c>
      <c r="AA796">
        <f t="shared" si="327"/>
        <v>0</v>
      </c>
      <c r="AB796" t="str">
        <f t="shared" si="328"/>
        <v>Nunca</v>
      </c>
      <c r="AC796">
        <v>1720642</v>
      </c>
      <c r="AD796">
        <f t="shared" si="329"/>
        <v>2</v>
      </c>
      <c r="AE796" t="str">
        <f t="shared" si="330"/>
        <v>Siempre</v>
      </c>
      <c r="AF796">
        <v>1</v>
      </c>
      <c r="AG796" t="str">
        <f t="shared" si="331"/>
        <v>A veces</v>
      </c>
      <c r="AH796">
        <v>0</v>
      </c>
      <c r="AI796" t="str">
        <f t="shared" si="332"/>
        <v>No usa</v>
      </c>
      <c r="AJ796">
        <v>0</v>
      </c>
      <c r="AK796" t="str">
        <f t="shared" si="333"/>
        <v>No usa</v>
      </c>
      <c r="AL796">
        <v>0</v>
      </c>
      <c r="AM796" t="str">
        <f t="shared" si="334"/>
        <v>No usa</v>
      </c>
      <c r="AN796">
        <v>1</v>
      </c>
      <c r="AO796" t="str">
        <f t="shared" si="335"/>
        <v>Usa Transporte</v>
      </c>
      <c r="AP796">
        <v>0</v>
      </c>
      <c r="AQ796" t="str">
        <f t="shared" si="336"/>
        <v>No camina</v>
      </c>
      <c r="AR796">
        <v>0</v>
      </c>
      <c r="AS796" t="str">
        <f t="shared" si="337"/>
        <v>No es obeso</v>
      </c>
    </row>
    <row r="797" spans="1:45" x14ac:dyDescent="0.25">
      <c r="A797">
        <v>1</v>
      </c>
      <c r="B797" t="str">
        <f t="shared" si="312"/>
        <v>M</v>
      </c>
      <c r="C797">
        <v>29740496</v>
      </c>
      <c r="D797">
        <f t="shared" si="313"/>
        <v>81</v>
      </c>
      <c r="E797">
        <f t="shared" si="314"/>
        <v>81</v>
      </c>
      <c r="F797" t="str">
        <f t="shared" si="315"/>
        <v>75-100</v>
      </c>
      <c r="G797">
        <v>0</v>
      </c>
      <c r="H797" t="str">
        <f t="shared" si="316"/>
        <v>Pariente normal</v>
      </c>
      <c r="I797">
        <v>1</v>
      </c>
      <c r="J797" t="str">
        <f t="shared" si="317"/>
        <v>Hipercaloricos</v>
      </c>
      <c r="K797">
        <v>3</v>
      </c>
      <c r="L797">
        <f t="shared" si="318"/>
        <v>1</v>
      </c>
      <c r="M797" t="str">
        <f t="shared" si="319"/>
        <v>Suele comer</v>
      </c>
      <c r="N797">
        <v>3</v>
      </c>
      <c r="O797">
        <f t="shared" si="320"/>
        <v>2</v>
      </c>
      <c r="P797" t="str">
        <f t="shared" si="321"/>
        <v>Mas de 3</v>
      </c>
      <c r="Q797">
        <v>1</v>
      </c>
      <c r="R797" t="str">
        <f t="shared" si="322"/>
        <v>A veces</v>
      </c>
      <c r="S797">
        <v>0</v>
      </c>
      <c r="T797" t="str">
        <f t="shared" si="323"/>
        <v>No fuma</v>
      </c>
      <c r="U797">
        <v>1174611</v>
      </c>
      <c r="V797">
        <f t="shared" si="324"/>
        <v>2</v>
      </c>
      <c r="W797" t="str">
        <f t="shared" si="325"/>
        <v>Siempre</v>
      </c>
      <c r="X797">
        <v>0</v>
      </c>
      <c r="Y797" t="str">
        <f t="shared" si="326"/>
        <v>No controla</v>
      </c>
      <c r="Z797">
        <v>2</v>
      </c>
      <c r="AA797">
        <f t="shared" si="327"/>
        <v>2</v>
      </c>
      <c r="AB797" t="str">
        <f t="shared" si="328"/>
        <v>Usualmente</v>
      </c>
      <c r="AC797">
        <v>0</v>
      </c>
      <c r="AD797">
        <f t="shared" si="329"/>
        <v>0</v>
      </c>
      <c r="AE797" t="str">
        <f t="shared" si="330"/>
        <v>Nunca</v>
      </c>
      <c r="AF797">
        <v>0</v>
      </c>
      <c r="AG797" t="str">
        <f t="shared" si="331"/>
        <v>Nunca</v>
      </c>
      <c r="AH797">
        <v>1</v>
      </c>
      <c r="AI797" t="str">
        <f t="shared" si="332"/>
        <v>Usa auto</v>
      </c>
      <c r="AJ797">
        <v>0</v>
      </c>
      <c r="AK797" t="str">
        <f t="shared" si="333"/>
        <v>No usa</v>
      </c>
      <c r="AL797">
        <v>0</v>
      </c>
      <c r="AM797" t="str">
        <f t="shared" si="334"/>
        <v>No usa</v>
      </c>
      <c r="AN797">
        <v>0</v>
      </c>
      <c r="AO797" t="str">
        <f t="shared" si="335"/>
        <v>No usa</v>
      </c>
      <c r="AP797">
        <v>0</v>
      </c>
      <c r="AQ797" t="str">
        <f t="shared" si="336"/>
        <v>No camina</v>
      </c>
      <c r="AR797">
        <v>0</v>
      </c>
      <c r="AS797" t="str">
        <f t="shared" si="337"/>
        <v>No es obeso</v>
      </c>
    </row>
    <row r="798" spans="1:45" x14ac:dyDescent="0.25">
      <c r="A798">
        <v>0</v>
      </c>
      <c r="B798" t="str">
        <f t="shared" si="312"/>
        <v>F</v>
      </c>
      <c r="C798">
        <v>31539393</v>
      </c>
      <c r="D798">
        <f t="shared" si="313"/>
        <v>86</v>
      </c>
      <c r="E798">
        <f t="shared" si="314"/>
        <v>86</v>
      </c>
      <c r="F798" t="str">
        <f t="shared" si="315"/>
        <v>75-100</v>
      </c>
      <c r="G798">
        <v>1</v>
      </c>
      <c r="H798" t="str">
        <f t="shared" si="316"/>
        <v>Pariente gordo</v>
      </c>
      <c r="I798">
        <v>1</v>
      </c>
      <c r="J798" t="str">
        <f t="shared" si="317"/>
        <v>Hipercaloricos</v>
      </c>
      <c r="K798">
        <v>2</v>
      </c>
      <c r="L798">
        <f t="shared" si="318"/>
        <v>1</v>
      </c>
      <c r="M798" t="str">
        <f t="shared" si="319"/>
        <v>Suele comer</v>
      </c>
      <c r="N798">
        <v>3</v>
      </c>
      <c r="O798">
        <f t="shared" si="320"/>
        <v>2</v>
      </c>
      <c r="P798" t="str">
        <f t="shared" si="321"/>
        <v>Mas de 3</v>
      </c>
      <c r="Q798">
        <v>1</v>
      </c>
      <c r="R798" t="str">
        <f t="shared" si="322"/>
        <v>A veces</v>
      </c>
      <c r="S798">
        <v>0</v>
      </c>
      <c r="T798" t="str">
        <f t="shared" si="323"/>
        <v>No fuma</v>
      </c>
      <c r="U798">
        <v>1</v>
      </c>
      <c r="V798">
        <f t="shared" si="324"/>
        <v>1</v>
      </c>
      <c r="W798" t="str">
        <f t="shared" si="325"/>
        <v>Usualmente</v>
      </c>
      <c r="X798">
        <v>0</v>
      </c>
      <c r="Y798" t="str">
        <f t="shared" si="326"/>
        <v>No controla</v>
      </c>
      <c r="Z798">
        <v>0</v>
      </c>
      <c r="AA798">
        <f t="shared" si="327"/>
        <v>0</v>
      </c>
      <c r="AB798" t="str">
        <f t="shared" si="328"/>
        <v>Nunca</v>
      </c>
      <c r="AC798">
        <v>1112489</v>
      </c>
      <c r="AD798">
        <f t="shared" si="329"/>
        <v>2</v>
      </c>
      <c r="AE798" t="str">
        <f t="shared" si="330"/>
        <v>Siempre</v>
      </c>
      <c r="AF798">
        <v>1</v>
      </c>
      <c r="AG798" t="str">
        <f t="shared" si="331"/>
        <v>A veces</v>
      </c>
      <c r="AH798">
        <v>1</v>
      </c>
      <c r="AI798" t="str">
        <f t="shared" si="332"/>
        <v>Usa auto</v>
      </c>
      <c r="AJ798">
        <v>0</v>
      </c>
      <c r="AK798" t="str">
        <f t="shared" si="333"/>
        <v>No usa</v>
      </c>
      <c r="AL798">
        <v>0</v>
      </c>
      <c r="AM798" t="str">
        <f t="shared" si="334"/>
        <v>No usa</v>
      </c>
      <c r="AN798">
        <v>0</v>
      </c>
      <c r="AO798" t="str">
        <f t="shared" si="335"/>
        <v>No usa</v>
      </c>
      <c r="AP798">
        <v>0</v>
      </c>
      <c r="AQ798" t="str">
        <f t="shared" si="336"/>
        <v>No camina</v>
      </c>
      <c r="AR798">
        <v>0</v>
      </c>
      <c r="AS798" t="str">
        <f t="shared" si="337"/>
        <v>No es obeso</v>
      </c>
    </row>
    <row r="799" spans="1:45" x14ac:dyDescent="0.25">
      <c r="A799">
        <v>1</v>
      </c>
      <c r="B799" t="str">
        <f t="shared" si="312"/>
        <v>M</v>
      </c>
      <c r="C799">
        <v>18026457</v>
      </c>
      <c r="D799">
        <f t="shared" si="313"/>
        <v>49</v>
      </c>
      <c r="E799">
        <f t="shared" si="314"/>
        <v>49</v>
      </c>
      <c r="F799" t="str">
        <f t="shared" si="315"/>
        <v>25-50</v>
      </c>
      <c r="G799">
        <v>1</v>
      </c>
      <c r="H799" t="str">
        <f t="shared" si="316"/>
        <v>Pariente gordo</v>
      </c>
      <c r="I799">
        <v>1</v>
      </c>
      <c r="J799" t="str">
        <f t="shared" si="317"/>
        <v>Hipercaloricos</v>
      </c>
      <c r="K799">
        <v>2</v>
      </c>
      <c r="L799">
        <f t="shared" si="318"/>
        <v>1</v>
      </c>
      <c r="M799" t="str">
        <f t="shared" si="319"/>
        <v>Suele comer</v>
      </c>
      <c r="N799">
        <v>2794156</v>
      </c>
      <c r="O799">
        <f t="shared" si="320"/>
        <v>2</v>
      </c>
      <c r="P799" t="str">
        <f t="shared" si="321"/>
        <v>Mas de 3</v>
      </c>
      <c r="Q799">
        <v>1</v>
      </c>
      <c r="R799" t="str">
        <f t="shared" si="322"/>
        <v>A veces</v>
      </c>
      <c r="S799">
        <v>0</v>
      </c>
      <c r="T799" t="str">
        <f t="shared" si="323"/>
        <v>No fuma</v>
      </c>
      <c r="U799">
        <v>2377362</v>
      </c>
      <c r="V799">
        <f t="shared" si="324"/>
        <v>2</v>
      </c>
      <c r="W799" t="str">
        <f t="shared" si="325"/>
        <v>Siempre</v>
      </c>
      <c r="X799">
        <v>0</v>
      </c>
      <c r="Y799" t="str">
        <f t="shared" si="326"/>
        <v>No controla</v>
      </c>
      <c r="Z799">
        <v>0.10123600000000001</v>
      </c>
      <c r="AA799">
        <f t="shared" si="327"/>
        <v>0</v>
      </c>
      <c r="AB799" t="str">
        <f t="shared" si="328"/>
        <v>Nunca</v>
      </c>
      <c r="AC799">
        <v>0.105895</v>
      </c>
      <c r="AD799">
        <f t="shared" si="329"/>
        <v>0</v>
      </c>
      <c r="AE799" t="str">
        <f t="shared" si="330"/>
        <v>Nunca</v>
      </c>
      <c r="AF799">
        <v>0</v>
      </c>
      <c r="AG799" t="str">
        <f t="shared" si="331"/>
        <v>Nunca</v>
      </c>
      <c r="AH799">
        <v>0</v>
      </c>
      <c r="AI799" t="str">
        <f t="shared" si="332"/>
        <v>No usa</v>
      </c>
      <c r="AJ799">
        <v>0</v>
      </c>
      <c r="AK799" t="str">
        <f t="shared" si="333"/>
        <v>No usa</v>
      </c>
      <c r="AL799">
        <v>0</v>
      </c>
      <c r="AM799" t="str">
        <f t="shared" si="334"/>
        <v>No usa</v>
      </c>
      <c r="AN799">
        <v>1</v>
      </c>
      <c r="AO799" t="str">
        <f t="shared" si="335"/>
        <v>Usa Transporte</v>
      </c>
      <c r="AP799">
        <v>0</v>
      </c>
      <c r="AQ799" t="str">
        <f t="shared" si="336"/>
        <v>No camina</v>
      </c>
      <c r="AR799">
        <v>0</v>
      </c>
      <c r="AS799" t="str">
        <f t="shared" si="337"/>
        <v>No es obeso</v>
      </c>
    </row>
    <row r="800" spans="1:45" x14ac:dyDescent="0.25">
      <c r="A800">
        <v>1</v>
      </c>
      <c r="B800" t="str">
        <f t="shared" si="312"/>
        <v>M</v>
      </c>
      <c r="C800">
        <v>1947554</v>
      </c>
      <c r="D800">
        <f t="shared" si="313"/>
        <v>5</v>
      </c>
      <c r="E800">
        <f t="shared" si="314"/>
        <v>5</v>
      </c>
      <c r="F800" t="str">
        <f t="shared" si="315"/>
        <v>1-25</v>
      </c>
      <c r="G800">
        <v>1</v>
      </c>
      <c r="H800" t="str">
        <f t="shared" si="316"/>
        <v>Pariente gordo</v>
      </c>
      <c r="I800">
        <v>1</v>
      </c>
      <c r="J800" t="str">
        <f t="shared" si="317"/>
        <v>Hipercaloricos</v>
      </c>
      <c r="K800">
        <v>2061952</v>
      </c>
      <c r="L800">
        <f t="shared" si="318"/>
        <v>1</v>
      </c>
      <c r="M800" t="str">
        <f t="shared" si="319"/>
        <v>Suele comer</v>
      </c>
      <c r="N800">
        <v>4</v>
      </c>
      <c r="O800">
        <f t="shared" si="320"/>
        <v>2</v>
      </c>
      <c r="P800" t="str">
        <f t="shared" si="321"/>
        <v>Mas de 3</v>
      </c>
      <c r="Q800">
        <v>1</v>
      </c>
      <c r="R800" t="str">
        <f t="shared" si="322"/>
        <v>A veces</v>
      </c>
      <c r="S800">
        <v>0</v>
      </c>
      <c r="T800" t="str">
        <f t="shared" si="323"/>
        <v>No fuma</v>
      </c>
      <c r="U800">
        <v>2426465</v>
      </c>
      <c r="V800">
        <f t="shared" si="324"/>
        <v>2</v>
      </c>
      <c r="W800" t="str">
        <f t="shared" si="325"/>
        <v>Siempre</v>
      </c>
      <c r="X800">
        <v>0</v>
      </c>
      <c r="Y800" t="str">
        <f t="shared" si="326"/>
        <v>No controla</v>
      </c>
      <c r="Z800">
        <v>2</v>
      </c>
      <c r="AA800">
        <f t="shared" si="327"/>
        <v>2</v>
      </c>
      <c r="AB800" t="str">
        <f t="shared" si="328"/>
        <v>Usualmente</v>
      </c>
      <c r="AC800">
        <v>0.160138</v>
      </c>
      <c r="AD800">
        <f t="shared" si="329"/>
        <v>0</v>
      </c>
      <c r="AE800" t="str">
        <f t="shared" si="330"/>
        <v>Nunca</v>
      </c>
      <c r="AF800">
        <v>1</v>
      </c>
      <c r="AG800" t="str">
        <f t="shared" si="331"/>
        <v>A veces</v>
      </c>
      <c r="AH800">
        <v>0</v>
      </c>
      <c r="AI800" t="str">
        <f t="shared" si="332"/>
        <v>No usa</v>
      </c>
      <c r="AJ800">
        <v>0</v>
      </c>
      <c r="AK800" t="str">
        <f t="shared" si="333"/>
        <v>No usa</v>
      </c>
      <c r="AL800">
        <v>0</v>
      </c>
      <c r="AM800" t="str">
        <f t="shared" si="334"/>
        <v>No usa</v>
      </c>
      <c r="AN800">
        <v>1</v>
      </c>
      <c r="AO800" t="str">
        <f t="shared" si="335"/>
        <v>Usa Transporte</v>
      </c>
      <c r="AP800">
        <v>0</v>
      </c>
      <c r="AQ800" t="str">
        <f t="shared" si="336"/>
        <v>No camina</v>
      </c>
      <c r="AR800">
        <v>0</v>
      </c>
      <c r="AS800" t="str">
        <f t="shared" si="337"/>
        <v>No es obeso</v>
      </c>
    </row>
    <row r="801" spans="1:45" x14ac:dyDescent="0.25">
      <c r="A801">
        <v>0</v>
      </c>
      <c r="B801" t="str">
        <f t="shared" si="312"/>
        <v>F</v>
      </c>
      <c r="C801">
        <v>19</v>
      </c>
      <c r="D801">
        <f t="shared" si="313"/>
        <v>19</v>
      </c>
      <c r="E801">
        <f t="shared" si="314"/>
        <v>19</v>
      </c>
      <c r="F801" t="str">
        <f t="shared" si="315"/>
        <v>1-25</v>
      </c>
      <c r="G801">
        <v>1</v>
      </c>
      <c r="H801" t="str">
        <f t="shared" si="316"/>
        <v>Pariente gordo</v>
      </c>
      <c r="I801">
        <v>1</v>
      </c>
      <c r="J801" t="str">
        <f t="shared" si="317"/>
        <v>Hipercaloricos</v>
      </c>
      <c r="K801">
        <v>2</v>
      </c>
      <c r="L801">
        <f t="shared" si="318"/>
        <v>1</v>
      </c>
      <c r="M801" t="str">
        <f t="shared" si="319"/>
        <v>Suele comer</v>
      </c>
      <c r="N801">
        <v>1146794</v>
      </c>
      <c r="O801">
        <f t="shared" si="320"/>
        <v>2</v>
      </c>
      <c r="P801" t="str">
        <f t="shared" si="321"/>
        <v>Mas de 3</v>
      </c>
      <c r="Q801">
        <v>1</v>
      </c>
      <c r="R801" t="str">
        <f t="shared" si="322"/>
        <v>A veces</v>
      </c>
      <c r="S801">
        <v>0</v>
      </c>
      <c r="T801" t="str">
        <f t="shared" si="323"/>
        <v>No fuma</v>
      </c>
      <c r="U801">
        <v>3</v>
      </c>
      <c r="V801">
        <f t="shared" si="324"/>
        <v>2</v>
      </c>
      <c r="W801" t="str">
        <f t="shared" si="325"/>
        <v>Siempre</v>
      </c>
      <c r="X801">
        <v>0</v>
      </c>
      <c r="Y801" t="str">
        <f t="shared" si="326"/>
        <v>No controla</v>
      </c>
      <c r="Z801">
        <v>1809745</v>
      </c>
      <c r="AA801">
        <f t="shared" si="327"/>
        <v>3</v>
      </c>
      <c r="AB801" t="str">
        <f t="shared" si="328"/>
        <v>Siempre</v>
      </c>
      <c r="AC801">
        <v>1690102</v>
      </c>
      <c r="AD801">
        <f t="shared" si="329"/>
        <v>2</v>
      </c>
      <c r="AE801" t="str">
        <f t="shared" si="330"/>
        <v>Siempre</v>
      </c>
      <c r="AF801">
        <v>2</v>
      </c>
      <c r="AG801" t="str">
        <f t="shared" si="331"/>
        <v>Usualmente</v>
      </c>
      <c r="AH801">
        <v>0</v>
      </c>
      <c r="AI801" t="str">
        <f t="shared" si="332"/>
        <v>No usa</v>
      </c>
      <c r="AJ801">
        <v>0</v>
      </c>
      <c r="AK801" t="str">
        <f t="shared" si="333"/>
        <v>No usa</v>
      </c>
      <c r="AL801">
        <v>0</v>
      </c>
      <c r="AM801" t="str">
        <f t="shared" si="334"/>
        <v>No usa</v>
      </c>
      <c r="AN801">
        <v>1</v>
      </c>
      <c r="AO801" t="str">
        <f t="shared" si="335"/>
        <v>Usa Transporte</v>
      </c>
      <c r="AP801">
        <v>0</v>
      </c>
      <c r="AQ801" t="str">
        <f t="shared" si="336"/>
        <v>No camina</v>
      </c>
      <c r="AR801">
        <v>0</v>
      </c>
      <c r="AS801" t="str">
        <f t="shared" si="337"/>
        <v>No es obeso</v>
      </c>
    </row>
    <row r="802" spans="1:45" x14ac:dyDescent="0.25">
      <c r="A802">
        <v>0</v>
      </c>
      <c r="B802" t="str">
        <f t="shared" si="312"/>
        <v>F</v>
      </c>
      <c r="C802">
        <v>18</v>
      </c>
      <c r="D802">
        <f t="shared" si="313"/>
        <v>18</v>
      </c>
      <c r="E802">
        <f t="shared" si="314"/>
        <v>18</v>
      </c>
      <c r="F802" t="str">
        <f t="shared" si="315"/>
        <v>1-25</v>
      </c>
      <c r="G802">
        <v>1</v>
      </c>
      <c r="H802" t="str">
        <f t="shared" si="316"/>
        <v>Pariente gordo</v>
      </c>
      <c r="I802">
        <v>1</v>
      </c>
      <c r="J802" t="str">
        <f t="shared" si="317"/>
        <v>Hipercaloricos</v>
      </c>
      <c r="K802">
        <v>2</v>
      </c>
      <c r="L802">
        <f t="shared" si="318"/>
        <v>1</v>
      </c>
      <c r="M802" t="str">
        <f t="shared" si="319"/>
        <v>Suele comer</v>
      </c>
      <c r="N802">
        <v>1131695</v>
      </c>
      <c r="O802">
        <f t="shared" si="320"/>
        <v>2</v>
      </c>
      <c r="P802" t="str">
        <f t="shared" si="321"/>
        <v>Mas de 3</v>
      </c>
      <c r="Q802">
        <v>1</v>
      </c>
      <c r="R802" t="str">
        <f t="shared" si="322"/>
        <v>A veces</v>
      </c>
      <c r="S802">
        <v>0</v>
      </c>
      <c r="T802" t="str">
        <f t="shared" si="323"/>
        <v>No fuma</v>
      </c>
      <c r="U802">
        <v>1344539</v>
      </c>
      <c r="V802">
        <f t="shared" si="324"/>
        <v>2</v>
      </c>
      <c r="W802" t="str">
        <f t="shared" si="325"/>
        <v>Siempre</v>
      </c>
      <c r="X802">
        <v>0</v>
      </c>
      <c r="Y802" t="str">
        <f t="shared" si="326"/>
        <v>No controla</v>
      </c>
      <c r="Z802">
        <v>0</v>
      </c>
      <c r="AA802">
        <f t="shared" si="327"/>
        <v>0</v>
      </c>
      <c r="AB802" t="str">
        <f t="shared" si="328"/>
        <v>Nunca</v>
      </c>
      <c r="AC802">
        <v>159257</v>
      </c>
      <c r="AD802">
        <f t="shared" si="329"/>
        <v>1</v>
      </c>
      <c r="AE802" t="str">
        <f t="shared" si="330"/>
        <v>Usualmente</v>
      </c>
      <c r="AF802">
        <v>0</v>
      </c>
      <c r="AG802" t="str">
        <f t="shared" si="331"/>
        <v>Nunca</v>
      </c>
      <c r="AH802">
        <v>0</v>
      </c>
      <c r="AI802" t="str">
        <f t="shared" si="332"/>
        <v>No usa</v>
      </c>
      <c r="AJ802">
        <v>0</v>
      </c>
      <c r="AK802" t="str">
        <f t="shared" si="333"/>
        <v>No usa</v>
      </c>
      <c r="AL802">
        <v>0</v>
      </c>
      <c r="AM802" t="str">
        <f t="shared" si="334"/>
        <v>No usa</v>
      </c>
      <c r="AN802">
        <v>1</v>
      </c>
      <c r="AO802" t="str">
        <f t="shared" si="335"/>
        <v>Usa Transporte</v>
      </c>
      <c r="AP802">
        <v>0</v>
      </c>
      <c r="AQ802" t="str">
        <f t="shared" si="336"/>
        <v>No camina</v>
      </c>
      <c r="AR802">
        <v>0</v>
      </c>
      <c r="AS802" t="str">
        <f t="shared" si="337"/>
        <v>No es obeso</v>
      </c>
    </row>
    <row r="803" spans="1:45" x14ac:dyDescent="0.25">
      <c r="A803">
        <v>0</v>
      </c>
      <c r="B803" t="str">
        <f t="shared" si="312"/>
        <v>F</v>
      </c>
      <c r="C803">
        <v>18270434</v>
      </c>
      <c r="D803">
        <f t="shared" si="313"/>
        <v>50</v>
      </c>
      <c r="E803">
        <f t="shared" si="314"/>
        <v>50</v>
      </c>
      <c r="F803" t="str">
        <f t="shared" si="315"/>
        <v>25-50</v>
      </c>
      <c r="G803">
        <v>1</v>
      </c>
      <c r="H803" t="str">
        <f t="shared" si="316"/>
        <v>Pariente gordo</v>
      </c>
      <c r="I803">
        <v>1</v>
      </c>
      <c r="J803" t="str">
        <f t="shared" si="317"/>
        <v>Hipercaloricos</v>
      </c>
      <c r="K803">
        <v>2838969</v>
      </c>
      <c r="L803">
        <f t="shared" si="318"/>
        <v>1</v>
      </c>
      <c r="M803" t="str">
        <f t="shared" si="319"/>
        <v>Suele comer</v>
      </c>
      <c r="N803">
        <v>3</v>
      </c>
      <c r="O803">
        <f t="shared" si="320"/>
        <v>2</v>
      </c>
      <c r="P803" t="str">
        <f t="shared" si="321"/>
        <v>Mas de 3</v>
      </c>
      <c r="Q803">
        <v>1</v>
      </c>
      <c r="R803" t="str">
        <f t="shared" si="322"/>
        <v>A veces</v>
      </c>
      <c r="S803">
        <v>0</v>
      </c>
      <c r="T803" t="str">
        <f t="shared" si="323"/>
        <v>No fuma</v>
      </c>
      <c r="U803">
        <v>2425927</v>
      </c>
      <c r="V803">
        <f t="shared" si="324"/>
        <v>2</v>
      </c>
      <c r="W803" t="str">
        <f t="shared" si="325"/>
        <v>Siempre</v>
      </c>
      <c r="X803">
        <v>0</v>
      </c>
      <c r="Y803" t="str">
        <f t="shared" si="326"/>
        <v>No controla</v>
      </c>
      <c r="Z803">
        <v>1</v>
      </c>
      <c r="AA803">
        <f t="shared" si="327"/>
        <v>1</v>
      </c>
      <c r="AB803" t="str">
        <f t="shared" si="328"/>
        <v>A veces</v>
      </c>
      <c r="AC803">
        <v>1453335</v>
      </c>
      <c r="AD803">
        <f t="shared" si="329"/>
        <v>2</v>
      </c>
      <c r="AE803" t="str">
        <f t="shared" si="330"/>
        <v>Siempre</v>
      </c>
      <c r="AF803">
        <v>2</v>
      </c>
      <c r="AG803" t="str">
        <f t="shared" si="331"/>
        <v>Usualmente</v>
      </c>
      <c r="AH803">
        <v>0</v>
      </c>
      <c r="AI803" t="str">
        <f t="shared" si="332"/>
        <v>No usa</v>
      </c>
      <c r="AJ803">
        <v>0</v>
      </c>
      <c r="AK803" t="str">
        <f t="shared" si="333"/>
        <v>No usa</v>
      </c>
      <c r="AL803">
        <v>0</v>
      </c>
      <c r="AM803" t="str">
        <f t="shared" si="334"/>
        <v>No usa</v>
      </c>
      <c r="AN803">
        <v>1</v>
      </c>
      <c r="AO803" t="str">
        <f t="shared" si="335"/>
        <v>Usa Transporte</v>
      </c>
      <c r="AP803">
        <v>0</v>
      </c>
      <c r="AQ803" t="str">
        <f t="shared" si="336"/>
        <v>No camina</v>
      </c>
      <c r="AR803">
        <v>0</v>
      </c>
      <c r="AS803" t="str">
        <f t="shared" si="337"/>
        <v>No es obeso</v>
      </c>
    </row>
    <row r="804" spans="1:45" x14ac:dyDescent="0.25">
      <c r="A804">
        <v>0</v>
      </c>
      <c r="B804" t="str">
        <f t="shared" si="312"/>
        <v>F</v>
      </c>
      <c r="C804">
        <v>19816228</v>
      </c>
      <c r="D804">
        <f t="shared" si="313"/>
        <v>54</v>
      </c>
      <c r="E804">
        <f t="shared" si="314"/>
        <v>54</v>
      </c>
      <c r="F804" t="str">
        <f t="shared" si="315"/>
        <v>50-75</v>
      </c>
      <c r="G804">
        <v>0</v>
      </c>
      <c r="H804" t="str">
        <f t="shared" si="316"/>
        <v>Pariente normal</v>
      </c>
      <c r="I804">
        <v>1</v>
      </c>
      <c r="J804" t="str">
        <f t="shared" si="317"/>
        <v>Hipercaloricos</v>
      </c>
      <c r="K804">
        <v>2568063</v>
      </c>
      <c r="L804">
        <f t="shared" si="318"/>
        <v>1</v>
      </c>
      <c r="M804" t="str">
        <f t="shared" si="319"/>
        <v>Suele comer</v>
      </c>
      <c r="N804">
        <v>3</v>
      </c>
      <c r="O804">
        <f t="shared" si="320"/>
        <v>2</v>
      </c>
      <c r="P804" t="str">
        <f t="shared" si="321"/>
        <v>Mas de 3</v>
      </c>
      <c r="Q804">
        <v>1</v>
      </c>
      <c r="R804" t="str">
        <f t="shared" si="322"/>
        <v>A veces</v>
      </c>
      <c r="S804">
        <v>0</v>
      </c>
      <c r="T804" t="str">
        <f t="shared" si="323"/>
        <v>No fuma</v>
      </c>
      <c r="U804">
        <v>1817983</v>
      </c>
      <c r="V804">
        <f t="shared" si="324"/>
        <v>2</v>
      </c>
      <c r="W804" t="str">
        <f t="shared" si="325"/>
        <v>Siempre</v>
      </c>
      <c r="X804">
        <v>1</v>
      </c>
      <c r="Y804" t="str">
        <f t="shared" si="326"/>
        <v>Controla</v>
      </c>
      <c r="Z804">
        <v>0</v>
      </c>
      <c r="AA804">
        <f t="shared" si="327"/>
        <v>0</v>
      </c>
      <c r="AB804" t="str">
        <f t="shared" si="328"/>
        <v>Nunca</v>
      </c>
      <c r="AC804">
        <v>0</v>
      </c>
      <c r="AD804">
        <f t="shared" si="329"/>
        <v>0</v>
      </c>
      <c r="AE804" t="str">
        <f t="shared" si="330"/>
        <v>Nunca</v>
      </c>
      <c r="AF804">
        <v>1</v>
      </c>
      <c r="AG804" t="str">
        <f t="shared" si="331"/>
        <v>A veces</v>
      </c>
      <c r="AH804">
        <v>0</v>
      </c>
      <c r="AI804" t="str">
        <f t="shared" si="332"/>
        <v>No usa</v>
      </c>
      <c r="AJ804">
        <v>0</v>
      </c>
      <c r="AK804" t="str">
        <f t="shared" si="333"/>
        <v>No usa</v>
      </c>
      <c r="AL804">
        <v>0</v>
      </c>
      <c r="AM804" t="str">
        <f t="shared" si="334"/>
        <v>No usa</v>
      </c>
      <c r="AN804">
        <v>1</v>
      </c>
      <c r="AO804" t="str">
        <f t="shared" si="335"/>
        <v>Usa Transporte</v>
      </c>
      <c r="AP804">
        <v>0</v>
      </c>
      <c r="AQ804" t="str">
        <f t="shared" si="336"/>
        <v>No camina</v>
      </c>
      <c r="AR804">
        <v>0</v>
      </c>
      <c r="AS804" t="str">
        <f t="shared" si="337"/>
        <v>No es obeso</v>
      </c>
    </row>
    <row r="805" spans="1:45" x14ac:dyDescent="0.25">
      <c r="A805">
        <v>1</v>
      </c>
      <c r="B805" t="str">
        <f t="shared" si="312"/>
        <v>M</v>
      </c>
      <c r="C805">
        <v>2839124</v>
      </c>
      <c r="D805">
        <f t="shared" si="313"/>
        <v>7</v>
      </c>
      <c r="E805">
        <f t="shared" si="314"/>
        <v>7</v>
      </c>
      <c r="F805" t="str">
        <f t="shared" si="315"/>
        <v>1-25</v>
      </c>
      <c r="G805">
        <v>0</v>
      </c>
      <c r="H805" t="str">
        <f t="shared" si="316"/>
        <v>Pariente normal</v>
      </c>
      <c r="I805">
        <v>1</v>
      </c>
      <c r="J805" t="str">
        <f t="shared" si="317"/>
        <v>Hipercaloricos</v>
      </c>
      <c r="K805">
        <v>3</v>
      </c>
      <c r="L805">
        <f t="shared" si="318"/>
        <v>1</v>
      </c>
      <c r="M805" t="str">
        <f t="shared" si="319"/>
        <v>Suele comer</v>
      </c>
      <c r="N805">
        <v>3</v>
      </c>
      <c r="O805">
        <f t="shared" si="320"/>
        <v>2</v>
      </c>
      <c r="P805" t="str">
        <f t="shared" si="321"/>
        <v>Mas de 3</v>
      </c>
      <c r="Q805">
        <v>1</v>
      </c>
      <c r="R805" t="str">
        <f t="shared" si="322"/>
        <v>A veces</v>
      </c>
      <c r="S805">
        <v>0</v>
      </c>
      <c r="T805" t="str">
        <f t="shared" si="323"/>
        <v>No fuma</v>
      </c>
      <c r="U805">
        <v>1205633</v>
      </c>
      <c r="V805">
        <f t="shared" si="324"/>
        <v>2</v>
      </c>
      <c r="W805" t="str">
        <f t="shared" si="325"/>
        <v>Siempre</v>
      </c>
      <c r="X805">
        <v>0</v>
      </c>
      <c r="Y805" t="str">
        <f t="shared" si="326"/>
        <v>No controla</v>
      </c>
      <c r="Z805">
        <v>2</v>
      </c>
      <c r="AA805">
        <f t="shared" si="327"/>
        <v>2</v>
      </c>
      <c r="AB805" t="str">
        <f t="shared" si="328"/>
        <v>Usualmente</v>
      </c>
      <c r="AC805">
        <v>0</v>
      </c>
      <c r="AD805">
        <f t="shared" si="329"/>
        <v>0</v>
      </c>
      <c r="AE805" t="str">
        <f t="shared" si="330"/>
        <v>Nunca</v>
      </c>
      <c r="AF805">
        <v>0</v>
      </c>
      <c r="AG805" t="str">
        <f t="shared" si="331"/>
        <v>Nunca</v>
      </c>
      <c r="AH805">
        <v>1</v>
      </c>
      <c r="AI805" t="str">
        <f t="shared" si="332"/>
        <v>Usa auto</v>
      </c>
      <c r="AJ805">
        <v>0</v>
      </c>
      <c r="AK805" t="str">
        <f t="shared" si="333"/>
        <v>No usa</v>
      </c>
      <c r="AL805">
        <v>0</v>
      </c>
      <c r="AM805" t="str">
        <f t="shared" si="334"/>
        <v>No usa</v>
      </c>
      <c r="AN805">
        <v>0</v>
      </c>
      <c r="AO805" t="str">
        <f t="shared" si="335"/>
        <v>No usa</v>
      </c>
      <c r="AP805">
        <v>0</v>
      </c>
      <c r="AQ805" t="str">
        <f t="shared" si="336"/>
        <v>No camina</v>
      </c>
      <c r="AR805">
        <v>0</v>
      </c>
      <c r="AS805" t="str">
        <f t="shared" si="337"/>
        <v>No es obeso</v>
      </c>
    </row>
    <row r="806" spans="1:45" x14ac:dyDescent="0.25">
      <c r="A806">
        <v>1</v>
      </c>
      <c r="B806" t="str">
        <f t="shared" si="312"/>
        <v>M</v>
      </c>
      <c r="C806">
        <v>26758516</v>
      </c>
      <c r="D806">
        <f t="shared" si="313"/>
        <v>73</v>
      </c>
      <c r="E806">
        <f t="shared" si="314"/>
        <v>73</v>
      </c>
      <c r="F806" t="str">
        <f t="shared" si="315"/>
        <v>50-75</v>
      </c>
      <c r="G806">
        <v>0</v>
      </c>
      <c r="H806" t="str">
        <f t="shared" si="316"/>
        <v>Pariente normal</v>
      </c>
      <c r="I806">
        <v>1</v>
      </c>
      <c r="J806" t="str">
        <f t="shared" si="317"/>
        <v>Hipercaloricos</v>
      </c>
      <c r="K806">
        <v>2652958</v>
      </c>
      <c r="L806">
        <f t="shared" si="318"/>
        <v>1</v>
      </c>
      <c r="M806" t="str">
        <f t="shared" si="319"/>
        <v>Suele comer</v>
      </c>
      <c r="N806">
        <v>2488189</v>
      </c>
      <c r="O806">
        <f t="shared" si="320"/>
        <v>2</v>
      </c>
      <c r="P806" t="str">
        <f t="shared" si="321"/>
        <v>Mas de 3</v>
      </c>
      <c r="Q806">
        <v>1</v>
      </c>
      <c r="R806" t="str">
        <f t="shared" si="322"/>
        <v>A veces</v>
      </c>
      <c r="S806">
        <v>0</v>
      </c>
      <c r="T806" t="str">
        <f t="shared" si="323"/>
        <v>No fuma</v>
      </c>
      <c r="U806">
        <v>2</v>
      </c>
      <c r="V806">
        <f t="shared" si="324"/>
        <v>2</v>
      </c>
      <c r="W806" t="str">
        <f t="shared" si="325"/>
        <v>Siempre</v>
      </c>
      <c r="X806">
        <v>0</v>
      </c>
      <c r="Y806" t="str">
        <f t="shared" si="326"/>
        <v>No controla</v>
      </c>
      <c r="Z806">
        <v>2</v>
      </c>
      <c r="AA806">
        <f t="shared" si="327"/>
        <v>2</v>
      </c>
      <c r="AB806" t="str">
        <f t="shared" si="328"/>
        <v>Usualmente</v>
      </c>
      <c r="AC806">
        <v>9.6614000000000005E-2</v>
      </c>
      <c r="AD806">
        <f t="shared" si="329"/>
        <v>0</v>
      </c>
      <c r="AE806" t="str">
        <f t="shared" si="330"/>
        <v>Nunca</v>
      </c>
      <c r="AF806">
        <v>0</v>
      </c>
      <c r="AG806" t="str">
        <f t="shared" si="331"/>
        <v>Nunca</v>
      </c>
      <c r="AH806">
        <v>1</v>
      </c>
      <c r="AI806" t="str">
        <f t="shared" si="332"/>
        <v>Usa auto</v>
      </c>
      <c r="AJ806">
        <v>0</v>
      </c>
      <c r="AK806" t="str">
        <f t="shared" si="333"/>
        <v>No usa</v>
      </c>
      <c r="AL806">
        <v>0</v>
      </c>
      <c r="AM806" t="str">
        <f t="shared" si="334"/>
        <v>No usa</v>
      </c>
      <c r="AN806">
        <v>0</v>
      </c>
      <c r="AO806" t="str">
        <f t="shared" si="335"/>
        <v>No usa</v>
      </c>
      <c r="AP806">
        <v>0</v>
      </c>
      <c r="AQ806" t="str">
        <f t="shared" si="336"/>
        <v>No camina</v>
      </c>
      <c r="AR806">
        <v>0</v>
      </c>
      <c r="AS806" t="str">
        <f t="shared" si="337"/>
        <v>No es obeso</v>
      </c>
    </row>
    <row r="807" spans="1:45" x14ac:dyDescent="0.25">
      <c r="A807">
        <v>1</v>
      </c>
      <c r="B807" t="str">
        <f t="shared" si="312"/>
        <v>M</v>
      </c>
      <c r="C807">
        <v>21033794</v>
      </c>
      <c r="D807">
        <f t="shared" si="313"/>
        <v>57</v>
      </c>
      <c r="E807">
        <f t="shared" si="314"/>
        <v>57</v>
      </c>
      <c r="F807" t="str">
        <f t="shared" si="315"/>
        <v>50-75</v>
      </c>
      <c r="G807">
        <v>0</v>
      </c>
      <c r="H807" t="str">
        <f t="shared" si="316"/>
        <v>Pariente normal</v>
      </c>
      <c r="I807">
        <v>1</v>
      </c>
      <c r="J807" t="str">
        <f t="shared" si="317"/>
        <v>Hipercaloricos</v>
      </c>
      <c r="K807">
        <v>2</v>
      </c>
      <c r="L807">
        <f t="shared" si="318"/>
        <v>1</v>
      </c>
      <c r="M807" t="str">
        <f t="shared" si="319"/>
        <v>Suele comer</v>
      </c>
      <c r="N807">
        <v>1</v>
      </c>
      <c r="O807">
        <f t="shared" si="320"/>
        <v>1</v>
      </c>
      <c r="P807">
        <f t="shared" si="321"/>
        <v>3</v>
      </c>
      <c r="Q807">
        <v>0</v>
      </c>
      <c r="R807" t="str">
        <f t="shared" si="322"/>
        <v>Nunca</v>
      </c>
      <c r="S807">
        <v>0</v>
      </c>
      <c r="T807" t="str">
        <f t="shared" si="323"/>
        <v>No fuma</v>
      </c>
      <c r="U807">
        <v>200876</v>
      </c>
      <c r="V807">
        <f t="shared" si="324"/>
        <v>2</v>
      </c>
      <c r="W807" t="str">
        <f t="shared" si="325"/>
        <v>Siempre</v>
      </c>
      <c r="X807">
        <v>0</v>
      </c>
      <c r="Y807" t="str">
        <f t="shared" si="326"/>
        <v>No controla</v>
      </c>
      <c r="Z807">
        <v>0.63119000000000003</v>
      </c>
      <c r="AA807">
        <f t="shared" si="327"/>
        <v>0</v>
      </c>
      <c r="AB807" t="str">
        <f t="shared" si="328"/>
        <v>Nunca</v>
      </c>
      <c r="AC807">
        <v>0</v>
      </c>
      <c r="AD807">
        <f t="shared" si="329"/>
        <v>0</v>
      </c>
      <c r="AE807" t="str">
        <f t="shared" si="330"/>
        <v>Nunca</v>
      </c>
      <c r="AF807">
        <v>1</v>
      </c>
      <c r="AG807" t="str">
        <f t="shared" si="331"/>
        <v>A veces</v>
      </c>
      <c r="AH807">
        <v>0</v>
      </c>
      <c r="AI807" t="str">
        <f t="shared" si="332"/>
        <v>No usa</v>
      </c>
      <c r="AJ807">
        <v>0</v>
      </c>
      <c r="AK807" t="str">
        <f t="shared" si="333"/>
        <v>No usa</v>
      </c>
      <c r="AL807">
        <v>0</v>
      </c>
      <c r="AM807" t="str">
        <f t="shared" si="334"/>
        <v>No usa</v>
      </c>
      <c r="AN807">
        <v>1</v>
      </c>
      <c r="AO807" t="str">
        <f t="shared" si="335"/>
        <v>Usa Transporte</v>
      </c>
      <c r="AP807">
        <v>0</v>
      </c>
      <c r="AQ807" t="str">
        <f t="shared" si="336"/>
        <v>No camina</v>
      </c>
      <c r="AR807">
        <v>0</v>
      </c>
      <c r="AS807" t="str">
        <f t="shared" si="337"/>
        <v>No es obeso</v>
      </c>
    </row>
    <row r="808" spans="1:45" x14ac:dyDescent="0.25">
      <c r="A808">
        <v>1</v>
      </c>
      <c r="B808" t="str">
        <f t="shared" si="312"/>
        <v>M</v>
      </c>
      <c r="C808">
        <v>22429812</v>
      </c>
      <c r="D808">
        <f t="shared" si="313"/>
        <v>61</v>
      </c>
      <c r="E808">
        <f t="shared" si="314"/>
        <v>61</v>
      </c>
      <c r="F808" t="str">
        <f t="shared" si="315"/>
        <v>50-75</v>
      </c>
      <c r="G808">
        <v>0</v>
      </c>
      <c r="H808" t="str">
        <f t="shared" si="316"/>
        <v>Pariente normal</v>
      </c>
      <c r="I808">
        <v>1</v>
      </c>
      <c r="J808" t="str">
        <f t="shared" si="317"/>
        <v>Hipercaloricos</v>
      </c>
      <c r="K808">
        <v>2</v>
      </c>
      <c r="L808">
        <f t="shared" si="318"/>
        <v>1</v>
      </c>
      <c r="M808" t="str">
        <f t="shared" si="319"/>
        <v>Suele comer</v>
      </c>
      <c r="N808">
        <v>1</v>
      </c>
      <c r="O808">
        <f t="shared" si="320"/>
        <v>1</v>
      </c>
      <c r="P808">
        <f t="shared" si="321"/>
        <v>3</v>
      </c>
      <c r="Q808">
        <v>0</v>
      </c>
      <c r="R808" t="str">
        <f t="shared" si="322"/>
        <v>Nunca</v>
      </c>
      <c r="S808">
        <v>0</v>
      </c>
      <c r="T808" t="str">
        <f t="shared" si="323"/>
        <v>No fuma</v>
      </c>
      <c r="U808">
        <v>2069184</v>
      </c>
      <c r="V808">
        <f t="shared" si="324"/>
        <v>2</v>
      </c>
      <c r="W808" t="str">
        <f t="shared" si="325"/>
        <v>Siempre</v>
      </c>
      <c r="X808">
        <v>0</v>
      </c>
      <c r="Y808" t="str">
        <f t="shared" si="326"/>
        <v>No controla</v>
      </c>
      <c r="Z808">
        <v>0.72989800000000005</v>
      </c>
      <c r="AA808">
        <f t="shared" si="327"/>
        <v>0</v>
      </c>
      <c r="AB808" t="str">
        <f t="shared" si="328"/>
        <v>Nunca</v>
      </c>
      <c r="AC808">
        <v>0</v>
      </c>
      <c r="AD808">
        <f t="shared" si="329"/>
        <v>0</v>
      </c>
      <c r="AE808" t="str">
        <f t="shared" si="330"/>
        <v>Nunca</v>
      </c>
      <c r="AF808">
        <v>1</v>
      </c>
      <c r="AG808" t="str">
        <f t="shared" si="331"/>
        <v>A veces</v>
      </c>
      <c r="AH808">
        <v>0</v>
      </c>
      <c r="AI808" t="str">
        <f t="shared" si="332"/>
        <v>No usa</v>
      </c>
      <c r="AJ808">
        <v>0</v>
      </c>
      <c r="AK808" t="str">
        <f t="shared" si="333"/>
        <v>No usa</v>
      </c>
      <c r="AL808">
        <v>0</v>
      </c>
      <c r="AM808" t="str">
        <f t="shared" si="334"/>
        <v>No usa</v>
      </c>
      <c r="AN808">
        <v>1</v>
      </c>
      <c r="AO808" t="str">
        <f t="shared" si="335"/>
        <v>Usa Transporte</v>
      </c>
      <c r="AP808">
        <v>0</v>
      </c>
      <c r="AQ808" t="str">
        <f t="shared" si="336"/>
        <v>No camina</v>
      </c>
      <c r="AR808">
        <v>0</v>
      </c>
      <c r="AS808" t="str">
        <f t="shared" si="337"/>
        <v>No es obeso</v>
      </c>
    </row>
    <row r="809" spans="1:45" x14ac:dyDescent="0.25">
      <c r="A809">
        <v>1</v>
      </c>
      <c r="B809" t="str">
        <f t="shared" si="312"/>
        <v>M</v>
      </c>
      <c r="C809">
        <v>26650419</v>
      </c>
      <c r="D809">
        <f t="shared" si="313"/>
        <v>73</v>
      </c>
      <c r="E809">
        <f t="shared" si="314"/>
        <v>73</v>
      </c>
      <c r="F809" t="str">
        <f t="shared" si="315"/>
        <v>50-75</v>
      </c>
      <c r="G809">
        <v>0</v>
      </c>
      <c r="H809" t="str">
        <f t="shared" si="316"/>
        <v>Pariente normal</v>
      </c>
      <c r="I809">
        <v>1</v>
      </c>
      <c r="J809" t="str">
        <f t="shared" si="317"/>
        <v>Hipercaloricos</v>
      </c>
      <c r="K809">
        <v>127785</v>
      </c>
      <c r="L809">
        <f t="shared" si="318"/>
        <v>1</v>
      </c>
      <c r="M809" t="str">
        <f t="shared" si="319"/>
        <v>Suele comer</v>
      </c>
      <c r="N809">
        <v>3999591</v>
      </c>
      <c r="O809">
        <f t="shared" si="320"/>
        <v>2</v>
      </c>
      <c r="P809" t="str">
        <f t="shared" si="321"/>
        <v>Mas de 3</v>
      </c>
      <c r="Q809">
        <v>1</v>
      </c>
      <c r="R809" t="str">
        <f t="shared" si="322"/>
        <v>A veces</v>
      </c>
      <c r="S809">
        <v>0</v>
      </c>
      <c r="T809" t="str">
        <f t="shared" si="323"/>
        <v>No fuma</v>
      </c>
      <c r="U809">
        <v>2495944</v>
      </c>
      <c r="V809">
        <f t="shared" si="324"/>
        <v>2</v>
      </c>
      <c r="W809" t="str">
        <f t="shared" si="325"/>
        <v>Siempre</v>
      </c>
      <c r="X809">
        <v>0</v>
      </c>
      <c r="Y809" t="str">
        <f t="shared" si="326"/>
        <v>No controla</v>
      </c>
      <c r="Z809">
        <v>3.4199999999999999E-3</v>
      </c>
      <c r="AA809">
        <f t="shared" si="327"/>
        <v>0</v>
      </c>
      <c r="AB809" t="str">
        <f t="shared" si="328"/>
        <v>Nunca</v>
      </c>
      <c r="AC809">
        <v>1</v>
      </c>
      <c r="AD809">
        <f t="shared" si="329"/>
        <v>1</v>
      </c>
      <c r="AE809" t="str">
        <f t="shared" si="330"/>
        <v>Usualmente</v>
      </c>
      <c r="AF809">
        <v>0</v>
      </c>
      <c r="AG809" t="str">
        <f t="shared" si="331"/>
        <v>Nunca</v>
      </c>
      <c r="AH809">
        <v>1</v>
      </c>
      <c r="AI809" t="str">
        <f t="shared" si="332"/>
        <v>Usa auto</v>
      </c>
      <c r="AJ809">
        <v>0</v>
      </c>
      <c r="AK809" t="str">
        <f t="shared" si="333"/>
        <v>No usa</v>
      </c>
      <c r="AL809">
        <v>0</v>
      </c>
      <c r="AM809" t="str">
        <f t="shared" si="334"/>
        <v>No usa</v>
      </c>
      <c r="AN809">
        <v>0</v>
      </c>
      <c r="AO809" t="str">
        <f t="shared" si="335"/>
        <v>No usa</v>
      </c>
      <c r="AP809">
        <v>0</v>
      </c>
      <c r="AQ809" t="str">
        <f t="shared" si="336"/>
        <v>No camina</v>
      </c>
      <c r="AR809">
        <v>0</v>
      </c>
      <c r="AS809" t="str">
        <f t="shared" si="337"/>
        <v>No es obeso</v>
      </c>
    </row>
    <row r="810" spans="1:45" x14ac:dyDescent="0.25">
      <c r="A810">
        <v>1</v>
      </c>
      <c r="B810" t="str">
        <f t="shared" si="312"/>
        <v>M</v>
      </c>
      <c r="C810">
        <v>21618246</v>
      </c>
      <c r="D810">
        <f t="shared" si="313"/>
        <v>59</v>
      </c>
      <c r="E810">
        <f t="shared" si="314"/>
        <v>59</v>
      </c>
      <c r="F810" t="str">
        <f t="shared" si="315"/>
        <v>50-75</v>
      </c>
      <c r="G810">
        <v>1</v>
      </c>
      <c r="H810" t="str">
        <f t="shared" si="316"/>
        <v>Pariente gordo</v>
      </c>
      <c r="I810">
        <v>1</v>
      </c>
      <c r="J810" t="str">
        <f t="shared" si="317"/>
        <v>Hipercaloricos</v>
      </c>
      <c r="K810">
        <v>2</v>
      </c>
      <c r="L810">
        <f t="shared" si="318"/>
        <v>1</v>
      </c>
      <c r="M810" t="str">
        <f t="shared" si="319"/>
        <v>Suele comer</v>
      </c>
      <c r="N810">
        <v>3</v>
      </c>
      <c r="O810">
        <f t="shared" si="320"/>
        <v>2</v>
      </c>
      <c r="P810" t="str">
        <f t="shared" si="321"/>
        <v>Mas de 3</v>
      </c>
      <c r="Q810">
        <v>1</v>
      </c>
      <c r="R810" t="str">
        <f t="shared" si="322"/>
        <v>A veces</v>
      </c>
      <c r="S810">
        <v>0</v>
      </c>
      <c r="T810" t="str">
        <f t="shared" si="323"/>
        <v>No fuma</v>
      </c>
      <c r="U810">
        <v>1957871</v>
      </c>
      <c r="V810">
        <f t="shared" si="324"/>
        <v>2</v>
      </c>
      <c r="W810" t="str">
        <f t="shared" si="325"/>
        <v>Siempre</v>
      </c>
      <c r="X810">
        <v>0</v>
      </c>
      <c r="Y810" t="str">
        <f t="shared" si="326"/>
        <v>No controla</v>
      </c>
      <c r="Z810">
        <v>0.99459200000000003</v>
      </c>
      <c r="AA810">
        <f t="shared" si="327"/>
        <v>0</v>
      </c>
      <c r="AB810" t="str">
        <f t="shared" si="328"/>
        <v>Nunca</v>
      </c>
      <c r="AC810">
        <v>0.117303</v>
      </c>
      <c r="AD810">
        <f t="shared" si="329"/>
        <v>0</v>
      </c>
      <c r="AE810" t="str">
        <f t="shared" si="330"/>
        <v>Nunca</v>
      </c>
      <c r="AF810">
        <v>1</v>
      </c>
      <c r="AG810" t="str">
        <f t="shared" si="331"/>
        <v>A veces</v>
      </c>
      <c r="AH810">
        <v>0</v>
      </c>
      <c r="AI810" t="str">
        <f t="shared" si="332"/>
        <v>No usa</v>
      </c>
      <c r="AJ810">
        <v>0</v>
      </c>
      <c r="AK810" t="str">
        <f t="shared" si="333"/>
        <v>No usa</v>
      </c>
      <c r="AL810">
        <v>0</v>
      </c>
      <c r="AM810" t="str">
        <f t="shared" si="334"/>
        <v>No usa</v>
      </c>
      <c r="AN810">
        <v>1</v>
      </c>
      <c r="AO810" t="str">
        <f t="shared" si="335"/>
        <v>Usa Transporte</v>
      </c>
      <c r="AP810">
        <v>0</v>
      </c>
      <c r="AQ810" t="str">
        <f t="shared" si="336"/>
        <v>No camina</v>
      </c>
      <c r="AR810">
        <v>0</v>
      </c>
      <c r="AS810" t="str">
        <f t="shared" si="337"/>
        <v>No es obeso</v>
      </c>
    </row>
    <row r="811" spans="1:45" x14ac:dyDescent="0.25">
      <c r="A811">
        <v>0</v>
      </c>
      <c r="B811" t="str">
        <f t="shared" si="312"/>
        <v>F</v>
      </c>
      <c r="C811">
        <v>21012542</v>
      </c>
      <c r="D811">
        <f t="shared" si="313"/>
        <v>57</v>
      </c>
      <c r="E811">
        <f t="shared" si="314"/>
        <v>57</v>
      </c>
      <c r="F811" t="str">
        <f t="shared" si="315"/>
        <v>50-75</v>
      </c>
      <c r="G811">
        <v>1</v>
      </c>
      <c r="H811" t="str">
        <f t="shared" si="316"/>
        <v>Pariente gordo</v>
      </c>
      <c r="I811">
        <v>1</v>
      </c>
      <c r="J811" t="str">
        <f t="shared" si="317"/>
        <v>Hipercaloricos</v>
      </c>
      <c r="K811">
        <v>1729824</v>
      </c>
      <c r="L811">
        <f t="shared" si="318"/>
        <v>1</v>
      </c>
      <c r="M811" t="str">
        <f t="shared" si="319"/>
        <v>Suele comer</v>
      </c>
      <c r="N811">
        <v>3612941</v>
      </c>
      <c r="O811">
        <f t="shared" si="320"/>
        <v>2</v>
      </c>
      <c r="P811" t="str">
        <f t="shared" si="321"/>
        <v>Mas de 3</v>
      </c>
      <c r="Q811">
        <v>0</v>
      </c>
      <c r="R811" t="str">
        <f t="shared" si="322"/>
        <v>Nunca</v>
      </c>
      <c r="S811">
        <v>0</v>
      </c>
      <c r="T811" t="str">
        <f t="shared" si="323"/>
        <v>No fuma</v>
      </c>
      <c r="U811">
        <v>2043703</v>
      </c>
      <c r="V811">
        <f t="shared" si="324"/>
        <v>2</v>
      </c>
      <c r="W811" t="str">
        <f t="shared" si="325"/>
        <v>Siempre</v>
      </c>
      <c r="X811">
        <v>0</v>
      </c>
      <c r="Y811" t="str">
        <f t="shared" si="326"/>
        <v>No controla</v>
      </c>
      <c r="Z811">
        <v>0.56211800000000001</v>
      </c>
      <c r="AA811">
        <f t="shared" si="327"/>
        <v>0</v>
      </c>
      <c r="AB811" t="str">
        <f t="shared" si="328"/>
        <v>Nunca</v>
      </c>
      <c r="AC811">
        <v>0.42664299999999999</v>
      </c>
      <c r="AD811">
        <f t="shared" si="329"/>
        <v>0</v>
      </c>
      <c r="AE811" t="str">
        <f t="shared" si="330"/>
        <v>Nunca</v>
      </c>
      <c r="AF811">
        <v>1</v>
      </c>
      <c r="AG811" t="str">
        <f t="shared" si="331"/>
        <v>A veces</v>
      </c>
      <c r="AH811">
        <v>0</v>
      </c>
      <c r="AI811" t="str">
        <f t="shared" si="332"/>
        <v>No usa</v>
      </c>
      <c r="AJ811">
        <v>0</v>
      </c>
      <c r="AK811" t="str">
        <f t="shared" si="333"/>
        <v>No usa</v>
      </c>
      <c r="AL811">
        <v>0</v>
      </c>
      <c r="AM811" t="str">
        <f t="shared" si="334"/>
        <v>No usa</v>
      </c>
      <c r="AN811">
        <v>1</v>
      </c>
      <c r="AO811" t="str">
        <f t="shared" si="335"/>
        <v>Usa Transporte</v>
      </c>
      <c r="AP811">
        <v>0</v>
      </c>
      <c r="AQ811" t="str">
        <f t="shared" si="336"/>
        <v>No camina</v>
      </c>
      <c r="AR811">
        <v>0</v>
      </c>
      <c r="AS811" t="str">
        <f t="shared" si="337"/>
        <v>No es obeso</v>
      </c>
    </row>
    <row r="812" spans="1:45" x14ac:dyDescent="0.25">
      <c r="A812">
        <v>0</v>
      </c>
      <c r="B812" t="str">
        <f t="shared" si="312"/>
        <v>F</v>
      </c>
      <c r="C812">
        <v>21071195</v>
      </c>
      <c r="D812">
        <f t="shared" si="313"/>
        <v>57</v>
      </c>
      <c r="E812">
        <f t="shared" si="314"/>
        <v>57</v>
      </c>
      <c r="F812" t="str">
        <f t="shared" si="315"/>
        <v>50-75</v>
      </c>
      <c r="G812">
        <v>1</v>
      </c>
      <c r="H812" t="str">
        <f t="shared" si="316"/>
        <v>Pariente gordo</v>
      </c>
      <c r="I812">
        <v>1</v>
      </c>
      <c r="J812" t="str">
        <f t="shared" si="317"/>
        <v>Hipercaloricos</v>
      </c>
      <c r="K812">
        <v>1452524</v>
      </c>
      <c r="L812">
        <f t="shared" si="318"/>
        <v>1</v>
      </c>
      <c r="M812" t="str">
        <f t="shared" si="319"/>
        <v>Suele comer</v>
      </c>
      <c r="N812">
        <v>3950553</v>
      </c>
      <c r="O812">
        <f t="shared" si="320"/>
        <v>2</v>
      </c>
      <c r="P812" t="str">
        <f t="shared" si="321"/>
        <v>Mas de 3</v>
      </c>
      <c r="Q812">
        <v>0</v>
      </c>
      <c r="R812" t="str">
        <f t="shared" si="322"/>
        <v>Nunca</v>
      </c>
      <c r="S812">
        <v>0</v>
      </c>
      <c r="T812" t="str">
        <f t="shared" si="323"/>
        <v>No fuma</v>
      </c>
      <c r="U812">
        <v>2109858</v>
      </c>
      <c r="V812">
        <f t="shared" si="324"/>
        <v>2</v>
      </c>
      <c r="W812" t="str">
        <f t="shared" si="325"/>
        <v>Siempre</v>
      </c>
      <c r="X812">
        <v>0</v>
      </c>
      <c r="Y812" t="str">
        <f t="shared" si="326"/>
        <v>No controla</v>
      </c>
      <c r="Z812">
        <v>0.50884700000000005</v>
      </c>
      <c r="AA812">
        <f t="shared" si="327"/>
        <v>0</v>
      </c>
      <c r="AB812" t="str">
        <f t="shared" si="328"/>
        <v>Nunca</v>
      </c>
      <c r="AC812">
        <v>1194633</v>
      </c>
      <c r="AD812">
        <f t="shared" si="329"/>
        <v>2</v>
      </c>
      <c r="AE812" t="str">
        <f t="shared" si="330"/>
        <v>Siempre</v>
      </c>
      <c r="AF812">
        <v>1</v>
      </c>
      <c r="AG812" t="str">
        <f t="shared" si="331"/>
        <v>A veces</v>
      </c>
      <c r="AH812">
        <v>0</v>
      </c>
      <c r="AI812" t="str">
        <f t="shared" si="332"/>
        <v>No usa</v>
      </c>
      <c r="AJ812">
        <v>0</v>
      </c>
      <c r="AK812" t="str">
        <f t="shared" si="333"/>
        <v>No usa</v>
      </c>
      <c r="AL812">
        <v>0</v>
      </c>
      <c r="AM812" t="str">
        <f t="shared" si="334"/>
        <v>No usa</v>
      </c>
      <c r="AN812">
        <v>1</v>
      </c>
      <c r="AO812" t="str">
        <f t="shared" si="335"/>
        <v>Usa Transporte</v>
      </c>
      <c r="AP812">
        <v>0</v>
      </c>
      <c r="AQ812" t="str">
        <f t="shared" si="336"/>
        <v>No camina</v>
      </c>
      <c r="AR812">
        <v>0</v>
      </c>
      <c r="AS812" t="str">
        <f t="shared" si="337"/>
        <v>No es obeso</v>
      </c>
    </row>
    <row r="813" spans="1:45" x14ac:dyDescent="0.25">
      <c r="A813">
        <v>1</v>
      </c>
      <c r="B813" t="str">
        <f t="shared" si="312"/>
        <v>M</v>
      </c>
      <c r="C813">
        <v>19741202</v>
      </c>
      <c r="D813">
        <f t="shared" si="313"/>
        <v>54</v>
      </c>
      <c r="E813">
        <f t="shared" si="314"/>
        <v>54</v>
      </c>
      <c r="F813" t="str">
        <f t="shared" si="315"/>
        <v>50-75</v>
      </c>
      <c r="G813">
        <v>1</v>
      </c>
      <c r="H813" t="str">
        <f t="shared" si="316"/>
        <v>Pariente gordo</v>
      </c>
      <c r="I813">
        <v>1</v>
      </c>
      <c r="J813" t="str">
        <f t="shared" si="317"/>
        <v>Hipercaloricos</v>
      </c>
      <c r="K813">
        <v>2</v>
      </c>
      <c r="L813">
        <f t="shared" si="318"/>
        <v>1</v>
      </c>
      <c r="M813" t="str">
        <f t="shared" si="319"/>
        <v>Suele comer</v>
      </c>
      <c r="N813">
        <v>3</v>
      </c>
      <c r="O813">
        <f t="shared" si="320"/>
        <v>2</v>
      </c>
      <c r="P813" t="str">
        <f t="shared" si="321"/>
        <v>Mas de 3</v>
      </c>
      <c r="Q813">
        <v>1</v>
      </c>
      <c r="R813" t="str">
        <f t="shared" si="322"/>
        <v>A veces</v>
      </c>
      <c r="S813">
        <v>0</v>
      </c>
      <c r="T813" t="str">
        <f t="shared" si="323"/>
        <v>No fuma</v>
      </c>
      <c r="U813">
        <v>2177386</v>
      </c>
      <c r="V813">
        <f t="shared" si="324"/>
        <v>2</v>
      </c>
      <c r="W813" t="str">
        <f t="shared" si="325"/>
        <v>Siempre</v>
      </c>
      <c r="X813">
        <v>0</v>
      </c>
      <c r="Y813" t="str">
        <f t="shared" si="326"/>
        <v>No controla</v>
      </c>
      <c r="Z813">
        <v>0.336814</v>
      </c>
      <c r="AA813">
        <f t="shared" si="327"/>
        <v>0</v>
      </c>
      <c r="AB813" t="str">
        <f t="shared" si="328"/>
        <v>Nunca</v>
      </c>
      <c r="AC813">
        <v>4.8129999999999996E-3</v>
      </c>
      <c r="AD813">
        <f t="shared" si="329"/>
        <v>0</v>
      </c>
      <c r="AE813" t="str">
        <f t="shared" si="330"/>
        <v>Nunca</v>
      </c>
      <c r="AF813">
        <v>1</v>
      </c>
      <c r="AG813" t="str">
        <f t="shared" si="331"/>
        <v>A veces</v>
      </c>
      <c r="AH813">
        <v>0</v>
      </c>
      <c r="AI813" t="str">
        <f t="shared" si="332"/>
        <v>No usa</v>
      </c>
      <c r="AJ813">
        <v>0</v>
      </c>
      <c r="AK813" t="str">
        <f t="shared" si="333"/>
        <v>No usa</v>
      </c>
      <c r="AL813">
        <v>0</v>
      </c>
      <c r="AM813" t="str">
        <f t="shared" si="334"/>
        <v>No usa</v>
      </c>
      <c r="AN813">
        <v>1</v>
      </c>
      <c r="AO813" t="str">
        <f t="shared" si="335"/>
        <v>Usa Transporte</v>
      </c>
      <c r="AP813">
        <v>0</v>
      </c>
      <c r="AQ813" t="str">
        <f t="shared" si="336"/>
        <v>No camina</v>
      </c>
      <c r="AR813">
        <v>0</v>
      </c>
      <c r="AS813" t="str">
        <f t="shared" si="337"/>
        <v>No es obeso</v>
      </c>
    </row>
    <row r="814" spans="1:45" x14ac:dyDescent="0.25">
      <c r="A814">
        <v>1</v>
      </c>
      <c r="B814" t="str">
        <f t="shared" si="312"/>
        <v>M</v>
      </c>
      <c r="C814">
        <v>1921638</v>
      </c>
      <c r="D814">
        <f t="shared" si="313"/>
        <v>5</v>
      </c>
      <c r="E814">
        <f t="shared" si="314"/>
        <v>5</v>
      </c>
      <c r="F814" t="str">
        <f t="shared" si="315"/>
        <v>1-25</v>
      </c>
      <c r="G814">
        <v>1</v>
      </c>
      <c r="H814" t="str">
        <f t="shared" si="316"/>
        <v>Pariente gordo</v>
      </c>
      <c r="I814">
        <v>1</v>
      </c>
      <c r="J814" t="str">
        <f t="shared" si="317"/>
        <v>Hipercaloricos</v>
      </c>
      <c r="K814">
        <v>2</v>
      </c>
      <c r="L814">
        <f t="shared" si="318"/>
        <v>1</v>
      </c>
      <c r="M814" t="str">
        <f t="shared" si="319"/>
        <v>Suele comer</v>
      </c>
      <c r="N814">
        <v>3</v>
      </c>
      <c r="O814">
        <f t="shared" si="320"/>
        <v>2</v>
      </c>
      <c r="P814" t="str">
        <f t="shared" si="321"/>
        <v>Mas de 3</v>
      </c>
      <c r="Q814">
        <v>1</v>
      </c>
      <c r="R814" t="str">
        <f t="shared" si="322"/>
        <v>A veces</v>
      </c>
      <c r="S814">
        <v>0</v>
      </c>
      <c r="T814" t="str">
        <f t="shared" si="323"/>
        <v>No fuma</v>
      </c>
      <c r="U814">
        <v>2168651</v>
      </c>
      <c r="V814">
        <f t="shared" si="324"/>
        <v>2</v>
      </c>
      <c r="W814" t="str">
        <f t="shared" si="325"/>
        <v>Siempre</v>
      </c>
      <c r="X814">
        <v>0</v>
      </c>
      <c r="Y814" t="str">
        <f t="shared" si="326"/>
        <v>No controla</v>
      </c>
      <c r="Z814">
        <v>0.97799800000000003</v>
      </c>
      <c r="AA814">
        <f t="shared" si="327"/>
        <v>0</v>
      </c>
      <c r="AB814" t="str">
        <f t="shared" si="328"/>
        <v>Nunca</v>
      </c>
      <c r="AC814">
        <v>0.14263799999999999</v>
      </c>
      <c r="AD814">
        <f t="shared" si="329"/>
        <v>0</v>
      </c>
      <c r="AE814" t="str">
        <f t="shared" si="330"/>
        <v>Nunca</v>
      </c>
      <c r="AF814">
        <v>1</v>
      </c>
      <c r="AG814" t="str">
        <f t="shared" si="331"/>
        <v>A veces</v>
      </c>
      <c r="AH814">
        <v>0</v>
      </c>
      <c r="AI814" t="str">
        <f t="shared" si="332"/>
        <v>No usa</v>
      </c>
      <c r="AJ814">
        <v>0</v>
      </c>
      <c r="AK814" t="str">
        <f t="shared" si="333"/>
        <v>No usa</v>
      </c>
      <c r="AL814">
        <v>0</v>
      </c>
      <c r="AM814" t="str">
        <f t="shared" si="334"/>
        <v>No usa</v>
      </c>
      <c r="AN814">
        <v>1</v>
      </c>
      <c r="AO814" t="str">
        <f t="shared" si="335"/>
        <v>Usa Transporte</v>
      </c>
      <c r="AP814">
        <v>0</v>
      </c>
      <c r="AQ814" t="str">
        <f t="shared" si="336"/>
        <v>No camina</v>
      </c>
      <c r="AR814">
        <v>0</v>
      </c>
      <c r="AS814" t="str">
        <f t="shared" si="337"/>
        <v>No es obeso</v>
      </c>
    </row>
    <row r="815" spans="1:45" x14ac:dyDescent="0.25">
      <c r="A815">
        <v>0</v>
      </c>
      <c r="B815" t="str">
        <f t="shared" si="312"/>
        <v>F</v>
      </c>
      <c r="C815">
        <v>4224475</v>
      </c>
      <c r="D815">
        <f t="shared" si="313"/>
        <v>11</v>
      </c>
      <c r="E815">
        <f t="shared" si="314"/>
        <v>11</v>
      </c>
      <c r="F815" t="str">
        <f t="shared" si="315"/>
        <v>1-25</v>
      </c>
      <c r="G815">
        <v>1</v>
      </c>
      <c r="H815" t="str">
        <f t="shared" si="316"/>
        <v>Pariente gordo</v>
      </c>
      <c r="I815">
        <v>1</v>
      </c>
      <c r="J815" t="str">
        <f t="shared" si="317"/>
        <v>Hipercaloricos</v>
      </c>
      <c r="K815">
        <v>3</v>
      </c>
      <c r="L815">
        <f t="shared" si="318"/>
        <v>1</v>
      </c>
      <c r="M815" t="str">
        <f t="shared" si="319"/>
        <v>Suele comer</v>
      </c>
      <c r="N815">
        <v>2951837</v>
      </c>
      <c r="O815">
        <f t="shared" si="320"/>
        <v>2</v>
      </c>
      <c r="P815" t="str">
        <f t="shared" si="321"/>
        <v>Mas de 3</v>
      </c>
      <c r="Q815">
        <v>1</v>
      </c>
      <c r="R815" t="str">
        <f t="shared" si="322"/>
        <v>A veces</v>
      </c>
      <c r="S815">
        <v>0</v>
      </c>
      <c r="T815" t="str">
        <f t="shared" si="323"/>
        <v>No fuma</v>
      </c>
      <c r="U815">
        <v>2112032</v>
      </c>
      <c r="V815">
        <f t="shared" si="324"/>
        <v>2</v>
      </c>
      <c r="W815" t="str">
        <f t="shared" si="325"/>
        <v>Siempre</v>
      </c>
      <c r="X815">
        <v>0</v>
      </c>
      <c r="Y815" t="str">
        <f t="shared" si="326"/>
        <v>No controla</v>
      </c>
      <c r="Z815">
        <v>0.37868299999999999</v>
      </c>
      <c r="AA815">
        <f t="shared" si="327"/>
        <v>0</v>
      </c>
      <c r="AB815" t="str">
        <f t="shared" si="328"/>
        <v>Nunca</v>
      </c>
      <c r="AC815">
        <v>0</v>
      </c>
      <c r="AD815">
        <f t="shared" si="329"/>
        <v>0</v>
      </c>
      <c r="AE815" t="str">
        <f t="shared" si="330"/>
        <v>Nunca</v>
      </c>
      <c r="AF815">
        <v>1</v>
      </c>
      <c r="AG815" t="str">
        <f t="shared" si="331"/>
        <v>A veces</v>
      </c>
      <c r="AH815">
        <v>1</v>
      </c>
      <c r="AI815" t="str">
        <f t="shared" si="332"/>
        <v>Usa auto</v>
      </c>
      <c r="AJ815">
        <v>0</v>
      </c>
      <c r="AK815" t="str">
        <f t="shared" si="333"/>
        <v>No usa</v>
      </c>
      <c r="AL815">
        <v>0</v>
      </c>
      <c r="AM815" t="str">
        <f t="shared" si="334"/>
        <v>No usa</v>
      </c>
      <c r="AN815">
        <v>0</v>
      </c>
      <c r="AO815" t="str">
        <f t="shared" si="335"/>
        <v>No usa</v>
      </c>
      <c r="AP815">
        <v>0</v>
      </c>
      <c r="AQ815" t="str">
        <f t="shared" si="336"/>
        <v>No camina</v>
      </c>
      <c r="AR815">
        <v>0</v>
      </c>
      <c r="AS815" t="str">
        <f t="shared" si="337"/>
        <v>No es obeso</v>
      </c>
    </row>
    <row r="816" spans="1:45" x14ac:dyDescent="0.25">
      <c r="A816">
        <v>1</v>
      </c>
      <c r="B816" t="str">
        <f t="shared" si="312"/>
        <v>M</v>
      </c>
      <c r="C816">
        <v>22283082</v>
      </c>
      <c r="D816">
        <f t="shared" si="313"/>
        <v>61</v>
      </c>
      <c r="E816">
        <f t="shared" si="314"/>
        <v>61</v>
      </c>
      <c r="F816" t="str">
        <f t="shared" si="315"/>
        <v>50-75</v>
      </c>
      <c r="G816">
        <v>1</v>
      </c>
      <c r="H816" t="str">
        <f t="shared" si="316"/>
        <v>Pariente gordo</v>
      </c>
      <c r="I816">
        <v>1</v>
      </c>
      <c r="J816" t="str">
        <f t="shared" si="317"/>
        <v>Hipercaloricos</v>
      </c>
      <c r="K816">
        <v>2</v>
      </c>
      <c r="L816">
        <f t="shared" si="318"/>
        <v>1</v>
      </c>
      <c r="M816" t="str">
        <f t="shared" si="319"/>
        <v>Suele comer</v>
      </c>
      <c r="N816">
        <v>2799979</v>
      </c>
      <c r="O816">
        <f t="shared" si="320"/>
        <v>2</v>
      </c>
      <c r="P816" t="str">
        <f t="shared" si="321"/>
        <v>Mas de 3</v>
      </c>
      <c r="Q816">
        <v>1</v>
      </c>
      <c r="R816" t="str">
        <f t="shared" si="322"/>
        <v>A veces</v>
      </c>
      <c r="S816">
        <v>0</v>
      </c>
      <c r="T816" t="str">
        <f t="shared" si="323"/>
        <v>No fuma</v>
      </c>
      <c r="U816">
        <v>1081333</v>
      </c>
      <c r="V816">
        <f t="shared" si="324"/>
        <v>2</v>
      </c>
      <c r="W816" t="str">
        <f t="shared" si="325"/>
        <v>Siempre</v>
      </c>
      <c r="X816">
        <v>0</v>
      </c>
      <c r="Y816" t="str">
        <f t="shared" si="326"/>
        <v>No controla</v>
      </c>
      <c r="Z816">
        <v>0.44434699999999999</v>
      </c>
      <c r="AA816">
        <f t="shared" si="327"/>
        <v>0</v>
      </c>
      <c r="AB816" t="str">
        <f t="shared" si="328"/>
        <v>Nunca</v>
      </c>
      <c r="AC816">
        <v>1</v>
      </c>
      <c r="AD816">
        <f t="shared" si="329"/>
        <v>1</v>
      </c>
      <c r="AE816" t="str">
        <f t="shared" si="330"/>
        <v>Usualmente</v>
      </c>
      <c r="AF816">
        <v>1</v>
      </c>
      <c r="AG816" t="str">
        <f t="shared" si="331"/>
        <v>A veces</v>
      </c>
      <c r="AH816">
        <v>0</v>
      </c>
      <c r="AI816" t="str">
        <f t="shared" si="332"/>
        <v>No usa</v>
      </c>
      <c r="AJ816">
        <v>0</v>
      </c>
      <c r="AK816" t="str">
        <f t="shared" si="333"/>
        <v>No usa</v>
      </c>
      <c r="AL816">
        <v>0</v>
      </c>
      <c r="AM816" t="str">
        <f t="shared" si="334"/>
        <v>No usa</v>
      </c>
      <c r="AN816">
        <v>1</v>
      </c>
      <c r="AO816" t="str">
        <f t="shared" si="335"/>
        <v>Usa Transporte</v>
      </c>
      <c r="AP816">
        <v>0</v>
      </c>
      <c r="AQ816" t="str">
        <f t="shared" si="336"/>
        <v>No camina</v>
      </c>
      <c r="AR816">
        <v>0</v>
      </c>
      <c r="AS816" t="str">
        <f t="shared" si="337"/>
        <v>No es obeso</v>
      </c>
    </row>
    <row r="817" spans="1:45" x14ac:dyDescent="0.25">
      <c r="A817">
        <v>1</v>
      </c>
      <c r="B817" t="str">
        <f t="shared" si="312"/>
        <v>M</v>
      </c>
      <c r="C817">
        <v>21086512</v>
      </c>
      <c r="D817">
        <f t="shared" si="313"/>
        <v>57</v>
      </c>
      <c r="E817">
        <f t="shared" si="314"/>
        <v>57</v>
      </c>
      <c r="F817" t="str">
        <f t="shared" si="315"/>
        <v>50-75</v>
      </c>
      <c r="G817">
        <v>1</v>
      </c>
      <c r="H817" t="str">
        <f t="shared" si="316"/>
        <v>Pariente gordo</v>
      </c>
      <c r="I817">
        <v>1</v>
      </c>
      <c r="J817" t="str">
        <f t="shared" si="317"/>
        <v>Hipercaloricos</v>
      </c>
      <c r="K817">
        <v>2</v>
      </c>
      <c r="L817">
        <f t="shared" si="318"/>
        <v>1</v>
      </c>
      <c r="M817" t="str">
        <f t="shared" si="319"/>
        <v>Suele comer</v>
      </c>
      <c r="N817">
        <v>3</v>
      </c>
      <c r="O817">
        <f t="shared" si="320"/>
        <v>2</v>
      </c>
      <c r="P817" t="str">
        <f t="shared" si="321"/>
        <v>Mas de 3</v>
      </c>
      <c r="Q817">
        <v>1</v>
      </c>
      <c r="R817" t="str">
        <f t="shared" si="322"/>
        <v>A veces</v>
      </c>
      <c r="S817">
        <v>0</v>
      </c>
      <c r="T817" t="str">
        <f t="shared" si="323"/>
        <v>No fuma</v>
      </c>
      <c r="U817">
        <v>1005727</v>
      </c>
      <c r="V817">
        <f t="shared" si="324"/>
        <v>2</v>
      </c>
      <c r="W817" t="str">
        <f t="shared" si="325"/>
        <v>Siempre</v>
      </c>
      <c r="X817">
        <v>0</v>
      </c>
      <c r="Y817" t="str">
        <f t="shared" si="326"/>
        <v>No controla</v>
      </c>
      <c r="Z817">
        <v>0</v>
      </c>
      <c r="AA817">
        <f t="shared" si="327"/>
        <v>0</v>
      </c>
      <c r="AB817" t="str">
        <f t="shared" si="328"/>
        <v>Nunca</v>
      </c>
      <c r="AC817">
        <v>0.79821900000000001</v>
      </c>
      <c r="AD817">
        <f t="shared" si="329"/>
        <v>0</v>
      </c>
      <c r="AE817" t="str">
        <f t="shared" si="330"/>
        <v>Nunca</v>
      </c>
      <c r="AF817">
        <v>1</v>
      </c>
      <c r="AG817" t="str">
        <f t="shared" si="331"/>
        <v>A veces</v>
      </c>
      <c r="AH817">
        <v>0</v>
      </c>
      <c r="AI817" t="str">
        <f t="shared" si="332"/>
        <v>No usa</v>
      </c>
      <c r="AJ817">
        <v>0</v>
      </c>
      <c r="AK817" t="str">
        <f t="shared" si="333"/>
        <v>No usa</v>
      </c>
      <c r="AL817">
        <v>0</v>
      </c>
      <c r="AM817" t="str">
        <f t="shared" si="334"/>
        <v>No usa</v>
      </c>
      <c r="AN817">
        <v>1</v>
      </c>
      <c r="AO817" t="str">
        <f t="shared" si="335"/>
        <v>Usa Transporte</v>
      </c>
      <c r="AP817">
        <v>0</v>
      </c>
      <c r="AQ817" t="str">
        <f t="shared" si="336"/>
        <v>No camina</v>
      </c>
      <c r="AR817">
        <v>0</v>
      </c>
      <c r="AS817" t="str">
        <f t="shared" si="337"/>
        <v>No es obeso</v>
      </c>
    </row>
    <row r="818" spans="1:45" x14ac:dyDescent="0.25">
      <c r="A818">
        <v>1</v>
      </c>
      <c r="B818" t="str">
        <f t="shared" si="312"/>
        <v>M</v>
      </c>
      <c r="C818">
        <v>23451595</v>
      </c>
      <c r="D818">
        <f t="shared" si="313"/>
        <v>64</v>
      </c>
      <c r="E818">
        <f t="shared" si="314"/>
        <v>64</v>
      </c>
      <c r="F818" t="str">
        <f t="shared" si="315"/>
        <v>50-75</v>
      </c>
      <c r="G818">
        <v>1</v>
      </c>
      <c r="H818" t="str">
        <f t="shared" si="316"/>
        <v>Pariente gordo</v>
      </c>
      <c r="I818">
        <v>1</v>
      </c>
      <c r="J818" t="str">
        <f t="shared" si="317"/>
        <v>Hipercaloricos</v>
      </c>
      <c r="K818">
        <v>2</v>
      </c>
      <c r="L818">
        <f t="shared" si="318"/>
        <v>1</v>
      </c>
      <c r="M818" t="str">
        <f t="shared" si="319"/>
        <v>Suele comer</v>
      </c>
      <c r="N818">
        <v>3</v>
      </c>
      <c r="O818">
        <f t="shared" si="320"/>
        <v>2</v>
      </c>
      <c r="P818" t="str">
        <f t="shared" si="321"/>
        <v>Mas de 3</v>
      </c>
      <c r="Q818">
        <v>1</v>
      </c>
      <c r="R818" t="str">
        <f t="shared" si="322"/>
        <v>A veces</v>
      </c>
      <c r="S818">
        <v>0</v>
      </c>
      <c r="T818" t="str">
        <f t="shared" si="323"/>
        <v>No fuma</v>
      </c>
      <c r="U818">
        <v>2</v>
      </c>
      <c r="V818">
        <f t="shared" si="324"/>
        <v>2</v>
      </c>
      <c r="W818" t="str">
        <f t="shared" si="325"/>
        <v>Siempre</v>
      </c>
      <c r="X818">
        <v>0</v>
      </c>
      <c r="Y818" t="str">
        <f t="shared" si="326"/>
        <v>No controla</v>
      </c>
      <c r="Z818">
        <v>0.129163</v>
      </c>
      <c r="AA818">
        <f t="shared" si="327"/>
        <v>0</v>
      </c>
      <c r="AB818" t="str">
        <f t="shared" si="328"/>
        <v>Nunca</v>
      </c>
      <c r="AC818">
        <v>1983678</v>
      </c>
      <c r="AD818">
        <f t="shared" si="329"/>
        <v>2</v>
      </c>
      <c r="AE818" t="str">
        <f t="shared" si="330"/>
        <v>Siempre</v>
      </c>
      <c r="AF818">
        <v>1</v>
      </c>
      <c r="AG818" t="str">
        <f t="shared" si="331"/>
        <v>A veces</v>
      </c>
      <c r="AH818">
        <v>0</v>
      </c>
      <c r="AI818" t="str">
        <f t="shared" si="332"/>
        <v>No usa</v>
      </c>
      <c r="AJ818">
        <v>0</v>
      </c>
      <c r="AK818" t="str">
        <f t="shared" si="333"/>
        <v>No usa</v>
      </c>
      <c r="AL818">
        <v>0</v>
      </c>
      <c r="AM818" t="str">
        <f t="shared" si="334"/>
        <v>No usa</v>
      </c>
      <c r="AN818">
        <v>1</v>
      </c>
      <c r="AO818" t="str">
        <f t="shared" si="335"/>
        <v>Usa Transporte</v>
      </c>
      <c r="AP818">
        <v>0</v>
      </c>
      <c r="AQ818" t="str">
        <f t="shared" si="336"/>
        <v>No camina</v>
      </c>
      <c r="AR818">
        <v>0</v>
      </c>
      <c r="AS818" t="str">
        <f t="shared" si="337"/>
        <v>No es obeso</v>
      </c>
    </row>
    <row r="819" spans="1:45" x14ac:dyDescent="0.25">
      <c r="A819">
        <v>1</v>
      </c>
      <c r="B819" t="str">
        <f t="shared" si="312"/>
        <v>M</v>
      </c>
      <c r="C819">
        <v>22740275</v>
      </c>
      <c r="D819">
        <f t="shared" si="313"/>
        <v>62</v>
      </c>
      <c r="E819">
        <f t="shared" si="314"/>
        <v>62</v>
      </c>
      <c r="F819" t="str">
        <f t="shared" si="315"/>
        <v>50-75</v>
      </c>
      <c r="G819">
        <v>1</v>
      </c>
      <c r="H819" t="str">
        <f t="shared" si="316"/>
        <v>Pariente gordo</v>
      </c>
      <c r="I819">
        <v>1</v>
      </c>
      <c r="J819" t="str">
        <f t="shared" si="317"/>
        <v>Hipercaloricos</v>
      </c>
      <c r="K819">
        <v>2</v>
      </c>
      <c r="L819">
        <f t="shared" si="318"/>
        <v>1</v>
      </c>
      <c r="M819" t="str">
        <f t="shared" si="319"/>
        <v>Suele comer</v>
      </c>
      <c r="N819">
        <v>3</v>
      </c>
      <c r="O819">
        <f t="shared" si="320"/>
        <v>2</v>
      </c>
      <c r="P819" t="str">
        <f t="shared" si="321"/>
        <v>Mas de 3</v>
      </c>
      <c r="Q819">
        <v>1</v>
      </c>
      <c r="R819" t="str">
        <f t="shared" si="322"/>
        <v>A veces</v>
      </c>
      <c r="S819">
        <v>0</v>
      </c>
      <c r="T819" t="str">
        <f t="shared" si="323"/>
        <v>No fuma</v>
      </c>
      <c r="U819">
        <v>2</v>
      </c>
      <c r="V819">
        <f t="shared" si="324"/>
        <v>2</v>
      </c>
      <c r="W819" t="str">
        <f t="shared" si="325"/>
        <v>Siempre</v>
      </c>
      <c r="X819">
        <v>0</v>
      </c>
      <c r="Y819" t="str">
        <f t="shared" si="326"/>
        <v>No controla</v>
      </c>
      <c r="Z819">
        <v>0</v>
      </c>
      <c r="AA819">
        <f t="shared" si="327"/>
        <v>0</v>
      </c>
      <c r="AB819" t="str">
        <f t="shared" si="328"/>
        <v>Nunca</v>
      </c>
      <c r="AC819">
        <v>2</v>
      </c>
      <c r="AD819">
        <f t="shared" si="329"/>
        <v>2</v>
      </c>
      <c r="AE819" t="str">
        <f t="shared" si="330"/>
        <v>Siempre</v>
      </c>
      <c r="AF819">
        <v>1</v>
      </c>
      <c r="AG819" t="str">
        <f t="shared" si="331"/>
        <v>A veces</v>
      </c>
      <c r="AH819">
        <v>0</v>
      </c>
      <c r="AI819" t="str">
        <f t="shared" si="332"/>
        <v>No usa</v>
      </c>
      <c r="AJ819">
        <v>0</v>
      </c>
      <c r="AK819" t="str">
        <f t="shared" si="333"/>
        <v>No usa</v>
      </c>
      <c r="AL819">
        <v>0</v>
      </c>
      <c r="AM819" t="str">
        <f t="shared" si="334"/>
        <v>No usa</v>
      </c>
      <c r="AN819">
        <v>1</v>
      </c>
      <c r="AO819" t="str">
        <f t="shared" si="335"/>
        <v>Usa Transporte</v>
      </c>
      <c r="AP819">
        <v>0</v>
      </c>
      <c r="AQ819" t="str">
        <f t="shared" si="336"/>
        <v>No camina</v>
      </c>
      <c r="AR819">
        <v>0</v>
      </c>
      <c r="AS819" t="str">
        <f t="shared" si="337"/>
        <v>No es obeso</v>
      </c>
    </row>
    <row r="820" spans="1:45" x14ac:dyDescent="0.25">
      <c r="A820">
        <v>1</v>
      </c>
      <c r="B820" t="str">
        <f t="shared" si="312"/>
        <v>M</v>
      </c>
      <c r="C820">
        <v>18900253</v>
      </c>
      <c r="D820">
        <f t="shared" si="313"/>
        <v>51</v>
      </c>
      <c r="E820">
        <f t="shared" si="314"/>
        <v>51</v>
      </c>
      <c r="F820" t="str">
        <f t="shared" si="315"/>
        <v>50-75</v>
      </c>
      <c r="G820">
        <v>1</v>
      </c>
      <c r="H820" t="str">
        <f t="shared" si="316"/>
        <v>Pariente gordo</v>
      </c>
      <c r="I820">
        <v>1</v>
      </c>
      <c r="J820" t="str">
        <f t="shared" si="317"/>
        <v>Hipercaloricos</v>
      </c>
      <c r="K820">
        <v>2</v>
      </c>
      <c r="L820">
        <f t="shared" si="318"/>
        <v>1</v>
      </c>
      <c r="M820" t="str">
        <f t="shared" si="319"/>
        <v>Suele comer</v>
      </c>
      <c r="N820">
        <v>2228113</v>
      </c>
      <c r="O820">
        <f t="shared" si="320"/>
        <v>2</v>
      </c>
      <c r="P820" t="str">
        <f t="shared" si="321"/>
        <v>Mas de 3</v>
      </c>
      <c r="Q820">
        <v>1</v>
      </c>
      <c r="R820" t="str">
        <f t="shared" si="322"/>
        <v>A veces</v>
      </c>
      <c r="S820">
        <v>0</v>
      </c>
      <c r="T820" t="str">
        <f t="shared" si="323"/>
        <v>No fuma</v>
      </c>
      <c r="U820">
        <v>2045004</v>
      </c>
      <c r="V820">
        <f t="shared" si="324"/>
        <v>2</v>
      </c>
      <c r="W820" t="str">
        <f t="shared" si="325"/>
        <v>Siempre</v>
      </c>
      <c r="X820">
        <v>0</v>
      </c>
      <c r="Y820" t="str">
        <f t="shared" si="326"/>
        <v>No controla</v>
      </c>
      <c r="Z820">
        <v>1293665</v>
      </c>
      <c r="AA820">
        <f t="shared" si="327"/>
        <v>3</v>
      </c>
      <c r="AB820" t="str">
        <f t="shared" si="328"/>
        <v>Siempre</v>
      </c>
      <c r="AC820">
        <v>0.96180600000000005</v>
      </c>
      <c r="AD820">
        <f t="shared" si="329"/>
        <v>0</v>
      </c>
      <c r="AE820" t="str">
        <f t="shared" si="330"/>
        <v>Nunca</v>
      </c>
      <c r="AF820">
        <v>2</v>
      </c>
      <c r="AG820" t="str">
        <f t="shared" si="331"/>
        <v>Usualmente</v>
      </c>
      <c r="AH820">
        <v>0</v>
      </c>
      <c r="AI820" t="str">
        <f t="shared" si="332"/>
        <v>No usa</v>
      </c>
      <c r="AJ820">
        <v>0</v>
      </c>
      <c r="AK820" t="str">
        <f t="shared" si="333"/>
        <v>No usa</v>
      </c>
      <c r="AL820">
        <v>0</v>
      </c>
      <c r="AM820" t="str">
        <f t="shared" si="334"/>
        <v>No usa</v>
      </c>
      <c r="AN820">
        <v>1</v>
      </c>
      <c r="AO820" t="str">
        <f t="shared" si="335"/>
        <v>Usa Transporte</v>
      </c>
      <c r="AP820">
        <v>0</v>
      </c>
      <c r="AQ820" t="str">
        <f t="shared" si="336"/>
        <v>No camina</v>
      </c>
      <c r="AR820">
        <v>0</v>
      </c>
      <c r="AS820" t="str">
        <f t="shared" si="337"/>
        <v>No es obeso</v>
      </c>
    </row>
    <row r="821" spans="1:45" x14ac:dyDescent="0.25">
      <c r="A821">
        <v>1</v>
      </c>
      <c r="B821" t="str">
        <f t="shared" si="312"/>
        <v>M</v>
      </c>
      <c r="C821">
        <v>23170309</v>
      </c>
      <c r="D821">
        <f t="shared" si="313"/>
        <v>63</v>
      </c>
      <c r="E821">
        <f t="shared" si="314"/>
        <v>63</v>
      </c>
      <c r="F821" t="str">
        <f t="shared" si="315"/>
        <v>50-75</v>
      </c>
      <c r="G821">
        <v>1</v>
      </c>
      <c r="H821" t="str">
        <f t="shared" si="316"/>
        <v>Pariente gordo</v>
      </c>
      <c r="I821">
        <v>1</v>
      </c>
      <c r="J821" t="str">
        <f t="shared" si="317"/>
        <v>Hipercaloricos</v>
      </c>
      <c r="K821">
        <v>2303367</v>
      </c>
      <c r="L821">
        <f t="shared" si="318"/>
        <v>1</v>
      </c>
      <c r="M821" t="str">
        <f t="shared" si="319"/>
        <v>Suele comer</v>
      </c>
      <c r="N821">
        <v>3042774</v>
      </c>
      <c r="O821">
        <f t="shared" si="320"/>
        <v>2</v>
      </c>
      <c r="P821" t="str">
        <f t="shared" si="321"/>
        <v>Mas de 3</v>
      </c>
      <c r="Q821">
        <v>1</v>
      </c>
      <c r="R821" t="str">
        <f t="shared" si="322"/>
        <v>A veces</v>
      </c>
      <c r="S821">
        <v>0</v>
      </c>
      <c r="T821" t="str">
        <f t="shared" si="323"/>
        <v>No fuma</v>
      </c>
      <c r="U821">
        <v>1277636</v>
      </c>
      <c r="V821">
        <f t="shared" si="324"/>
        <v>2</v>
      </c>
      <c r="W821" t="str">
        <f t="shared" si="325"/>
        <v>Siempre</v>
      </c>
      <c r="X821">
        <v>0</v>
      </c>
      <c r="Y821" t="str">
        <f t="shared" si="326"/>
        <v>No controla</v>
      </c>
      <c r="Z821">
        <v>0.94498199999999999</v>
      </c>
      <c r="AA821">
        <f t="shared" si="327"/>
        <v>0</v>
      </c>
      <c r="AB821" t="str">
        <f t="shared" si="328"/>
        <v>Nunca</v>
      </c>
      <c r="AC821">
        <v>0.36612600000000001</v>
      </c>
      <c r="AD821">
        <f t="shared" si="329"/>
        <v>0</v>
      </c>
      <c r="AE821" t="str">
        <f t="shared" si="330"/>
        <v>Nunca</v>
      </c>
      <c r="AF821">
        <v>1</v>
      </c>
      <c r="AG821" t="str">
        <f t="shared" si="331"/>
        <v>A veces</v>
      </c>
      <c r="AH821">
        <v>0</v>
      </c>
      <c r="AI821" t="str">
        <f t="shared" si="332"/>
        <v>No usa</v>
      </c>
      <c r="AJ821">
        <v>0</v>
      </c>
      <c r="AK821" t="str">
        <f t="shared" si="333"/>
        <v>No usa</v>
      </c>
      <c r="AL821">
        <v>0</v>
      </c>
      <c r="AM821" t="str">
        <f t="shared" si="334"/>
        <v>No usa</v>
      </c>
      <c r="AN821">
        <v>1</v>
      </c>
      <c r="AO821" t="str">
        <f t="shared" si="335"/>
        <v>Usa Transporte</v>
      </c>
      <c r="AP821">
        <v>0</v>
      </c>
      <c r="AQ821" t="str">
        <f t="shared" si="336"/>
        <v>No camina</v>
      </c>
      <c r="AR821">
        <v>0</v>
      </c>
      <c r="AS821" t="str">
        <f t="shared" si="337"/>
        <v>No es obeso</v>
      </c>
    </row>
    <row r="822" spans="1:45" x14ac:dyDescent="0.25">
      <c r="A822">
        <v>0</v>
      </c>
      <c r="B822" t="str">
        <f t="shared" si="312"/>
        <v>F</v>
      </c>
      <c r="C822">
        <v>32997118</v>
      </c>
      <c r="D822">
        <f t="shared" si="313"/>
        <v>90</v>
      </c>
      <c r="E822">
        <f t="shared" si="314"/>
        <v>90</v>
      </c>
      <c r="F822" t="str">
        <f t="shared" si="315"/>
        <v>75-100</v>
      </c>
      <c r="G822">
        <v>1</v>
      </c>
      <c r="H822" t="str">
        <f t="shared" si="316"/>
        <v>Pariente gordo</v>
      </c>
      <c r="I822">
        <v>1</v>
      </c>
      <c r="J822" t="str">
        <f t="shared" si="317"/>
        <v>Hipercaloricos</v>
      </c>
      <c r="K822">
        <v>2948425</v>
      </c>
      <c r="L822">
        <f t="shared" si="318"/>
        <v>1</v>
      </c>
      <c r="M822" t="str">
        <f t="shared" si="319"/>
        <v>Suele comer</v>
      </c>
      <c r="N822">
        <v>1198643</v>
      </c>
      <c r="O822">
        <f t="shared" si="320"/>
        <v>2</v>
      </c>
      <c r="P822" t="str">
        <f t="shared" si="321"/>
        <v>Mas de 3</v>
      </c>
      <c r="Q822">
        <v>1</v>
      </c>
      <c r="R822" t="str">
        <f t="shared" si="322"/>
        <v>A veces</v>
      </c>
      <c r="S822">
        <v>0</v>
      </c>
      <c r="T822" t="str">
        <f t="shared" si="323"/>
        <v>No fuma</v>
      </c>
      <c r="U822">
        <v>1</v>
      </c>
      <c r="V822">
        <f t="shared" si="324"/>
        <v>1</v>
      </c>
      <c r="W822" t="str">
        <f t="shared" si="325"/>
        <v>Usualmente</v>
      </c>
      <c r="X822">
        <v>0</v>
      </c>
      <c r="Y822" t="str">
        <f t="shared" si="326"/>
        <v>No controla</v>
      </c>
      <c r="Z822">
        <v>0</v>
      </c>
      <c r="AA822">
        <f t="shared" si="327"/>
        <v>0</v>
      </c>
      <c r="AB822" t="str">
        <f t="shared" si="328"/>
        <v>Nunca</v>
      </c>
      <c r="AC822">
        <v>0.17379600000000001</v>
      </c>
      <c r="AD822">
        <f t="shared" si="329"/>
        <v>0</v>
      </c>
      <c r="AE822" t="str">
        <f t="shared" si="330"/>
        <v>Nunca</v>
      </c>
      <c r="AF822">
        <v>1</v>
      </c>
      <c r="AG822" t="str">
        <f t="shared" si="331"/>
        <v>A veces</v>
      </c>
      <c r="AH822">
        <v>1</v>
      </c>
      <c r="AI822" t="str">
        <f t="shared" si="332"/>
        <v>Usa auto</v>
      </c>
      <c r="AJ822">
        <v>0</v>
      </c>
      <c r="AK822" t="str">
        <f t="shared" si="333"/>
        <v>No usa</v>
      </c>
      <c r="AL822">
        <v>0</v>
      </c>
      <c r="AM822" t="str">
        <f t="shared" si="334"/>
        <v>No usa</v>
      </c>
      <c r="AN822">
        <v>0</v>
      </c>
      <c r="AO822" t="str">
        <f t="shared" si="335"/>
        <v>No usa</v>
      </c>
      <c r="AP822">
        <v>0</v>
      </c>
      <c r="AQ822" t="str">
        <f t="shared" si="336"/>
        <v>No camina</v>
      </c>
      <c r="AR822">
        <v>0</v>
      </c>
      <c r="AS822" t="str">
        <f t="shared" si="337"/>
        <v>No es obeso</v>
      </c>
    </row>
    <row r="823" spans="1:45" x14ac:dyDescent="0.25">
      <c r="A823">
        <v>0</v>
      </c>
      <c r="B823" t="str">
        <f t="shared" si="312"/>
        <v>F</v>
      </c>
      <c r="C823">
        <v>32501143</v>
      </c>
      <c r="D823">
        <f t="shared" si="313"/>
        <v>89</v>
      </c>
      <c r="E823">
        <f t="shared" si="314"/>
        <v>89</v>
      </c>
      <c r="F823" t="str">
        <f t="shared" si="315"/>
        <v>75-100</v>
      </c>
      <c r="G823">
        <v>1</v>
      </c>
      <c r="H823" t="str">
        <f t="shared" si="316"/>
        <v>Pariente gordo</v>
      </c>
      <c r="I823">
        <v>1</v>
      </c>
      <c r="J823" t="str">
        <f t="shared" si="317"/>
        <v>Hipercaloricos</v>
      </c>
      <c r="K823">
        <v>2291846</v>
      </c>
      <c r="L823">
        <f t="shared" si="318"/>
        <v>1</v>
      </c>
      <c r="M823" t="str">
        <f t="shared" si="319"/>
        <v>Suele comer</v>
      </c>
      <c r="N823">
        <v>1555557</v>
      </c>
      <c r="O823">
        <f t="shared" si="320"/>
        <v>2</v>
      </c>
      <c r="P823" t="str">
        <f t="shared" si="321"/>
        <v>Mas de 3</v>
      </c>
      <c r="Q823">
        <v>1</v>
      </c>
      <c r="R823" t="str">
        <f t="shared" si="322"/>
        <v>A veces</v>
      </c>
      <c r="S823">
        <v>0</v>
      </c>
      <c r="T823" t="str">
        <f t="shared" si="323"/>
        <v>No fuma</v>
      </c>
      <c r="U823">
        <v>1</v>
      </c>
      <c r="V823">
        <f t="shared" si="324"/>
        <v>1</v>
      </c>
      <c r="W823" t="str">
        <f t="shared" si="325"/>
        <v>Usualmente</v>
      </c>
      <c r="X823">
        <v>0</v>
      </c>
      <c r="Y823" t="str">
        <f t="shared" si="326"/>
        <v>No controla</v>
      </c>
      <c r="Z823">
        <v>0</v>
      </c>
      <c r="AA823">
        <f t="shared" si="327"/>
        <v>0</v>
      </c>
      <c r="AB823" t="str">
        <f t="shared" si="328"/>
        <v>Nunca</v>
      </c>
      <c r="AC823">
        <v>0.38827099999999998</v>
      </c>
      <c r="AD823">
        <f t="shared" si="329"/>
        <v>0</v>
      </c>
      <c r="AE823" t="str">
        <f t="shared" si="330"/>
        <v>Nunca</v>
      </c>
      <c r="AF823">
        <v>1</v>
      </c>
      <c r="AG823" t="str">
        <f t="shared" si="331"/>
        <v>A veces</v>
      </c>
      <c r="AH823">
        <v>1</v>
      </c>
      <c r="AI823" t="str">
        <f t="shared" si="332"/>
        <v>Usa auto</v>
      </c>
      <c r="AJ823">
        <v>0</v>
      </c>
      <c r="AK823" t="str">
        <f t="shared" si="333"/>
        <v>No usa</v>
      </c>
      <c r="AL823">
        <v>0</v>
      </c>
      <c r="AM823" t="str">
        <f t="shared" si="334"/>
        <v>No usa</v>
      </c>
      <c r="AN823">
        <v>0</v>
      </c>
      <c r="AO823" t="str">
        <f t="shared" si="335"/>
        <v>No usa</v>
      </c>
      <c r="AP823">
        <v>0</v>
      </c>
      <c r="AQ823" t="str">
        <f t="shared" si="336"/>
        <v>No camina</v>
      </c>
      <c r="AR823">
        <v>0</v>
      </c>
      <c r="AS823" t="str">
        <f t="shared" si="337"/>
        <v>No es obeso</v>
      </c>
    </row>
    <row r="824" spans="1:45" x14ac:dyDescent="0.25">
      <c r="A824">
        <v>0</v>
      </c>
      <c r="B824" t="str">
        <f t="shared" si="312"/>
        <v>F</v>
      </c>
      <c r="C824">
        <v>21938831</v>
      </c>
      <c r="D824">
        <f t="shared" si="313"/>
        <v>60</v>
      </c>
      <c r="E824">
        <f t="shared" si="314"/>
        <v>60</v>
      </c>
      <c r="F824" t="str">
        <f t="shared" si="315"/>
        <v>50-75</v>
      </c>
      <c r="G824">
        <v>1</v>
      </c>
      <c r="H824" t="str">
        <f t="shared" si="316"/>
        <v>Pariente gordo</v>
      </c>
      <c r="I824">
        <v>1</v>
      </c>
      <c r="J824" t="str">
        <f t="shared" si="317"/>
        <v>Hipercaloricos</v>
      </c>
      <c r="K824">
        <v>1906194</v>
      </c>
      <c r="L824">
        <f t="shared" si="318"/>
        <v>1</v>
      </c>
      <c r="M824" t="str">
        <f t="shared" si="319"/>
        <v>Suele comer</v>
      </c>
      <c r="N824">
        <v>3987707</v>
      </c>
      <c r="O824">
        <f t="shared" si="320"/>
        <v>2</v>
      </c>
      <c r="P824" t="str">
        <f t="shared" si="321"/>
        <v>Mas de 3</v>
      </c>
      <c r="Q824">
        <v>1</v>
      </c>
      <c r="R824" t="str">
        <f t="shared" si="322"/>
        <v>A veces</v>
      </c>
      <c r="S824">
        <v>0</v>
      </c>
      <c r="T824" t="str">
        <f t="shared" si="323"/>
        <v>No fuma</v>
      </c>
      <c r="U824">
        <v>2597746</v>
      </c>
      <c r="V824">
        <f t="shared" si="324"/>
        <v>2</v>
      </c>
      <c r="W824" t="str">
        <f t="shared" si="325"/>
        <v>Siempre</v>
      </c>
      <c r="X824">
        <v>0</v>
      </c>
      <c r="Y824" t="str">
        <f t="shared" si="326"/>
        <v>No controla</v>
      </c>
      <c r="Z824">
        <v>1922234</v>
      </c>
      <c r="AA824">
        <f t="shared" si="327"/>
        <v>3</v>
      </c>
      <c r="AB824" t="str">
        <f t="shared" si="328"/>
        <v>Siempre</v>
      </c>
      <c r="AC824">
        <v>1376124</v>
      </c>
      <c r="AD824">
        <f t="shared" si="329"/>
        <v>2</v>
      </c>
      <c r="AE824" t="str">
        <f t="shared" si="330"/>
        <v>Siempre</v>
      </c>
      <c r="AF824">
        <v>1</v>
      </c>
      <c r="AG824" t="str">
        <f t="shared" si="331"/>
        <v>A veces</v>
      </c>
      <c r="AH824">
        <v>0</v>
      </c>
      <c r="AI824" t="str">
        <f t="shared" si="332"/>
        <v>No usa</v>
      </c>
      <c r="AJ824">
        <v>0</v>
      </c>
      <c r="AK824" t="str">
        <f t="shared" si="333"/>
        <v>No usa</v>
      </c>
      <c r="AL824">
        <v>0</v>
      </c>
      <c r="AM824" t="str">
        <f t="shared" si="334"/>
        <v>No usa</v>
      </c>
      <c r="AN824">
        <v>1</v>
      </c>
      <c r="AO824" t="str">
        <f t="shared" si="335"/>
        <v>Usa Transporte</v>
      </c>
      <c r="AP824">
        <v>0</v>
      </c>
      <c r="AQ824" t="str">
        <f t="shared" si="336"/>
        <v>No camina</v>
      </c>
      <c r="AR824">
        <v>0</v>
      </c>
      <c r="AS824" t="str">
        <f t="shared" si="337"/>
        <v>No es obeso</v>
      </c>
    </row>
    <row r="825" spans="1:45" x14ac:dyDescent="0.25">
      <c r="A825">
        <v>0</v>
      </c>
      <c r="B825" t="str">
        <f t="shared" si="312"/>
        <v>F</v>
      </c>
      <c r="C825">
        <v>21909534</v>
      </c>
      <c r="D825">
        <f t="shared" si="313"/>
        <v>60</v>
      </c>
      <c r="E825">
        <f t="shared" si="314"/>
        <v>60</v>
      </c>
      <c r="F825" t="str">
        <f t="shared" si="315"/>
        <v>50-75</v>
      </c>
      <c r="G825">
        <v>1</v>
      </c>
      <c r="H825" t="str">
        <f t="shared" si="316"/>
        <v>Pariente gordo</v>
      </c>
      <c r="I825">
        <v>1</v>
      </c>
      <c r="J825" t="str">
        <f t="shared" si="317"/>
        <v>Hipercaloricos</v>
      </c>
      <c r="K825">
        <v>1834155</v>
      </c>
      <c r="L825">
        <f t="shared" si="318"/>
        <v>1</v>
      </c>
      <c r="M825" t="str">
        <f t="shared" si="319"/>
        <v>Suele comer</v>
      </c>
      <c r="N825">
        <v>3995957</v>
      </c>
      <c r="O825">
        <f t="shared" si="320"/>
        <v>2</v>
      </c>
      <c r="P825" t="str">
        <f t="shared" si="321"/>
        <v>Mas de 3</v>
      </c>
      <c r="Q825">
        <v>1</v>
      </c>
      <c r="R825" t="str">
        <f t="shared" si="322"/>
        <v>A veces</v>
      </c>
      <c r="S825">
        <v>0</v>
      </c>
      <c r="T825" t="str">
        <f t="shared" si="323"/>
        <v>No fuma</v>
      </c>
      <c r="U825">
        <v>2632871</v>
      </c>
      <c r="V825">
        <f t="shared" si="324"/>
        <v>2</v>
      </c>
      <c r="W825" t="str">
        <f t="shared" si="325"/>
        <v>Siempre</v>
      </c>
      <c r="X825">
        <v>0</v>
      </c>
      <c r="Y825" t="str">
        <f t="shared" si="326"/>
        <v>No controla</v>
      </c>
      <c r="Z825">
        <v>1236114</v>
      </c>
      <c r="AA825">
        <f t="shared" si="327"/>
        <v>3</v>
      </c>
      <c r="AB825" t="str">
        <f t="shared" si="328"/>
        <v>Siempre</v>
      </c>
      <c r="AC825">
        <v>1980875</v>
      </c>
      <c r="AD825">
        <f t="shared" si="329"/>
        <v>2</v>
      </c>
      <c r="AE825" t="str">
        <f t="shared" si="330"/>
        <v>Siempre</v>
      </c>
      <c r="AF825">
        <v>1</v>
      </c>
      <c r="AG825" t="str">
        <f t="shared" si="331"/>
        <v>A veces</v>
      </c>
      <c r="AH825">
        <v>0</v>
      </c>
      <c r="AI825" t="str">
        <f t="shared" si="332"/>
        <v>No usa</v>
      </c>
      <c r="AJ825">
        <v>0</v>
      </c>
      <c r="AK825" t="str">
        <f t="shared" si="333"/>
        <v>No usa</v>
      </c>
      <c r="AL825">
        <v>0</v>
      </c>
      <c r="AM825" t="str">
        <f t="shared" si="334"/>
        <v>No usa</v>
      </c>
      <c r="AN825">
        <v>1</v>
      </c>
      <c r="AO825" t="str">
        <f t="shared" si="335"/>
        <v>Usa Transporte</v>
      </c>
      <c r="AP825">
        <v>0</v>
      </c>
      <c r="AQ825" t="str">
        <f t="shared" si="336"/>
        <v>No camina</v>
      </c>
      <c r="AR825">
        <v>0</v>
      </c>
      <c r="AS825" t="str">
        <f t="shared" si="337"/>
        <v>No es obeso</v>
      </c>
    </row>
    <row r="826" spans="1:45" x14ac:dyDescent="0.25">
      <c r="A826">
        <v>1</v>
      </c>
      <c r="B826" t="str">
        <f t="shared" si="312"/>
        <v>M</v>
      </c>
      <c r="C826">
        <v>21</v>
      </c>
      <c r="D826">
        <f t="shared" si="313"/>
        <v>21</v>
      </c>
      <c r="E826">
        <f t="shared" si="314"/>
        <v>21</v>
      </c>
      <c r="F826" t="str">
        <f t="shared" si="315"/>
        <v>1-25</v>
      </c>
      <c r="G826">
        <v>0</v>
      </c>
      <c r="H826" t="str">
        <f t="shared" si="316"/>
        <v>Pariente normal</v>
      </c>
      <c r="I826">
        <v>1</v>
      </c>
      <c r="J826" t="str">
        <f t="shared" si="317"/>
        <v>Hipercaloricos</v>
      </c>
      <c r="K826">
        <v>2</v>
      </c>
      <c r="L826">
        <f t="shared" si="318"/>
        <v>1</v>
      </c>
      <c r="M826" t="str">
        <f t="shared" si="319"/>
        <v>Suele comer</v>
      </c>
      <c r="N826">
        <v>1</v>
      </c>
      <c r="O826">
        <f t="shared" si="320"/>
        <v>1</v>
      </c>
      <c r="P826">
        <f t="shared" si="321"/>
        <v>3</v>
      </c>
      <c r="Q826">
        <v>0</v>
      </c>
      <c r="R826" t="str">
        <f t="shared" si="322"/>
        <v>Nunca</v>
      </c>
      <c r="S826">
        <v>0</v>
      </c>
      <c r="T826" t="str">
        <f t="shared" si="323"/>
        <v>No fuma</v>
      </c>
      <c r="U826">
        <v>3</v>
      </c>
      <c r="V826">
        <f t="shared" si="324"/>
        <v>2</v>
      </c>
      <c r="W826" t="str">
        <f t="shared" si="325"/>
        <v>Siempre</v>
      </c>
      <c r="X826">
        <v>0</v>
      </c>
      <c r="Y826" t="str">
        <f t="shared" si="326"/>
        <v>No controla</v>
      </c>
      <c r="Z826">
        <v>1</v>
      </c>
      <c r="AA826">
        <f t="shared" si="327"/>
        <v>1</v>
      </c>
      <c r="AB826" t="str">
        <f t="shared" si="328"/>
        <v>A veces</v>
      </c>
      <c r="AC826">
        <v>0</v>
      </c>
      <c r="AD826">
        <f t="shared" si="329"/>
        <v>0</v>
      </c>
      <c r="AE826" t="str">
        <f t="shared" si="330"/>
        <v>Nunca</v>
      </c>
      <c r="AF826">
        <v>1</v>
      </c>
      <c r="AG826" t="str">
        <f t="shared" si="331"/>
        <v>A veces</v>
      </c>
      <c r="AH826">
        <v>0</v>
      </c>
      <c r="AI826" t="str">
        <f t="shared" si="332"/>
        <v>No usa</v>
      </c>
      <c r="AJ826">
        <v>0</v>
      </c>
      <c r="AK826" t="str">
        <f t="shared" si="333"/>
        <v>No usa</v>
      </c>
      <c r="AL826">
        <v>0</v>
      </c>
      <c r="AM826" t="str">
        <f t="shared" si="334"/>
        <v>No usa</v>
      </c>
      <c r="AN826">
        <v>1</v>
      </c>
      <c r="AO826" t="str">
        <f t="shared" si="335"/>
        <v>Usa Transporte</v>
      </c>
      <c r="AP826">
        <v>0</v>
      </c>
      <c r="AQ826" t="str">
        <f t="shared" si="336"/>
        <v>No camina</v>
      </c>
      <c r="AR826">
        <v>0</v>
      </c>
      <c r="AS826" t="str">
        <f t="shared" si="337"/>
        <v>No es obeso</v>
      </c>
    </row>
    <row r="827" spans="1:45" x14ac:dyDescent="0.25">
      <c r="A827">
        <v>0</v>
      </c>
      <c r="B827" t="str">
        <f t="shared" si="312"/>
        <v>F</v>
      </c>
      <c r="C827">
        <v>37455752</v>
      </c>
      <c r="D827">
        <f t="shared" si="313"/>
        <v>102</v>
      </c>
      <c r="E827">
        <f t="shared" si="314"/>
        <v>100</v>
      </c>
      <c r="F827" t="str">
        <f t="shared" si="315"/>
        <v>75-100</v>
      </c>
      <c r="G827">
        <v>1</v>
      </c>
      <c r="H827" t="str">
        <f t="shared" si="316"/>
        <v>Pariente gordo</v>
      </c>
      <c r="I827">
        <v>1</v>
      </c>
      <c r="J827" t="str">
        <f t="shared" si="317"/>
        <v>Hipercaloricos</v>
      </c>
      <c r="K827">
        <v>2048582</v>
      </c>
      <c r="L827">
        <f t="shared" si="318"/>
        <v>1</v>
      </c>
      <c r="M827" t="str">
        <f t="shared" si="319"/>
        <v>Suele comer</v>
      </c>
      <c r="N827">
        <v>1047197</v>
      </c>
      <c r="O827">
        <f t="shared" si="320"/>
        <v>2</v>
      </c>
      <c r="P827" t="str">
        <f t="shared" si="321"/>
        <v>Mas de 3</v>
      </c>
      <c r="Q827">
        <v>1</v>
      </c>
      <c r="R827" t="str">
        <f t="shared" si="322"/>
        <v>A veces</v>
      </c>
      <c r="S827">
        <v>0</v>
      </c>
      <c r="T827" t="str">
        <f t="shared" si="323"/>
        <v>No fuma</v>
      </c>
      <c r="U827">
        <v>2</v>
      </c>
      <c r="V827">
        <f t="shared" si="324"/>
        <v>2</v>
      </c>
      <c r="W827" t="str">
        <f t="shared" si="325"/>
        <v>Siempre</v>
      </c>
      <c r="X827">
        <v>0</v>
      </c>
      <c r="Y827" t="str">
        <f t="shared" si="326"/>
        <v>No controla</v>
      </c>
      <c r="Z827">
        <v>0.15135999999999999</v>
      </c>
      <c r="AA827">
        <f t="shared" si="327"/>
        <v>0</v>
      </c>
      <c r="AB827" t="str">
        <f t="shared" si="328"/>
        <v>Nunca</v>
      </c>
      <c r="AC827">
        <v>0.22595999999999999</v>
      </c>
      <c r="AD827">
        <f t="shared" si="329"/>
        <v>0</v>
      </c>
      <c r="AE827" t="str">
        <f t="shared" si="330"/>
        <v>Nunca</v>
      </c>
      <c r="AF827">
        <v>1</v>
      </c>
      <c r="AG827" t="str">
        <f t="shared" si="331"/>
        <v>A veces</v>
      </c>
      <c r="AH827">
        <v>1</v>
      </c>
      <c r="AI827" t="str">
        <f t="shared" si="332"/>
        <v>Usa auto</v>
      </c>
      <c r="AJ827">
        <v>0</v>
      </c>
      <c r="AK827" t="str">
        <f t="shared" si="333"/>
        <v>No usa</v>
      </c>
      <c r="AL827">
        <v>0</v>
      </c>
      <c r="AM827" t="str">
        <f t="shared" si="334"/>
        <v>No usa</v>
      </c>
      <c r="AN827">
        <v>0</v>
      </c>
      <c r="AO827" t="str">
        <f t="shared" si="335"/>
        <v>No usa</v>
      </c>
      <c r="AP827">
        <v>0</v>
      </c>
      <c r="AQ827" t="str">
        <f t="shared" si="336"/>
        <v>No camina</v>
      </c>
      <c r="AR827">
        <v>0</v>
      </c>
      <c r="AS827" t="str">
        <f t="shared" si="337"/>
        <v>No es obeso</v>
      </c>
    </row>
    <row r="828" spans="1:45" x14ac:dyDescent="0.25">
      <c r="A828">
        <v>0</v>
      </c>
      <c r="B828" t="str">
        <f t="shared" si="312"/>
        <v>F</v>
      </c>
      <c r="C828">
        <v>40</v>
      </c>
      <c r="D828">
        <f t="shared" si="313"/>
        <v>40</v>
      </c>
      <c r="E828">
        <f t="shared" si="314"/>
        <v>40</v>
      </c>
      <c r="F828" t="str">
        <f t="shared" si="315"/>
        <v>25-50</v>
      </c>
      <c r="G828">
        <v>1</v>
      </c>
      <c r="H828" t="str">
        <f t="shared" si="316"/>
        <v>Pariente gordo</v>
      </c>
      <c r="I828">
        <v>1</v>
      </c>
      <c r="J828" t="str">
        <f t="shared" si="317"/>
        <v>Hipercaloricos</v>
      </c>
      <c r="K828">
        <v>2948248</v>
      </c>
      <c r="L828">
        <f t="shared" si="318"/>
        <v>1</v>
      </c>
      <c r="M828" t="str">
        <f t="shared" si="319"/>
        <v>Suele comer</v>
      </c>
      <c r="N828">
        <v>3</v>
      </c>
      <c r="O828">
        <f t="shared" si="320"/>
        <v>2</v>
      </c>
      <c r="P828" t="str">
        <f t="shared" si="321"/>
        <v>Mas de 3</v>
      </c>
      <c r="Q828">
        <v>1</v>
      </c>
      <c r="R828" t="str">
        <f t="shared" si="322"/>
        <v>A veces</v>
      </c>
      <c r="S828">
        <v>0</v>
      </c>
      <c r="T828" t="str">
        <f t="shared" si="323"/>
        <v>No fuma</v>
      </c>
      <c r="U828">
        <v>2429911</v>
      </c>
      <c r="V828">
        <f t="shared" si="324"/>
        <v>2</v>
      </c>
      <c r="W828" t="str">
        <f t="shared" si="325"/>
        <v>Siempre</v>
      </c>
      <c r="X828">
        <v>0</v>
      </c>
      <c r="Y828" t="str">
        <f t="shared" si="326"/>
        <v>No controla</v>
      </c>
      <c r="Z828">
        <v>0.11964</v>
      </c>
      <c r="AA828">
        <f t="shared" si="327"/>
        <v>0</v>
      </c>
      <c r="AB828" t="str">
        <f t="shared" si="328"/>
        <v>Nunca</v>
      </c>
      <c r="AC828">
        <v>0.36019299999999999</v>
      </c>
      <c r="AD828">
        <f t="shared" si="329"/>
        <v>0</v>
      </c>
      <c r="AE828" t="str">
        <f t="shared" si="330"/>
        <v>Nunca</v>
      </c>
      <c r="AF828">
        <v>1</v>
      </c>
      <c r="AG828" t="str">
        <f t="shared" si="331"/>
        <v>A veces</v>
      </c>
      <c r="AH828">
        <v>1</v>
      </c>
      <c r="AI828" t="str">
        <f t="shared" si="332"/>
        <v>Usa auto</v>
      </c>
      <c r="AJ828">
        <v>0</v>
      </c>
      <c r="AK828" t="str">
        <f t="shared" si="333"/>
        <v>No usa</v>
      </c>
      <c r="AL828">
        <v>0</v>
      </c>
      <c r="AM828" t="str">
        <f t="shared" si="334"/>
        <v>No usa</v>
      </c>
      <c r="AN828">
        <v>0</v>
      </c>
      <c r="AO828" t="str">
        <f t="shared" si="335"/>
        <v>No usa</v>
      </c>
      <c r="AP828">
        <v>0</v>
      </c>
      <c r="AQ828" t="str">
        <f t="shared" si="336"/>
        <v>No camina</v>
      </c>
      <c r="AR828">
        <v>0</v>
      </c>
      <c r="AS828" t="str">
        <f t="shared" si="337"/>
        <v>No es obeso</v>
      </c>
    </row>
    <row r="829" spans="1:45" x14ac:dyDescent="0.25">
      <c r="A829">
        <v>0</v>
      </c>
      <c r="B829" t="str">
        <f t="shared" si="312"/>
        <v>F</v>
      </c>
      <c r="C829">
        <v>38943282</v>
      </c>
      <c r="D829">
        <f t="shared" si="313"/>
        <v>106</v>
      </c>
      <c r="E829">
        <f t="shared" si="314"/>
        <v>100</v>
      </c>
      <c r="F829" t="str">
        <f t="shared" si="315"/>
        <v>75-100</v>
      </c>
      <c r="G829">
        <v>1</v>
      </c>
      <c r="H829" t="str">
        <f t="shared" si="316"/>
        <v>Pariente gordo</v>
      </c>
      <c r="I829">
        <v>1</v>
      </c>
      <c r="J829" t="str">
        <f t="shared" si="317"/>
        <v>Hipercaloricos</v>
      </c>
      <c r="K829">
        <v>2869436</v>
      </c>
      <c r="L829">
        <f t="shared" si="318"/>
        <v>1</v>
      </c>
      <c r="M829" t="str">
        <f t="shared" si="319"/>
        <v>Suele comer</v>
      </c>
      <c r="N829">
        <v>3</v>
      </c>
      <c r="O829">
        <f t="shared" si="320"/>
        <v>2</v>
      </c>
      <c r="P829" t="str">
        <f t="shared" si="321"/>
        <v>Mas de 3</v>
      </c>
      <c r="Q829">
        <v>1</v>
      </c>
      <c r="R829" t="str">
        <f t="shared" si="322"/>
        <v>A veces</v>
      </c>
      <c r="S829">
        <v>0</v>
      </c>
      <c r="T829" t="str">
        <f t="shared" si="323"/>
        <v>No fuma</v>
      </c>
      <c r="U829">
        <v>2972426</v>
      </c>
      <c r="V829">
        <f t="shared" si="324"/>
        <v>2</v>
      </c>
      <c r="W829" t="str">
        <f t="shared" si="325"/>
        <v>Siempre</v>
      </c>
      <c r="X829">
        <v>0</v>
      </c>
      <c r="Y829" t="str">
        <f t="shared" si="326"/>
        <v>No controla</v>
      </c>
      <c r="Z829">
        <v>216079</v>
      </c>
      <c r="AA829">
        <f t="shared" si="327"/>
        <v>2</v>
      </c>
      <c r="AB829" t="str">
        <f t="shared" si="328"/>
        <v>Usualmente</v>
      </c>
      <c r="AC829">
        <v>0.305954</v>
      </c>
      <c r="AD829">
        <f t="shared" si="329"/>
        <v>0</v>
      </c>
      <c r="AE829" t="str">
        <f t="shared" si="330"/>
        <v>Nunca</v>
      </c>
      <c r="AF829">
        <v>1</v>
      </c>
      <c r="AG829" t="str">
        <f t="shared" si="331"/>
        <v>A veces</v>
      </c>
      <c r="AH829">
        <v>1</v>
      </c>
      <c r="AI829" t="str">
        <f t="shared" si="332"/>
        <v>Usa auto</v>
      </c>
      <c r="AJ829">
        <v>0</v>
      </c>
      <c r="AK829" t="str">
        <f t="shared" si="333"/>
        <v>No usa</v>
      </c>
      <c r="AL829">
        <v>0</v>
      </c>
      <c r="AM829" t="str">
        <f t="shared" si="334"/>
        <v>No usa</v>
      </c>
      <c r="AN829">
        <v>0</v>
      </c>
      <c r="AO829" t="str">
        <f t="shared" si="335"/>
        <v>No usa</v>
      </c>
      <c r="AP829">
        <v>0</v>
      </c>
      <c r="AQ829" t="str">
        <f t="shared" si="336"/>
        <v>No camina</v>
      </c>
      <c r="AR829">
        <v>0</v>
      </c>
      <c r="AS829" t="str">
        <f t="shared" si="337"/>
        <v>No es obeso</v>
      </c>
    </row>
    <row r="830" spans="1:45" x14ac:dyDescent="0.25">
      <c r="A830">
        <v>0</v>
      </c>
      <c r="B830" t="str">
        <f t="shared" si="312"/>
        <v>F</v>
      </c>
      <c r="C830">
        <v>21987341</v>
      </c>
      <c r="D830">
        <f t="shared" si="313"/>
        <v>60</v>
      </c>
      <c r="E830">
        <f t="shared" si="314"/>
        <v>60</v>
      </c>
      <c r="F830" t="str">
        <f t="shared" si="315"/>
        <v>50-75</v>
      </c>
      <c r="G830">
        <v>1</v>
      </c>
      <c r="H830" t="str">
        <f t="shared" si="316"/>
        <v>Pariente gordo</v>
      </c>
      <c r="I830">
        <v>1</v>
      </c>
      <c r="J830" t="str">
        <f t="shared" si="317"/>
        <v>Hipercaloricos</v>
      </c>
      <c r="K830">
        <v>2293705</v>
      </c>
      <c r="L830">
        <f t="shared" si="318"/>
        <v>1</v>
      </c>
      <c r="M830" t="str">
        <f t="shared" si="319"/>
        <v>Suele comer</v>
      </c>
      <c r="N830">
        <v>1</v>
      </c>
      <c r="O830">
        <f t="shared" si="320"/>
        <v>1</v>
      </c>
      <c r="P830">
        <f t="shared" si="321"/>
        <v>3</v>
      </c>
      <c r="Q830">
        <v>1</v>
      </c>
      <c r="R830" t="str">
        <f t="shared" si="322"/>
        <v>A veces</v>
      </c>
      <c r="S830">
        <v>0</v>
      </c>
      <c r="T830" t="str">
        <f t="shared" si="323"/>
        <v>No fuma</v>
      </c>
      <c r="U830">
        <v>2</v>
      </c>
      <c r="V830">
        <f t="shared" si="324"/>
        <v>2</v>
      </c>
      <c r="W830" t="str">
        <f t="shared" si="325"/>
        <v>Siempre</v>
      </c>
      <c r="X830">
        <v>0</v>
      </c>
      <c r="Y830" t="str">
        <f t="shared" si="326"/>
        <v>No controla</v>
      </c>
      <c r="Z830">
        <v>2063943</v>
      </c>
      <c r="AA830">
        <f t="shared" si="327"/>
        <v>3</v>
      </c>
      <c r="AB830" t="str">
        <f t="shared" si="328"/>
        <v>Siempre</v>
      </c>
      <c r="AC830">
        <v>0</v>
      </c>
      <c r="AD830">
        <f t="shared" si="329"/>
        <v>0</v>
      </c>
      <c r="AE830" t="str">
        <f t="shared" si="330"/>
        <v>Nunca</v>
      </c>
      <c r="AF830">
        <v>1</v>
      </c>
      <c r="AG830" t="str">
        <f t="shared" si="331"/>
        <v>A veces</v>
      </c>
      <c r="AH830">
        <v>0</v>
      </c>
      <c r="AI830" t="str">
        <f t="shared" si="332"/>
        <v>No usa</v>
      </c>
      <c r="AJ830">
        <v>0</v>
      </c>
      <c r="AK830" t="str">
        <f t="shared" si="333"/>
        <v>No usa</v>
      </c>
      <c r="AL830">
        <v>0</v>
      </c>
      <c r="AM830" t="str">
        <f t="shared" si="334"/>
        <v>No usa</v>
      </c>
      <c r="AN830">
        <v>1</v>
      </c>
      <c r="AO830" t="str">
        <f t="shared" si="335"/>
        <v>Usa Transporte</v>
      </c>
      <c r="AP830">
        <v>0</v>
      </c>
      <c r="AQ830" t="str">
        <f t="shared" si="336"/>
        <v>No camina</v>
      </c>
      <c r="AR830">
        <v>0</v>
      </c>
      <c r="AS830" t="str">
        <f t="shared" si="337"/>
        <v>No es obeso</v>
      </c>
    </row>
    <row r="831" spans="1:45" x14ac:dyDescent="0.25">
      <c r="A831">
        <v>0</v>
      </c>
      <c r="B831" t="str">
        <f t="shared" si="312"/>
        <v>F</v>
      </c>
      <c r="C831">
        <v>21198217</v>
      </c>
      <c r="D831">
        <f t="shared" si="313"/>
        <v>58</v>
      </c>
      <c r="E831">
        <f t="shared" si="314"/>
        <v>58</v>
      </c>
      <c r="F831" t="str">
        <f t="shared" si="315"/>
        <v>50-75</v>
      </c>
      <c r="G831">
        <v>1</v>
      </c>
      <c r="H831" t="str">
        <f t="shared" si="316"/>
        <v>Pariente gordo</v>
      </c>
      <c r="I831">
        <v>1</v>
      </c>
      <c r="J831" t="str">
        <f t="shared" si="317"/>
        <v>Hipercaloricos</v>
      </c>
      <c r="K831">
        <v>2510583</v>
      </c>
      <c r="L831">
        <f t="shared" si="318"/>
        <v>1</v>
      </c>
      <c r="M831" t="str">
        <f t="shared" si="319"/>
        <v>Suele comer</v>
      </c>
      <c r="N831">
        <v>1</v>
      </c>
      <c r="O831">
        <f t="shared" si="320"/>
        <v>1</v>
      </c>
      <c r="P831">
        <f t="shared" si="321"/>
        <v>3</v>
      </c>
      <c r="Q831">
        <v>1</v>
      </c>
      <c r="R831" t="str">
        <f t="shared" si="322"/>
        <v>A veces</v>
      </c>
      <c r="S831">
        <v>0</v>
      </c>
      <c r="T831" t="str">
        <f t="shared" si="323"/>
        <v>No fuma</v>
      </c>
      <c r="U831">
        <v>2</v>
      </c>
      <c r="V831">
        <f t="shared" si="324"/>
        <v>2</v>
      </c>
      <c r="W831" t="str">
        <f t="shared" si="325"/>
        <v>Siempre</v>
      </c>
      <c r="X831">
        <v>0</v>
      </c>
      <c r="Y831" t="str">
        <f t="shared" si="326"/>
        <v>No controla</v>
      </c>
      <c r="Z831">
        <v>2119682</v>
      </c>
      <c r="AA831">
        <f t="shared" si="327"/>
        <v>3</v>
      </c>
      <c r="AB831" t="str">
        <f t="shared" si="328"/>
        <v>Siempre</v>
      </c>
      <c r="AC831">
        <v>0</v>
      </c>
      <c r="AD831">
        <f t="shared" si="329"/>
        <v>0</v>
      </c>
      <c r="AE831" t="str">
        <f t="shared" si="330"/>
        <v>Nunca</v>
      </c>
      <c r="AF831">
        <v>1</v>
      </c>
      <c r="AG831" t="str">
        <f t="shared" si="331"/>
        <v>A veces</v>
      </c>
      <c r="AH831">
        <v>0</v>
      </c>
      <c r="AI831" t="str">
        <f t="shared" si="332"/>
        <v>No usa</v>
      </c>
      <c r="AJ831">
        <v>0</v>
      </c>
      <c r="AK831" t="str">
        <f t="shared" si="333"/>
        <v>No usa</v>
      </c>
      <c r="AL831">
        <v>0</v>
      </c>
      <c r="AM831" t="str">
        <f t="shared" si="334"/>
        <v>No usa</v>
      </c>
      <c r="AN831">
        <v>1</v>
      </c>
      <c r="AO831" t="str">
        <f t="shared" si="335"/>
        <v>Usa Transporte</v>
      </c>
      <c r="AP831">
        <v>0</v>
      </c>
      <c r="AQ831" t="str">
        <f t="shared" si="336"/>
        <v>No camina</v>
      </c>
      <c r="AR831">
        <v>0</v>
      </c>
      <c r="AS831" t="str">
        <f t="shared" si="337"/>
        <v>No es obeso</v>
      </c>
    </row>
    <row r="832" spans="1:45" x14ac:dyDescent="0.25">
      <c r="A832">
        <v>1</v>
      </c>
      <c r="B832" t="str">
        <f t="shared" si="312"/>
        <v>M</v>
      </c>
      <c r="C832">
        <v>21</v>
      </c>
      <c r="D832">
        <f t="shared" si="313"/>
        <v>21</v>
      </c>
      <c r="E832">
        <f t="shared" si="314"/>
        <v>21</v>
      </c>
      <c r="F832" t="str">
        <f t="shared" si="315"/>
        <v>1-25</v>
      </c>
      <c r="G832">
        <v>0</v>
      </c>
      <c r="H832" t="str">
        <f t="shared" si="316"/>
        <v>Pariente normal</v>
      </c>
      <c r="I832">
        <v>1</v>
      </c>
      <c r="J832" t="str">
        <f t="shared" si="317"/>
        <v>Hipercaloricos</v>
      </c>
      <c r="K832">
        <v>2</v>
      </c>
      <c r="L832">
        <f t="shared" si="318"/>
        <v>1</v>
      </c>
      <c r="M832" t="str">
        <f t="shared" si="319"/>
        <v>Suele comer</v>
      </c>
      <c r="N832">
        <v>1</v>
      </c>
      <c r="O832">
        <f t="shared" si="320"/>
        <v>1</v>
      </c>
      <c r="P832">
        <f t="shared" si="321"/>
        <v>3</v>
      </c>
      <c r="Q832">
        <v>0</v>
      </c>
      <c r="R832" t="str">
        <f t="shared" si="322"/>
        <v>Nunca</v>
      </c>
      <c r="S832">
        <v>0</v>
      </c>
      <c r="T832" t="str">
        <f t="shared" si="323"/>
        <v>No fuma</v>
      </c>
      <c r="U832">
        <v>3</v>
      </c>
      <c r="V832">
        <f t="shared" si="324"/>
        <v>2</v>
      </c>
      <c r="W832" t="str">
        <f t="shared" si="325"/>
        <v>Siempre</v>
      </c>
      <c r="X832">
        <v>0</v>
      </c>
      <c r="Y832" t="str">
        <f t="shared" si="326"/>
        <v>No controla</v>
      </c>
      <c r="Z832">
        <v>1</v>
      </c>
      <c r="AA832">
        <f t="shared" si="327"/>
        <v>1</v>
      </c>
      <c r="AB832" t="str">
        <f t="shared" si="328"/>
        <v>A veces</v>
      </c>
      <c r="AC832">
        <v>0</v>
      </c>
      <c r="AD832">
        <f t="shared" si="329"/>
        <v>0</v>
      </c>
      <c r="AE832" t="str">
        <f t="shared" si="330"/>
        <v>Nunca</v>
      </c>
      <c r="AF832">
        <v>1</v>
      </c>
      <c r="AG832" t="str">
        <f t="shared" si="331"/>
        <v>A veces</v>
      </c>
      <c r="AH832">
        <v>0</v>
      </c>
      <c r="AI832" t="str">
        <f t="shared" si="332"/>
        <v>No usa</v>
      </c>
      <c r="AJ832">
        <v>0</v>
      </c>
      <c r="AK832" t="str">
        <f t="shared" si="333"/>
        <v>No usa</v>
      </c>
      <c r="AL832">
        <v>0</v>
      </c>
      <c r="AM832" t="str">
        <f t="shared" si="334"/>
        <v>No usa</v>
      </c>
      <c r="AN832">
        <v>1</v>
      </c>
      <c r="AO832" t="str">
        <f t="shared" si="335"/>
        <v>Usa Transporte</v>
      </c>
      <c r="AP832">
        <v>0</v>
      </c>
      <c r="AQ832" t="str">
        <f t="shared" si="336"/>
        <v>No camina</v>
      </c>
      <c r="AR832">
        <v>0</v>
      </c>
      <c r="AS832" t="str">
        <f t="shared" si="337"/>
        <v>No es obeso</v>
      </c>
    </row>
    <row r="833" spans="1:45" x14ac:dyDescent="0.25">
      <c r="A833">
        <v>1</v>
      </c>
      <c r="B833" t="str">
        <f t="shared" si="312"/>
        <v>M</v>
      </c>
      <c r="C833">
        <v>21</v>
      </c>
      <c r="D833">
        <f t="shared" si="313"/>
        <v>21</v>
      </c>
      <c r="E833">
        <f t="shared" si="314"/>
        <v>21</v>
      </c>
      <c r="F833" t="str">
        <f t="shared" si="315"/>
        <v>1-25</v>
      </c>
      <c r="G833">
        <v>0</v>
      </c>
      <c r="H833" t="str">
        <f t="shared" si="316"/>
        <v>Pariente normal</v>
      </c>
      <c r="I833">
        <v>1</v>
      </c>
      <c r="J833" t="str">
        <f t="shared" si="317"/>
        <v>Hipercaloricos</v>
      </c>
      <c r="K833">
        <v>2</v>
      </c>
      <c r="L833">
        <f t="shared" si="318"/>
        <v>1</v>
      </c>
      <c r="M833" t="str">
        <f t="shared" si="319"/>
        <v>Suele comer</v>
      </c>
      <c r="N833">
        <v>1</v>
      </c>
      <c r="O833">
        <f t="shared" si="320"/>
        <v>1</v>
      </c>
      <c r="P833">
        <f t="shared" si="321"/>
        <v>3</v>
      </c>
      <c r="Q833">
        <v>0</v>
      </c>
      <c r="R833" t="str">
        <f t="shared" si="322"/>
        <v>Nunca</v>
      </c>
      <c r="S833">
        <v>0</v>
      </c>
      <c r="T833" t="str">
        <f t="shared" si="323"/>
        <v>No fuma</v>
      </c>
      <c r="U833">
        <v>3</v>
      </c>
      <c r="V833">
        <f t="shared" si="324"/>
        <v>2</v>
      </c>
      <c r="W833" t="str">
        <f t="shared" si="325"/>
        <v>Siempre</v>
      </c>
      <c r="X833">
        <v>0</v>
      </c>
      <c r="Y833" t="str">
        <f t="shared" si="326"/>
        <v>No controla</v>
      </c>
      <c r="Z833">
        <v>1</v>
      </c>
      <c r="AA833">
        <f t="shared" si="327"/>
        <v>1</v>
      </c>
      <c r="AB833" t="str">
        <f t="shared" si="328"/>
        <v>A veces</v>
      </c>
      <c r="AC833">
        <v>0</v>
      </c>
      <c r="AD833">
        <f t="shared" si="329"/>
        <v>0</v>
      </c>
      <c r="AE833" t="str">
        <f t="shared" si="330"/>
        <v>Nunca</v>
      </c>
      <c r="AF833">
        <v>1</v>
      </c>
      <c r="AG833" t="str">
        <f t="shared" si="331"/>
        <v>A veces</v>
      </c>
      <c r="AH833">
        <v>0</v>
      </c>
      <c r="AI833" t="str">
        <f t="shared" si="332"/>
        <v>No usa</v>
      </c>
      <c r="AJ833">
        <v>0</v>
      </c>
      <c r="AK833" t="str">
        <f t="shared" si="333"/>
        <v>No usa</v>
      </c>
      <c r="AL833">
        <v>0</v>
      </c>
      <c r="AM833" t="str">
        <f t="shared" si="334"/>
        <v>No usa</v>
      </c>
      <c r="AN833">
        <v>1</v>
      </c>
      <c r="AO833" t="str">
        <f t="shared" si="335"/>
        <v>Usa Transporte</v>
      </c>
      <c r="AP833">
        <v>0</v>
      </c>
      <c r="AQ833" t="str">
        <f t="shared" si="336"/>
        <v>No camina</v>
      </c>
      <c r="AR833">
        <v>0</v>
      </c>
      <c r="AS833" t="str">
        <f t="shared" si="337"/>
        <v>No es obeso</v>
      </c>
    </row>
    <row r="834" spans="1:45" x14ac:dyDescent="0.25">
      <c r="A834">
        <v>1</v>
      </c>
      <c r="B834" t="str">
        <f t="shared" si="312"/>
        <v>M</v>
      </c>
      <c r="C834">
        <v>21</v>
      </c>
      <c r="D834">
        <f t="shared" si="313"/>
        <v>21</v>
      </c>
      <c r="E834">
        <f t="shared" si="314"/>
        <v>21</v>
      </c>
      <c r="F834" t="str">
        <f t="shared" si="315"/>
        <v>1-25</v>
      </c>
      <c r="G834">
        <v>0</v>
      </c>
      <c r="H834" t="str">
        <f t="shared" si="316"/>
        <v>Pariente normal</v>
      </c>
      <c r="I834">
        <v>1</v>
      </c>
      <c r="J834" t="str">
        <f t="shared" si="317"/>
        <v>Hipercaloricos</v>
      </c>
      <c r="K834">
        <v>2</v>
      </c>
      <c r="L834">
        <f t="shared" si="318"/>
        <v>1</v>
      </c>
      <c r="M834" t="str">
        <f t="shared" si="319"/>
        <v>Suele comer</v>
      </c>
      <c r="N834">
        <v>1</v>
      </c>
      <c r="O834">
        <f t="shared" si="320"/>
        <v>1</v>
      </c>
      <c r="P834">
        <f t="shared" si="321"/>
        <v>3</v>
      </c>
      <c r="Q834">
        <v>0</v>
      </c>
      <c r="R834" t="str">
        <f t="shared" si="322"/>
        <v>Nunca</v>
      </c>
      <c r="S834">
        <v>0</v>
      </c>
      <c r="T834" t="str">
        <f t="shared" si="323"/>
        <v>No fuma</v>
      </c>
      <c r="U834">
        <v>3</v>
      </c>
      <c r="V834">
        <f t="shared" si="324"/>
        <v>2</v>
      </c>
      <c r="W834" t="str">
        <f t="shared" si="325"/>
        <v>Siempre</v>
      </c>
      <c r="X834">
        <v>0</v>
      </c>
      <c r="Y834" t="str">
        <f t="shared" si="326"/>
        <v>No controla</v>
      </c>
      <c r="Z834">
        <v>1</v>
      </c>
      <c r="AA834">
        <f t="shared" si="327"/>
        <v>1</v>
      </c>
      <c r="AB834" t="str">
        <f t="shared" si="328"/>
        <v>A veces</v>
      </c>
      <c r="AC834">
        <v>0</v>
      </c>
      <c r="AD834">
        <f t="shared" si="329"/>
        <v>0</v>
      </c>
      <c r="AE834" t="str">
        <f t="shared" si="330"/>
        <v>Nunca</v>
      </c>
      <c r="AF834">
        <v>1</v>
      </c>
      <c r="AG834" t="str">
        <f t="shared" si="331"/>
        <v>A veces</v>
      </c>
      <c r="AH834">
        <v>0</v>
      </c>
      <c r="AI834" t="str">
        <f t="shared" si="332"/>
        <v>No usa</v>
      </c>
      <c r="AJ834">
        <v>0</v>
      </c>
      <c r="AK834" t="str">
        <f t="shared" si="333"/>
        <v>No usa</v>
      </c>
      <c r="AL834">
        <v>0</v>
      </c>
      <c r="AM834" t="str">
        <f t="shared" si="334"/>
        <v>No usa</v>
      </c>
      <c r="AN834">
        <v>1</v>
      </c>
      <c r="AO834" t="str">
        <f t="shared" si="335"/>
        <v>Usa Transporte</v>
      </c>
      <c r="AP834">
        <v>0</v>
      </c>
      <c r="AQ834" t="str">
        <f t="shared" si="336"/>
        <v>No camina</v>
      </c>
      <c r="AR834">
        <v>0</v>
      </c>
      <c r="AS834" t="str">
        <f t="shared" si="337"/>
        <v>No es obeso</v>
      </c>
    </row>
    <row r="835" spans="1:45" x14ac:dyDescent="0.25">
      <c r="A835">
        <v>1</v>
      </c>
      <c r="B835" t="str">
        <f t="shared" ref="B835:B898" si="338">IF(A835=1,"M","F")</f>
        <v>M</v>
      </c>
      <c r="C835">
        <v>21</v>
      </c>
      <c r="D835">
        <f t="shared" ref="D835:D898" si="339">IF(C835&lt;100,C835,ROUNDDOWN((C835/1000)/365,0))</f>
        <v>21</v>
      </c>
      <c r="E835">
        <f t="shared" ref="E835:E898" si="340">IF(AND(D835&gt;1,D835&lt;=100),D835,IF(D835&gt;100,100,5))</f>
        <v>21</v>
      </c>
      <c r="F835" t="str">
        <f t="shared" ref="F835:F898" si="341">IF(AND(E835&gt;=1,E835&lt;=25),"1-25",IF(AND(E835&gt;25,E835&lt;=50),"25-50",IF(AND(E835&gt;50,E835&lt;=75),"50-75","75-100")))</f>
        <v>1-25</v>
      </c>
      <c r="G835">
        <v>0</v>
      </c>
      <c r="H835" t="str">
        <f t="shared" ref="H835:H898" si="342">IF(G835=1,"Pariente gordo","Pariente normal")</f>
        <v>Pariente normal</v>
      </c>
      <c r="I835">
        <v>1</v>
      </c>
      <c r="J835" t="str">
        <f t="shared" ref="J835:J898" si="343">IF(I835=1,"Hipercaloricos","Saludables")</f>
        <v>Hipercaloricos</v>
      </c>
      <c r="K835">
        <v>2</v>
      </c>
      <c r="L835">
        <f t="shared" ref="L835:L898" si="344">IF(AND(K835&gt;=1,K835&lt;=3),1,IF(AND(K835&gt;3,K835&lt;3000000),1))</f>
        <v>1</v>
      </c>
      <c r="M835" t="str">
        <f t="shared" ref="M835:M898" si="345">IF(L835=1,"Suele comer","No come")</f>
        <v>Suele comer</v>
      </c>
      <c r="N835">
        <v>1</v>
      </c>
      <c r="O835">
        <f t="shared" ref="O835:O898" si="346">IF(N835=1,N835,IF(AND(N835&gt;=2,N835&lt;4000000),2))</f>
        <v>1</v>
      </c>
      <c r="P835">
        <f t="shared" ref="P835:P898" si="347">IF(O835=0,"1-2",IF(O835=1,3,"Mas de 3"))</f>
        <v>3</v>
      </c>
      <c r="Q835">
        <v>0</v>
      </c>
      <c r="R835" t="str">
        <f t="shared" ref="R835:R898" si="348">IF(Q835=0,"Nunca",IF(Q835=1,"A veces",IF(Q835=2,"Usualmente","Siempre")))</f>
        <v>Nunca</v>
      </c>
      <c r="S835">
        <v>0</v>
      </c>
      <c r="T835" t="str">
        <f t="shared" ref="T835:T898" si="349">IF(S835=1,"Fuma","No fuma")</f>
        <v>No fuma</v>
      </c>
      <c r="U835">
        <v>3</v>
      </c>
      <c r="V835">
        <f t="shared" ref="V835:V898" si="350">IF(U835=1,U835,IF(U835=2,U835,IF(AND(U835&gt;=3,U835&lt;3000000),2)))</f>
        <v>2</v>
      </c>
      <c r="W835" t="str">
        <f t="shared" ref="W835:W898" si="351">IF(V835=0,"Nunca",IF(V835=1,"Usualmente","Siempre"))</f>
        <v>Siempre</v>
      </c>
      <c r="X835">
        <v>0</v>
      </c>
      <c r="Y835" t="str">
        <f t="shared" ref="Y835:Y898" si="352">IF(X835=1,"Controla","No controla")</f>
        <v>No controla</v>
      </c>
      <c r="Z835">
        <v>1</v>
      </c>
      <c r="AA835">
        <f t="shared" ref="AA835:AA898" si="353">IF(Z835=0,Z835,IF(Z835=1,Z835,IF(Z835=2,Z835,IF(Z835=3,Z835,IF(AND(Z835&gt;3,Z835&lt;300000),2,IF(AND(Z835&gt;300000,Z835&lt;3000000),3,IF(AND(Z835&gt;0,Z835&lt;1),0)))))))</f>
        <v>1</v>
      </c>
      <c r="AB835" t="str">
        <f t="shared" ref="AB835:AB898" si="354">IF(AA835=0,"Nunca",IF(AA835=1,"A veces",IF(AA835=2,"Usualmente","Siempre")))</f>
        <v>A veces</v>
      </c>
      <c r="AC835">
        <v>0</v>
      </c>
      <c r="AD835">
        <f t="shared" ref="AD835:AD898" si="355">IF(AC835= 0,AC835,IF(AC835=1,AC835,IF(AC835=2,AC835,IF(AND(AC835&gt;2,AC835&lt;200000),1,IF(AND(AC835&gt;200000,AC835&lt;2000000),2,IF(AND(AC835&gt;0,AC835&lt;1),0))))))</f>
        <v>0</v>
      </c>
      <c r="AE835" t="str">
        <f t="shared" ref="AE835:AE898" si="356">IF(AD835=0,"Nunca",IF(AD835=1,"Usualmente","Siempre"))</f>
        <v>Nunca</v>
      </c>
      <c r="AF835">
        <v>1</v>
      </c>
      <c r="AG835" t="str">
        <f t="shared" ref="AG835:AG898" si="357">IF(AF835=0,"Nunca",IF(AF835=1,"A veces",IF(AF835=2,"Usualmente","Siempre")))</f>
        <v>A veces</v>
      </c>
      <c r="AH835">
        <v>0</v>
      </c>
      <c r="AI835" t="str">
        <f t="shared" ref="AI835:AI898" si="358">IF(AH835=1,"Usa auto","No usa")</f>
        <v>No usa</v>
      </c>
      <c r="AJ835">
        <v>0</v>
      </c>
      <c r="AK835" t="str">
        <f t="shared" ref="AK835:AK898" si="359">IF(AJ835=1,"Usa Bici","No usa")</f>
        <v>No usa</v>
      </c>
      <c r="AL835">
        <v>0</v>
      </c>
      <c r="AM835" t="str">
        <f t="shared" ref="AM835:AM898" si="360">IF(AL835=1,"Usa Moto","No usa")</f>
        <v>No usa</v>
      </c>
      <c r="AN835">
        <v>1</v>
      </c>
      <c r="AO835" t="str">
        <f t="shared" ref="AO835:AO898" si="361">IF(AN835=1,"Usa Transporte","No usa")</f>
        <v>Usa Transporte</v>
      </c>
      <c r="AP835">
        <v>0</v>
      </c>
      <c r="AQ835" t="str">
        <f t="shared" ref="AQ835:AQ898" si="362">IF(AP835=1,"Camina","No camina")</f>
        <v>No camina</v>
      </c>
      <c r="AR835">
        <v>0</v>
      </c>
      <c r="AS835" t="str">
        <f t="shared" ref="AS835:AS898" si="363">IF(AR835=1,"Es Obeso","No es obeso")</f>
        <v>No es obeso</v>
      </c>
    </row>
    <row r="836" spans="1:45" x14ac:dyDescent="0.25">
      <c r="A836">
        <v>1</v>
      </c>
      <c r="B836" t="str">
        <f t="shared" si="338"/>
        <v>M</v>
      </c>
      <c r="C836">
        <v>21</v>
      </c>
      <c r="D836">
        <f t="shared" si="339"/>
        <v>21</v>
      </c>
      <c r="E836">
        <f t="shared" si="340"/>
        <v>21</v>
      </c>
      <c r="F836" t="str">
        <f t="shared" si="341"/>
        <v>1-25</v>
      </c>
      <c r="G836">
        <v>0</v>
      </c>
      <c r="H836" t="str">
        <f t="shared" si="342"/>
        <v>Pariente normal</v>
      </c>
      <c r="I836">
        <v>1</v>
      </c>
      <c r="J836" t="str">
        <f t="shared" si="343"/>
        <v>Hipercaloricos</v>
      </c>
      <c r="K836">
        <v>2</v>
      </c>
      <c r="L836">
        <f t="shared" si="344"/>
        <v>1</v>
      </c>
      <c r="M836" t="str">
        <f t="shared" si="345"/>
        <v>Suele comer</v>
      </c>
      <c r="N836">
        <v>1</v>
      </c>
      <c r="O836">
        <f t="shared" si="346"/>
        <v>1</v>
      </c>
      <c r="P836">
        <f t="shared" si="347"/>
        <v>3</v>
      </c>
      <c r="Q836">
        <v>0</v>
      </c>
      <c r="R836" t="str">
        <f t="shared" si="348"/>
        <v>Nunca</v>
      </c>
      <c r="S836">
        <v>0</v>
      </c>
      <c r="T836" t="str">
        <f t="shared" si="349"/>
        <v>No fuma</v>
      </c>
      <c r="U836">
        <v>3</v>
      </c>
      <c r="V836">
        <f t="shared" si="350"/>
        <v>2</v>
      </c>
      <c r="W836" t="str">
        <f t="shared" si="351"/>
        <v>Siempre</v>
      </c>
      <c r="X836">
        <v>0</v>
      </c>
      <c r="Y836" t="str">
        <f t="shared" si="352"/>
        <v>No controla</v>
      </c>
      <c r="Z836">
        <v>1</v>
      </c>
      <c r="AA836">
        <f t="shared" si="353"/>
        <v>1</v>
      </c>
      <c r="AB836" t="str">
        <f t="shared" si="354"/>
        <v>A veces</v>
      </c>
      <c r="AC836">
        <v>0</v>
      </c>
      <c r="AD836">
        <f t="shared" si="355"/>
        <v>0</v>
      </c>
      <c r="AE836" t="str">
        <f t="shared" si="356"/>
        <v>Nunca</v>
      </c>
      <c r="AF836">
        <v>1</v>
      </c>
      <c r="AG836" t="str">
        <f t="shared" si="357"/>
        <v>A veces</v>
      </c>
      <c r="AH836">
        <v>0</v>
      </c>
      <c r="AI836" t="str">
        <f t="shared" si="358"/>
        <v>No usa</v>
      </c>
      <c r="AJ836">
        <v>0</v>
      </c>
      <c r="AK836" t="str">
        <f t="shared" si="359"/>
        <v>No usa</v>
      </c>
      <c r="AL836">
        <v>0</v>
      </c>
      <c r="AM836" t="str">
        <f t="shared" si="360"/>
        <v>No usa</v>
      </c>
      <c r="AN836">
        <v>1</v>
      </c>
      <c r="AO836" t="str">
        <f t="shared" si="361"/>
        <v>Usa Transporte</v>
      </c>
      <c r="AP836">
        <v>0</v>
      </c>
      <c r="AQ836" t="str">
        <f t="shared" si="362"/>
        <v>No camina</v>
      </c>
      <c r="AR836">
        <v>0</v>
      </c>
      <c r="AS836" t="str">
        <f t="shared" si="363"/>
        <v>No es obeso</v>
      </c>
    </row>
    <row r="837" spans="1:45" x14ac:dyDescent="0.25">
      <c r="A837">
        <v>0</v>
      </c>
      <c r="B837" t="str">
        <f t="shared" si="338"/>
        <v>F</v>
      </c>
      <c r="C837">
        <v>2932038</v>
      </c>
      <c r="D837">
        <f t="shared" si="339"/>
        <v>8</v>
      </c>
      <c r="E837">
        <f t="shared" si="340"/>
        <v>8</v>
      </c>
      <c r="F837" t="str">
        <f t="shared" si="341"/>
        <v>1-25</v>
      </c>
      <c r="G837">
        <v>1</v>
      </c>
      <c r="H837" t="str">
        <f t="shared" si="342"/>
        <v>Pariente gordo</v>
      </c>
      <c r="I837">
        <v>1</v>
      </c>
      <c r="J837" t="str">
        <f t="shared" si="343"/>
        <v>Hipercaloricos</v>
      </c>
      <c r="K837">
        <v>2366949</v>
      </c>
      <c r="L837">
        <f t="shared" si="344"/>
        <v>1</v>
      </c>
      <c r="M837" t="str">
        <f t="shared" si="345"/>
        <v>Suele comer</v>
      </c>
      <c r="N837">
        <v>3</v>
      </c>
      <c r="O837">
        <f t="shared" si="346"/>
        <v>2</v>
      </c>
      <c r="P837" t="str">
        <f t="shared" si="347"/>
        <v>Mas de 3</v>
      </c>
      <c r="Q837">
        <v>1</v>
      </c>
      <c r="R837" t="str">
        <f t="shared" si="348"/>
        <v>A veces</v>
      </c>
      <c r="S837">
        <v>0</v>
      </c>
      <c r="T837" t="str">
        <f t="shared" si="349"/>
        <v>No fuma</v>
      </c>
      <c r="U837">
        <v>1926577</v>
      </c>
      <c r="V837">
        <f t="shared" si="350"/>
        <v>2</v>
      </c>
      <c r="W837" t="str">
        <f t="shared" si="351"/>
        <v>Siempre</v>
      </c>
      <c r="X837">
        <v>0</v>
      </c>
      <c r="Y837" t="str">
        <f t="shared" si="352"/>
        <v>No controla</v>
      </c>
      <c r="Z837">
        <v>1581242</v>
      </c>
      <c r="AA837">
        <f t="shared" si="353"/>
        <v>3</v>
      </c>
      <c r="AB837" t="str">
        <f t="shared" si="354"/>
        <v>Siempre</v>
      </c>
      <c r="AC837">
        <v>0</v>
      </c>
      <c r="AD837">
        <f t="shared" si="355"/>
        <v>0</v>
      </c>
      <c r="AE837" t="str">
        <f t="shared" si="356"/>
        <v>Nunca</v>
      </c>
      <c r="AF837">
        <v>1</v>
      </c>
      <c r="AG837" t="str">
        <f t="shared" si="357"/>
        <v>A veces</v>
      </c>
      <c r="AH837">
        <v>1</v>
      </c>
      <c r="AI837" t="str">
        <f t="shared" si="358"/>
        <v>Usa auto</v>
      </c>
      <c r="AJ837">
        <v>0</v>
      </c>
      <c r="AK837" t="str">
        <f t="shared" si="359"/>
        <v>No usa</v>
      </c>
      <c r="AL837">
        <v>0</v>
      </c>
      <c r="AM837" t="str">
        <f t="shared" si="360"/>
        <v>No usa</v>
      </c>
      <c r="AN837">
        <v>0</v>
      </c>
      <c r="AO837" t="str">
        <f t="shared" si="361"/>
        <v>No usa</v>
      </c>
      <c r="AP837">
        <v>0</v>
      </c>
      <c r="AQ837" t="str">
        <f t="shared" si="362"/>
        <v>No camina</v>
      </c>
      <c r="AR837">
        <v>0</v>
      </c>
      <c r="AS837" t="str">
        <f t="shared" si="363"/>
        <v>No es obeso</v>
      </c>
    </row>
    <row r="838" spans="1:45" x14ac:dyDescent="0.25">
      <c r="A838">
        <v>0</v>
      </c>
      <c r="B838" t="str">
        <f t="shared" si="338"/>
        <v>F</v>
      </c>
      <c r="C838">
        <v>31255587</v>
      </c>
      <c r="D838">
        <f t="shared" si="339"/>
        <v>85</v>
      </c>
      <c r="E838">
        <f t="shared" si="340"/>
        <v>85</v>
      </c>
      <c r="F838" t="str">
        <f t="shared" si="341"/>
        <v>75-100</v>
      </c>
      <c r="G838">
        <v>1</v>
      </c>
      <c r="H838" t="str">
        <f t="shared" si="342"/>
        <v>Pariente gordo</v>
      </c>
      <c r="I838">
        <v>1</v>
      </c>
      <c r="J838" t="str">
        <f t="shared" si="343"/>
        <v>Hipercaloricos</v>
      </c>
      <c r="K838">
        <v>2615788</v>
      </c>
      <c r="L838">
        <f t="shared" si="344"/>
        <v>1</v>
      </c>
      <c r="M838" t="str">
        <f t="shared" si="345"/>
        <v>Suele comer</v>
      </c>
      <c r="N838">
        <v>3</v>
      </c>
      <c r="O838">
        <f t="shared" si="346"/>
        <v>2</v>
      </c>
      <c r="P838" t="str">
        <f t="shared" si="347"/>
        <v>Mas de 3</v>
      </c>
      <c r="Q838">
        <v>1</v>
      </c>
      <c r="R838" t="str">
        <f t="shared" si="348"/>
        <v>A veces</v>
      </c>
      <c r="S838">
        <v>0</v>
      </c>
      <c r="T838" t="str">
        <f t="shared" si="349"/>
        <v>No fuma</v>
      </c>
      <c r="U838">
        <v>1771781</v>
      </c>
      <c r="V838">
        <f t="shared" si="350"/>
        <v>2</v>
      </c>
      <c r="W838" t="str">
        <f t="shared" si="351"/>
        <v>Siempre</v>
      </c>
      <c r="X838">
        <v>0</v>
      </c>
      <c r="Y838" t="str">
        <f t="shared" si="352"/>
        <v>No controla</v>
      </c>
      <c r="Z838">
        <v>0.75942200000000004</v>
      </c>
      <c r="AA838">
        <f t="shared" si="353"/>
        <v>0</v>
      </c>
      <c r="AB838" t="str">
        <f t="shared" si="354"/>
        <v>Nunca</v>
      </c>
      <c r="AC838">
        <v>0.68652899999999994</v>
      </c>
      <c r="AD838">
        <f t="shared" si="355"/>
        <v>0</v>
      </c>
      <c r="AE838" t="str">
        <f t="shared" si="356"/>
        <v>Nunca</v>
      </c>
      <c r="AF838">
        <v>1</v>
      </c>
      <c r="AG838" t="str">
        <f t="shared" si="357"/>
        <v>A veces</v>
      </c>
      <c r="AH838">
        <v>1</v>
      </c>
      <c r="AI838" t="str">
        <f t="shared" si="358"/>
        <v>Usa auto</v>
      </c>
      <c r="AJ838">
        <v>0</v>
      </c>
      <c r="AK838" t="str">
        <f t="shared" si="359"/>
        <v>No usa</v>
      </c>
      <c r="AL838">
        <v>0</v>
      </c>
      <c r="AM838" t="str">
        <f t="shared" si="360"/>
        <v>No usa</v>
      </c>
      <c r="AN838">
        <v>0</v>
      </c>
      <c r="AO838" t="str">
        <f t="shared" si="361"/>
        <v>No usa</v>
      </c>
      <c r="AP838">
        <v>0</v>
      </c>
      <c r="AQ838" t="str">
        <f t="shared" si="362"/>
        <v>No camina</v>
      </c>
      <c r="AR838">
        <v>0</v>
      </c>
      <c r="AS838" t="str">
        <f t="shared" si="363"/>
        <v>No es obeso</v>
      </c>
    </row>
    <row r="839" spans="1:45" x14ac:dyDescent="0.25">
      <c r="A839">
        <v>1</v>
      </c>
      <c r="B839" t="str">
        <f t="shared" si="338"/>
        <v>M</v>
      </c>
      <c r="C839">
        <v>22851773</v>
      </c>
      <c r="D839">
        <f t="shared" si="339"/>
        <v>62</v>
      </c>
      <c r="E839">
        <f t="shared" si="340"/>
        <v>62</v>
      </c>
      <c r="F839" t="str">
        <f t="shared" si="341"/>
        <v>50-75</v>
      </c>
      <c r="G839">
        <v>1</v>
      </c>
      <c r="H839" t="str">
        <f t="shared" si="342"/>
        <v>Pariente gordo</v>
      </c>
      <c r="I839">
        <v>1</v>
      </c>
      <c r="J839" t="str">
        <f t="shared" si="343"/>
        <v>Hipercaloricos</v>
      </c>
      <c r="K839">
        <v>3</v>
      </c>
      <c r="L839">
        <f t="shared" si="344"/>
        <v>1</v>
      </c>
      <c r="M839" t="str">
        <f t="shared" si="345"/>
        <v>Suele comer</v>
      </c>
      <c r="N839">
        <v>1</v>
      </c>
      <c r="O839">
        <f t="shared" si="346"/>
        <v>1</v>
      </c>
      <c r="P839">
        <f t="shared" si="347"/>
        <v>3</v>
      </c>
      <c r="Q839">
        <v>1</v>
      </c>
      <c r="R839" t="str">
        <f t="shared" si="348"/>
        <v>A veces</v>
      </c>
      <c r="S839">
        <v>0</v>
      </c>
      <c r="T839" t="str">
        <f t="shared" si="349"/>
        <v>No fuma</v>
      </c>
      <c r="U839">
        <v>2</v>
      </c>
      <c r="V839">
        <f t="shared" si="350"/>
        <v>2</v>
      </c>
      <c r="W839" t="str">
        <f t="shared" si="351"/>
        <v>Siempre</v>
      </c>
      <c r="X839">
        <v>0</v>
      </c>
      <c r="Y839" t="str">
        <f t="shared" si="352"/>
        <v>No controla</v>
      </c>
      <c r="Z839">
        <v>2315983</v>
      </c>
      <c r="AA839">
        <f t="shared" si="353"/>
        <v>3</v>
      </c>
      <c r="AB839" t="str">
        <f t="shared" si="354"/>
        <v>Siempre</v>
      </c>
      <c r="AC839">
        <v>0</v>
      </c>
      <c r="AD839">
        <f t="shared" si="355"/>
        <v>0</v>
      </c>
      <c r="AE839" t="str">
        <f t="shared" si="356"/>
        <v>Nunca</v>
      </c>
      <c r="AF839">
        <v>1</v>
      </c>
      <c r="AG839" t="str">
        <f t="shared" si="357"/>
        <v>A veces</v>
      </c>
      <c r="AH839">
        <v>0</v>
      </c>
      <c r="AI839" t="str">
        <f t="shared" si="358"/>
        <v>No usa</v>
      </c>
      <c r="AJ839">
        <v>0</v>
      </c>
      <c r="AK839" t="str">
        <f t="shared" si="359"/>
        <v>No usa</v>
      </c>
      <c r="AL839">
        <v>0</v>
      </c>
      <c r="AM839" t="str">
        <f t="shared" si="360"/>
        <v>No usa</v>
      </c>
      <c r="AN839">
        <v>1</v>
      </c>
      <c r="AO839" t="str">
        <f t="shared" si="361"/>
        <v>Usa Transporte</v>
      </c>
      <c r="AP839">
        <v>0</v>
      </c>
      <c r="AQ839" t="str">
        <f t="shared" si="362"/>
        <v>No camina</v>
      </c>
      <c r="AR839">
        <v>0</v>
      </c>
      <c r="AS839" t="str">
        <f t="shared" si="363"/>
        <v>No es obeso</v>
      </c>
    </row>
    <row r="840" spans="1:45" x14ac:dyDescent="0.25">
      <c r="A840">
        <v>1</v>
      </c>
      <c r="B840" t="str">
        <f t="shared" si="338"/>
        <v>M</v>
      </c>
      <c r="C840">
        <v>26</v>
      </c>
      <c r="D840">
        <f t="shared" si="339"/>
        <v>26</v>
      </c>
      <c r="E840">
        <f t="shared" si="340"/>
        <v>26</v>
      </c>
      <c r="F840" t="str">
        <f t="shared" si="341"/>
        <v>25-50</v>
      </c>
      <c r="G840">
        <v>1</v>
      </c>
      <c r="H840" t="str">
        <f t="shared" si="342"/>
        <v>Pariente gordo</v>
      </c>
      <c r="I840">
        <v>1</v>
      </c>
      <c r="J840" t="str">
        <f t="shared" si="343"/>
        <v>Hipercaloricos</v>
      </c>
      <c r="K840">
        <v>2217267</v>
      </c>
      <c r="L840">
        <f t="shared" si="344"/>
        <v>1</v>
      </c>
      <c r="M840" t="str">
        <f t="shared" si="345"/>
        <v>Suele comer</v>
      </c>
      <c r="N840">
        <v>1193589</v>
      </c>
      <c r="O840">
        <f t="shared" si="346"/>
        <v>2</v>
      </c>
      <c r="P840" t="str">
        <f t="shared" si="347"/>
        <v>Mas de 3</v>
      </c>
      <c r="Q840">
        <v>1</v>
      </c>
      <c r="R840" t="str">
        <f t="shared" si="348"/>
        <v>A veces</v>
      </c>
      <c r="S840">
        <v>0</v>
      </c>
      <c r="T840" t="str">
        <f t="shared" si="349"/>
        <v>No fuma</v>
      </c>
      <c r="U840">
        <v>2</v>
      </c>
      <c r="V840">
        <f t="shared" si="350"/>
        <v>2</v>
      </c>
      <c r="W840" t="str">
        <f t="shared" si="351"/>
        <v>Siempre</v>
      </c>
      <c r="X840">
        <v>0</v>
      </c>
      <c r="Y840" t="str">
        <f t="shared" si="352"/>
        <v>No controla</v>
      </c>
      <c r="Z840">
        <v>2</v>
      </c>
      <c r="AA840">
        <f t="shared" si="353"/>
        <v>2</v>
      </c>
      <c r="AB840" t="str">
        <f t="shared" si="354"/>
        <v>Usualmente</v>
      </c>
      <c r="AC840">
        <v>0</v>
      </c>
      <c r="AD840">
        <f t="shared" si="355"/>
        <v>0</v>
      </c>
      <c r="AE840" t="str">
        <f t="shared" si="356"/>
        <v>Nunca</v>
      </c>
      <c r="AF840">
        <v>1</v>
      </c>
      <c r="AG840" t="str">
        <f t="shared" si="357"/>
        <v>A veces</v>
      </c>
      <c r="AH840">
        <v>0</v>
      </c>
      <c r="AI840" t="str">
        <f t="shared" si="358"/>
        <v>No usa</v>
      </c>
      <c r="AJ840">
        <v>0</v>
      </c>
      <c r="AK840" t="str">
        <f t="shared" si="359"/>
        <v>No usa</v>
      </c>
      <c r="AL840">
        <v>0</v>
      </c>
      <c r="AM840" t="str">
        <f t="shared" si="360"/>
        <v>No usa</v>
      </c>
      <c r="AN840">
        <v>1</v>
      </c>
      <c r="AO840" t="str">
        <f t="shared" si="361"/>
        <v>Usa Transporte</v>
      </c>
      <c r="AP840">
        <v>0</v>
      </c>
      <c r="AQ840" t="str">
        <f t="shared" si="362"/>
        <v>No camina</v>
      </c>
      <c r="AR840">
        <v>0</v>
      </c>
      <c r="AS840" t="str">
        <f t="shared" si="363"/>
        <v>No es obeso</v>
      </c>
    </row>
    <row r="841" spans="1:45" x14ac:dyDescent="0.25">
      <c r="A841">
        <v>1</v>
      </c>
      <c r="B841" t="str">
        <f t="shared" si="338"/>
        <v>M</v>
      </c>
      <c r="C841">
        <v>19789291</v>
      </c>
      <c r="D841">
        <f t="shared" si="339"/>
        <v>54</v>
      </c>
      <c r="E841">
        <f t="shared" si="340"/>
        <v>54</v>
      </c>
      <c r="F841" t="str">
        <f t="shared" si="341"/>
        <v>50-75</v>
      </c>
      <c r="G841">
        <v>1</v>
      </c>
      <c r="H841" t="str">
        <f t="shared" si="342"/>
        <v>Pariente gordo</v>
      </c>
      <c r="I841">
        <v>1</v>
      </c>
      <c r="J841" t="str">
        <f t="shared" si="343"/>
        <v>Hipercaloricos</v>
      </c>
      <c r="K841">
        <v>3</v>
      </c>
      <c r="L841">
        <f t="shared" si="344"/>
        <v>1</v>
      </c>
      <c r="M841" t="str">
        <f t="shared" si="345"/>
        <v>Suele comer</v>
      </c>
      <c r="N841">
        <v>3</v>
      </c>
      <c r="O841">
        <f t="shared" si="346"/>
        <v>2</v>
      </c>
      <c r="P841" t="str">
        <f t="shared" si="347"/>
        <v>Mas de 3</v>
      </c>
      <c r="Q841">
        <v>1</v>
      </c>
      <c r="R841" t="str">
        <f t="shared" si="348"/>
        <v>A veces</v>
      </c>
      <c r="S841">
        <v>0</v>
      </c>
      <c r="T841" t="str">
        <f t="shared" si="349"/>
        <v>No fuma</v>
      </c>
      <c r="U841">
        <v>2759246</v>
      </c>
      <c r="V841">
        <f t="shared" si="350"/>
        <v>2</v>
      </c>
      <c r="W841" t="str">
        <f t="shared" si="351"/>
        <v>Siempre</v>
      </c>
      <c r="X841">
        <v>0</v>
      </c>
      <c r="Y841" t="str">
        <f t="shared" si="352"/>
        <v>No controla</v>
      </c>
      <c r="Z841">
        <v>1763277</v>
      </c>
      <c r="AA841">
        <f t="shared" si="353"/>
        <v>3</v>
      </c>
      <c r="AB841" t="str">
        <f t="shared" si="354"/>
        <v>Siempre</v>
      </c>
      <c r="AC841">
        <v>0.45331399999999999</v>
      </c>
      <c r="AD841">
        <f t="shared" si="355"/>
        <v>0</v>
      </c>
      <c r="AE841" t="str">
        <f t="shared" si="356"/>
        <v>Nunca</v>
      </c>
      <c r="AF841">
        <v>1</v>
      </c>
      <c r="AG841" t="str">
        <f t="shared" si="357"/>
        <v>A veces</v>
      </c>
      <c r="AH841">
        <v>0</v>
      </c>
      <c r="AI841" t="str">
        <f t="shared" si="358"/>
        <v>No usa</v>
      </c>
      <c r="AJ841">
        <v>0</v>
      </c>
      <c r="AK841" t="str">
        <f t="shared" si="359"/>
        <v>No usa</v>
      </c>
      <c r="AL841">
        <v>0</v>
      </c>
      <c r="AM841" t="str">
        <f t="shared" si="360"/>
        <v>No usa</v>
      </c>
      <c r="AN841">
        <v>1</v>
      </c>
      <c r="AO841" t="str">
        <f t="shared" si="361"/>
        <v>Usa Transporte</v>
      </c>
      <c r="AP841">
        <v>0</v>
      </c>
      <c r="AQ841" t="str">
        <f t="shared" si="362"/>
        <v>No camina</v>
      </c>
      <c r="AR841">
        <v>0</v>
      </c>
      <c r="AS841" t="str">
        <f t="shared" si="363"/>
        <v>No es obeso</v>
      </c>
    </row>
    <row r="842" spans="1:45" x14ac:dyDescent="0.25">
      <c r="A842">
        <v>1</v>
      </c>
      <c r="B842" t="str">
        <f t="shared" si="338"/>
        <v>M</v>
      </c>
      <c r="C842">
        <v>19895877</v>
      </c>
      <c r="D842">
        <f t="shared" si="339"/>
        <v>54</v>
      </c>
      <c r="E842">
        <f t="shared" si="340"/>
        <v>54</v>
      </c>
      <c r="F842" t="str">
        <f t="shared" si="341"/>
        <v>50-75</v>
      </c>
      <c r="G842">
        <v>1</v>
      </c>
      <c r="H842" t="str">
        <f t="shared" si="342"/>
        <v>Pariente gordo</v>
      </c>
      <c r="I842">
        <v>1</v>
      </c>
      <c r="J842" t="str">
        <f t="shared" si="343"/>
        <v>Hipercaloricos</v>
      </c>
      <c r="K842">
        <v>2801514</v>
      </c>
      <c r="L842">
        <f t="shared" si="344"/>
        <v>1</v>
      </c>
      <c r="M842" t="str">
        <f t="shared" si="345"/>
        <v>Suele comer</v>
      </c>
      <c r="N842">
        <v>3</v>
      </c>
      <c r="O842">
        <f t="shared" si="346"/>
        <v>2</v>
      </c>
      <c r="P842" t="str">
        <f t="shared" si="347"/>
        <v>Mas de 3</v>
      </c>
      <c r="Q842">
        <v>1</v>
      </c>
      <c r="R842" t="str">
        <f t="shared" si="348"/>
        <v>A veces</v>
      </c>
      <c r="S842">
        <v>0</v>
      </c>
      <c r="T842" t="str">
        <f t="shared" si="349"/>
        <v>No fuma</v>
      </c>
      <c r="U842">
        <v>2734782</v>
      </c>
      <c r="V842">
        <f t="shared" si="350"/>
        <v>2</v>
      </c>
      <c r="W842" t="str">
        <f t="shared" si="351"/>
        <v>Siempre</v>
      </c>
      <c r="X842">
        <v>0</v>
      </c>
      <c r="Y842" t="str">
        <f t="shared" si="352"/>
        <v>No controla</v>
      </c>
      <c r="Z842">
        <v>2207881</v>
      </c>
      <c r="AA842">
        <f t="shared" si="353"/>
        <v>3</v>
      </c>
      <c r="AB842" t="str">
        <f t="shared" si="354"/>
        <v>Siempre</v>
      </c>
      <c r="AC842">
        <v>0.143675</v>
      </c>
      <c r="AD842">
        <f t="shared" si="355"/>
        <v>0</v>
      </c>
      <c r="AE842" t="str">
        <f t="shared" si="356"/>
        <v>Nunca</v>
      </c>
      <c r="AF842">
        <v>1</v>
      </c>
      <c r="AG842" t="str">
        <f t="shared" si="357"/>
        <v>A veces</v>
      </c>
      <c r="AH842">
        <v>0</v>
      </c>
      <c r="AI842" t="str">
        <f t="shared" si="358"/>
        <v>No usa</v>
      </c>
      <c r="AJ842">
        <v>0</v>
      </c>
      <c r="AK842" t="str">
        <f t="shared" si="359"/>
        <v>No usa</v>
      </c>
      <c r="AL842">
        <v>0</v>
      </c>
      <c r="AM842" t="str">
        <f t="shared" si="360"/>
        <v>No usa</v>
      </c>
      <c r="AN842">
        <v>1</v>
      </c>
      <c r="AO842" t="str">
        <f t="shared" si="361"/>
        <v>Usa Transporte</v>
      </c>
      <c r="AP842">
        <v>0</v>
      </c>
      <c r="AQ842" t="str">
        <f t="shared" si="362"/>
        <v>No camina</v>
      </c>
      <c r="AR842">
        <v>0</v>
      </c>
      <c r="AS842" t="str">
        <f t="shared" si="363"/>
        <v>No es obeso</v>
      </c>
    </row>
    <row r="843" spans="1:45" x14ac:dyDescent="0.25">
      <c r="A843">
        <v>1</v>
      </c>
      <c r="B843" t="str">
        <f t="shared" si="338"/>
        <v>M</v>
      </c>
      <c r="C843">
        <v>19693804</v>
      </c>
      <c r="D843">
        <f t="shared" si="339"/>
        <v>53</v>
      </c>
      <c r="E843">
        <f t="shared" si="340"/>
        <v>53</v>
      </c>
      <c r="F843" t="str">
        <f t="shared" si="341"/>
        <v>50-75</v>
      </c>
      <c r="G843">
        <v>1</v>
      </c>
      <c r="H843" t="str">
        <f t="shared" si="342"/>
        <v>Pariente gordo</v>
      </c>
      <c r="I843">
        <v>1</v>
      </c>
      <c r="J843" t="str">
        <f t="shared" si="343"/>
        <v>Hipercaloricos</v>
      </c>
      <c r="K843">
        <v>2188722</v>
      </c>
      <c r="L843">
        <f t="shared" si="344"/>
        <v>1</v>
      </c>
      <c r="M843" t="str">
        <f t="shared" si="345"/>
        <v>Suele comer</v>
      </c>
      <c r="N843">
        <v>3</v>
      </c>
      <c r="O843">
        <f t="shared" si="346"/>
        <v>2</v>
      </c>
      <c r="P843" t="str">
        <f t="shared" si="347"/>
        <v>Mas de 3</v>
      </c>
      <c r="Q843">
        <v>1</v>
      </c>
      <c r="R843" t="str">
        <f t="shared" si="348"/>
        <v>A veces</v>
      </c>
      <c r="S843">
        <v>0</v>
      </c>
      <c r="T843" t="str">
        <f t="shared" si="349"/>
        <v>No fuma</v>
      </c>
      <c r="U843">
        <v>2721356</v>
      </c>
      <c r="V843">
        <f t="shared" si="350"/>
        <v>2</v>
      </c>
      <c r="W843" t="str">
        <f t="shared" si="351"/>
        <v>Siempre</v>
      </c>
      <c r="X843">
        <v>0</v>
      </c>
      <c r="Y843" t="str">
        <f t="shared" si="352"/>
        <v>No controla</v>
      </c>
      <c r="Z843">
        <v>1528968</v>
      </c>
      <c r="AA843">
        <f t="shared" si="353"/>
        <v>3</v>
      </c>
      <c r="AB843" t="str">
        <f t="shared" si="354"/>
        <v>Siempre</v>
      </c>
      <c r="AC843">
        <v>1</v>
      </c>
      <c r="AD843">
        <f t="shared" si="355"/>
        <v>1</v>
      </c>
      <c r="AE843" t="str">
        <f t="shared" si="356"/>
        <v>Usualmente</v>
      </c>
      <c r="AF843">
        <v>1</v>
      </c>
      <c r="AG843" t="str">
        <f t="shared" si="357"/>
        <v>A veces</v>
      </c>
      <c r="AH843">
        <v>0</v>
      </c>
      <c r="AI843" t="str">
        <f t="shared" si="358"/>
        <v>No usa</v>
      </c>
      <c r="AJ843">
        <v>0</v>
      </c>
      <c r="AK843" t="str">
        <f t="shared" si="359"/>
        <v>No usa</v>
      </c>
      <c r="AL843">
        <v>0</v>
      </c>
      <c r="AM843" t="str">
        <f t="shared" si="360"/>
        <v>No usa</v>
      </c>
      <c r="AN843">
        <v>1</v>
      </c>
      <c r="AO843" t="str">
        <f t="shared" si="361"/>
        <v>Usa Transporte</v>
      </c>
      <c r="AP843">
        <v>0</v>
      </c>
      <c r="AQ843" t="str">
        <f t="shared" si="362"/>
        <v>No camina</v>
      </c>
      <c r="AR843">
        <v>0</v>
      </c>
      <c r="AS843" t="str">
        <f t="shared" si="363"/>
        <v>No es obeso</v>
      </c>
    </row>
    <row r="844" spans="1:45" x14ac:dyDescent="0.25">
      <c r="A844">
        <v>1</v>
      </c>
      <c r="B844" t="str">
        <f t="shared" si="338"/>
        <v>M</v>
      </c>
      <c r="C844">
        <v>19226314</v>
      </c>
      <c r="D844">
        <f t="shared" si="339"/>
        <v>52</v>
      </c>
      <c r="E844">
        <f t="shared" si="340"/>
        <v>52</v>
      </c>
      <c r="F844" t="str">
        <f t="shared" si="341"/>
        <v>50-75</v>
      </c>
      <c r="G844">
        <v>1</v>
      </c>
      <c r="H844" t="str">
        <f t="shared" si="342"/>
        <v>Pariente gordo</v>
      </c>
      <c r="I844">
        <v>1</v>
      </c>
      <c r="J844" t="str">
        <f t="shared" si="343"/>
        <v>Hipercaloricos</v>
      </c>
      <c r="K844">
        <v>2971351</v>
      </c>
      <c r="L844">
        <f t="shared" si="344"/>
        <v>1</v>
      </c>
      <c r="M844" t="str">
        <f t="shared" si="345"/>
        <v>Suele comer</v>
      </c>
      <c r="N844">
        <v>3390143</v>
      </c>
      <c r="O844">
        <f t="shared" si="346"/>
        <v>2</v>
      </c>
      <c r="P844" t="str">
        <f t="shared" si="347"/>
        <v>Mas de 3</v>
      </c>
      <c r="Q844">
        <v>1</v>
      </c>
      <c r="R844" t="str">
        <f t="shared" si="348"/>
        <v>A veces</v>
      </c>
      <c r="S844">
        <v>0</v>
      </c>
      <c r="T844" t="str">
        <f t="shared" si="349"/>
        <v>No fuma</v>
      </c>
      <c r="U844">
        <v>2133767</v>
      </c>
      <c r="V844">
        <f t="shared" si="350"/>
        <v>2</v>
      </c>
      <c r="W844" t="str">
        <f t="shared" si="351"/>
        <v>Siempre</v>
      </c>
      <c r="X844">
        <v>0</v>
      </c>
      <c r="Y844" t="str">
        <f t="shared" si="352"/>
        <v>No controla</v>
      </c>
      <c r="Z844">
        <v>2318492</v>
      </c>
      <c r="AA844">
        <f t="shared" si="353"/>
        <v>3</v>
      </c>
      <c r="AB844" t="str">
        <f t="shared" si="354"/>
        <v>Siempre</v>
      </c>
      <c r="AC844">
        <v>0.67861800000000005</v>
      </c>
      <c r="AD844">
        <f t="shared" si="355"/>
        <v>0</v>
      </c>
      <c r="AE844" t="str">
        <f t="shared" si="356"/>
        <v>Nunca</v>
      </c>
      <c r="AF844">
        <v>1</v>
      </c>
      <c r="AG844" t="str">
        <f t="shared" si="357"/>
        <v>A veces</v>
      </c>
      <c r="AH844">
        <v>0</v>
      </c>
      <c r="AI844" t="str">
        <f t="shared" si="358"/>
        <v>No usa</v>
      </c>
      <c r="AJ844">
        <v>0</v>
      </c>
      <c r="AK844" t="str">
        <f t="shared" si="359"/>
        <v>No usa</v>
      </c>
      <c r="AL844">
        <v>0</v>
      </c>
      <c r="AM844" t="str">
        <f t="shared" si="360"/>
        <v>No usa</v>
      </c>
      <c r="AN844">
        <v>1</v>
      </c>
      <c r="AO844" t="str">
        <f t="shared" si="361"/>
        <v>Usa Transporte</v>
      </c>
      <c r="AP844">
        <v>0</v>
      </c>
      <c r="AQ844" t="str">
        <f t="shared" si="362"/>
        <v>No camina</v>
      </c>
      <c r="AR844">
        <v>0</v>
      </c>
      <c r="AS844" t="str">
        <f t="shared" si="363"/>
        <v>No es obeso</v>
      </c>
    </row>
    <row r="845" spans="1:45" x14ac:dyDescent="0.25">
      <c r="A845">
        <v>1</v>
      </c>
      <c r="B845" t="str">
        <f t="shared" si="338"/>
        <v>M</v>
      </c>
      <c r="C845">
        <v>21652229</v>
      </c>
      <c r="D845">
        <f t="shared" si="339"/>
        <v>59</v>
      </c>
      <c r="E845">
        <f t="shared" si="340"/>
        <v>59</v>
      </c>
      <c r="F845" t="str">
        <f t="shared" si="341"/>
        <v>50-75</v>
      </c>
      <c r="G845">
        <v>1</v>
      </c>
      <c r="H845" t="str">
        <f t="shared" si="342"/>
        <v>Pariente gordo</v>
      </c>
      <c r="I845">
        <v>1</v>
      </c>
      <c r="J845" t="str">
        <f t="shared" si="343"/>
        <v>Hipercaloricos</v>
      </c>
      <c r="K845">
        <v>2086093</v>
      </c>
      <c r="L845">
        <f t="shared" si="344"/>
        <v>1</v>
      </c>
      <c r="M845" t="str">
        <f t="shared" si="345"/>
        <v>Suele comer</v>
      </c>
      <c r="N845">
        <v>3546352</v>
      </c>
      <c r="O845">
        <f t="shared" si="346"/>
        <v>2</v>
      </c>
      <c r="P845" t="str">
        <f t="shared" si="347"/>
        <v>Mas de 3</v>
      </c>
      <c r="Q845">
        <v>1</v>
      </c>
      <c r="R845" t="str">
        <f t="shared" si="348"/>
        <v>A veces</v>
      </c>
      <c r="S845">
        <v>0</v>
      </c>
      <c r="T845" t="str">
        <f t="shared" si="349"/>
        <v>No fuma</v>
      </c>
      <c r="U845">
        <v>2081121</v>
      </c>
      <c r="V845">
        <f t="shared" si="350"/>
        <v>2</v>
      </c>
      <c r="W845" t="str">
        <f t="shared" si="351"/>
        <v>Siempre</v>
      </c>
      <c r="X845">
        <v>0</v>
      </c>
      <c r="Y845" t="str">
        <f t="shared" si="352"/>
        <v>No controla</v>
      </c>
      <c r="Z845">
        <v>1993666</v>
      </c>
      <c r="AA845">
        <f t="shared" si="353"/>
        <v>3</v>
      </c>
      <c r="AB845" t="str">
        <f t="shared" si="354"/>
        <v>Siempre</v>
      </c>
      <c r="AC845">
        <v>0.67383499999999996</v>
      </c>
      <c r="AD845">
        <f t="shared" si="355"/>
        <v>0</v>
      </c>
      <c r="AE845" t="str">
        <f t="shared" si="356"/>
        <v>Nunca</v>
      </c>
      <c r="AF845">
        <v>1</v>
      </c>
      <c r="AG845" t="str">
        <f t="shared" si="357"/>
        <v>A veces</v>
      </c>
      <c r="AH845">
        <v>0</v>
      </c>
      <c r="AI845" t="str">
        <f t="shared" si="358"/>
        <v>No usa</v>
      </c>
      <c r="AJ845">
        <v>0</v>
      </c>
      <c r="AK845" t="str">
        <f t="shared" si="359"/>
        <v>No usa</v>
      </c>
      <c r="AL845">
        <v>0</v>
      </c>
      <c r="AM845" t="str">
        <f t="shared" si="360"/>
        <v>No usa</v>
      </c>
      <c r="AN845">
        <v>1</v>
      </c>
      <c r="AO845" t="str">
        <f t="shared" si="361"/>
        <v>Usa Transporte</v>
      </c>
      <c r="AP845">
        <v>0</v>
      </c>
      <c r="AQ845" t="str">
        <f t="shared" si="362"/>
        <v>No camina</v>
      </c>
      <c r="AR845">
        <v>0</v>
      </c>
      <c r="AS845" t="str">
        <f t="shared" si="363"/>
        <v>No es obeso</v>
      </c>
    </row>
    <row r="846" spans="1:45" x14ac:dyDescent="0.25">
      <c r="A846">
        <v>0</v>
      </c>
      <c r="B846" t="str">
        <f t="shared" si="338"/>
        <v>F</v>
      </c>
      <c r="C846">
        <v>21687409</v>
      </c>
      <c r="D846">
        <f t="shared" si="339"/>
        <v>59</v>
      </c>
      <c r="E846">
        <f t="shared" si="340"/>
        <v>59</v>
      </c>
      <c r="F846" t="str">
        <f t="shared" si="341"/>
        <v>50-75</v>
      </c>
      <c r="G846">
        <v>1</v>
      </c>
      <c r="H846" t="str">
        <f t="shared" si="342"/>
        <v>Pariente gordo</v>
      </c>
      <c r="I846">
        <v>1</v>
      </c>
      <c r="J846" t="str">
        <f t="shared" si="343"/>
        <v>Hipercaloricos</v>
      </c>
      <c r="K846">
        <v>1901611</v>
      </c>
      <c r="L846">
        <f t="shared" si="344"/>
        <v>1</v>
      </c>
      <c r="M846" t="str">
        <f t="shared" si="345"/>
        <v>Suele comer</v>
      </c>
      <c r="N846">
        <v>3266501</v>
      </c>
      <c r="O846">
        <f t="shared" si="346"/>
        <v>2</v>
      </c>
      <c r="P846" t="str">
        <f t="shared" si="347"/>
        <v>Mas de 3</v>
      </c>
      <c r="Q846">
        <v>0</v>
      </c>
      <c r="R846" t="str">
        <f t="shared" si="348"/>
        <v>Nunca</v>
      </c>
      <c r="S846">
        <v>0</v>
      </c>
      <c r="T846" t="str">
        <f t="shared" si="349"/>
        <v>No fuma</v>
      </c>
      <c r="U846">
        <v>2926995</v>
      </c>
      <c r="V846">
        <f t="shared" si="350"/>
        <v>2</v>
      </c>
      <c r="W846" t="str">
        <f t="shared" si="351"/>
        <v>Siempre</v>
      </c>
      <c r="X846">
        <v>0</v>
      </c>
      <c r="Y846" t="str">
        <f t="shared" si="352"/>
        <v>No controla</v>
      </c>
      <c r="Z846">
        <v>0.98587199999999997</v>
      </c>
      <c r="AA846">
        <f t="shared" si="353"/>
        <v>0</v>
      </c>
      <c r="AB846" t="str">
        <f t="shared" si="354"/>
        <v>Nunca</v>
      </c>
      <c r="AC846">
        <v>0.30798199999999998</v>
      </c>
      <c r="AD846">
        <f t="shared" si="355"/>
        <v>0</v>
      </c>
      <c r="AE846" t="str">
        <f t="shared" si="356"/>
        <v>Nunca</v>
      </c>
      <c r="AF846">
        <v>1</v>
      </c>
      <c r="AG846" t="str">
        <f t="shared" si="357"/>
        <v>A veces</v>
      </c>
      <c r="AH846">
        <v>0</v>
      </c>
      <c r="AI846" t="str">
        <f t="shared" si="358"/>
        <v>No usa</v>
      </c>
      <c r="AJ846">
        <v>0</v>
      </c>
      <c r="AK846" t="str">
        <f t="shared" si="359"/>
        <v>No usa</v>
      </c>
      <c r="AL846">
        <v>0</v>
      </c>
      <c r="AM846" t="str">
        <f t="shared" si="360"/>
        <v>No usa</v>
      </c>
      <c r="AN846">
        <v>1</v>
      </c>
      <c r="AO846" t="str">
        <f t="shared" si="361"/>
        <v>Usa Transporte</v>
      </c>
      <c r="AP846">
        <v>0</v>
      </c>
      <c r="AQ846" t="str">
        <f t="shared" si="362"/>
        <v>No camina</v>
      </c>
      <c r="AR846">
        <v>0</v>
      </c>
      <c r="AS846" t="str">
        <f t="shared" si="363"/>
        <v>No es obeso</v>
      </c>
    </row>
    <row r="847" spans="1:45" x14ac:dyDescent="0.25">
      <c r="A847">
        <v>0</v>
      </c>
      <c r="B847" t="str">
        <f t="shared" si="338"/>
        <v>F</v>
      </c>
      <c r="C847">
        <v>21455463</v>
      </c>
      <c r="D847">
        <f t="shared" si="339"/>
        <v>58</v>
      </c>
      <c r="E847">
        <f t="shared" si="340"/>
        <v>58</v>
      </c>
      <c r="F847" t="str">
        <f t="shared" si="341"/>
        <v>50-75</v>
      </c>
      <c r="G847">
        <v>1</v>
      </c>
      <c r="H847" t="str">
        <f t="shared" si="342"/>
        <v>Pariente gordo</v>
      </c>
      <c r="I847">
        <v>1</v>
      </c>
      <c r="J847" t="str">
        <f t="shared" si="343"/>
        <v>Hipercaloricos</v>
      </c>
      <c r="K847">
        <v>1977298</v>
      </c>
      <c r="L847">
        <f t="shared" si="344"/>
        <v>1</v>
      </c>
      <c r="M847" t="str">
        <f t="shared" si="345"/>
        <v>Suele comer</v>
      </c>
      <c r="N847">
        <v>3554974</v>
      </c>
      <c r="O847">
        <f t="shared" si="346"/>
        <v>2</v>
      </c>
      <c r="P847" t="str">
        <f t="shared" si="347"/>
        <v>Mas de 3</v>
      </c>
      <c r="Q847">
        <v>0</v>
      </c>
      <c r="R847" t="str">
        <f t="shared" si="348"/>
        <v>Nunca</v>
      </c>
      <c r="S847">
        <v>0</v>
      </c>
      <c r="T847" t="str">
        <f t="shared" si="349"/>
        <v>No fuma</v>
      </c>
      <c r="U847">
        <v>2217957</v>
      </c>
      <c r="V847">
        <f t="shared" si="350"/>
        <v>2</v>
      </c>
      <c r="W847" t="str">
        <f t="shared" si="351"/>
        <v>Siempre</v>
      </c>
      <c r="X847">
        <v>0</v>
      </c>
      <c r="Y847" t="str">
        <f t="shared" si="352"/>
        <v>No controla</v>
      </c>
      <c r="Z847">
        <v>0.97811999999999999</v>
      </c>
      <c r="AA847">
        <f t="shared" si="353"/>
        <v>0</v>
      </c>
      <c r="AB847" t="str">
        <f t="shared" si="354"/>
        <v>Nunca</v>
      </c>
      <c r="AC847">
        <v>0.45975899999999997</v>
      </c>
      <c r="AD847">
        <f t="shared" si="355"/>
        <v>0</v>
      </c>
      <c r="AE847" t="str">
        <f t="shared" si="356"/>
        <v>Nunca</v>
      </c>
      <c r="AF847">
        <v>1</v>
      </c>
      <c r="AG847" t="str">
        <f t="shared" si="357"/>
        <v>A veces</v>
      </c>
      <c r="AH847">
        <v>0</v>
      </c>
      <c r="AI847" t="str">
        <f t="shared" si="358"/>
        <v>No usa</v>
      </c>
      <c r="AJ847">
        <v>0</v>
      </c>
      <c r="AK847" t="str">
        <f t="shared" si="359"/>
        <v>No usa</v>
      </c>
      <c r="AL847">
        <v>0</v>
      </c>
      <c r="AM847" t="str">
        <f t="shared" si="360"/>
        <v>No usa</v>
      </c>
      <c r="AN847">
        <v>1</v>
      </c>
      <c r="AO847" t="str">
        <f t="shared" si="361"/>
        <v>Usa Transporte</v>
      </c>
      <c r="AP847">
        <v>0</v>
      </c>
      <c r="AQ847" t="str">
        <f t="shared" si="362"/>
        <v>No camina</v>
      </c>
      <c r="AR847">
        <v>0</v>
      </c>
      <c r="AS847" t="str">
        <f t="shared" si="363"/>
        <v>No es obeso</v>
      </c>
    </row>
    <row r="848" spans="1:45" x14ac:dyDescent="0.25">
      <c r="A848">
        <v>0</v>
      </c>
      <c r="B848" t="str">
        <f t="shared" si="338"/>
        <v>F</v>
      </c>
      <c r="C848">
        <v>21</v>
      </c>
      <c r="D848">
        <f t="shared" si="339"/>
        <v>21</v>
      </c>
      <c r="E848">
        <f t="shared" si="340"/>
        <v>21</v>
      </c>
      <c r="F848" t="str">
        <f t="shared" si="341"/>
        <v>1-25</v>
      </c>
      <c r="G848">
        <v>1</v>
      </c>
      <c r="H848" t="str">
        <f t="shared" si="342"/>
        <v>Pariente gordo</v>
      </c>
      <c r="I848">
        <v>1</v>
      </c>
      <c r="J848" t="str">
        <f t="shared" si="343"/>
        <v>Hipercaloricos</v>
      </c>
      <c r="K848">
        <v>2446872</v>
      </c>
      <c r="L848">
        <f t="shared" si="344"/>
        <v>1</v>
      </c>
      <c r="M848" t="str">
        <f t="shared" si="345"/>
        <v>Suele comer</v>
      </c>
      <c r="N848">
        <v>2372311</v>
      </c>
      <c r="O848">
        <f t="shared" si="346"/>
        <v>2</v>
      </c>
      <c r="P848" t="str">
        <f t="shared" si="347"/>
        <v>Mas de 3</v>
      </c>
      <c r="Q848">
        <v>1</v>
      </c>
      <c r="R848" t="str">
        <f t="shared" si="348"/>
        <v>A veces</v>
      </c>
      <c r="S848">
        <v>0</v>
      </c>
      <c r="T848" t="str">
        <f t="shared" si="349"/>
        <v>No fuma</v>
      </c>
      <c r="U848">
        <v>181031</v>
      </c>
      <c r="V848">
        <f t="shared" si="350"/>
        <v>2</v>
      </c>
      <c r="W848" t="str">
        <f t="shared" si="351"/>
        <v>Siempre</v>
      </c>
      <c r="X848">
        <v>0</v>
      </c>
      <c r="Y848" t="str">
        <f t="shared" si="352"/>
        <v>No controla</v>
      </c>
      <c r="Z848">
        <v>9.4893000000000005E-2</v>
      </c>
      <c r="AA848">
        <f t="shared" si="353"/>
        <v>0</v>
      </c>
      <c r="AB848" t="str">
        <f t="shared" si="354"/>
        <v>Nunca</v>
      </c>
      <c r="AC848">
        <v>1650778</v>
      </c>
      <c r="AD848">
        <f t="shared" si="355"/>
        <v>2</v>
      </c>
      <c r="AE848" t="str">
        <f t="shared" si="356"/>
        <v>Siempre</v>
      </c>
      <c r="AF848">
        <v>1</v>
      </c>
      <c r="AG848" t="str">
        <f t="shared" si="357"/>
        <v>A veces</v>
      </c>
      <c r="AH848">
        <v>0</v>
      </c>
      <c r="AI848" t="str">
        <f t="shared" si="358"/>
        <v>No usa</v>
      </c>
      <c r="AJ848">
        <v>0</v>
      </c>
      <c r="AK848" t="str">
        <f t="shared" si="359"/>
        <v>No usa</v>
      </c>
      <c r="AL848">
        <v>0</v>
      </c>
      <c r="AM848" t="str">
        <f t="shared" si="360"/>
        <v>No usa</v>
      </c>
      <c r="AN848">
        <v>1</v>
      </c>
      <c r="AO848" t="str">
        <f t="shared" si="361"/>
        <v>Usa Transporte</v>
      </c>
      <c r="AP848">
        <v>0</v>
      </c>
      <c r="AQ848" t="str">
        <f t="shared" si="362"/>
        <v>No camina</v>
      </c>
      <c r="AR848">
        <v>0</v>
      </c>
      <c r="AS848" t="str">
        <f t="shared" si="363"/>
        <v>No es obeso</v>
      </c>
    </row>
    <row r="849" spans="1:45" x14ac:dyDescent="0.25">
      <c r="A849">
        <v>0</v>
      </c>
      <c r="B849" t="str">
        <f t="shared" si="338"/>
        <v>F</v>
      </c>
      <c r="C849">
        <v>21</v>
      </c>
      <c r="D849">
        <f t="shared" si="339"/>
        <v>21</v>
      </c>
      <c r="E849">
        <f t="shared" si="340"/>
        <v>21</v>
      </c>
      <c r="F849" t="str">
        <f t="shared" si="341"/>
        <v>1-25</v>
      </c>
      <c r="G849">
        <v>1</v>
      </c>
      <c r="H849" t="str">
        <f t="shared" si="342"/>
        <v>Pariente gordo</v>
      </c>
      <c r="I849">
        <v>1</v>
      </c>
      <c r="J849" t="str">
        <f t="shared" si="343"/>
        <v>Hipercaloricos</v>
      </c>
      <c r="K849">
        <v>2839048</v>
      </c>
      <c r="L849">
        <f t="shared" si="344"/>
        <v>1</v>
      </c>
      <c r="M849" t="str">
        <f t="shared" si="345"/>
        <v>Suele comer</v>
      </c>
      <c r="N849">
        <v>210601</v>
      </c>
      <c r="O849">
        <f t="shared" si="346"/>
        <v>2</v>
      </c>
      <c r="P849" t="str">
        <f t="shared" si="347"/>
        <v>Mas de 3</v>
      </c>
      <c r="Q849">
        <v>1</v>
      </c>
      <c r="R849" t="str">
        <f t="shared" si="348"/>
        <v>A veces</v>
      </c>
      <c r="S849">
        <v>0</v>
      </c>
      <c r="T849" t="str">
        <f t="shared" si="349"/>
        <v>No fuma</v>
      </c>
      <c r="U849">
        <v>1639202</v>
      </c>
      <c r="V849">
        <f t="shared" si="350"/>
        <v>2</v>
      </c>
      <c r="W849" t="str">
        <f t="shared" si="351"/>
        <v>Siempre</v>
      </c>
      <c r="X849">
        <v>0</v>
      </c>
      <c r="Y849" t="str">
        <f t="shared" si="352"/>
        <v>No controla</v>
      </c>
      <c r="Z849">
        <v>1117311</v>
      </c>
      <c r="AA849">
        <f t="shared" si="353"/>
        <v>3</v>
      </c>
      <c r="AB849" t="str">
        <f t="shared" si="354"/>
        <v>Siempre</v>
      </c>
      <c r="AC849">
        <v>0.96791899999999997</v>
      </c>
      <c r="AD849">
        <f t="shared" si="355"/>
        <v>0</v>
      </c>
      <c r="AE849" t="str">
        <f t="shared" si="356"/>
        <v>Nunca</v>
      </c>
      <c r="AF849">
        <v>1</v>
      </c>
      <c r="AG849" t="str">
        <f t="shared" si="357"/>
        <v>A veces</v>
      </c>
      <c r="AH849">
        <v>0</v>
      </c>
      <c r="AI849" t="str">
        <f t="shared" si="358"/>
        <v>No usa</v>
      </c>
      <c r="AJ849">
        <v>0</v>
      </c>
      <c r="AK849" t="str">
        <f t="shared" si="359"/>
        <v>No usa</v>
      </c>
      <c r="AL849">
        <v>0</v>
      </c>
      <c r="AM849" t="str">
        <f t="shared" si="360"/>
        <v>No usa</v>
      </c>
      <c r="AN849">
        <v>1</v>
      </c>
      <c r="AO849" t="str">
        <f t="shared" si="361"/>
        <v>Usa Transporte</v>
      </c>
      <c r="AP849">
        <v>0</v>
      </c>
      <c r="AQ849" t="str">
        <f t="shared" si="362"/>
        <v>No camina</v>
      </c>
      <c r="AR849">
        <v>0</v>
      </c>
      <c r="AS849" t="str">
        <f t="shared" si="363"/>
        <v>No es obeso</v>
      </c>
    </row>
    <row r="850" spans="1:45" x14ac:dyDescent="0.25">
      <c r="A850">
        <v>1</v>
      </c>
      <c r="B850" t="str">
        <f t="shared" si="338"/>
        <v>M</v>
      </c>
      <c r="C850">
        <v>19337404</v>
      </c>
      <c r="D850">
        <f t="shared" si="339"/>
        <v>52</v>
      </c>
      <c r="E850">
        <f t="shared" si="340"/>
        <v>52</v>
      </c>
      <c r="F850" t="str">
        <f t="shared" si="341"/>
        <v>50-75</v>
      </c>
      <c r="G850">
        <v>1</v>
      </c>
      <c r="H850" t="str">
        <f t="shared" si="342"/>
        <v>Pariente gordo</v>
      </c>
      <c r="I850">
        <v>1</v>
      </c>
      <c r="J850" t="str">
        <f t="shared" si="343"/>
        <v>Hipercaloricos</v>
      </c>
      <c r="K850">
        <v>221232</v>
      </c>
      <c r="L850">
        <f t="shared" si="344"/>
        <v>1</v>
      </c>
      <c r="M850" t="str">
        <f t="shared" si="345"/>
        <v>Suele comer</v>
      </c>
      <c r="N850">
        <v>4</v>
      </c>
      <c r="O850">
        <f t="shared" si="346"/>
        <v>2</v>
      </c>
      <c r="P850" t="str">
        <f t="shared" si="347"/>
        <v>Mas de 3</v>
      </c>
      <c r="Q850">
        <v>1</v>
      </c>
      <c r="R850" t="str">
        <f t="shared" si="348"/>
        <v>A veces</v>
      </c>
      <c r="S850">
        <v>0</v>
      </c>
      <c r="T850" t="str">
        <f t="shared" si="349"/>
        <v>No fuma</v>
      </c>
      <c r="U850">
        <v>2374044</v>
      </c>
      <c r="V850">
        <f t="shared" si="350"/>
        <v>2</v>
      </c>
      <c r="W850" t="str">
        <f t="shared" si="351"/>
        <v>Siempre</v>
      </c>
      <c r="X850">
        <v>0</v>
      </c>
      <c r="Y850" t="str">
        <f t="shared" si="352"/>
        <v>No controla</v>
      </c>
      <c r="Z850">
        <v>2</v>
      </c>
      <c r="AA850">
        <f t="shared" si="353"/>
        <v>2</v>
      </c>
      <c r="AB850" t="str">
        <f t="shared" si="354"/>
        <v>Usualmente</v>
      </c>
      <c r="AC850">
        <v>0.62263800000000002</v>
      </c>
      <c r="AD850">
        <f t="shared" si="355"/>
        <v>0</v>
      </c>
      <c r="AE850" t="str">
        <f t="shared" si="356"/>
        <v>Nunca</v>
      </c>
      <c r="AF850">
        <v>1</v>
      </c>
      <c r="AG850" t="str">
        <f t="shared" si="357"/>
        <v>A veces</v>
      </c>
      <c r="AH850">
        <v>0</v>
      </c>
      <c r="AI850" t="str">
        <f t="shared" si="358"/>
        <v>No usa</v>
      </c>
      <c r="AJ850">
        <v>0</v>
      </c>
      <c r="AK850" t="str">
        <f t="shared" si="359"/>
        <v>No usa</v>
      </c>
      <c r="AL850">
        <v>0</v>
      </c>
      <c r="AM850" t="str">
        <f t="shared" si="360"/>
        <v>No usa</v>
      </c>
      <c r="AN850">
        <v>1</v>
      </c>
      <c r="AO850" t="str">
        <f t="shared" si="361"/>
        <v>Usa Transporte</v>
      </c>
      <c r="AP850">
        <v>0</v>
      </c>
      <c r="AQ850" t="str">
        <f t="shared" si="362"/>
        <v>No camina</v>
      </c>
      <c r="AR850">
        <v>0</v>
      </c>
      <c r="AS850" t="str">
        <f t="shared" si="363"/>
        <v>No es obeso</v>
      </c>
    </row>
    <row r="851" spans="1:45" x14ac:dyDescent="0.25">
      <c r="A851">
        <v>1</v>
      </c>
      <c r="B851" t="str">
        <f t="shared" si="338"/>
        <v>M</v>
      </c>
      <c r="C851">
        <v>21701643</v>
      </c>
      <c r="D851">
        <f t="shared" si="339"/>
        <v>59</v>
      </c>
      <c r="E851">
        <f t="shared" si="340"/>
        <v>59</v>
      </c>
      <c r="F851" t="str">
        <f t="shared" si="341"/>
        <v>50-75</v>
      </c>
      <c r="G851">
        <v>1</v>
      </c>
      <c r="H851" t="str">
        <f t="shared" si="342"/>
        <v>Pariente gordo</v>
      </c>
      <c r="I851">
        <v>1</v>
      </c>
      <c r="J851" t="str">
        <f t="shared" si="343"/>
        <v>Hipercaloricos</v>
      </c>
      <c r="K851">
        <v>2427689</v>
      </c>
      <c r="L851">
        <f t="shared" si="344"/>
        <v>1</v>
      </c>
      <c r="M851" t="str">
        <f t="shared" si="345"/>
        <v>Suele comer</v>
      </c>
      <c r="N851">
        <v>3715306</v>
      </c>
      <c r="O851">
        <f t="shared" si="346"/>
        <v>2</v>
      </c>
      <c r="P851" t="str">
        <f t="shared" si="347"/>
        <v>Mas de 3</v>
      </c>
      <c r="Q851">
        <v>1</v>
      </c>
      <c r="R851" t="str">
        <f t="shared" si="348"/>
        <v>A veces</v>
      </c>
      <c r="S851">
        <v>0</v>
      </c>
      <c r="T851" t="str">
        <f t="shared" si="349"/>
        <v>No fuma</v>
      </c>
      <c r="U851">
        <v>2876096</v>
      </c>
      <c r="V851">
        <f t="shared" si="350"/>
        <v>2</v>
      </c>
      <c r="W851" t="str">
        <f t="shared" si="351"/>
        <v>Siempre</v>
      </c>
      <c r="X851">
        <v>0</v>
      </c>
      <c r="Y851" t="str">
        <f t="shared" si="352"/>
        <v>No controla</v>
      </c>
      <c r="Z851">
        <v>1815768</v>
      </c>
      <c r="AA851">
        <f t="shared" si="353"/>
        <v>3</v>
      </c>
      <c r="AB851" t="str">
        <f t="shared" si="354"/>
        <v>Siempre</v>
      </c>
      <c r="AC851">
        <v>0.42646499999999998</v>
      </c>
      <c r="AD851">
        <f t="shared" si="355"/>
        <v>0</v>
      </c>
      <c r="AE851" t="str">
        <f t="shared" si="356"/>
        <v>Nunca</v>
      </c>
      <c r="AF851">
        <v>1</v>
      </c>
      <c r="AG851" t="str">
        <f t="shared" si="357"/>
        <v>A veces</v>
      </c>
      <c r="AH851">
        <v>0</v>
      </c>
      <c r="AI851" t="str">
        <f t="shared" si="358"/>
        <v>No usa</v>
      </c>
      <c r="AJ851">
        <v>0</v>
      </c>
      <c r="AK851" t="str">
        <f t="shared" si="359"/>
        <v>No usa</v>
      </c>
      <c r="AL851">
        <v>0</v>
      </c>
      <c r="AM851" t="str">
        <f t="shared" si="360"/>
        <v>No usa</v>
      </c>
      <c r="AN851">
        <v>1</v>
      </c>
      <c r="AO851" t="str">
        <f t="shared" si="361"/>
        <v>Usa Transporte</v>
      </c>
      <c r="AP851">
        <v>0</v>
      </c>
      <c r="AQ851" t="str">
        <f t="shared" si="362"/>
        <v>No camina</v>
      </c>
      <c r="AR851">
        <v>0</v>
      </c>
      <c r="AS851" t="str">
        <f t="shared" si="363"/>
        <v>No es obeso</v>
      </c>
    </row>
    <row r="852" spans="1:45" x14ac:dyDescent="0.25">
      <c r="A852">
        <v>1</v>
      </c>
      <c r="B852" t="str">
        <f t="shared" si="338"/>
        <v>M</v>
      </c>
      <c r="C852">
        <v>21620245</v>
      </c>
      <c r="D852">
        <f t="shared" si="339"/>
        <v>59</v>
      </c>
      <c r="E852">
        <f t="shared" si="340"/>
        <v>59</v>
      </c>
      <c r="F852" t="str">
        <f t="shared" si="341"/>
        <v>50-75</v>
      </c>
      <c r="G852">
        <v>1</v>
      </c>
      <c r="H852" t="str">
        <f t="shared" si="342"/>
        <v>Pariente gordo</v>
      </c>
      <c r="I852">
        <v>1</v>
      </c>
      <c r="J852" t="str">
        <f t="shared" si="343"/>
        <v>Hipercaloricos</v>
      </c>
      <c r="K852">
        <v>2357496</v>
      </c>
      <c r="L852">
        <f t="shared" si="344"/>
        <v>1</v>
      </c>
      <c r="M852" t="str">
        <f t="shared" si="345"/>
        <v>Suele comer</v>
      </c>
      <c r="N852">
        <v>3376717</v>
      </c>
      <c r="O852">
        <f t="shared" si="346"/>
        <v>2</v>
      </c>
      <c r="P852" t="str">
        <f t="shared" si="347"/>
        <v>Mas de 3</v>
      </c>
      <c r="Q852">
        <v>1</v>
      </c>
      <c r="R852" t="str">
        <f t="shared" si="348"/>
        <v>A veces</v>
      </c>
      <c r="S852">
        <v>0</v>
      </c>
      <c r="T852" t="str">
        <f t="shared" si="349"/>
        <v>No fuma</v>
      </c>
      <c r="U852">
        <v>2184843</v>
      </c>
      <c r="V852">
        <f t="shared" si="350"/>
        <v>2</v>
      </c>
      <c r="W852" t="str">
        <f t="shared" si="351"/>
        <v>Siempre</v>
      </c>
      <c r="X852">
        <v>0</v>
      </c>
      <c r="Y852" t="str">
        <f t="shared" si="352"/>
        <v>No controla</v>
      </c>
      <c r="Z852">
        <v>1358185</v>
      </c>
      <c r="AA852">
        <f t="shared" si="353"/>
        <v>3</v>
      </c>
      <c r="AB852" t="str">
        <f t="shared" si="354"/>
        <v>Siempre</v>
      </c>
      <c r="AC852">
        <v>1.4885000000000001E-2</v>
      </c>
      <c r="AD852">
        <f t="shared" si="355"/>
        <v>0</v>
      </c>
      <c r="AE852" t="str">
        <f t="shared" si="356"/>
        <v>Nunca</v>
      </c>
      <c r="AF852">
        <v>1</v>
      </c>
      <c r="AG852" t="str">
        <f t="shared" si="357"/>
        <v>A veces</v>
      </c>
      <c r="AH852">
        <v>0</v>
      </c>
      <c r="AI852" t="str">
        <f t="shared" si="358"/>
        <v>No usa</v>
      </c>
      <c r="AJ852">
        <v>0</v>
      </c>
      <c r="AK852" t="str">
        <f t="shared" si="359"/>
        <v>No usa</v>
      </c>
      <c r="AL852">
        <v>0</v>
      </c>
      <c r="AM852" t="str">
        <f t="shared" si="360"/>
        <v>No usa</v>
      </c>
      <c r="AN852">
        <v>1</v>
      </c>
      <c r="AO852" t="str">
        <f t="shared" si="361"/>
        <v>Usa Transporte</v>
      </c>
      <c r="AP852">
        <v>0</v>
      </c>
      <c r="AQ852" t="str">
        <f t="shared" si="362"/>
        <v>No camina</v>
      </c>
      <c r="AR852">
        <v>0</v>
      </c>
      <c r="AS852" t="str">
        <f t="shared" si="363"/>
        <v>No es obeso</v>
      </c>
    </row>
    <row r="853" spans="1:45" x14ac:dyDescent="0.25">
      <c r="A853">
        <v>0</v>
      </c>
      <c r="B853" t="str">
        <f t="shared" si="338"/>
        <v>F</v>
      </c>
      <c r="C853">
        <v>21012569</v>
      </c>
      <c r="D853">
        <f t="shared" si="339"/>
        <v>57</v>
      </c>
      <c r="E853">
        <f t="shared" si="340"/>
        <v>57</v>
      </c>
      <c r="F853" t="str">
        <f t="shared" si="341"/>
        <v>50-75</v>
      </c>
      <c r="G853">
        <v>1</v>
      </c>
      <c r="H853" t="str">
        <f t="shared" si="342"/>
        <v>Pariente gordo</v>
      </c>
      <c r="I853">
        <v>1</v>
      </c>
      <c r="J853" t="str">
        <f t="shared" si="343"/>
        <v>Hipercaloricos</v>
      </c>
      <c r="K853">
        <v>3</v>
      </c>
      <c r="L853">
        <f t="shared" si="344"/>
        <v>1</v>
      </c>
      <c r="M853" t="str">
        <f t="shared" si="345"/>
        <v>Suele comer</v>
      </c>
      <c r="N853">
        <v>1</v>
      </c>
      <c r="O853">
        <f t="shared" si="346"/>
        <v>1</v>
      </c>
      <c r="P853">
        <f t="shared" si="347"/>
        <v>3</v>
      </c>
      <c r="Q853">
        <v>1</v>
      </c>
      <c r="R853" t="str">
        <f t="shared" si="348"/>
        <v>A veces</v>
      </c>
      <c r="S853">
        <v>0</v>
      </c>
      <c r="T853" t="str">
        <f t="shared" si="349"/>
        <v>No fuma</v>
      </c>
      <c r="U853">
        <v>2</v>
      </c>
      <c r="V853">
        <f t="shared" si="350"/>
        <v>2</v>
      </c>
      <c r="W853" t="str">
        <f t="shared" si="351"/>
        <v>Siempre</v>
      </c>
      <c r="X853">
        <v>0</v>
      </c>
      <c r="Y853" t="str">
        <f t="shared" si="352"/>
        <v>No controla</v>
      </c>
      <c r="Z853">
        <v>2971832</v>
      </c>
      <c r="AA853">
        <f t="shared" si="353"/>
        <v>3</v>
      </c>
      <c r="AB853" t="str">
        <f t="shared" si="354"/>
        <v>Siempre</v>
      </c>
      <c r="AC853">
        <v>0</v>
      </c>
      <c r="AD853">
        <f t="shared" si="355"/>
        <v>0</v>
      </c>
      <c r="AE853" t="str">
        <f t="shared" si="356"/>
        <v>Nunca</v>
      </c>
      <c r="AF853">
        <v>1</v>
      </c>
      <c r="AG853" t="str">
        <f t="shared" si="357"/>
        <v>A veces</v>
      </c>
      <c r="AH853">
        <v>0</v>
      </c>
      <c r="AI853" t="str">
        <f t="shared" si="358"/>
        <v>No usa</v>
      </c>
      <c r="AJ853">
        <v>0</v>
      </c>
      <c r="AK853" t="str">
        <f t="shared" si="359"/>
        <v>No usa</v>
      </c>
      <c r="AL853">
        <v>0</v>
      </c>
      <c r="AM853" t="str">
        <f t="shared" si="360"/>
        <v>No usa</v>
      </c>
      <c r="AN853">
        <v>1</v>
      </c>
      <c r="AO853" t="str">
        <f t="shared" si="361"/>
        <v>Usa Transporte</v>
      </c>
      <c r="AP853">
        <v>0</v>
      </c>
      <c r="AQ853" t="str">
        <f t="shared" si="362"/>
        <v>No camina</v>
      </c>
      <c r="AR853">
        <v>0</v>
      </c>
      <c r="AS853" t="str">
        <f t="shared" si="363"/>
        <v>No es obeso</v>
      </c>
    </row>
    <row r="854" spans="1:45" x14ac:dyDescent="0.25">
      <c r="A854">
        <v>0</v>
      </c>
      <c r="B854" t="str">
        <f t="shared" si="338"/>
        <v>F</v>
      </c>
      <c r="C854">
        <v>21016623</v>
      </c>
      <c r="D854">
        <f t="shared" si="339"/>
        <v>57</v>
      </c>
      <c r="E854">
        <f t="shared" si="340"/>
        <v>57</v>
      </c>
      <c r="F854" t="str">
        <f t="shared" si="341"/>
        <v>50-75</v>
      </c>
      <c r="G854">
        <v>1</v>
      </c>
      <c r="H854" t="str">
        <f t="shared" si="342"/>
        <v>Pariente gordo</v>
      </c>
      <c r="I854">
        <v>1</v>
      </c>
      <c r="J854" t="str">
        <f t="shared" si="343"/>
        <v>Hipercaloricos</v>
      </c>
      <c r="K854">
        <v>3</v>
      </c>
      <c r="L854">
        <f t="shared" si="344"/>
        <v>1</v>
      </c>
      <c r="M854" t="str">
        <f t="shared" si="345"/>
        <v>Suele comer</v>
      </c>
      <c r="N854">
        <v>1</v>
      </c>
      <c r="O854">
        <f t="shared" si="346"/>
        <v>1</v>
      </c>
      <c r="P854">
        <f t="shared" si="347"/>
        <v>3</v>
      </c>
      <c r="Q854">
        <v>1</v>
      </c>
      <c r="R854" t="str">
        <f t="shared" si="348"/>
        <v>A veces</v>
      </c>
      <c r="S854">
        <v>0</v>
      </c>
      <c r="T854" t="str">
        <f t="shared" si="349"/>
        <v>No fuma</v>
      </c>
      <c r="U854">
        <v>2</v>
      </c>
      <c r="V854">
        <f t="shared" si="350"/>
        <v>2</v>
      </c>
      <c r="W854" t="str">
        <f t="shared" si="351"/>
        <v>Siempre</v>
      </c>
      <c r="X854">
        <v>0</v>
      </c>
      <c r="Y854" t="str">
        <f t="shared" si="352"/>
        <v>No controla</v>
      </c>
      <c r="Z854">
        <v>2877473</v>
      </c>
      <c r="AA854">
        <f t="shared" si="353"/>
        <v>3</v>
      </c>
      <c r="AB854" t="str">
        <f t="shared" si="354"/>
        <v>Siempre</v>
      </c>
      <c r="AC854">
        <v>0</v>
      </c>
      <c r="AD854">
        <f t="shared" si="355"/>
        <v>0</v>
      </c>
      <c r="AE854" t="str">
        <f t="shared" si="356"/>
        <v>Nunca</v>
      </c>
      <c r="AF854">
        <v>1</v>
      </c>
      <c r="AG854" t="str">
        <f t="shared" si="357"/>
        <v>A veces</v>
      </c>
      <c r="AH854">
        <v>0</v>
      </c>
      <c r="AI854" t="str">
        <f t="shared" si="358"/>
        <v>No usa</v>
      </c>
      <c r="AJ854">
        <v>0</v>
      </c>
      <c r="AK854" t="str">
        <f t="shared" si="359"/>
        <v>No usa</v>
      </c>
      <c r="AL854">
        <v>0</v>
      </c>
      <c r="AM854" t="str">
        <f t="shared" si="360"/>
        <v>No usa</v>
      </c>
      <c r="AN854">
        <v>1</v>
      </c>
      <c r="AO854" t="str">
        <f t="shared" si="361"/>
        <v>Usa Transporte</v>
      </c>
      <c r="AP854">
        <v>0</v>
      </c>
      <c r="AQ854" t="str">
        <f t="shared" si="362"/>
        <v>No camina</v>
      </c>
      <c r="AR854">
        <v>0</v>
      </c>
      <c r="AS854" t="str">
        <f t="shared" si="363"/>
        <v>No es obeso</v>
      </c>
    </row>
    <row r="855" spans="1:45" x14ac:dyDescent="0.25">
      <c r="A855">
        <v>0</v>
      </c>
      <c r="B855" t="str">
        <f t="shared" si="338"/>
        <v>F</v>
      </c>
      <c r="C855">
        <v>19</v>
      </c>
      <c r="D855">
        <f t="shared" si="339"/>
        <v>19</v>
      </c>
      <c r="E855">
        <f t="shared" si="340"/>
        <v>19</v>
      </c>
      <c r="F855" t="str">
        <f t="shared" si="341"/>
        <v>1-25</v>
      </c>
      <c r="G855">
        <v>1</v>
      </c>
      <c r="H855" t="str">
        <f t="shared" si="342"/>
        <v>Pariente gordo</v>
      </c>
      <c r="I855">
        <v>1</v>
      </c>
      <c r="J855" t="str">
        <f t="shared" si="343"/>
        <v>Hipercaloricos</v>
      </c>
      <c r="K855">
        <v>1078529</v>
      </c>
      <c r="L855">
        <f t="shared" si="344"/>
        <v>1</v>
      </c>
      <c r="M855" t="str">
        <f t="shared" si="345"/>
        <v>Suele comer</v>
      </c>
      <c r="N855">
        <v>1211606</v>
      </c>
      <c r="O855">
        <f t="shared" si="346"/>
        <v>2</v>
      </c>
      <c r="P855" t="str">
        <f t="shared" si="347"/>
        <v>Mas de 3</v>
      </c>
      <c r="Q855">
        <v>1</v>
      </c>
      <c r="R855" t="str">
        <f t="shared" si="348"/>
        <v>A veces</v>
      </c>
      <c r="S855">
        <v>0</v>
      </c>
      <c r="T855" t="str">
        <f t="shared" si="349"/>
        <v>No fuma</v>
      </c>
      <c r="U855">
        <v>2568063</v>
      </c>
      <c r="V855">
        <f t="shared" si="350"/>
        <v>2</v>
      </c>
      <c r="W855" t="str">
        <f t="shared" si="351"/>
        <v>Siempre</v>
      </c>
      <c r="X855">
        <v>0</v>
      </c>
      <c r="Y855" t="str">
        <f t="shared" si="352"/>
        <v>No controla</v>
      </c>
      <c r="Z855">
        <v>3</v>
      </c>
      <c r="AA855">
        <f t="shared" si="353"/>
        <v>3</v>
      </c>
      <c r="AB855" t="str">
        <f t="shared" si="354"/>
        <v>Siempre</v>
      </c>
      <c r="AC855">
        <v>0.81798300000000002</v>
      </c>
      <c r="AD855">
        <f t="shared" si="355"/>
        <v>0</v>
      </c>
      <c r="AE855" t="str">
        <f t="shared" si="356"/>
        <v>Nunca</v>
      </c>
      <c r="AF855">
        <v>0</v>
      </c>
      <c r="AG855" t="str">
        <f t="shared" si="357"/>
        <v>Nunca</v>
      </c>
      <c r="AH855">
        <v>0</v>
      </c>
      <c r="AI855" t="str">
        <f t="shared" si="358"/>
        <v>No usa</v>
      </c>
      <c r="AJ855">
        <v>0</v>
      </c>
      <c r="AK855" t="str">
        <f t="shared" si="359"/>
        <v>No usa</v>
      </c>
      <c r="AL855">
        <v>0</v>
      </c>
      <c r="AM855" t="str">
        <f t="shared" si="360"/>
        <v>No usa</v>
      </c>
      <c r="AN855">
        <v>1</v>
      </c>
      <c r="AO855" t="str">
        <f t="shared" si="361"/>
        <v>Usa Transporte</v>
      </c>
      <c r="AP855">
        <v>0</v>
      </c>
      <c r="AQ855" t="str">
        <f t="shared" si="362"/>
        <v>No camina</v>
      </c>
      <c r="AR855">
        <v>0</v>
      </c>
      <c r="AS855" t="str">
        <f t="shared" si="363"/>
        <v>No es obeso</v>
      </c>
    </row>
    <row r="856" spans="1:45" x14ac:dyDescent="0.25">
      <c r="A856">
        <v>1</v>
      </c>
      <c r="B856" t="str">
        <f t="shared" si="338"/>
        <v>M</v>
      </c>
      <c r="C856">
        <v>21</v>
      </c>
      <c r="D856">
        <f t="shared" si="339"/>
        <v>21</v>
      </c>
      <c r="E856">
        <f t="shared" si="340"/>
        <v>21</v>
      </c>
      <c r="F856" t="str">
        <f t="shared" si="341"/>
        <v>1-25</v>
      </c>
      <c r="G856">
        <v>1</v>
      </c>
      <c r="H856" t="str">
        <f t="shared" si="342"/>
        <v>Pariente gordo</v>
      </c>
      <c r="I856">
        <v>1</v>
      </c>
      <c r="J856" t="str">
        <f t="shared" si="343"/>
        <v>Hipercaloricos</v>
      </c>
      <c r="K856">
        <v>2</v>
      </c>
      <c r="L856">
        <f t="shared" si="344"/>
        <v>1</v>
      </c>
      <c r="M856" t="str">
        <f t="shared" si="345"/>
        <v>Suele comer</v>
      </c>
      <c r="N856">
        <v>3</v>
      </c>
      <c r="O856">
        <f t="shared" si="346"/>
        <v>2</v>
      </c>
      <c r="P856" t="str">
        <f t="shared" si="347"/>
        <v>Mas de 3</v>
      </c>
      <c r="Q856">
        <v>1</v>
      </c>
      <c r="R856" t="str">
        <f t="shared" si="348"/>
        <v>A veces</v>
      </c>
      <c r="S856">
        <v>0</v>
      </c>
      <c r="T856" t="str">
        <f t="shared" si="349"/>
        <v>No fuma</v>
      </c>
      <c r="U856">
        <v>1333707</v>
      </c>
      <c r="V856">
        <f t="shared" si="350"/>
        <v>2</v>
      </c>
      <c r="W856" t="str">
        <f t="shared" si="351"/>
        <v>Siempre</v>
      </c>
      <c r="X856">
        <v>0</v>
      </c>
      <c r="Y856" t="str">
        <f t="shared" si="352"/>
        <v>No controla</v>
      </c>
      <c r="Z856">
        <v>1</v>
      </c>
      <c r="AA856">
        <f t="shared" si="353"/>
        <v>1</v>
      </c>
      <c r="AB856" t="str">
        <f t="shared" si="354"/>
        <v>A veces</v>
      </c>
      <c r="AC856">
        <v>0</v>
      </c>
      <c r="AD856">
        <f t="shared" si="355"/>
        <v>0</v>
      </c>
      <c r="AE856" t="str">
        <f t="shared" si="356"/>
        <v>Nunca</v>
      </c>
      <c r="AF856">
        <v>1</v>
      </c>
      <c r="AG856" t="str">
        <f t="shared" si="357"/>
        <v>A veces</v>
      </c>
      <c r="AH856">
        <v>0</v>
      </c>
      <c r="AI856" t="str">
        <f t="shared" si="358"/>
        <v>No usa</v>
      </c>
      <c r="AJ856">
        <v>0</v>
      </c>
      <c r="AK856" t="str">
        <f t="shared" si="359"/>
        <v>No usa</v>
      </c>
      <c r="AL856">
        <v>0</v>
      </c>
      <c r="AM856" t="str">
        <f t="shared" si="360"/>
        <v>No usa</v>
      </c>
      <c r="AN856">
        <v>1</v>
      </c>
      <c r="AO856" t="str">
        <f t="shared" si="361"/>
        <v>Usa Transporte</v>
      </c>
      <c r="AP856">
        <v>0</v>
      </c>
      <c r="AQ856" t="str">
        <f t="shared" si="362"/>
        <v>No camina</v>
      </c>
      <c r="AR856">
        <v>0</v>
      </c>
      <c r="AS856" t="str">
        <f t="shared" si="363"/>
        <v>No es obeso</v>
      </c>
    </row>
    <row r="857" spans="1:45" x14ac:dyDescent="0.25">
      <c r="A857">
        <v>1</v>
      </c>
      <c r="B857" t="str">
        <f t="shared" si="338"/>
        <v>M</v>
      </c>
      <c r="C857">
        <v>21</v>
      </c>
      <c r="D857">
        <f t="shared" si="339"/>
        <v>21</v>
      </c>
      <c r="E857">
        <f t="shared" si="340"/>
        <v>21</v>
      </c>
      <c r="F857" t="str">
        <f t="shared" si="341"/>
        <v>1-25</v>
      </c>
      <c r="G857">
        <v>1</v>
      </c>
      <c r="H857" t="str">
        <f t="shared" si="342"/>
        <v>Pariente gordo</v>
      </c>
      <c r="I857">
        <v>1</v>
      </c>
      <c r="J857" t="str">
        <f t="shared" si="343"/>
        <v>Hipercaloricos</v>
      </c>
      <c r="K857">
        <v>2</v>
      </c>
      <c r="L857">
        <f t="shared" si="344"/>
        <v>1</v>
      </c>
      <c r="M857" t="str">
        <f t="shared" si="345"/>
        <v>Suele comer</v>
      </c>
      <c r="N857">
        <v>3</v>
      </c>
      <c r="O857">
        <f t="shared" si="346"/>
        <v>2</v>
      </c>
      <c r="P857" t="str">
        <f t="shared" si="347"/>
        <v>Mas de 3</v>
      </c>
      <c r="Q857">
        <v>1</v>
      </c>
      <c r="R857" t="str">
        <f t="shared" si="348"/>
        <v>A veces</v>
      </c>
      <c r="S857">
        <v>0</v>
      </c>
      <c r="T857" t="str">
        <f t="shared" si="349"/>
        <v>No fuma</v>
      </c>
      <c r="U857">
        <v>1164062</v>
      </c>
      <c r="V857">
        <f t="shared" si="350"/>
        <v>2</v>
      </c>
      <c r="W857" t="str">
        <f t="shared" si="351"/>
        <v>Siempre</v>
      </c>
      <c r="X857">
        <v>0</v>
      </c>
      <c r="Y857" t="str">
        <f t="shared" si="352"/>
        <v>No controla</v>
      </c>
      <c r="Z857">
        <v>1</v>
      </c>
      <c r="AA857">
        <f t="shared" si="353"/>
        <v>1</v>
      </c>
      <c r="AB857" t="str">
        <f t="shared" si="354"/>
        <v>A veces</v>
      </c>
      <c r="AC857">
        <v>0</v>
      </c>
      <c r="AD857">
        <f t="shared" si="355"/>
        <v>0</v>
      </c>
      <c r="AE857" t="str">
        <f t="shared" si="356"/>
        <v>Nunca</v>
      </c>
      <c r="AF857">
        <v>1</v>
      </c>
      <c r="AG857" t="str">
        <f t="shared" si="357"/>
        <v>A veces</v>
      </c>
      <c r="AH857">
        <v>0</v>
      </c>
      <c r="AI857" t="str">
        <f t="shared" si="358"/>
        <v>No usa</v>
      </c>
      <c r="AJ857">
        <v>0</v>
      </c>
      <c r="AK857" t="str">
        <f t="shared" si="359"/>
        <v>No usa</v>
      </c>
      <c r="AL857">
        <v>0</v>
      </c>
      <c r="AM857" t="str">
        <f t="shared" si="360"/>
        <v>No usa</v>
      </c>
      <c r="AN857">
        <v>1</v>
      </c>
      <c r="AO857" t="str">
        <f t="shared" si="361"/>
        <v>Usa Transporte</v>
      </c>
      <c r="AP857">
        <v>0</v>
      </c>
      <c r="AQ857" t="str">
        <f t="shared" si="362"/>
        <v>No camina</v>
      </c>
      <c r="AR857">
        <v>0</v>
      </c>
      <c r="AS857" t="str">
        <f t="shared" si="363"/>
        <v>No es obeso</v>
      </c>
    </row>
    <row r="858" spans="1:45" x14ac:dyDescent="0.25">
      <c r="A858">
        <v>0</v>
      </c>
      <c r="B858" t="str">
        <f t="shared" si="338"/>
        <v>F</v>
      </c>
      <c r="C858">
        <v>27899784</v>
      </c>
      <c r="D858">
        <f t="shared" si="339"/>
        <v>76</v>
      </c>
      <c r="E858">
        <f t="shared" si="340"/>
        <v>76</v>
      </c>
      <c r="F858" t="str">
        <f t="shared" si="341"/>
        <v>75-100</v>
      </c>
      <c r="G858">
        <v>1</v>
      </c>
      <c r="H858" t="str">
        <f t="shared" si="342"/>
        <v>Pariente gordo</v>
      </c>
      <c r="I858">
        <v>1</v>
      </c>
      <c r="J858" t="str">
        <f t="shared" si="343"/>
        <v>Hipercaloricos</v>
      </c>
      <c r="K858">
        <v>2</v>
      </c>
      <c r="L858">
        <f t="shared" si="344"/>
        <v>1</v>
      </c>
      <c r="M858" t="str">
        <f t="shared" si="345"/>
        <v>Suele comer</v>
      </c>
      <c r="N858">
        <v>3</v>
      </c>
      <c r="O858">
        <f t="shared" si="346"/>
        <v>2</v>
      </c>
      <c r="P858" t="str">
        <f t="shared" si="347"/>
        <v>Mas de 3</v>
      </c>
      <c r="Q858">
        <v>1</v>
      </c>
      <c r="R858" t="str">
        <f t="shared" si="348"/>
        <v>A veces</v>
      </c>
      <c r="S858">
        <v>0</v>
      </c>
      <c r="T858" t="str">
        <f t="shared" si="349"/>
        <v>No fuma</v>
      </c>
      <c r="U858">
        <v>2</v>
      </c>
      <c r="V858">
        <f t="shared" si="350"/>
        <v>2</v>
      </c>
      <c r="W858" t="str">
        <f t="shared" si="351"/>
        <v>Siempre</v>
      </c>
      <c r="X858">
        <v>0</v>
      </c>
      <c r="Y858" t="str">
        <f t="shared" si="352"/>
        <v>No controla</v>
      </c>
      <c r="Z858">
        <v>1722053</v>
      </c>
      <c r="AA858">
        <f t="shared" si="353"/>
        <v>3</v>
      </c>
      <c r="AB858" t="str">
        <f t="shared" si="354"/>
        <v>Siempre</v>
      </c>
      <c r="AC858">
        <v>0</v>
      </c>
      <c r="AD858">
        <f t="shared" si="355"/>
        <v>0</v>
      </c>
      <c r="AE858" t="str">
        <f t="shared" si="356"/>
        <v>Nunca</v>
      </c>
      <c r="AF858">
        <v>1</v>
      </c>
      <c r="AG858" t="str">
        <f t="shared" si="357"/>
        <v>A veces</v>
      </c>
      <c r="AH858">
        <v>1</v>
      </c>
      <c r="AI858" t="str">
        <f t="shared" si="358"/>
        <v>Usa auto</v>
      </c>
      <c r="AJ858">
        <v>0</v>
      </c>
      <c r="AK858" t="str">
        <f t="shared" si="359"/>
        <v>No usa</v>
      </c>
      <c r="AL858">
        <v>0</v>
      </c>
      <c r="AM858" t="str">
        <f t="shared" si="360"/>
        <v>No usa</v>
      </c>
      <c r="AN858">
        <v>0</v>
      </c>
      <c r="AO858" t="str">
        <f t="shared" si="361"/>
        <v>No usa</v>
      </c>
      <c r="AP858">
        <v>0</v>
      </c>
      <c r="AQ858" t="str">
        <f t="shared" si="362"/>
        <v>No camina</v>
      </c>
      <c r="AR858">
        <v>0</v>
      </c>
      <c r="AS858" t="str">
        <f t="shared" si="363"/>
        <v>No es obeso</v>
      </c>
    </row>
    <row r="859" spans="1:45" x14ac:dyDescent="0.25">
      <c r="A859">
        <v>1</v>
      </c>
      <c r="B859" t="str">
        <f t="shared" si="338"/>
        <v>M</v>
      </c>
      <c r="C859">
        <v>28825223</v>
      </c>
      <c r="D859">
        <f t="shared" si="339"/>
        <v>78</v>
      </c>
      <c r="E859">
        <f t="shared" si="340"/>
        <v>78</v>
      </c>
      <c r="F859" t="str">
        <f t="shared" si="341"/>
        <v>75-100</v>
      </c>
      <c r="G859">
        <v>1</v>
      </c>
      <c r="H859" t="str">
        <f t="shared" si="342"/>
        <v>Pariente gordo</v>
      </c>
      <c r="I859">
        <v>1</v>
      </c>
      <c r="J859" t="str">
        <f t="shared" si="343"/>
        <v>Hipercaloricos</v>
      </c>
      <c r="K859">
        <v>1064162</v>
      </c>
      <c r="L859">
        <f t="shared" si="344"/>
        <v>1</v>
      </c>
      <c r="M859" t="str">
        <f t="shared" si="345"/>
        <v>Suele comer</v>
      </c>
      <c r="N859">
        <v>398955</v>
      </c>
      <c r="O859">
        <f t="shared" si="346"/>
        <v>2</v>
      </c>
      <c r="P859" t="str">
        <f t="shared" si="347"/>
        <v>Mas de 3</v>
      </c>
      <c r="Q859">
        <v>1</v>
      </c>
      <c r="R859" t="str">
        <f t="shared" si="348"/>
        <v>A veces</v>
      </c>
      <c r="S859">
        <v>0</v>
      </c>
      <c r="T859" t="str">
        <f t="shared" si="349"/>
        <v>No fuma</v>
      </c>
      <c r="U859">
        <v>2028426</v>
      </c>
      <c r="V859">
        <f t="shared" si="350"/>
        <v>2</v>
      </c>
      <c r="W859" t="str">
        <f t="shared" si="351"/>
        <v>Siempre</v>
      </c>
      <c r="X859">
        <v>0</v>
      </c>
      <c r="Y859" t="str">
        <f t="shared" si="352"/>
        <v>No controla</v>
      </c>
      <c r="Z859">
        <v>0.81516999999999995</v>
      </c>
      <c r="AA859">
        <f t="shared" si="353"/>
        <v>0</v>
      </c>
      <c r="AB859" t="str">
        <f t="shared" si="354"/>
        <v>Nunca</v>
      </c>
      <c r="AC859">
        <v>0.89467799999999997</v>
      </c>
      <c r="AD859">
        <f t="shared" si="355"/>
        <v>0</v>
      </c>
      <c r="AE859" t="str">
        <f t="shared" si="356"/>
        <v>Nunca</v>
      </c>
      <c r="AF859">
        <v>1</v>
      </c>
      <c r="AG859" t="str">
        <f t="shared" si="357"/>
        <v>A veces</v>
      </c>
      <c r="AH859">
        <v>0</v>
      </c>
      <c r="AI859" t="str">
        <f t="shared" si="358"/>
        <v>No usa</v>
      </c>
      <c r="AJ859">
        <v>0</v>
      </c>
      <c r="AK859" t="str">
        <f t="shared" si="359"/>
        <v>No usa</v>
      </c>
      <c r="AL859">
        <v>0</v>
      </c>
      <c r="AM859" t="str">
        <f t="shared" si="360"/>
        <v>No usa</v>
      </c>
      <c r="AN859">
        <v>1</v>
      </c>
      <c r="AO859" t="str">
        <f t="shared" si="361"/>
        <v>Usa Transporte</v>
      </c>
      <c r="AP859">
        <v>0</v>
      </c>
      <c r="AQ859" t="str">
        <f t="shared" si="362"/>
        <v>No camina</v>
      </c>
      <c r="AR859">
        <v>0</v>
      </c>
      <c r="AS859" t="str">
        <f t="shared" si="363"/>
        <v>No es obeso</v>
      </c>
    </row>
    <row r="860" spans="1:45" x14ac:dyDescent="0.25">
      <c r="A860">
        <v>1</v>
      </c>
      <c r="B860" t="str">
        <f t="shared" si="338"/>
        <v>M</v>
      </c>
      <c r="C860">
        <v>26047077</v>
      </c>
      <c r="D860">
        <f t="shared" si="339"/>
        <v>71</v>
      </c>
      <c r="E860">
        <f t="shared" si="340"/>
        <v>71</v>
      </c>
      <c r="F860" t="str">
        <f t="shared" si="341"/>
        <v>50-75</v>
      </c>
      <c r="G860">
        <v>1</v>
      </c>
      <c r="H860" t="str">
        <f t="shared" si="342"/>
        <v>Pariente gordo</v>
      </c>
      <c r="I860">
        <v>1</v>
      </c>
      <c r="J860" t="str">
        <f t="shared" si="343"/>
        <v>Hipercaloricos</v>
      </c>
      <c r="K860">
        <v>1993101</v>
      </c>
      <c r="L860">
        <f t="shared" si="344"/>
        <v>1</v>
      </c>
      <c r="M860" t="str">
        <f t="shared" si="345"/>
        <v>Suele comer</v>
      </c>
      <c r="N860">
        <v>3171082</v>
      </c>
      <c r="O860">
        <f t="shared" si="346"/>
        <v>2</v>
      </c>
      <c r="P860" t="str">
        <f t="shared" si="347"/>
        <v>Mas de 3</v>
      </c>
      <c r="Q860">
        <v>1</v>
      </c>
      <c r="R860" t="str">
        <f t="shared" si="348"/>
        <v>A veces</v>
      </c>
      <c r="S860">
        <v>0</v>
      </c>
      <c r="T860" t="str">
        <f t="shared" si="349"/>
        <v>No fuma</v>
      </c>
      <c r="U860">
        <v>2364498</v>
      </c>
      <c r="V860">
        <f t="shared" si="350"/>
        <v>2</v>
      </c>
      <c r="W860" t="str">
        <f t="shared" si="351"/>
        <v>Siempre</v>
      </c>
      <c r="X860">
        <v>0</v>
      </c>
      <c r="Y860" t="str">
        <f t="shared" si="352"/>
        <v>No controla</v>
      </c>
      <c r="Z860">
        <v>1224743</v>
      </c>
      <c r="AA860">
        <f t="shared" si="353"/>
        <v>3</v>
      </c>
      <c r="AB860" t="str">
        <f t="shared" si="354"/>
        <v>Siempre</v>
      </c>
      <c r="AC860">
        <v>2.2245000000000001E-2</v>
      </c>
      <c r="AD860">
        <f t="shared" si="355"/>
        <v>0</v>
      </c>
      <c r="AE860" t="str">
        <f t="shared" si="356"/>
        <v>Nunca</v>
      </c>
      <c r="AF860">
        <v>1</v>
      </c>
      <c r="AG860" t="str">
        <f t="shared" si="357"/>
        <v>A veces</v>
      </c>
      <c r="AH860">
        <v>0</v>
      </c>
      <c r="AI860" t="str">
        <f t="shared" si="358"/>
        <v>No usa</v>
      </c>
      <c r="AJ860">
        <v>0</v>
      </c>
      <c r="AK860" t="str">
        <f t="shared" si="359"/>
        <v>No usa</v>
      </c>
      <c r="AL860">
        <v>0</v>
      </c>
      <c r="AM860" t="str">
        <f t="shared" si="360"/>
        <v>No usa</v>
      </c>
      <c r="AN860">
        <v>1</v>
      </c>
      <c r="AO860" t="str">
        <f t="shared" si="361"/>
        <v>Usa Transporte</v>
      </c>
      <c r="AP860">
        <v>0</v>
      </c>
      <c r="AQ860" t="str">
        <f t="shared" si="362"/>
        <v>No camina</v>
      </c>
      <c r="AR860">
        <v>0</v>
      </c>
      <c r="AS860" t="str">
        <f t="shared" si="363"/>
        <v>No es obeso</v>
      </c>
    </row>
    <row r="861" spans="1:45" x14ac:dyDescent="0.25">
      <c r="A861">
        <v>1</v>
      </c>
      <c r="B861" t="str">
        <f t="shared" si="338"/>
        <v>M</v>
      </c>
      <c r="C861">
        <v>23</v>
      </c>
      <c r="D861">
        <f t="shared" si="339"/>
        <v>23</v>
      </c>
      <c r="E861">
        <f t="shared" si="340"/>
        <v>23</v>
      </c>
      <c r="F861" t="str">
        <f t="shared" si="341"/>
        <v>1-25</v>
      </c>
      <c r="G861">
        <v>1</v>
      </c>
      <c r="H861" t="str">
        <f t="shared" si="342"/>
        <v>Pariente gordo</v>
      </c>
      <c r="I861">
        <v>1</v>
      </c>
      <c r="J861" t="str">
        <f t="shared" si="343"/>
        <v>Hipercaloricos</v>
      </c>
      <c r="K861">
        <v>2620963</v>
      </c>
      <c r="L861">
        <f t="shared" si="344"/>
        <v>1</v>
      </c>
      <c r="M861" t="str">
        <f t="shared" si="345"/>
        <v>Suele comer</v>
      </c>
      <c r="N861">
        <v>3</v>
      </c>
      <c r="O861">
        <f t="shared" si="346"/>
        <v>2</v>
      </c>
      <c r="P861" t="str">
        <f t="shared" si="347"/>
        <v>Mas de 3</v>
      </c>
      <c r="Q861">
        <v>1</v>
      </c>
      <c r="R861" t="str">
        <f t="shared" si="348"/>
        <v>A veces</v>
      </c>
      <c r="S861">
        <v>0</v>
      </c>
      <c r="T861" t="str">
        <f t="shared" si="349"/>
        <v>No fuma</v>
      </c>
      <c r="U861">
        <v>2824559</v>
      </c>
      <c r="V861">
        <f t="shared" si="350"/>
        <v>2</v>
      </c>
      <c r="W861" t="str">
        <f t="shared" si="351"/>
        <v>Siempre</v>
      </c>
      <c r="X861">
        <v>0</v>
      </c>
      <c r="Y861" t="str">
        <f t="shared" si="352"/>
        <v>No controla</v>
      </c>
      <c r="Z861">
        <v>0.75459900000000002</v>
      </c>
      <c r="AA861">
        <f t="shared" si="353"/>
        <v>0</v>
      </c>
      <c r="AB861" t="str">
        <f t="shared" si="354"/>
        <v>Nunca</v>
      </c>
      <c r="AC861">
        <v>2</v>
      </c>
      <c r="AD861">
        <f t="shared" si="355"/>
        <v>2</v>
      </c>
      <c r="AE861" t="str">
        <f t="shared" si="356"/>
        <v>Siempre</v>
      </c>
      <c r="AF861">
        <v>1</v>
      </c>
      <c r="AG861" t="str">
        <f t="shared" si="357"/>
        <v>A veces</v>
      </c>
      <c r="AH861">
        <v>0</v>
      </c>
      <c r="AI861" t="str">
        <f t="shared" si="358"/>
        <v>No usa</v>
      </c>
      <c r="AJ861">
        <v>0</v>
      </c>
      <c r="AK861" t="str">
        <f t="shared" si="359"/>
        <v>No usa</v>
      </c>
      <c r="AL861">
        <v>0</v>
      </c>
      <c r="AM861" t="str">
        <f t="shared" si="360"/>
        <v>No usa</v>
      </c>
      <c r="AN861">
        <v>1</v>
      </c>
      <c r="AO861" t="str">
        <f t="shared" si="361"/>
        <v>Usa Transporte</v>
      </c>
      <c r="AP861">
        <v>0</v>
      </c>
      <c r="AQ861" t="str">
        <f t="shared" si="362"/>
        <v>No camina</v>
      </c>
      <c r="AR861">
        <v>0</v>
      </c>
      <c r="AS861" t="str">
        <f t="shared" si="363"/>
        <v>No es obeso</v>
      </c>
    </row>
    <row r="862" spans="1:45" x14ac:dyDescent="0.25">
      <c r="A862">
        <v>1</v>
      </c>
      <c r="B862" t="str">
        <f t="shared" si="338"/>
        <v>M</v>
      </c>
      <c r="C862">
        <v>20</v>
      </c>
      <c r="D862">
        <f t="shared" si="339"/>
        <v>20</v>
      </c>
      <c r="E862">
        <f t="shared" si="340"/>
        <v>20</v>
      </c>
      <c r="F862" t="str">
        <f t="shared" si="341"/>
        <v>1-25</v>
      </c>
      <c r="G862">
        <v>1</v>
      </c>
      <c r="H862" t="str">
        <f t="shared" si="342"/>
        <v>Pariente gordo</v>
      </c>
      <c r="I862">
        <v>1</v>
      </c>
      <c r="J862" t="str">
        <f t="shared" si="343"/>
        <v>Hipercaloricos</v>
      </c>
      <c r="K862">
        <v>295118</v>
      </c>
      <c r="L862">
        <f t="shared" si="344"/>
        <v>1</v>
      </c>
      <c r="M862" t="str">
        <f t="shared" si="345"/>
        <v>Suele comer</v>
      </c>
      <c r="N862">
        <v>3</v>
      </c>
      <c r="O862">
        <f t="shared" si="346"/>
        <v>2</v>
      </c>
      <c r="P862" t="str">
        <f t="shared" si="347"/>
        <v>Mas de 3</v>
      </c>
      <c r="Q862">
        <v>1</v>
      </c>
      <c r="R862" t="str">
        <f t="shared" si="348"/>
        <v>A veces</v>
      </c>
      <c r="S862">
        <v>0</v>
      </c>
      <c r="T862" t="str">
        <f t="shared" si="349"/>
        <v>No fuma</v>
      </c>
      <c r="U862">
        <v>3</v>
      </c>
      <c r="V862">
        <f t="shared" si="350"/>
        <v>2</v>
      </c>
      <c r="W862" t="str">
        <f t="shared" si="351"/>
        <v>Siempre</v>
      </c>
      <c r="X862">
        <v>0</v>
      </c>
      <c r="Y862" t="str">
        <f t="shared" si="352"/>
        <v>No controla</v>
      </c>
      <c r="Z862">
        <v>2433918</v>
      </c>
      <c r="AA862">
        <f t="shared" si="353"/>
        <v>3</v>
      </c>
      <c r="AB862" t="str">
        <f t="shared" si="354"/>
        <v>Siempre</v>
      </c>
      <c r="AC862">
        <v>0.56160200000000005</v>
      </c>
      <c r="AD862">
        <f t="shared" si="355"/>
        <v>0</v>
      </c>
      <c r="AE862" t="str">
        <f t="shared" si="356"/>
        <v>Nunca</v>
      </c>
      <c r="AF862">
        <v>1</v>
      </c>
      <c r="AG862" t="str">
        <f t="shared" si="357"/>
        <v>A veces</v>
      </c>
      <c r="AH862">
        <v>0</v>
      </c>
      <c r="AI862" t="str">
        <f t="shared" si="358"/>
        <v>No usa</v>
      </c>
      <c r="AJ862">
        <v>0</v>
      </c>
      <c r="AK862" t="str">
        <f t="shared" si="359"/>
        <v>No usa</v>
      </c>
      <c r="AL862">
        <v>0</v>
      </c>
      <c r="AM862" t="str">
        <f t="shared" si="360"/>
        <v>No usa</v>
      </c>
      <c r="AN862">
        <v>1</v>
      </c>
      <c r="AO862" t="str">
        <f t="shared" si="361"/>
        <v>Usa Transporte</v>
      </c>
      <c r="AP862">
        <v>0</v>
      </c>
      <c r="AQ862" t="str">
        <f t="shared" si="362"/>
        <v>No camina</v>
      </c>
      <c r="AR862">
        <v>0</v>
      </c>
      <c r="AS862" t="str">
        <f t="shared" si="363"/>
        <v>No es obeso</v>
      </c>
    </row>
    <row r="863" spans="1:45" x14ac:dyDescent="0.25">
      <c r="A863">
        <v>0</v>
      </c>
      <c r="B863" t="str">
        <f t="shared" si="338"/>
        <v>F</v>
      </c>
      <c r="C863">
        <v>21832995</v>
      </c>
      <c r="D863">
        <f t="shared" si="339"/>
        <v>59</v>
      </c>
      <c r="E863">
        <f t="shared" si="340"/>
        <v>59</v>
      </c>
      <c r="F863" t="str">
        <f t="shared" si="341"/>
        <v>50-75</v>
      </c>
      <c r="G863">
        <v>0</v>
      </c>
      <c r="H863" t="str">
        <f t="shared" si="342"/>
        <v>Pariente normal</v>
      </c>
      <c r="I863">
        <v>1</v>
      </c>
      <c r="J863" t="str">
        <f t="shared" si="343"/>
        <v>Hipercaloricos</v>
      </c>
      <c r="K863">
        <v>2021446</v>
      </c>
      <c r="L863">
        <f t="shared" si="344"/>
        <v>1</v>
      </c>
      <c r="M863" t="str">
        <f t="shared" si="345"/>
        <v>Suele comer</v>
      </c>
      <c r="N863">
        <v>3</v>
      </c>
      <c r="O863">
        <f t="shared" si="346"/>
        <v>2</v>
      </c>
      <c r="P863" t="str">
        <f t="shared" si="347"/>
        <v>Mas de 3</v>
      </c>
      <c r="Q863">
        <v>1</v>
      </c>
      <c r="R863" t="str">
        <f t="shared" si="348"/>
        <v>A veces</v>
      </c>
      <c r="S863">
        <v>0</v>
      </c>
      <c r="T863" t="str">
        <f t="shared" si="349"/>
        <v>No fuma</v>
      </c>
      <c r="U863">
        <v>1077917</v>
      </c>
      <c r="V863">
        <f t="shared" si="350"/>
        <v>2</v>
      </c>
      <c r="W863" t="str">
        <f t="shared" si="351"/>
        <v>Siempre</v>
      </c>
      <c r="X863">
        <v>0</v>
      </c>
      <c r="Y863" t="str">
        <f t="shared" si="352"/>
        <v>No controla</v>
      </c>
      <c r="Z863">
        <v>0.52384699999999995</v>
      </c>
      <c r="AA863">
        <f t="shared" si="353"/>
        <v>0</v>
      </c>
      <c r="AB863" t="str">
        <f t="shared" si="354"/>
        <v>Nunca</v>
      </c>
      <c r="AC863">
        <v>0.80859899999999996</v>
      </c>
      <c r="AD863">
        <f t="shared" si="355"/>
        <v>0</v>
      </c>
      <c r="AE863" t="str">
        <f t="shared" si="356"/>
        <v>Nunca</v>
      </c>
      <c r="AF863">
        <v>1</v>
      </c>
      <c r="AG863" t="str">
        <f t="shared" si="357"/>
        <v>A veces</v>
      </c>
      <c r="AH863">
        <v>0</v>
      </c>
      <c r="AI863" t="str">
        <f t="shared" si="358"/>
        <v>No usa</v>
      </c>
      <c r="AJ863">
        <v>0</v>
      </c>
      <c r="AK863" t="str">
        <f t="shared" si="359"/>
        <v>No usa</v>
      </c>
      <c r="AL863">
        <v>0</v>
      </c>
      <c r="AM863" t="str">
        <f t="shared" si="360"/>
        <v>No usa</v>
      </c>
      <c r="AN863">
        <v>1</v>
      </c>
      <c r="AO863" t="str">
        <f t="shared" si="361"/>
        <v>Usa Transporte</v>
      </c>
      <c r="AP863">
        <v>0</v>
      </c>
      <c r="AQ863" t="str">
        <f t="shared" si="362"/>
        <v>No camina</v>
      </c>
      <c r="AR863">
        <v>0</v>
      </c>
      <c r="AS863" t="str">
        <f t="shared" si="363"/>
        <v>No es obeso</v>
      </c>
    </row>
    <row r="864" spans="1:45" x14ac:dyDescent="0.25">
      <c r="A864">
        <v>0</v>
      </c>
      <c r="B864" t="str">
        <f t="shared" si="338"/>
        <v>F</v>
      </c>
      <c r="C864">
        <v>30255744</v>
      </c>
      <c r="D864">
        <f t="shared" si="339"/>
        <v>82</v>
      </c>
      <c r="E864">
        <f t="shared" si="340"/>
        <v>82</v>
      </c>
      <c r="F864" t="str">
        <f t="shared" si="341"/>
        <v>75-100</v>
      </c>
      <c r="G864">
        <v>1</v>
      </c>
      <c r="H864" t="str">
        <f t="shared" si="342"/>
        <v>Pariente gordo</v>
      </c>
      <c r="I864">
        <v>1</v>
      </c>
      <c r="J864" t="str">
        <f t="shared" si="343"/>
        <v>Hipercaloricos</v>
      </c>
      <c r="K864">
        <v>2</v>
      </c>
      <c r="L864">
        <f t="shared" si="344"/>
        <v>1</v>
      </c>
      <c r="M864" t="str">
        <f t="shared" si="345"/>
        <v>Suele comer</v>
      </c>
      <c r="N864">
        <v>3</v>
      </c>
      <c r="O864">
        <f t="shared" si="346"/>
        <v>2</v>
      </c>
      <c r="P864" t="str">
        <f t="shared" si="347"/>
        <v>Mas de 3</v>
      </c>
      <c r="Q864">
        <v>1</v>
      </c>
      <c r="R864" t="str">
        <f t="shared" si="348"/>
        <v>A veces</v>
      </c>
      <c r="S864">
        <v>0</v>
      </c>
      <c r="T864" t="str">
        <f t="shared" si="349"/>
        <v>No fuma</v>
      </c>
      <c r="U864">
        <v>1</v>
      </c>
      <c r="V864">
        <f t="shared" si="350"/>
        <v>1</v>
      </c>
      <c r="W864" t="str">
        <f t="shared" si="351"/>
        <v>Usualmente</v>
      </c>
      <c r="X864">
        <v>0</v>
      </c>
      <c r="Y864" t="str">
        <f t="shared" si="352"/>
        <v>No controla</v>
      </c>
      <c r="Z864">
        <v>0</v>
      </c>
      <c r="AA864">
        <f t="shared" si="353"/>
        <v>0</v>
      </c>
      <c r="AB864" t="str">
        <f t="shared" si="354"/>
        <v>Nunca</v>
      </c>
      <c r="AC864">
        <v>1.8877000000000001E-2</v>
      </c>
      <c r="AD864">
        <f t="shared" si="355"/>
        <v>0</v>
      </c>
      <c r="AE864" t="str">
        <f t="shared" si="356"/>
        <v>Nunca</v>
      </c>
      <c r="AF864">
        <v>1</v>
      </c>
      <c r="AG864" t="str">
        <f t="shared" si="357"/>
        <v>A veces</v>
      </c>
      <c r="AH864">
        <v>1</v>
      </c>
      <c r="AI864" t="str">
        <f t="shared" si="358"/>
        <v>Usa auto</v>
      </c>
      <c r="AJ864">
        <v>0</v>
      </c>
      <c r="AK864" t="str">
        <f t="shared" si="359"/>
        <v>No usa</v>
      </c>
      <c r="AL864">
        <v>0</v>
      </c>
      <c r="AM864" t="str">
        <f t="shared" si="360"/>
        <v>No usa</v>
      </c>
      <c r="AN864">
        <v>0</v>
      </c>
      <c r="AO864" t="str">
        <f t="shared" si="361"/>
        <v>No usa</v>
      </c>
      <c r="AP864">
        <v>0</v>
      </c>
      <c r="AQ864" t="str">
        <f t="shared" si="362"/>
        <v>No camina</v>
      </c>
      <c r="AR864">
        <v>0</v>
      </c>
      <c r="AS864" t="str">
        <f t="shared" si="363"/>
        <v>No es obeso</v>
      </c>
    </row>
    <row r="865" spans="1:45" x14ac:dyDescent="0.25">
      <c r="A865">
        <v>0</v>
      </c>
      <c r="B865" t="str">
        <f t="shared" si="338"/>
        <v>F</v>
      </c>
      <c r="C865">
        <v>30613586</v>
      </c>
      <c r="D865">
        <f t="shared" si="339"/>
        <v>83</v>
      </c>
      <c r="E865">
        <f t="shared" si="340"/>
        <v>83</v>
      </c>
      <c r="F865" t="str">
        <f t="shared" si="341"/>
        <v>75-100</v>
      </c>
      <c r="G865">
        <v>1</v>
      </c>
      <c r="H865" t="str">
        <f t="shared" si="342"/>
        <v>Pariente gordo</v>
      </c>
      <c r="I865">
        <v>1</v>
      </c>
      <c r="J865" t="str">
        <f t="shared" si="343"/>
        <v>Hipercaloricos</v>
      </c>
      <c r="K865">
        <v>2000466</v>
      </c>
      <c r="L865">
        <f t="shared" si="344"/>
        <v>1</v>
      </c>
      <c r="M865" t="str">
        <f t="shared" si="345"/>
        <v>Suele comer</v>
      </c>
      <c r="N865">
        <v>3</v>
      </c>
      <c r="O865">
        <f t="shared" si="346"/>
        <v>2</v>
      </c>
      <c r="P865" t="str">
        <f t="shared" si="347"/>
        <v>Mas de 3</v>
      </c>
      <c r="Q865">
        <v>1</v>
      </c>
      <c r="R865" t="str">
        <f t="shared" si="348"/>
        <v>A veces</v>
      </c>
      <c r="S865">
        <v>0</v>
      </c>
      <c r="T865" t="str">
        <f t="shared" si="349"/>
        <v>No fuma</v>
      </c>
      <c r="U865">
        <v>1131448</v>
      </c>
      <c r="V865">
        <f t="shared" si="350"/>
        <v>2</v>
      </c>
      <c r="W865" t="str">
        <f t="shared" si="351"/>
        <v>Siempre</v>
      </c>
      <c r="X865">
        <v>0</v>
      </c>
      <c r="Y865" t="str">
        <f t="shared" si="352"/>
        <v>No controla</v>
      </c>
      <c r="Z865">
        <v>6.1365999999999997E-2</v>
      </c>
      <c r="AA865">
        <f t="shared" si="353"/>
        <v>0</v>
      </c>
      <c r="AB865" t="str">
        <f t="shared" si="354"/>
        <v>Nunca</v>
      </c>
      <c r="AC865">
        <v>0</v>
      </c>
      <c r="AD865">
        <f t="shared" si="355"/>
        <v>0</v>
      </c>
      <c r="AE865" t="str">
        <f t="shared" si="356"/>
        <v>Nunca</v>
      </c>
      <c r="AF865">
        <v>1</v>
      </c>
      <c r="AG865" t="str">
        <f t="shared" si="357"/>
        <v>A veces</v>
      </c>
      <c r="AH865">
        <v>1</v>
      </c>
      <c r="AI865" t="str">
        <f t="shared" si="358"/>
        <v>Usa auto</v>
      </c>
      <c r="AJ865">
        <v>0</v>
      </c>
      <c r="AK865" t="str">
        <f t="shared" si="359"/>
        <v>No usa</v>
      </c>
      <c r="AL865">
        <v>0</v>
      </c>
      <c r="AM865" t="str">
        <f t="shared" si="360"/>
        <v>No usa</v>
      </c>
      <c r="AN865">
        <v>0</v>
      </c>
      <c r="AO865" t="str">
        <f t="shared" si="361"/>
        <v>No usa</v>
      </c>
      <c r="AP865">
        <v>0</v>
      </c>
      <c r="AQ865" t="str">
        <f t="shared" si="362"/>
        <v>No camina</v>
      </c>
      <c r="AR865">
        <v>0</v>
      </c>
      <c r="AS865" t="str">
        <f t="shared" si="363"/>
        <v>No es obeso</v>
      </c>
    </row>
    <row r="866" spans="1:45" x14ac:dyDescent="0.25">
      <c r="A866">
        <v>1</v>
      </c>
      <c r="B866" t="str">
        <f t="shared" si="338"/>
        <v>M</v>
      </c>
      <c r="C866">
        <v>23245408</v>
      </c>
      <c r="D866">
        <f t="shared" si="339"/>
        <v>63</v>
      </c>
      <c r="E866">
        <f t="shared" si="340"/>
        <v>63</v>
      </c>
      <c r="F866" t="str">
        <f t="shared" si="341"/>
        <v>50-75</v>
      </c>
      <c r="G866">
        <v>1</v>
      </c>
      <c r="H866" t="str">
        <f t="shared" si="342"/>
        <v>Pariente gordo</v>
      </c>
      <c r="I866">
        <v>1</v>
      </c>
      <c r="J866" t="str">
        <f t="shared" si="343"/>
        <v>Hipercaloricos</v>
      </c>
      <c r="K866">
        <v>25621</v>
      </c>
      <c r="L866">
        <f t="shared" si="344"/>
        <v>1</v>
      </c>
      <c r="M866" t="str">
        <f t="shared" si="345"/>
        <v>Suele comer</v>
      </c>
      <c r="N866">
        <v>3105007</v>
      </c>
      <c r="O866">
        <f t="shared" si="346"/>
        <v>2</v>
      </c>
      <c r="P866" t="str">
        <f t="shared" si="347"/>
        <v>Mas de 3</v>
      </c>
      <c r="Q866">
        <v>1</v>
      </c>
      <c r="R866" t="str">
        <f t="shared" si="348"/>
        <v>A veces</v>
      </c>
      <c r="S866">
        <v>0</v>
      </c>
      <c r="T866" t="str">
        <f t="shared" si="349"/>
        <v>No fuma</v>
      </c>
      <c r="U866">
        <v>1172427</v>
      </c>
      <c r="V866">
        <f t="shared" si="350"/>
        <v>2</v>
      </c>
      <c r="W866" t="str">
        <f t="shared" si="351"/>
        <v>Siempre</v>
      </c>
      <c r="X866">
        <v>0</v>
      </c>
      <c r="Y866" t="str">
        <f t="shared" si="352"/>
        <v>No controla</v>
      </c>
      <c r="Z866">
        <v>0.184917</v>
      </c>
      <c r="AA866">
        <f t="shared" si="353"/>
        <v>0</v>
      </c>
      <c r="AB866" t="str">
        <f t="shared" si="354"/>
        <v>Nunca</v>
      </c>
      <c r="AC866">
        <v>0.92308199999999996</v>
      </c>
      <c r="AD866">
        <f t="shared" si="355"/>
        <v>0</v>
      </c>
      <c r="AE866" t="str">
        <f t="shared" si="356"/>
        <v>Nunca</v>
      </c>
      <c r="AF866">
        <v>1</v>
      </c>
      <c r="AG866" t="str">
        <f t="shared" si="357"/>
        <v>A veces</v>
      </c>
      <c r="AH866">
        <v>0</v>
      </c>
      <c r="AI866" t="str">
        <f t="shared" si="358"/>
        <v>No usa</v>
      </c>
      <c r="AJ866">
        <v>0</v>
      </c>
      <c r="AK866" t="str">
        <f t="shared" si="359"/>
        <v>No usa</v>
      </c>
      <c r="AL866">
        <v>0</v>
      </c>
      <c r="AM866" t="str">
        <f t="shared" si="360"/>
        <v>No usa</v>
      </c>
      <c r="AN866">
        <v>1</v>
      </c>
      <c r="AO866" t="str">
        <f t="shared" si="361"/>
        <v>Usa Transporte</v>
      </c>
      <c r="AP866">
        <v>0</v>
      </c>
      <c r="AQ866" t="str">
        <f t="shared" si="362"/>
        <v>No camina</v>
      </c>
      <c r="AR866">
        <v>0</v>
      </c>
      <c r="AS866" t="str">
        <f t="shared" si="363"/>
        <v>No es obeso</v>
      </c>
    </row>
    <row r="867" spans="1:45" x14ac:dyDescent="0.25">
      <c r="A867">
        <v>0</v>
      </c>
      <c r="B867" t="str">
        <f t="shared" si="338"/>
        <v>F</v>
      </c>
      <c r="C867">
        <v>18</v>
      </c>
      <c r="D867">
        <f t="shared" si="339"/>
        <v>18</v>
      </c>
      <c r="E867">
        <f t="shared" si="340"/>
        <v>18</v>
      </c>
      <c r="F867" t="str">
        <f t="shared" si="341"/>
        <v>1-25</v>
      </c>
      <c r="G867">
        <v>0</v>
      </c>
      <c r="H867" t="str">
        <f t="shared" si="342"/>
        <v>Pariente normal</v>
      </c>
      <c r="I867">
        <v>1</v>
      </c>
      <c r="J867" t="str">
        <f t="shared" si="343"/>
        <v>Hipercaloricos</v>
      </c>
      <c r="K867">
        <v>2</v>
      </c>
      <c r="L867">
        <f t="shared" si="344"/>
        <v>1</v>
      </c>
      <c r="M867" t="str">
        <f t="shared" si="345"/>
        <v>Suele comer</v>
      </c>
      <c r="N867">
        <v>3</v>
      </c>
      <c r="O867">
        <f t="shared" si="346"/>
        <v>2</v>
      </c>
      <c r="P867" t="str">
        <f t="shared" si="347"/>
        <v>Mas de 3</v>
      </c>
      <c r="Q867">
        <v>1</v>
      </c>
      <c r="R867" t="str">
        <f t="shared" si="348"/>
        <v>A veces</v>
      </c>
      <c r="S867">
        <v>0</v>
      </c>
      <c r="T867" t="str">
        <f t="shared" si="349"/>
        <v>No fuma</v>
      </c>
      <c r="U867">
        <v>1040342</v>
      </c>
      <c r="V867">
        <f t="shared" si="350"/>
        <v>2</v>
      </c>
      <c r="W867" t="str">
        <f t="shared" si="351"/>
        <v>Siempre</v>
      </c>
      <c r="X867">
        <v>1</v>
      </c>
      <c r="Y867" t="str">
        <f t="shared" si="352"/>
        <v>Controla</v>
      </c>
      <c r="Z867">
        <v>0.49737300000000001</v>
      </c>
      <c r="AA867">
        <f t="shared" si="353"/>
        <v>0</v>
      </c>
      <c r="AB867" t="str">
        <f t="shared" si="354"/>
        <v>Nunca</v>
      </c>
      <c r="AC867">
        <v>1783319</v>
      </c>
      <c r="AD867">
        <f t="shared" si="355"/>
        <v>2</v>
      </c>
      <c r="AE867" t="str">
        <f t="shared" si="356"/>
        <v>Siempre</v>
      </c>
      <c r="AF867">
        <v>1</v>
      </c>
      <c r="AG867" t="str">
        <f t="shared" si="357"/>
        <v>A veces</v>
      </c>
      <c r="AH867">
        <v>0</v>
      </c>
      <c r="AI867" t="str">
        <f t="shared" si="358"/>
        <v>No usa</v>
      </c>
      <c r="AJ867">
        <v>0</v>
      </c>
      <c r="AK867" t="str">
        <f t="shared" si="359"/>
        <v>No usa</v>
      </c>
      <c r="AL867">
        <v>0</v>
      </c>
      <c r="AM867" t="str">
        <f t="shared" si="360"/>
        <v>No usa</v>
      </c>
      <c r="AN867">
        <v>1</v>
      </c>
      <c r="AO867" t="str">
        <f t="shared" si="361"/>
        <v>Usa Transporte</v>
      </c>
      <c r="AP867">
        <v>0</v>
      </c>
      <c r="AQ867" t="str">
        <f t="shared" si="362"/>
        <v>No camina</v>
      </c>
      <c r="AR867">
        <v>0</v>
      </c>
      <c r="AS867" t="str">
        <f t="shared" si="363"/>
        <v>No es obeso</v>
      </c>
    </row>
    <row r="868" spans="1:45" x14ac:dyDescent="0.25">
      <c r="A868">
        <v>0</v>
      </c>
      <c r="B868" t="str">
        <f t="shared" si="338"/>
        <v>F</v>
      </c>
      <c r="C868">
        <v>18</v>
      </c>
      <c r="D868">
        <f t="shared" si="339"/>
        <v>18</v>
      </c>
      <c r="E868">
        <f t="shared" si="340"/>
        <v>18</v>
      </c>
      <c r="F868" t="str">
        <f t="shared" si="341"/>
        <v>1-25</v>
      </c>
      <c r="G868">
        <v>0</v>
      </c>
      <c r="H868" t="str">
        <f t="shared" si="342"/>
        <v>Pariente normal</v>
      </c>
      <c r="I868">
        <v>1</v>
      </c>
      <c r="J868" t="str">
        <f t="shared" si="343"/>
        <v>Hipercaloricos</v>
      </c>
      <c r="K868">
        <v>2</v>
      </c>
      <c r="L868">
        <f t="shared" si="344"/>
        <v>1</v>
      </c>
      <c r="M868" t="str">
        <f t="shared" si="345"/>
        <v>Suele comer</v>
      </c>
      <c r="N868">
        <v>3</v>
      </c>
      <c r="O868">
        <f t="shared" si="346"/>
        <v>2</v>
      </c>
      <c r="P868" t="str">
        <f t="shared" si="347"/>
        <v>Mas de 3</v>
      </c>
      <c r="Q868">
        <v>1</v>
      </c>
      <c r="R868" t="str">
        <f t="shared" si="348"/>
        <v>A veces</v>
      </c>
      <c r="S868">
        <v>0</v>
      </c>
      <c r="T868" t="str">
        <f t="shared" si="349"/>
        <v>No fuma</v>
      </c>
      <c r="U868">
        <v>1274718</v>
      </c>
      <c r="V868">
        <f t="shared" si="350"/>
        <v>2</v>
      </c>
      <c r="W868" t="str">
        <f t="shared" si="351"/>
        <v>Siempre</v>
      </c>
      <c r="X868">
        <v>1</v>
      </c>
      <c r="Y868" t="str">
        <f t="shared" si="352"/>
        <v>Controla</v>
      </c>
      <c r="Z868">
        <v>0.12990199999999999</v>
      </c>
      <c r="AA868">
        <f t="shared" si="353"/>
        <v>0</v>
      </c>
      <c r="AB868" t="str">
        <f t="shared" si="354"/>
        <v>Nunca</v>
      </c>
      <c r="AC868">
        <v>0.97857400000000005</v>
      </c>
      <c r="AD868">
        <f t="shared" si="355"/>
        <v>0</v>
      </c>
      <c r="AE868" t="str">
        <f t="shared" si="356"/>
        <v>Nunca</v>
      </c>
      <c r="AF868">
        <v>1</v>
      </c>
      <c r="AG868" t="str">
        <f t="shared" si="357"/>
        <v>A veces</v>
      </c>
      <c r="AH868">
        <v>0</v>
      </c>
      <c r="AI868" t="str">
        <f t="shared" si="358"/>
        <v>No usa</v>
      </c>
      <c r="AJ868">
        <v>0</v>
      </c>
      <c r="AK868" t="str">
        <f t="shared" si="359"/>
        <v>No usa</v>
      </c>
      <c r="AL868">
        <v>0</v>
      </c>
      <c r="AM868" t="str">
        <f t="shared" si="360"/>
        <v>No usa</v>
      </c>
      <c r="AN868">
        <v>1</v>
      </c>
      <c r="AO868" t="str">
        <f t="shared" si="361"/>
        <v>Usa Transporte</v>
      </c>
      <c r="AP868">
        <v>0</v>
      </c>
      <c r="AQ868" t="str">
        <f t="shared" si="362"/>
        <v>No camina</v>
      </c>
      <c r="AR868">
        <v>0</v>
      </c>
      <c r="AS868" t="str">
        <f t="shared" si="363"/>
        <v>No es obeso</v>
      </c>
    </row>
    <row r="869" spans="1:45" x14ac:dyDescent="0.25">
      <c r="A869">
        <v>0</v>
      </c>
      <c r="B869" t="str">
        <f t="shared" si="338"/>
        <v>F</v>
      </c>
      <c r="C869">
        <v>16950499</v>
      </c>
      <c r="D869">
        <f t="shared" si="339"/>
        <v>46</v>
      </c>
      <c r="E869">
        <f t="shared" si="340"/>
        <v>46</v>
      </c>
      <c r="F869" t="str">
        <f t="shared" si="341"/>
        <v>25-50</v>
      </c>
      <c r="G869">
        <v>1</v>
      </c>
      <c r="H869" t="str">
        <f t="shared" si="342"/>
        <v>Pariente gordo</v>
      </c>
      <c r="I869">
        <v>1</v>
      </c>
      <c r="J869" t="str">
        <f t="shared" si="343"/>
        <v>Hipercaloricos</v>
      </c>
      <c r="K869">
        <v>296008</v>
      </c>
      <c r="L869">
        <f t="shared" si="344"/>
        <v>1</v>
      </c>
      <c r="M869" t="str">
        <f t="shared" si="345"/>
        <v>Suele comer</v>
      </c>
      <c r="N869">
        <v>1</v>
      </c>
      <c r="O869">
        <f t="shared" si="346"/>
        <v>1</v>
      </c>
      <c r="P869">
        <f t="shared" si="347"/>
        <v>3</v>
      </c>
      <c r="Q869">
        <v>1</v>
      </c>
      <c r="R869" t="str">
        <f t="shared" si="348"/>
        <v>A veces</v>
      </c>
      <c r="S869">
        <v>0</v>
      </c>
      <c r="T869" t="str">
        <f t="shared" si="349"/>
        <v>No fuma</v>
      </c>
      <c r="U869">
        <v>2</v>
      </c>
      <c r="V869">
        <f t="shared" si="350"/>
        <v>2</v>
      </c>
      <c r="W869" t="str">
        <f t="shared" si="351"/>
        <v>Siempre</v>
      </c>
      <c r="X869">
        <v>1</v>
      </c>
      <c r="Y869" t="str">
        <f t="shared" si="352"/>
        <v>Controla</v>
      </c>
      <c r="Z869">
        <v>0.73603200000000002</v>
      </c>
      <c r="AA869">
        <f t="shared" si="353"/>
        <v>0</v>
      </c>
      <c r="AB869" t="str">
        <f t="shared" si="354"/>
        <v>Nunca</v>
      </c>
      <c r="AC869">
        <v>1344072</v>
      </c>
      <c r="AD869">
        <f t="shared" si="355"/>
        <v>2</v>
      </c>
      <c r="AE869" t="str">
        <f t="shared" si="356"/>
        <v>Siempre</v>
      </c>
      <c r="AF869">
        <v>0</v>
      </c>
      <c r="AG869" t="str">
        <f t="shared" si="357"/>
        <v>Nunca</v>
      </c>
      <c r="AH869">
        <v>0</v>
      </c>
      <c r="AI869" t="str">
        <f t="shared" si="358"/>
        <v>No usa</v>
      </c>
      <c r="AJ869">
        <v>0</v>
      </c>
      <c r="AK869" t="str">
        <f t="shared" si="359"/>
        <v>No usa</v>
      </c>
      <c r="AL869">
        <v>0</v>
      </c>
      <c r="AM869" t="str">
        <f t="shared" si="360"/>
        <v>No usa</v>
      </c>
      <c r="AN869">
        <v>1</v>
      </c>
      <c r="AO869" t="str">
        <f t="shared" si="361"/>
        <v>Usa Transporte</v>
      </c>
      <c r="AP869">
        <v>0</v>
      </c>
      <c r="AQ869" t="str">
        <f t="shared" si="362"/>
        <v>No camina</v>
      </c>
      <c r="AR869">
        <v>0</v>
      </c>
      <c r="AS869" t="str">
        <f t="shared" si="363"/>
        <v>No es obeso</v>
      </c>
    </row>
    <row r="870" spans="1:45" x14ac:dyDescent="0.25">
      <c r="A870">
        <v>0</v>
      </c>
      <c r="B870" t="str">
        <f t="shared" si="338"/>
        <v>F</v>
      </c>
      <c r="C870">
        <v>21837058</v>
      </c>
      <c r="D870">
        <f t="shared" si="339"/>
        <v>59</v>
      </c>
      <c r="E870">
        <f t="shared" si="340"/>
        <v>59</v>
      </c>
      <c r="F870" t="str">
        <f t="shared" si="341"/>
        <v>50-75</v>
      </c>
      <c r="G870">
        <v>0</v>
      </c>
      <c r="H870" t="str">
        <f t="shared" si="342"/>
        <v>Pariente normal</v>
      </c>
      <c r="I870">
        <v>1</v>
      </c>
      <c r="J870" t="str">
        <f t="shared" si="343"/>
        <v>Hipercaloricos</v>
      </c>
      <c r="K870">
        <v>253915</v>
      </c>
      <c r="L870">
        <f t="shared" si="344"/>
        <v>1</v>
      </c>
      <c r="M870" t="str">
        <f t="shared" si="345"/>
        <v>Suele comer</v>
      </c>
      <c r="N870">
        <v>1590982</v>
      </c>
      <c r="O870">
        <f t="shared" si="346"/>
        <v>2</v>
      </c>
      <c r="P870" t="str">
        <f t="shared" si="347"/>
        <v>Mas de 3</v>
      </c>
      <c r="Q870">
        <v>1</v>
      </c>
      <c r="R870" t="str">
        <f t="shared" si="348"/>
        <v>A veces</v>
      </c>
      <c r="S870">
        <v>0</v>
      </c>
      <c r="T870" t="str">
        <f t="shared" si="349"/>
        <v>No fuma</v>
      </c>
      <c r="U870">
        <v>1977801</v>
      </c>
      <c r="V870">
        <f t="shared" si="350"/>
        <v>2</v>
      </c>
      <c r="W870" t="str">
        <f t="shared" si="351"/>
        <v>Siempre</v>
      </c>
      <c r="X870">
        <v>0</v>
      </c>
      <c r="Y870" t="str">
        <f t="shared" si="352"/>
        <v>No controla</v>
      </c>
      <c r="Z870">
        <v>1264616</v>
      </c>
      <c r="AA870">
        <f t="shared" si="353"/>
        <v>3</v>
      </c>
      <c r="AB870" t="str">
        <f t="shared" si="354"/>
        <v>Siempre</v>
      </c>
      <c r="AC870">
        <v>0</v>
      </c>
      <c r="AD870">
        <f t="shared" si="355"/>
        <v>0</v>
      </c>
      <c r="AE870" t="str">
        <f t="shared" si="356"/>
        <v>Nunca</v>
      </c>
      <c r="AF870">
        <v>1</v>
      </c>
      <c r="AG870" t="str">
        <f t="shared" si="357"/>
        <v>A veces</v>
      </c>
      <c r="AH870">
        <v>0</v>
      </c>
      <c r="AI870" t="str">
        <f t="shared" si="358"/>
        <v>No usa</v>
      </c>
      <c r="AJ870">
        <v>0</v>
      </c>
      <c r="AK870" t="str">
        <f t="shared" si="359"/>
        <v>No usa</v>
      </c>
      <c r="AL870">
        <v>0</v>
      </c>
      <c r="AM870" t="str">
        <f t="shared" si="360"/>
        <v>No usa</v>
      </c>
      <c r="AN870">
        <v>1</v>
      </c>
      <c r="AO870" t="str">
        <f t="shared" si="361"/>
        <v>Usa Transporte</v>
      </c>
      <c r="AP870">
        <v>0</v>
      </c>
      <c r="AQ870" t="str">
        <f t="shared" si="362"/>
        <v>No camina</v>
      </c>
      <c r="AR870">
        <v>0</v>
      </c>
      <c r="AS870" t="str">
        <f t="shared" si="363"/>
        <v>No es obeso</v>
      </c>
    </row>
    <row r="871" spans="1:45" x14ac:dyDescent="0.25">
      <c r="A871">
        <v>0</v>
      </c>
      <c r="B871" t="str">
        <f t="shared" si="338"/>
        <v>F</v>
      </c>
      <c r="C871">
        <v>27</v>
      </c>
      <c r="D871">
        <f t="shared" si="339"/>
        <v>27</v>
      </c>
      <c r="E871">
        <f t="shared" si="340"/>
        <v>27</v>
      </c>
      <c r="F871" t="str">
        <f t="shared" si="341"/>
        <v>25-50</v>
      </c>
      <c r="G871">
        <v>0</v>
      </c>
      <c r="H871" t="str">
        <f t="shared" si="342"/>
        <v>Pariente normal</v>
      </c>
      <c r="I871">
        <v>1</v>
      </c>
      <c r="J871" t="str">
        <f t="shared" si="343"/>
        <v>Hipercaloricos</v>
      </c>
      <c r="K871">
        <v>2244142</v>
      </c>
      <c r="L871">
        <f t="shared" si="344"/>
        <v>1</v>
      </c>
      <c r="M871" t="str">
        <f t="shared" si="345"/>
        <v>Suele comer</v>
      </c>
      <c r="N871">
        <v>1704828</v>
      </c>
      <c r="O871">
        <f t="shared" si="346"/>
        <v>2</v>
      </c>
      <c r="P871" t="str">
        <f t="shared" si="347"/>
        <v>Mas de 3</v>
      </c>
      <c r="Q871">
        <v>1</v>
      </c>
      <c r="R871" t="str">
        <f t="shared" si="348"/>
        <v>A veces</v>
      </c>
      <c r="S871">
        <v>0</v>
      </c>
      <c r="T871" t="str">
        <f t="shared" si="349"/>
        <v>No fuma</v>
      </c>
      <c r="U871">
        <v>1</v>
      </c>
      <c r="V871">
        <f t="shared" si="350"/>
        <v>1</v>
      </c>
      <c r="W871" t="str">
        <f t="shared" si="351"/>
        <v>Usualmente</v>
      </c>
      <c r="X871">
        <v>0</v>
      </c>
      <c r="Y871" t="str">
        <f t="shared" si="352"/>
        <v>No controla</v>
      </c>
      <c r="Z871">
        <v>0.79292899999999999</v>
      </c>
      <c r="AA871">
        <f t="shared" si="353"/>
        <v>0</v>
      </c>
      <c r="AB871" t="str">
        <f t="shared" si="354"/>
        <v>Nunca</v>
      </c>
      <c r="AC871">
        <v>0.39546799999999999</v>
      </c>
      <c r="AD871">
        <f t="shared" si="355"/>
        <v>0</v>
      </c>
      <c r="AE871" t="str">
        <f t="shared" si="356"/>
        <v>Nunca</v>
      </c>
      <c r="AF871">
        <v>1</v>
      </c>
      <c r="AG871" t="str">
        <f t="shared" si="357"/>
        <v>A veces</v>
      </c>
      <c r="AH871">
        <v>0</v>
      </c>
      <c r="AI871" t="str">
        <f t="shared" si="358"/>
        <v>No usa</v>
      </c>
      <c r="AJ871">
        <v>0</v>
      </c>
      <c r="AK871" t="str">
        <f t="shared" si="359"/>
        <v>No usa</v>
      </c>
      <c r="AL871">
        <v>0</v>
      </c>
      <c r="AM871" t="str">
        <f t="shared" si="360"/>
        <v>No usa</v>
      </c>
      <c r="AN871">
        <v>1</v>
      </c>
      <c r="AO871" t="str">
        <f t="shared" si="361"/>
        <v>Usa Transporte</v>
      </c>
      <c r="AP871">
        <v>0</v>
      </c>
      <c r="AQ871" t="str">
        <f t="shared" si="362"/>
        <v>No camina</v>
      </c>
      <c r="AR871">
        <v>0</v>
      </c>
      <c r="AS871" t="str">
        <f t="shared" si="363"/>
        <v>No es obeso</v>
      </c>
    </row>
    <row r="872" spans="1:45" x14ac:dyDescent="0.25">
      <c r="A872">
        <v>0</v>
      </c>
      <c r="B872" t="str">
        <f t="shared" si="338"/>
        <v>F</v>
      </c>
      <c r="C872">
        <v>35483601</v>
      </c>
      <c r="D872">
        <f t="shared" si="339"/>
        <v>97</v>
      </c>
      <c r="E872">
        <f t="shared" si="340"/>
        <v>97</v>
      </c>
      <c r="F872" t="str">
        <f t="shared" si="341"/>
        <v>75-100</v>
      </c>
      <c r="G872">
        <v>1</v>
      </c>
      <c r="H872" t="str">
        <f t="shared" si="342"/>
        <v>Pariente gordo</v>
      </c>
      <c r="I872">
        <v>0</v>
      </c>
      <c r="J872" t="str">
        <f t="shared" si="343"/>
        <v>Saludables</v>
      </c>
      <c r="K872">
        <v>3</v>
      </c>
      <c r="L872">
        <f t="shared" si="344"/>
        <v>1</v>
      </c>
      <c r="M872" t="str">
        <f t="shared" si="345"/>
        <v>Suele comer</v>
      </c>
      <c r="N872">
        <v>2725012</v>
      </c>
      <c r="O872">
        <f t="shared" si="346"/>
        <v>2</v>
      </c>
      <c r="P872" t="str">
        <f t="shared" si="347"/>
        <v>Mas de 3</v>
      </c>
      <c r="Q872">
        <v>1</v>
      </c>
      <c r="R872" t="str">
        <f t="shared" si="348"/>
        <v>A veces</v>
      </c>
      <c r="S872">
        <v>0</v>
      </c>
      <c r="T872" t="str">
        <f t="shared" si="349"/>
        <v>No fuma</v>
      </c>
      <c r="U872">
        <v>162244</v>
      </c>
      <c r="V872">
        <f t="shared" si="350"/>
        <v>2</v>
      </c>
      <c r="W872" t="str">
        <f t="shared" si="351"/>
        <v>Siempre</v>
      </c>
      <c r="X872">
        <v>0</v>
      </c>
      <c r="Y872" t="str">
        <f t="shared" si="352"/>
        <v>No controla</v>
      </c>
      <c r="Z872">
        <v>0.90266100000000005</v>
      </c>
      <c r="AA872">
        <f t="shared" si="353"/>
        <v>0</v>
      </c>
      <c r="AB872" t="str">
        <f t="shared" si="354"/>
        <v>Nunca</v>
      </c>
      <c r="AC872">
        <v>0</v>
      </c>
      <c r="AD872">
        <f t="shared" si="355"/>
        <v>0</v>
      </c>
      <c r="AE872" t="str">
        <f t="shared" si="356"/>
        <v>Nunca</v>
      </c>
      <c r="AF872">
        <v>1</v>
      </c>
      <c r="AG872" t="str">
        <f t="shared" si="357"/>
        <v>A veces</v>
      </c>
      <c r="AH872">
        <v>1</v>
      </c>
      <c r="AI872" t="str">
        <f t="shared" si="358"/>
        <v>Usa auto</v>
      </c>
      <c r="AJ872">
        <v>0</v>
      </c>
      <c r="AK872" t="str">
        <f t="shared" si="359"/>
        <v>No usa</v>
      </c>
      <c r="AL872">
        <v>0</v>
      </c>
      <c r="AM872" t="str">
        <f t="shared" si="360"/>
        <v>No usa</v>
      </c>
      <c r="AN872">
        <v>0</v>
      </c>
      <c r="AO872" t="str">
        <f t="shared" si="361"/>
        <v>No usa</v>
      </c>
      <c r="AP872">
        <v>0</v>
      </c>
      <c r="AQ872" t="str">
        <f t="shared" si="362"/>
        <v>No camina</v>
      </c>
      <c r="AR872">
        <v>0</v>
      </c>
      <c r="AS872" t="str">
        <f t="shared" si="363"/>
        <v>No es obeso</v>
      </c>
    </row>
    <row r="873" spans="1:45" x14ac:dyDescent="0.25">
      <c r="A873">
        <v>1</v>
      </c>
      <c r="B873" t="str">
        <f t="shared" si="338"/>
        <v>M</v>
      </c>
      <c r="C873">
        <v>23801436</v>
      </c>
      <c r="D873">
        <f t="shared" si="339"/>
        <v>65</v>
      </c>
      <c r="E873">
        <f t="shared" si="340"/>
        <v>65</v>
      </c>
      <c r="F873" t="str">
        <f t="shared" si="341"/>
        <v>50-75</v>
      </c>
      <c r="G873">
        <v>1</v>
      </c>
      <c r="H873" t="str">
        <f t="shared" si="342"/>
        <v>Pariente gordo</v>
      </c>
      <c r="I873">
        <v>1</v>
      </c>
      <c r="J873" t="str">
        <f t="shared" si="343"/>
        <v>Hipercaloricos</v>
      </c>
      <c r="K873">
        <v>2</v>
      </c>
      <c r="L873">
        <f t="shared" si="344"/>
        <v>1</v>
      </c>
      <c r="M873" t="str">
        <f t="shared" si="345"/>
        <v>Suele comer</v>
      </c>
      <c r="N873">
        <v>2372339</v>
      </c>
      <c r="O873">
        <f t="shared" si="346"/>
        <v>2</v>
      </c>
      <c r="P873" t="str">
        <f t="shared" si="347"/>
        <v>Mas de 3</v>
      </c>
      <c r="Q873">
        <v>1</v>
      </c>
      <c r="R873" t="str">
        <f t="shared" si="348"/>
        <v>A veces</v>
      </c>
      <c r="S873">
        <v>0</v>
      </c>
      <c r="T873" t="str">
        <f t="shared" si="349"/>
        <v>No fuma</v>
      </c>
      <c r="U873">
        <v>1675733</v>
      </c>
      <c r="V873">
        <f t="shared" si="350"/>
        <v>2</v>
      </c>
      <c r="W873" t="str">
        <f t="shared" si="351"/>
        <v>Siempre</v>
      </c>
      <c r="X873">
        <v>0</v>
      </c>
      <c r="Y873" t="str">
        <f t="shared" si="352"/>
        <v>No controla</v>
      </c>
      <c r="Z873">
        <v>1066241</v>
      </c>
      <c r="AA873">
        <f t="shared" si="353"/>
        <v>3</v>
      </c>
      <c r="AB873" t="str">
        <f t="shared" si="354"/>
        <v>Siempre</v>
      </c>
      <c r="AC873">
        <v>1</v>
      </c>
      <c r="AD873">
        <f t="shared" si="355"/>
        <v>1</v>
      </c>
      <c r="AE873" t="str">
        <f t="shared" si="356"/>
        <v>Usualmente</v>
      </c>
      <c r="AF873">
        <v>1</v>
      </c>
      <c r="AG873" t="str">
        <f t="shared" si="357"/>
        <v>A veces</v>
      </c>
      <c r="AH873">
        <v>1</v>
      </c>
      <c r="AI873" t="str">
        <f t="shared" si="358"/>
        <v>Usa auto</v>
      </c>
      <c r="AJ873">
        <v>0</v>
      </c>
      <c r="AK873" t="str">
        <f t="shared" si="359"/>
        <v>No usa</v>
      </c>
      <c r="AL873">
        <v>0</v>
      </c>
      <c r="AM873" t="str">
        <f t="shared" si="360"/>
        <v>No usa</v>
      </c>
      <c r="AN873">
        <v>0</v>
      </c>
      <c r="AO873" t="str">
        <f t="shared" si="361"/>
        <v>No usa</v>
      </c>
      <c r="AP873">
        <v>0</v>
      </c>
      <c r="AQ873" t="str">
        <f t="shared" si="362"/>
        <v>No camina</v>
      </c>
      <c r="AR873">
        <v>0</v>
      </c>
      <c r="AS873" t="str">
        <f t="shared" si="363"/>
        <v>No es obeso</v>
      </c>
    </row>
    <row r="874" spans="1:45" x14ac:dyDescent="0.25">
      <c r="A874">
        <v>1</v>
      </c>
      <c r="B874" t="str">
        <f t="shared" si="338"/>
        <v>M</v>
      </c>
      <c r="C874">
        <v>23367212</v>
      </c>
      <c r="D874">
        <f t="shared" si="339"/>
        <v>64</v>
      </c>
      <c r="E874">
        <f t="shared" si="340"/>
        <v>64</v>
      </c>
      <c r="F874" t="str">
        <f t="shared" si="341"/>
        <v>50-75</v>
      </c>
      <c r="G874">
        <v>1</v>
      </c>
      <c r="H874" t="str">
        <f t="shared" si="342"/>
        <v>Pariente gordo</v>
      </c>
      <c r="I874">
        <v>1</v>
      </c>
      <c r="J874" t="str">
        <f t="shared" si="343"/>
        <v>Hipercaloricos</v>
      </c>
      <c r="K874">
        <v>2</v>
      </c>
      <c r="L874">
        <f t="shared" si="344"/>
        <v>1</v>
      </c>
      <c r="M874" t="str">
        <f t="shared" si="345"/>
        <v>Suele comer</v>
      </c>
      <c r="N874">
        <v>1097312</v>
      </c>
      <c r="O874">
        <f t="shared" si="346"/>
        <v>2</v>
      </c>
      <c r="P874" t="str">
        <f t="shared" si="347"/>
        <v>Mas de 3</v>
      </c>
      <c r="Q874">
        <v>1</v>
      </c>
      <c r="R874" t="str">
        <f t="shared" si="348"/>
        <v>A veces</v>
      </c>
      <c r="S874">
        <v>0</v>
      </c>
      <c r="T874" t="str">
        <f t="shared" si="349"/>
        <v>No fuma</v>
      </c>
      <c r="U874">
        <v>1328835</v>
      </c>
      <c r="V874">
        <f t="shared" si="350"/>
        <v>2</v>
      </c>
      <c r="W874" t="str">
        <f t="shared" si="351"/>
        <v>Siempre</v>
      </c>
      <c r="X874">
        <v>0</v>
      </c>
      <c r="Y874" t="str">
        <f t="shared" si="352"/>
        <v>No controla</v>
      </c>
      <c r="Z874">
        <v>1264257</v>
      </c>
      <c r="AA874">
        <f t="shared" si="353"/>
        <v>3</v>
      </c>
      <c r="AB874" t="str">
        <f t="shared" si="354"/>
        <v>Siempre</v>
      </c>
      <c r="AC874">
        <v>1</v>
      </c>
      <c r="AD874">
        <f t="shared" si="355"/>
        <v>1</v>
      </c>
      <c r="AE874" t="str">
        <f t="shared" si="356"/>
        <v>Usualmente</v>
      </c>
      <c r="AF874">
        <v>1</v>
      </c>
      <c r="AG874" t="str">
        <f t="shared" si="357"/>
        <v>A veces</v>
      </c>
      <c r="AH874">
        <v>1</v>
      </c>
      <c r="AI874" t="str">
        <f t="shared" si="358"/>
        <v>Usa auto</v>
      </c>
      <c r="AJ874">
        <v>0</v>
      </c>
      <c r="AK874" t="str">
        <f t="shared" si="359"/>
        <v>No usa</v>
      </c>
      <c r="AL874">
        <v>0</v>
      </c>
      <c r="AM874" t="str">
        <f t="shared" si="360"/>
        <v>No usa</v>
      </c>
      <c r="AN874">
        <v>0</v>
      </c>
      <c r="AO874" t="str">
        <f t="shared" si="361"/>
        <v>No usa</v>
      </c>
      <c r="AP874">
        <v>0</v>
      </c>
      <c r="AQ874" t="str">
        <f t="shared" si="362"/>
        <v>No camina</v>
      </c>
      <c r="AR874">
        <v>0</v>
      </c>
      <c r="AS874" t="str">
        <f t="shared" si="363"/>
        <v>No es obeso</v>
      </c>
    </row>
    <row r="875" spans="1:45" x14ac:dyDescent="0.25">
      <c r="A875">
        <v>0</v>
      </c>
      <c r="B875" t="str">
        <f t="shared" si="338"/>
        <v>F</v>
      </c>
      <c r="C875">
        <v>40</v>
      </c>
      <c r="D875">
        <f t="shared" si="339"/>
        <v>40</v>
      </c>
      <c r="E875">
        <f t="shared" si="340"/>
        <v>40</v>
      </c>
      <c r="F875" t="str">
        <f t="shared" si="341"/>
        <v>25-50</v>
      </c>
      <c r="G875">
        <v>1</v>
      </c>
      <c r="H875" t="str">
        <f t="shared" si="342"/>
        <v>Pariente gordo</v>
      </c>
      <c r="I875">
        <v>1</v>
      </c>
      <c r="J875" t="str">
        <f t="shared" si="343"/>
        <v>Hipercaloricos</v>
      </c>
      <c r="K875">
        <v>2253371</v>
      </c>
      <c r="L875">
        <f t="shared" si="344"/>
        <v>1</v>
      </c>
      <c r="M875" t="str">
        <f t="shared" si="345"/>
        <v>Suele comer</v>
      </c>
      <c r="N875">
        <v>3</v>
      </c>
      <c r="O875">
        <f t="shared" si="346"/>
        <v>2</v>
      </c>
      <c r="P875" t="str">
        <f t="shared" si="347"/>
        <v>Mas de 3</v>
      </c>
      <c r="Q875">
        <v>1</v>
      </c>
      <c r="R875" t="str">
        <f t="shared" si="348"/>
        <v>A veces</v>
      </c>
      <c r="S875">
        <v>0</v>
      </c>
      <c r="T875" t="str">
        <f t="shared" si="349"/>
        <v>No fuma</v>
      </c>
      <c r="U875">
        <v>2756916</v>
      </c>
      <c r="V875">
        <f t="shared" si="350"/>
        <v>2</v>
      </c>
      <c r="W875" t="str">
        <f t="shared" si="351"/>
        <v>Siempre</v>
      </c>
      <c r="X875">
        <v>0</v>
      </c>
      <c r="Y875" t="str">
        <f t="shared" si="352"/>
        <v>No controla</v>
      </c>
      <c r="Z875">
        <v>1016042</v>
      </c>
      <c r="AA875">
        <f t="shared" si="353"/>
        <v>3</v>
      </c>
      <c r="AB875" t="str">
        <f t="shared" si="354"/>
        <v>Siempre</v>
      </c>
      <c r="AC875">
        <v>0.21343699999999999</v>
      </c>
      <c r="AD875">
        <f t="shared" si="355"/>
        <v>0</v>
      </c>
      <c r="AE875" t="str">
        <f t="shared" si="356"/>
        <v>Nunca</v>
      </c>
      <c r="AF875">
        <v>1</v>
      </c>
      <c r="AG875" t="str">
        <f t="shared" si="357"/>
        <v>A veces</v>
      </c>
      <c r="AH875">
        <v>1</v>
      </c>
      <c r="AI875" t="str">
        <f t="shared" si="358"/>
        <v>Usa auto</v>
      </c>
      <c r="AJ875">
        <v>0</v>
      </c>
      <c r="AK875" t="str">
        <f t="shared" si="359"/>
        <v>No usa</v>
      </c>
      <c r="AL875">
        <v>0</v>
      </c>
      <c r="AM875" t="str">
        <f t="shared" si="360"/>
        <v>No usa</v>
      </c>
      <c r="AN875">
        <v>0</v>
      </c>
      <c r="AO875" t="str">
        <f t="shared" si="361"/>
        <v>No usa</v>
      </c>
      <c r="AP875">
        <v>0</v>
      </c>
      <c r="AQ875" t="str">
        <f t="shared" si="362"/>
        <v>No camina</v>
      </c>
      <c r="AR875">
        <v>0</v>
      </c>
      <c r="AS875" t="str">
        <f t="shared" si="363"/>
        <v>No es obeso</v>
      </c>
    </row>
    <row r="876" spans="1:45" x14ac:dyDescent="0.25">
      <c r="A876">
        <v>0</v>
      </c>
      <c r="B876" t="str">
        <f t="shared" si="338"/>
        <v>F</v>
      </c>
      <c r="C876">
        <v>1638009</v>
      </c>
      <c r="D876">
        <f t="shared" si="339"/>
        <v>4</v>
      </c>
      <c r="E876">
        <f t="shared" si="340"/>
        <v>4</v>
      </c>
      <c r="F876" t="str">
        <f t="shared" si="341"/>
        <v>1-25</v>
      </c>
      <c r="G876">
        <v>1</v>
      </c>
      <c r="H876" t="str">
        <f t="shared" si="342"/>
        <v>Pariente gordo</v>
      </c>
      <c r="I876">
        <v>1</v>
      </c>
      <c r="J876" t="str">
        <f t="shared" si="343"/>
        <v>Hipercaloricos</v>
      </c>
      <c r="K876">
        <v>2851664</v>
      </c>
      <c r="L876">
        <f t="shared" si="344"/>
        <v>1</v>
      </c>
      <c r="M876" t="str">
        <f t="shared" si="345"/>
        <v>Suele comer</v>
      </c>
      <c r="N876">
        <v>1</v>
      </c>
      <c r="O876">
        <f t="shared" si="346"/>
        <v>1</v>
      </c>
      <c r="P876">
        <f t="shared" si="347"/>
        <v>3</v>
      </c>
      <c r="Q876">
        <v>1</v>
      </c>
      <c r="R876" t="str">
        <f t="shared" si="348"/>
        <v>A veces</v>
      </c>
      <c r="S876">
        <v>0</v>
      </c>
      <c r="T876" t="str">
        <f t="shared" si="349"/>
        <v>No fuma</v>
      </c>
      <c r="U876">
        <v>2</v>
      </c>
      <c r="V876">
        <f t="shared" si="350"/>
        <v>2</v>
      </c>
      <c r="W876" t="str">
        <f t="shared" si="351"/>
        <v>Siempre</v>
      </c>
      <c r="X876">
        <v>0</v>
      </c>
      <c r="Y876" t="str">
        <f t="shared" si="352"/>
        <v>No controla</v>
      </c>
      <c r="Z876">
        <v>0.97792900000000005</v>
      </c>
      <c r="AA876">
        <f t="shared" si="353"/>
        <v>0</v>
      </c>
      <c r="AB876" t="str">
        <f t="shared" si="354"/>
        <v>Nunca</v>
      </c>
      <c r="AC876">
        <v>1765321</v>
      </c>
      <c r="AD876">
        <f t="shared" si="355"/>
        <v>2</v>
      </c>
      <c r="AE876" t="str">
        <f t="shared" si="356"/>
        <v>Siempre</v>
      </c>
      <c r="AF876">
        <v>0</v>
      </c>
      <c r="AG876" t="str">
        <f t="shared" si="357"/>
        <v>Nunca</v>
      </c>
      <c r="AH876">
        <v>0</v>
      </c>
      <c r="AI876" t="str">
        <f t="shared" si="358"/>
        <v>No usa</v>
      </c>
      <c r="AJ876">
        <v>0</v>
      </c>
      <c r="AK876" t="str">
        <f t="shared" si="359"/>
        <v>No usa</v>
      </c>
      <c r="AL876">
        <v>0</v>
      </c>
      <c r="AM876" t="str">
        <f t="shared" si="360"/>
        <v>No usa</v>
      </c>
      <c r="AN876">
        <v>1</v>
      </c>
      <c r="AO876" t="str">
        <f t="shared" si="361"/>
        <v>Usa Transporte</v>
      </c>
      <c r="AP876">
        <v>0</v>
      </c>
      <c r="AQ876" t="str">
        <f t="shared" si="362"/>
        <v>No camina</v>
      </c>
      <c r="AR876">
        <v>0</v>
      </c>
      <c r="AS876" t="str">
        <f t="shared" si="363"/>
        <v>No es obeso</v>
      </c>
    </row>
    <row r="877" spans="1:45" x14ac:dyDescent="0.25">
      <c r="A877">
        <v>0</v>
      </c>
      <c r="B877" t="str">
        <f t="shared" si="338"/>
        <v>F</v>
      </c>
      <c r="C877">
        <v>16865984</v>
      </c>
      <c r="D877">
        <f t="shared" si="339"/>
        <v>46</v>
      </c>
      <c r="E877">
        <f t="shared" si="340"/>
        <v>46</v>
      </c>
      <c r="F877" t="str">
        <f t="shared" si="341"/>
        <v>25-50</v>
      </c>
      <c r="G877">
        <v>1</v>
      </c>
      <c r="H877" t="str">
        <f t="shared" si="342"/>
        <v>Pariente gordo</v>
      </c>
      <c r="I877">
        <v>1</v>
      </c>
      <c r="J877" t="str">
        <f t="shared" si="343"/>
        <v>Hipercaloricos</v>
      </c>
      <c r="K877">
        <v>131415</v>
      </c>
      <c r="L877">
        <f t="shared" si="344"/>
        <v>1</v>
      </c>
      <c r="M877" t="str">
        <f t="shared" si="345"/>
        <v>Suele comer</v>
      </c>
      <c r="N877">
        <v>1068196</v>
      </c>
      <c r="O877">
        <f t="shared" si="346"/>
        <v>2</v>
      </c>
      <c r="P877" t="str">
        <f t="shared" si="347"/>
        <v>Mas de 3</v>
      </c>
      <c r="Q877">
        <v>1</v>
      </c>
      <c r="R877" t="str">
        <f t="shared" si="348"/>
        <v>A veces</v>
      </c>
      <c r="S877">
        <v>0</v>
      </c>
      <c r="T877" t="str">
        <f t="shared" si="349"/>
        <v>No fuma</v>
      </c>
      <c r="U877">
        <v>1364957</v>
      </c>
      <c r="V877">
        <f t="shared" si="350"/>
        <v>2</v>
      </c>
      <c r="W877" t="str">
        <f t="shared" si="351"/>
        <v>Siempre</v>
      </c>
      <c r="X877">
        <v>1</v>
      </c>
      <c r="Y877" t="str">
        <f t="shared" si="352"/>
        <v>Controla</v>
      </c>
      <c r="Z877">
        <v>0</v>
      </c>
      <c r="AA877">
        <f t="shared" si="353"/>
        <v>0</v>
      </c>
      <c r="AB877" t="str">
        <f t="shared" si="354"/>
        <v>Nunca</v>
      </c>
      <c r="AC877">
        <v>5.7925999999999998E-2</v>
      </c>
      <c r="AD877">
        <f t="shared" si="355"/>
        <v>0</v>
      </c>
      <c r="AE877" t="str">
        <f t="shared" si="356"/>
        <v>Nunca</v>
      </c>
      <c r="AF877">
        <v>0</v>
      </c>
      <c r="AG877" t="str">
        <f t="shared" si="357"/>
        <v>Nunca</v>
      </c>
      <c r="AH877">
        <v>0</v>
      </c>
      <c r="AI877" t="str">
        <f t="shared" si="358"/>
        <v>No usa</v>
      </c>
      <c r="AJ877">
        <v>0</v>
      </c>
      <c r="AK877" t="str">
        <f t="shared" si="359"/>
        <v>No usa</v>
      </c>
      <c r="AL877">
        <v>0</v>
      </c>
      <c r="AM877" t="str">
        <f t="shared" si="360"/>
        <v>No usa</v>
      </c>
      <c r="AN877">
        <v>1</v>
      </c>
      <c r="AO877" t="str">
        <f t="shared" si="361"/>
        <v>Usa Transporte</v>
      </c>
      <c r="AP877">
        <v>0</v>
      </c>
      <c r="AQ877" t="str">
        <f t="shared" si="362"/>
        <v>No camina</v>
      </c>
      <c r="AR877">
        <v>0</v>
      </c>
      <c r="AS877" t="str">
        <f t="shared" si="363"/>
        <v>No es obeso</v>
      </c>
    </row>
    <row r="878" spans="1:45" x14ac:dyDescent="0.25">
      <c r="A878">
        <v>0</v>
      </c>
      <c r="B878" t="str">
        <f t="shared" si="338"/>
        <v>F</v>
      </c>
      <c r="C878">
        <v>16093234</v>
      </c>
      <c r="D878">
        <f t="shared" si="339"/>
        <v>44</v>
      </c>
      <c r="E878">
        <f t="shared" si="340"/>
        <v>44</v>
      </c>
      <c r="F878" t="str">
        <f t="shared" si="341"/>
        <v>25-50</v>
      </c>
      <c r="G878">
        <v>1</v>
      </c>
      <c r="H878" t="str">
        <f t="shared" si="342"/>
        <v>Pariente gordo</v>
      </c>
      <c r="I878">
        <v>1</v>
      </c>
      <c r="J878" t="str">
        <f t="shared" si="343"/>
        <v>Hipercaloricos</v>
      </c>
      <c r="K878">
        <v>1321028</v>
      </c>
      <c r="L878">
        <f t="shared" si="344"/>
        <v>1</v>
      </c>
      <c r="M878" t="str">
        <f t="shared" si="345"/>
        <v>Suele comer</v>
      </c>
      <c r="N878">
        <v>1</v>
      </c>
      <c r="O878">
        <f t="shared" si="346"/>
        <v>1</v>
      </c>
      <c r="P878">
        <f t="shared" si="347"/>
        <v>3</v>
      </c>
      <c r="Q878">
        <v>1</v>
      </c>
      <c r="R878" t="str">
        <f t="shared" si="348"/>
        <v>A veces</v>
      </c>
      <c r="S878">
        <v>0</v>
      </c>
      <c r="T878" t="str">
        <f t="shared" si="349"/>
        <v>No fuma</v>
      </c>
      <c r="U878">
        <v>2</v>
      </c>
      <c r="V878">
        <f t="shared" si="350"/>
        <v>2</v>
      </c>
      <c r="W878" t="str">
        <f t="shared" si="351"/>
        <v>Siempre</v>
      </c>
      <c r="X878">
        <v>1</v>
      </c>
      <c r="Y878" t="str">
        <f t="shared" si="352"/>
        <v>Controla</v>
      </c>
      <c r="Z878">
        <v>0.371452</v>
      </c>
      <c r="AA878">
        <f t="shared" si="353"/>
        <v>0</v>
      </c>
      <c r="AB878" t="str">
        <f t="shared" si="354"/>
        <v>Nunca</v>
      </c>
      <c r="AC878">
        <v>0.96560400000000002</v>
      </c>
      <c r="AD878">
        <f t="shared" si="355"/>
        <v>0</v>
      </c>
      <c r="AE878" t="str">
        <f t="shared" si="356"/>
        <v>Nunca</v>
      </c>
      <c r="AF878">
        <v>0</v>
      </c>
      <c r="AG878" t="str">
        <f t="shared" si="357"/>
        <v>Nunca</v>
      </c>
      <c r="AH878">
        <v>0</v>
      </c>
      <c r="AI878" t="str">
        <f t="shared" si="358"/>
        <v>No usa</v>
      </c>
      <c r="AJ878">
        <v>0</v>
      </c>
      <c r="AK878" t="str">
        <f t="shared" si="359"/>
        <v>No usa</v>
      </c>
      <c r="AL878">
        <v>0</v>
      </c>
      <c r="AM878" t="str">
        <f t="shared" si="360"/>
        <v>No usa</v>
      </c>
      <c r="AN878">
        <v>1</v>
      </c>
      <c r="AO878" t="str">
        <f t="shared" si="361"/>
        <v>Usa Transporte</v>
      </c>
      <c r="AP878">
        <v>0</v>
      </c>
      <c r="AQ878" t="str">
        <f t="shared" si="362"/>
        <v>No camina</v>
      </c>
      <c r="AR878">
        <v>0</v>
      </c>
      <c r="AS878" t="str">
        <f t="shared" si="363"/>
        <v>No es obeso</v>
      </c>
    </row>
    <row r="879" spans="1:45" x14ac:dyDescent="0.25">
      <c r="A879">
        <v>0</v>
      </c>
      <c r="B879" t="str">
        <f t="shared" si="338"/>
        <v>F</v>
      </c>
      <c r="C879">
        <v>18</v>
      </c>
      <c r="D879">
        <f t="shared" si="339"/>
        <v>18</v>
      </c>
      <c r="E879">
        <f t="shared" si="340"/>
        <v>18</v>
      </c>
      <c r="F879" t="str">
        <f t="shared" si="341"/>
        <v>1-25</v>
      </c>
      <c r="G879">
        <v>1</v>
      </c>
      <c r="H879" t="str">
        <f t="shared" si="342"/>
        <v>Pariente gordo</v>
      </c>
      <c r="I879">
        <v>1</v>
      </c>
      <c r="J879" t="str">
        <f t="shared" si="343"/>
        <v>Hipercaloricos</v>
      </c>
      <c r="K879">
        <v>2</v>
      </c>
      <c r="L879">
        <f t="shared" si="344"/>
        <v>1</v>
      </c>
      <c r="M879" t="str">
        <f t="shared" si="345"/>
        <v>Suele comer</v>
      </c>
      <c r="N879">
        <v>1411685</v>
      </c>
      <c r="O879">
        <f t="shared" si="346"/>
        <v>2</v>
      </c>
      <c r="P879" t="str">
        <f t="shared" si="347"/>
        <v>Mas de 3</v>
      </c>
      <c r="Q879">
        <v>1</v>
      </c>
      <c r="R879" t="str">
        <f t="shared" si="348"/>
        <v>A veces</v>
      </c>
      <c r="S879">
        <v>0</v>
      </c>
      <c r="T879" t="str">
        <f t="shared" si="349"/>
        <v>No fuma</v>
      </c>
      <c r="U879">
        <v>1859089</v>
      </c>
      <c r="V879">
        <f t="shared" si="350"/>
        <v>2</v>
      </c>
      <c r="W879" t="str">
        <f t="shared" si="351"/>
        <v>Siempre</v>
      </c>
      <c r="X879">
        <v>0</v>
      </c>
      <c r="Y879" t="str">
        <f t="shared" si="352"/>
        <v>No controla</v>
      </c>
      <c r="Z879">
        <v>0</v>
      </c>
      <c r="AA879">
        <f t="shared" si="353"/>
        <v>0</v>
      </c>
      <c r="AB879" t="str">
        <f t="shared" si="354"/>
        <v>Nunca</v>
      </c>
      <c r="AC879">
        <v>1306</v>
      </c>
      <c r="AD879">
        <f t="shared" si="355"/>
        <v>1</v>
      </c>
      <c r="AE879" t="str">
        <f t="shared" si="356"/>
        <v>Usualmente</v>
      </c>
      <c r="AF879">
        <v>0</v>
      </c>
      <c r="AG879" t="str">
        <f t="shared" si="357"/>
        <v>Nunca</v>
      </c>
      <c r="AH879">
        <v>0</v>
      </c>
      <c r="AI879" t="str">
        <f t="shared" si="358"/>
        <v>No usa</v>
      </c>
      <c r="AJ879">
        <v>0</v>
      </c>
      <c r="AK879" t="str">
        <f t="shared" si="359"/>
        <v>No usa</v>
      </c>
      <c r="AL879">
        <v>0</v>
      </c>
      <c r="AM879" t="str">
        <f t="shared" si="360"/>
        <v>No usa</v>
      </c>
      <c r="AN879">
        <v>1</v>
      </c>
      <c r="AO879" t="str">
        <f t="shared" si="361"/>
        <v>Usa Transporte</v>
      </c>
      <c r="AP879">
        <v>0</v>
      </c>
      <c r="AQ879" t="str">
        <f t="shared" si="362"/>
        <v>No camina</v>
      </c>
      <c r="AR879">
        <v>0</v>
      </c>
      <c r="AS879" t="str">
        <f t="shared" si="363"/>
        <v>No es obeso</v>
      </c>
    </row>
    <row r="880" spans="1:45" x14ac:dyDescent="0.25">
      <c r="A880">
        <v>0</v>
      </c>
      <c r="B880" t="str">
        <f t="shared" si="338"/>
        <v>F</v>
      </c>
      <c r="C880">
        <v>1883919</v>
      </c>
      <c r="D880">
        <f t="shared" si="339"/>
        <v>5</v>
      </c>
      <c r="E880">
        <f t="shared" si="340"/>
        <v>5</v>
      </c>
      <c r="F880" t="str">
        <f t="shared" si="341"/>
        <v>1-25</v>
      </c>
      <c r="G880">
        <v>1</v>
      </c>
      <c r="H880" t="str">
        <f t="shared" si="342"/>
        <v>Pariente gordo</v>
      </c>
      <c r="I880">
        <v>1</v>
      </c>
      <c r="J880" t="str">
        <f t="shared" si="343"/>
        <v>Hipercaloricos</v>
      </c>
      <c r="K880">
        <v>2253998</v>
      </c>
      <c r="L880">
        <f t="shared" si="344"/>
        <v>1</v>
      </c>
      <c r="M880" t="str">
        <f t="shared" si="345"/>
        <v>Suele comer</v>
      </c>
      <c r="N880">
        <v>2752318</v>
      </c>
      <c r="O880">
        <f t="shared" si="346"/>
        <v>2</v>
      </c>
      <c r="P880" t="str">
        <f t="shared" si="347"/>
        <v>Mas de 3</v>
      </c>
      <c r="Q880">
        <v>1</v>
      </c>
      <c r="R880" t="str">
        <f t="shared" si="348"/>
        <v>A veces</v>
      </c>
      <c r="S880">
        <v>0</v>
      </c>
      <c r="T880" t="str">
        <f t="shared" si="349"/>
        <v>No fuma</v>
      </c>
      <c r="U880">
        <v>2328331</v>
      </c>
      <c r="V880">
        <f t="shared" si="350"/>
        <v>2</v>
      </c>
      <c r="W880" t="str">
        <f t="shared" si="351"/>
        <v>Siempre</v>
      </c>
      <c r="X880">
        <v>0</v>
      </c>
      <c r="Y880" t="str">
        <f t="shared" si="352"/>
        <v>No controla</v>
      </c>
      <c r="Z880">
        <v>0.81550900000000004</v>
      </c>
      <c r="AA880">
        <f t="shared" si="353"/>
        <v>0</v>
      </c>
      <c r="AB880" t="str">
        <f t="shared" si="354"/>
        <v>Nunca</v>
      </c>
      <c r="AC880">
        <v>2.4087999999999998E-2</v>
      </c>
      <c r="AD880">
        <f t="shared" si="355"/>
        <v>0</v>
      </c>
      <c r="AE880" t="str">
        <f t="shared" si="356"/>
        <v>Nunca</v>
      </c>
      <c r="AF880">
        <v>0</v>
      </c>
      <c r="AG880" t="str">
        <f t="shared" si="357"/>
        <v>Nunca</v>
      </c>
      <c r="AH880">
        <v>0</v>
      </c>
      <c r="AI880" t="str">
        <f t="shared" si="358"/>
        <v>No usa</v>
      </c>
      <c r="AJ880">
        <v>0</v>
      </c>
      <c r="AK880" t="str">
        <f t="shared" si="359"/>
        <v>No usa</v>
      </c>
      <c r="AL880">
        <v>0</v>
      </c>
      <c r="AM880" t="str">
        <f t="shared" si="360"/>
        <v>No usa</v>
      </c>
      <c r="AN880">
        <v>1</v>
      </c>
      <c r="AO880" t="str">
        <f t="shared" si="361"/>
        <v>Usa Transporte</v>
      </c>
      <c r="AP880">
        <v>0</v>
      </c>
      <c r="AQ880" t="str">
        <f t="shared" si="362"/>
        <v>No camina</v>
      </c>
      <c r="AR880">
        <v>0</v>
      </c>
      <c r="AS880" t="str">
        <f t="shared" si="363"/>
        <v>No es obeso</v>
      </c>
    </row>
    <row r="881" spans="1:45" x14ac:dyDescent="0.25">
      <c r="A881">
        <v>0</v>
      </c>
      <c r="B881" t="str">
        <f t="shared" si="338"/>
        <v>F</v>
      </c>
      <c r="C881">
        <v>19726522</v>
      </c>
      <c r="D881">
        <f t="shared" si="339"/>
        <v>54</v>
      </c>
      <c r="E881">
        <f t="shared" si="340"/>
        <v>54</v>
      </c>
      <c r="F881" t="str">
        <f t="shared" si="341"/>
        <v>50-75</v>
      </c>
      <c r="G881">
        <v>0</v>
      </c>
      <c r="H881" t="str">
        <f t="shared" si="342"/>
        <v>Pariente normal</v>
      </c>
      <c r="I881">
        <v>1</v>
      </c>
      <c r="J881" t="str">
        <f t="shared" si="343"/>
        <v>Hipercaloricos</v>
      </c>
      <c r="K881">
        <v>2778079</v>
      </c>
      <c r="L881">
        <f t="shared" si="344"/>
        <v>1</v>
      </c>
      <c r="M881" t="str">
        <f t="shared" si="345"/>
        <v>Suele comer</v>
      </c>
      <c r="N881">
        <v>3</v>
      </c>
      <c r="O881">
        <f t="shared" si="346"/>
        <v>2</v>
      </c>
      <c r="P881" t="str">
        <f t="shared" si="347"/>
        <v>Mas de 3</v>
      </c>
      <c r="Q881">
        <v>1</v>
      </c>
      <c r="R881" t="str">
        <f t="shared" si="348"/>
        <v>A veces</v>
      </c>
      <c r="S881">
        <v>0</v>
      </c>
      <c r="T881" t="str">
        <f t="shared" si="349"/>
        <v>No fuma</v>
      </c>
      <c r="U881">
        <v>1696691</v>
      </c>
      <c r="V881">
        <f t="shared" si="350"/>
        <v>2</v>
      </c>
      <c r="W881" t="str">
        <f t="shared" si="351"/>
        <v>Siempre</v>
      </c>
      <c r="X881">
        <v>1</v>
      </c>
      <c r="Y881" t="str">
        <f t="shared" si="352"/>
        <v>Controla</v>
      </c>
      <c r="Z881">
        <v>0.94223999999999997</v>
      </c>
      <c r="AA881">
        <f t="shared" si="353"/>
        <v>0</v>
      </c>
      <c r="AB881" t="str">
        <f t="shared" si="354"/>
        <v>Nunca</v>
      </c>
      <c r="AC881">
        <v>0.87992499999999996</v>
      </c>
      <c r="AD881">
        <f t="shared" si="355"/>
        <v>0</v>
      </c>
      <c r="AE881" t="str">
        <f t="shared" si="356"/>
        <v>Nunca</v>
      </c>
      <c r="AF881">
        <v>1</v>
      </c>
      <c r="AG881" t="str">
        <f t="shared" si="357"/>
        <v>A veces</v>
      </c>
      <c r="AH881">
        <v>0</v>
      </c>
      <c r="AI881" t="str">
        <f t="shared" si="358"/>
        <v>No usa</v>
      </c>
      <c r="AJ881">
        <v>0</v>
      </c>
      <c r="AK881" t="str">
        <f t="shared" si="359"/>
        <v>No usa</v>
      </c>
      <c r="AL881">
        <v>0</v>
      </c>
      <c r="AM881" t="str">
        <f t="shared" si="360"/>
        <v>No usa</v>
      </c>
      <c r="AN881">
        <v>1</v>
      </c>
      <c r="AO881" t="str">
        <f t="shared" si="361"/>
        <v>Usa Transporte</v>
      </c>
      <c r="AP881">
        <v>0</v>
      </c>
      <c r="AQ881" t="str">
        <f t="shared" si="362"/>
        <v>No camina</v>
      </c>
      <c r="AR881">
        <v>0</v>
      </c>
      <c r="AS881" t="str">
        <f t="shared" si="363"/>
        <v>No es obeso</v>
      </c>
    </row>
    <row r="882" spans="1:45" x14ac:dyDescent="0.25">
      <c r="A882">
        <v>0</v>
      </c>
      <c r="B882" t="str">
        <f t="shared" si="338"/>
        <v>F</v>
      </c>
      <c r="C882">
        <v>18947102</v>
      </c>
      <c r="D882">
        <f t="shared" si="339"/>
        <v>51</v>
      </c>
      <c r="E882">
        <f t="shared" si="340"/>
        <v>51</v>
      </c>
      <c r="F882" t="str">
        <f t="shared" si="341"/>
        <v>50-75</v>
      </c>
      <c r="G882">
        <v>0</v>
      </c>
      <c r="H882" t="str">
        <f t="shared" si="342"/>
        <v>Pariente normal</v>
      </c>
      <c r="I882">
        <v>1</v>
      </c>
      <c r="J882" t="str">
        <f t="shared" si="343"/>
        <v>Hipercaloricos</v>
      </c>
      <c r="K882">
        <v>2838037</v>
      </c>
      <c r="L882">
        <f t="shared" si="344"/>
        <v>1</v>
      </c>
      <c r="M882" t="str">
        <f t="shared" si="345"/>
        <v>Suele comer</v>
      </c>
      <c r="N882">
        <v>2737571</v>
      </c>
      <c r="O882">
        <f t="shared" si="346"/>
        <v>2</v>
      </c>
      <c r="P882" t="str">
        <f t="shared" si="347"/>
        <v>Mas de 3</v>
      </c>
      <c r="Q882">
        <v>1</v>
      </c>
      <c r="R882" t="str">
        <f t="shared" si="348"/>
        <v>A veces</v>
      </c>
      <c r="S882">
        <v>0</v>
      </c>
      <c r="T882" t="str">
        <f t="shared" si="349"/>
        <v>No fuma</v>
      </c>
      <c r="U882">
        <v>1144467</v>
      </c>
      <c r="V882">
        <f t="shared" si="350"/>
        <v>2</v>
      </c>
      <c r="W882" t="str">
        <f t="shared" si="351"/>
        <v>Siempre</v>
      </c>
      <c r="X882">
        <v>1</v>
      </c>
      <c r="Y882" t="str">
        <f t="shared" si="352"/>
        <v>Controla</v>
      </c>
      <c r="Z882">
        <v>0.75378199999999995</v>
      </c>
      <c r="AA882">
        <f t="shared" si="353"/>
        <v>0</v>
      </c>
      <c r="AB882" t="str">
        <f t="shared" si="354"/>
        <v>Nunca</v>
      </c>
      <c r="AC882">
        <v>1286844</v>
      </c>
      <c r="AD882">
        <f t="shared" si="355"/>
        <v>2</v>
      </c>
      <c r="AE882" t="str">
        <f t="shared" si="356"/>
        <v>Siempre</v>
      </c>
      <c r="AF882">
        <v>1</v>
      </c>
      <c r="AG882" t="str">
        <f t="shared" si="357"/>
        <v>A veces</v>
      </c>
      <c r="AH882">
        <v>0</v>
      </c>
      <c r="AI882" t="str">
        <f t="shared" si="358"/>
        <v>No usa</v>
      </c>
      <c r="AJ882">
        <v>0</v>
      </c>
      <c r="AK882" t="str">
        <f t="shared" si="359"/>
        <v>No usa</v>
      </c>
      <c r="AL882">
        <v>0</v>
      </c>
      <c r="AM882" t="str">
        <f t="shared" si="360"/>
        <v>No usa</v>
      </c>
      <c r="AN882">
        <v>1</v>
      </c>
      <c r="AO882" t="str">
        <f t="shared" si="361"/>
        <v>Usa Transporte</v>
      </c>
      <c r="AP882">
        <v>0</v>
      </c>
      <c r="AQ882" t="str">
        <f t="shared" si="362"/>
        <v>No camina</v>
      </c>
      <c r="AR882">
        <v>0</v>
      </c>
      <c r="AS882" t="str">
        <f t="shared" si="363"/>
        <v>No es obeso</v>
      </c>
    </row>
    <row r="883" spans="1:45" x14ac:dyDescent="0.25">
      <c r="A883">
        <v>0</v>
      </c>
      <c r="B883" t="str">
        <f t="shared" si="338"/>
        <v>F</v>
      </c>
      <c r="C883">
        <v>17781183</v>
      </c>
      <c r="D883">
        <f t="shared" si="339"/>
        <v>48</v>
      </c>
      <c r="E883">
        <f t="shared" si="340"/>
        <v>48</v>
      </c>
      <c r="F883" t="str">
        <f t="shared" si="341"/>
        <v>25-50</v>
      </c>
      <c r="G883">
        <v>1</v>
      </c>
      <c r="H883" t="str">
        <f t="shared" si="342"/>
        <v>Pariente gordo</v>
      </c>
      <c r="I883">
        <v>1</v>
      </c>
      <c r="J883" t="str">
        <f t="shared" si="343"/>
        <v>Hipercaloricos</v>
      </c>
      <c r="K883">
        <v>3</v>
      </c>
      <c r="L883">
        <f t="shared" si="344"/>
        <v>1</v>
      </c>
      <c r="M883" t="str">
        <f t="shared" si="345"/>
        <v>Suele comer</v>
      </c>
      <c r="N883">
        <v>2973504</v>
      </c>
      <c r="O883">
        <f t="shared" si="346"/>
        <v>2</v>
      </c>
      <c r="P883" t="str">
        <f t="shared" si="347"/>
        <v>Mas de 3</v>
      </c>
      <c r="Q883">
        <v>1</v>
      </c>
      <c r="R883" t="str">
        <f t="shared" si="348"/>
        <v>A veces</v>
      </c>
      <c r="S883">
        <v>0</v>
      </c>
      <c r="T883" t="str">
        <f t="shared" si="349"/>
        <v>No fuma</v>
      </c>
      <c r="U883">
        <v>2</v>
      </c>
      <c r="V883">
        <f t="shared" si="350"/>
        <v>2</v>
      </c>
      <c r="W883" t="str">
        <f t="shared" si="351"/>
        <v>Siempre</v>
      </c>
      <c r="X883">
        <v>1</v>
      </c>
      <c r="Y883" t="str">
        <f t="shared" si="352"/>
        <v>Controla</v>
      </c>
      <c r="Z883">
        <v>0.178976</v>
      </c>
      <c r="AA883">
        <f t="shared" si="353"/>
        <v>0</v>
      </c>
      <c r="AB883" t="str">
        <f t="shared" si="354"/>
        <v>Nunca</v>
      </c>
      <c r="AC883">
        <v>0.166076</v>
      </c>
      <c r="AD883">
        <f t="shared" si="355"/>
        <v>0</v>
      </c>
      <c r="AE883" t="str">
        <f t="shared" si="356"/>
        <v>Nunca</v>
      </c>
      <c r="AF883">
        <v>1</v>
      </c>
      <c r="AG883" t="str">
        <f t="shared" si="357"/>
        <v>A veces</v>
      </c>
      <c r="AH883">
        <v>0</v>
      </c>
      <c r="AI883" t="str">
        <f t="shared" si="358"/>
        <v>No usa</v>
      </c>
      <c r="AJ883">
        <v>0</v>
      </c>
      <c r="AK883" t="str">
        <f t="shared" si="359"/>
        <v>No usa</v>
      </c>
      <c r="AL883">
        <v>0</v>
      </c>
      <c r="AM883" t="str">
        <f t="shared" si="360"/>
        <v>No usa</v>
      </c>
      <c r="AN883">
        <v>1</v>
      </c>
      <c r="AO883" t="str">
        <f t="shared" si="361"/>
        <v>Usa Transporte</v>
      </c>
      <c r="AP883">
        <v>0</v>
      </c>
      <c r="AQ883" t="str">
        <f t="shared" si="362"/>
        <v>No camina</v>
      </c>
      <c r="AR883">
        <v>0</v>
      </c>
      <c r="AS883" t="str">
        <f t="shared" si="363"/>
        <v>No es obeso</v>
      </c>
    </row>
    <row r="884" spans="1:45" x14ac:dyDescent="0.25">
      <c r="A884">
        <v>1</v>
      </c>
      <c r="B884" t="str">
        <f t="shared" si="338"/>
        <v>M</v>
      </c>
      <c r="C884">
        <v>33100581</v>
      </c>
      <c r="D884">
        <f t="shared" si="339"/>
        <v>90</v>
      </c>
      <c r="E884">
        <f t="shared" si="340"/>
        <v>90</v>
      </c>
      <c r="F884" t="str">
        <f t="shared" si="341"/>
        <v>75-100</v>
      </c>
      <c r="G884">
        <v>0</v>
      </c>
      <c r="H884" t="str">
        <f t="shared" si="342"/>
        <v>Pariente normal</v>
      </c>
      <c r="I884">
        <v>1</v>
      </c>
      <c r="J884" t="str">
        <f t="shared" si="343"/>
        <v>Hipercaloricos</v>
      </c>
      <c r="K884">
        <v>2814453</v>
      </c>
      <c r="L884">
        <f t="shared" si="344"/>
        <v>1</v>
      </c>
      <c r="M884" t="str">
        <f t="shared" si="345"/>
        <v>Suele comer</v>
      </c>
      <c r="N884">
        <v>2608055</v>
      </c>
      <c r="O884">
        <f t="shared" si="346"/>
        <v>2</v>
      </c>
      <c r="P884" t="str">
        <f t="shared" si="347"/>
        <v>Mas de 3</v>
      </c>
      <c r="Q884">
        <v>1</v>
      </c>
      <c r="R884" t="str">
        <f t="shared" si="348"/>
        <v>A veces</v>
      </c>
      <c r="S884">
        <v>0</v>
      </c>
      <c r="T884" t="str">
        <f t="shared" si="349"/>
        <v>No fuma</v>
      </c>
      <c r="U884">
        <v>185916</v>
      </c>
      <c r="V884">
        <f t="shared" si="350"/>
        <v>2</v>
      </c>
      <c r="W884" t="str">
        <f t="shared" si="351"/>
        <v>Siempre</v>
      </c>
      <c r="X884">
        <v>0</v>
      </c>
      <c r="Y884" t="str">
        <f t="shared" si="352"/>
        <v>No controla</v>
      </c>
      <c r="Z884">
        <v>2</v>
      </c>
      <c r="AA884">
        <f t="shared" si="353"/>
        <v>2</v>
      </c>
      <c r="AB884" t="str">
        <f t="shared" si="354"/>
        <v>Usualmente</v>
      </c>
      <c r="AC884">
        <v>0.51608399999999999</v>
      </c>
      <c r="AD884">
        <f t="shared" si="355"/>
        <v>0</v>
      </c>
      <c r="AE884" t="str">
        <f t="shared" si="356"/>
        <v>Nunca</v>
      </c>
      <c r="AF884">
        <v>0</v>
      </c>
      <c r="AG884" t="str">
        <f t="shared" si="357"/>
        <v>Nunca</v>
      </c>
      <c r="AH884">
        <v>1</v>
      </c>
      <c r="AI884" t="str">
        <f t="shared" si="358"/>
        <v>Usa auto</v>
      </c>
      <c r="AJ884">
        <v>0</v>
      </c>
      <c r="AK884" t="str">
        <f t="shared" si="359"/>
        <v>No usa</v>
      </c>
      <c r="AL884">
        <v>0</v>
      </c>
      <c r="AM884" t="str">
        <f t="shared" si="360"/>
        <v>No usa</v>
      </c>
      <c r="AN884">
        <v>0</v>
      </c>
      <c r="AO884" t="str">
        <f t="shared" si="361"/>
        <v>No usa</v>
      </c>
      <c r="AP884">
        <v>0</v>
      </c>
      <c r="AQ884" t="str">
        <f t="shared" si="362"/>
        <v>No camina</v>
      </c>
      <c r="AR884">
        <v>0</v>
      </c>
      <c r="AS884" t="str">
        <f t="shared" si="363"/>
        <v>No es obeso</v>
      </c>
    </row>
    <row r="885" spans="1:45" x14ac:dyDescent="0.25">
      <c r="A885">
        <v>0</v>
      </c>
      <c r="B885" t="str">
        <f t="shared" si="338"/>
        <v>F</v>
      </c>
      <c r="C885">
        <v>33251015</v>
      </c>
      <c r="D885">
        <f t="shared" si="339"/>
        <v>91</v>
      </c>
      <c r="E885">
        <f t="shared" si="340"/>
        <v>91</v>
      </c>
      <c r="F885" t="str">
        <f t="shared" si="341"/>
        <v>75-100</v>
      </c>
      <c r="G885">
        <v>1</v>
      </c>
      <c r="H885" t="str">
        <f t="shared" si="342"/>
        <v>Pariente gordo</v>
      </c>
      <c r="I885">
        <v>1</v>
      </c>
      <c r="J885" t="str">
        <f t="shared" si="343"/>
        <v>Hipercaloricos</v>
      </c>
      <c r="K885">
        <v>2013782</v>
      </c>
      <c r="L885">
        <f t="shared" si="344"/>
        <v>1</v>
      </c>
      <c r="M885" t="str">
        <f t="shared" si="345"/>
        <v>Suele comer</v>
      </c>
      <c r="N885">
        <v>2625942</v>
      </c>
      <c r="O885">
        <f t="shared" si="346"/>
        <v>2</v>
      </c>
      <c r="P885" t="str">
        <f t="shared" si="347"/>
        <v>Mas de 3</v>
      </c>
      <c r="Q885">
        <v>1</v>
      </c>
      <c r="R885" t="str">
        <f t="shared" si="348"/>
        <v>A veces</v>
      </c>
      <c r="S885">
        <v>0</v>
      </c>
      <c r="T885" t="str">
        <f t="shared" si="349"/>
        <v>No fuma</v>
      </c>
      <c r="U885">
        <v>1045586</v>
      </c>
      <c r="V885">
        <f t="shared" si="350"/>
        <v>2</v>
      </c>
      <c r="W885" t="str">
        <f t="shared" si="351"/>
        <v>Siempre</v>
      </c>
      <c r="X885">
        <v>0</v>
      </c>
      <c r="Y885" t="str">
        <f t="shared" si="352"/>
        <v>No controla</v>
      </c>
      <c r="Z885">
        <v>0.55330500000000005</v>
      </c>
      <c r="AA885">
        <f t="shared" si="353"/>
        <v>0</v>
      </c>
      <c r="AB885" t="str">
        <f t="shared" si="354"/>
        <v>Nunca</v>
      </c>
      <c r="AC885">
        <v>0.48021399999999997</v>
      </c>
      <c r="AD885">
        <f t="shared" si="355"/>
        <v>0</v>
      </c>
      <c r="AE885" t="str">
        <f t="shared" si="356"/>
        <v>Nunca</v>
      </c>
      <c r="AF885">
        <v>1</v>
      </c>
      <c r="AG885" t="str">
        <f t="shared" si="357"/>
        <v>A veces</v>
      </c>
      <c r="AH885">
        <v>1</v>
      </c>
      <c r="AI885" t="str">
        <f t="shared" si="358"/>
        <v>Usa auto</v>
      </c>
      <c r="AJ885">
        <v>0</v>
      </c>
      <c r="AK885" t="str">
        <f t="shared" si="359"/>
        <v>No usa</v>
      </c>
      <c r="AL885">
        <v>0</v>
      </c>
      <c r="AM885" t="str">
        <f t="shared" si="360"/>
        <v>No usa</v>
      </c>
      <c r="AN885">
        <v>0</v>
      </c>
      <c r="AO885" t="str">
        <f t="shared" si="361"/>
        <v>No usa</v>
      </c>
      <c r="AP885">
        <v>0</v>
      </c>
      <c r="AQ885" t="str">
        <f t="shared" si="362"/>
        <v>No camina</v>
      </c>
      <c r="AR885">
        <v>0</v>
      </c>
      <c r="AS885" t="str">
        <f t="shared" si="363"/>
        <v>No es obeso</v>
      </c>
    </row>
    <row r="886" spans="1:45" x14ac:dyDescent="0.25">
      <c r="A886">
        <v>0</v>
      </c>
      <c r="B886" t="str">
        <f t="shared" si="338"/>
        <v>F</v>
      </c>
      <c r="C886">
        <v>18985119</v>
      </c>
      <c r="D886">
        <f t="shared" si="339"/>
        <v>52</v>
      </c>
      <c r="E886">
        <f t="shared" si="340"/>
        <v>52</v>
      </c>
      <c r="F886" t="str">
        <f t="shared" si="341"/>
        <v>50-75</v>
      </c>
      <c r="G886">
        <v>1</v>
      </c>
      <c r="H886" t="str">
        <f t="shared" si="342"/>
        <v>Pariente gordo</v>
      </c>
      <c r="I886">
        <v>1</v>
      </c>
      <c r="J886" t="str">
        <f t="shared" si="343"/>
        <v>Hipercaloricos</v>
      </c>
      <c r="K886">
        <v>2</v>
      </c>
      <c r="L886">
        <f t="shared" si="344"/>
        <v>1</v>
      </c>
      <c r="M886" t="str">
        <f t="shared" si="345"/>
        <v>Suele comer</v>
      </c>
      <c r="N886">
        <v>1411808</v>
      </c>
      <c r="O886">
        <f t="shared" si="346"/>
        <v>2</v>
      </c>
      <c r="P886" t="str">
        <f t="shared" si="347"/>
        <v>Mas de 3</v>
      </c>
      <c r="Q886">
        <v>1</v>
      </c>
      <c r="R886" t="str">
        <f t="shared" si="348"/>
        <v>A veces</v>
      </c>
      <c r="S886">
        <v>0</v>
      </c>
      <c r="T886" t="str">
        <f t="shared" si="349"/>
        <v>No fuma</v>
      </c>
      <c r="U886">
        <v>2651194</v>
      </c>
      <c r="V886">
        <f t="shared" si="350"/>
        <v>2</v>
      </c>
      <c r="W886" t="str">
        <f t="shared" si="351"/>
        <v>Siempre</v>
      </c>
      <c r="X886">
        <v>0</v>
      </c>
      <c r="Y886" t="str">
        <f t="shared" si="352"/>
        <v>No controla</v>
      </c>
      <c r="Z886">
        <v>2878414</v>
      </c>
      <c r="AA886">
        <f t="shared" si="353"/>
        <v>3</v>
      </c>
      <c r="AB886" t="str">
        <f t="shared" si="354"/>
        <v>Siempre</v>
      </c>
      <c r="AC886">
        <v>0.95384100000000005</v>
      </c>
      <c r="AD886">
        <f t="shared" si="355"/>
        <v>0</v>
      </c>
      <c r="AE886" t="str">
        <f t="shared" si="356"/>
        <v>Nunca</v>
      </c>
      <c r="AF886">
        <v>0</v>
      </c>
      <c r="AG886" t="str">
        <f t="shared" si="357"/>
        <v>Nunca</v>
      </c>
      <c r="AH886">
        <v>0</v>
      </c>
      <c r="AI886" t="str">
        <f t="shared" si="358"/>
        <v>No usa</v>
      </c>
      <c r="AJ886">
        <v>0</v>
      </c>
      <c r="AK886" t="str">
        <f t="shared" si="359"/>
        <v>No usa</v>
      </c>
      <c r="AL886">
        <v>0</v>
      </c>
      <c r="AM886" t="str">
        <f t="shared" si="360"/>
        <v>No usa</v>
      </c>
      <c r="AN886">
        <v>1</v>
      </c>
      <c r="AO886" t="str">
        <f t="shared" si="361"/>
        <v>Usa Transporte</v>
      </c>
      <c r="AP886">
        <v>0</v>
      </c>
      <c r="AQ886" t="str">
        <f t="shared" si="362"/>
        <v>No camina</v>
      </c>
      <c r="AR886">
        <v>0</v>
      </c>
      <c r="AS886" t="str">
        <f t="shared" si="363"/>
        <v>No es obeso</v>
      </c>
    </row>
    <row r="887" spans="1:45" x14ac:dyDescent="0.25">
      <c r="A887">
        <v>0</v>
      </c>
      <c r="B887" t="str">
        <f t="shared" si="338"/>
        <v>F</v>
      </c>
      <c r="C887">
        <v>18871917</v>
      </c>
      <c r="D887">
        <f t="shared" si="339"/>
        <v>51</v>
      </c>
      <c r="E887">
        <f t="shared" si="340"/>
        <v>51</v>
      </c>
      <c r="F887" t="str">
        <f t="shared" si="341"/>
        <v>50-75</v>
      </c>
      <c r="G887">
        <v>1</v>
      </c>
      <c r="H887" t="str">
        <f t="shared" si="342"/>
        <v>Pariente gordo</v>
      </c>
      <c r="I887">
        <v>1</v>
      </c>
      <c r="J887" t="str">
        <f t="shared" si="343"/>
        <v>Hipercaloricos</v>
      </c>
      <c r="K887">
        <v>2</v>
      </c>
      <c r="L887">
        <f t="shared" si="344"/>
        <v>1</v>
      </c>
      <c r="M887" t="str">
        <f t="shared" si="345"/>
        <v>Suele comer</v>
      </c>
      <c r="N887">
        <v>1095223</v>
      </c>
      <c r="O887">
        <f t="shared" si="346"/>
        <v>2</v>
      </c>
      <c r="P887" t="str">
        <f t="shared" si="347"/>
        <v>Mas de 3</v>
      </c>
      <c r="Q887">
        <v>1</v>
      </c>
      <c r="R887" t="str">
        <f t="shared" si="348"/>
        <v>A veces</v>
      </c>
      <c r="S887">
        <v>0</v>
      </c>
      <c r="T887" t="str">
        <f t="shared" si="349"/>
        <v>No fuma</v>
      </c>
      <c r="U887">
        <v>2474132</v>
      </c>
      <c r="V887">
        <f t="shared" si="350"/>
        <v>2</v>
      </c>
      <c r="W887" t="str">
        <f t="shared" si="351"/>
        <v>Siempre</v>
      </c>
      <c r="X887">
        <v>0</v>
      </c>
      <c r="Y887" t="str">
        <f t="shared" si="352"/>
        <v>No controla</v>
      </c>
      <c r="Z887">
        <v>2876696</v>
      </c>
      <c r="AA887">
        <f t="shared" si="353"/>
        <v>3</v>
      </c>
      <c r="AB887" t="str">
        <f t="shared" si="354"/>
        <v>Siempre</v>
      </c>
      <c r="AC887">
        <v>0.79390000000000005</v>
      </c>
      <c r="AD887">
        <f t="shared" si="355"/>
        <v>0</v>
      </c>
      <c r="AE887" t="str">
        <f t="shared" si="356"/>
        <v>Nunca</v>
      </c>
      <c r="AF887">
        <v>0</v>
      </c>
      <c r="AG887" t="str">
        <f t="shared" si="357"/>
        <v>Nunca</v>
      </c>
      <c r="AH887">
        <v>0</v>
      </c>
      <c r="AI887" t="str">
        <f t="shared" si="358"/>
        <v>No usa</v>
      </c>
      <c r="AJ887">
        <v>0</v>
      </c>
      <c r="AK887" t="str">
        <f t="shared" si="359"/>
        <v>No usa</v>
      </c>
      <c r="AL887">
        <v>0</v>
      </c>
      <c r="AM887" t="str">
        <f t="shared" si="360"/>
        <v>No usa</v>
      </c>
      <c r="AN887">
        <v>1</v>
      </c>
      <c r="AO887" t="str">
        <f t="shared" si="361"/>
        <v>Usa Transporte</v>
      </c>
      <c r="AP887">
        <v>0</v>
      </c>
      <c r="AQ887" t="str">
        <f t="shared" si="362"/>
        <v>No camina</v>
      </c>
      <c r="AR887">
        <v>0</v>
      </c>
      <c r="AS887" t="str">
        <f t="shared" si="363"/>
        <v>No es obeso</v>
      </c>
    </row>
    <row r="888" spans="1:45" x14ac:dyDescent="0.25">
      <c r="A888">
        <v>1</v>
      </c>
      <c r="B888" t="str">
        <f t="shared" si="338"/>
        <v>M</v>
      </c>
      <c r="C888">
        <v>19478533</v>
      </c>
      <c r="D888">
        <f t="shared" si="339"/>
        <v>53</v>
      </c>
      <c r="E888">
        <f t="shared" si="340"/>
        <v>53</v>
      </c>
      <c r="F888" t="str">
        <f t="shared" si="341"/>
        <v>50-75</v>
      </c>
      <c r="G888">
        <v>1</v>
      </c>
      <c r="H888" t="str">
        <f t="shared" si="342"/>
        <v>Pariente gordo</v>
      </c>
      <c r="I888">
        <v>1</v>
      </c>
      <c r="J888" t="str">
        <f t="shared" si="343"/>
        <v>Hipercaloricos</v>
      </c>
      <c r="K888">
        <v>2459976</v>
      </c>
      <c r="L888">
        <f t="shared" si="344"/>
        <v>1</v>
      </c>
      <c r="M888" t="str">
        <f t="shared" si="345"/>
        <v>Suele comer</v>
      </c>
      <c r="N888">
        <v>330846</v>
      </c>
      <c r="O888">
        <f t="shared" si="346"/>
        <v>2</v>
      </c>
      <c r="P888" t="str">
        <f t="shared" si="347"/>
        <v>Mas de 3</v>
      </c>
      <c r="Q888">
        <v>1</v>
      </c>
      <c r="R888" t="str">
        <f t="shared" si="348"/>
        <v>A veces</v>
      </c>
      <c r="S888">
        <v>0</v>
      </c>
      <c r="T888" t="str">
        <f t="shared" si="349"/>
        <v>No fuma</v>
      </c>
      <c r="U888">
        <v>2078011</v>
      </c>
      <c r="V888">
        <f t="shared" si="350"/>
        <v>2</v>
      </c>
      <c r="W888" t="str">
        <f t="shared" si="351"/>
        <v>Siempre</v>
      </c>
      <c r="X888">
        <v>0</v>
      </c>
      <c r="Y888" t="str">
        <f t="shared" si="352"/>
        <v>No controla</v>
      </c>
      <c r="Z888">
        <v>1779646</v>
      </c>
      <c r="AA888">
        <f t="shared" si="353"/>
        <v>3</v>
      </c>
      <c r="AB888" t="str">
        <f t="shared" si="354"/>
        <v>Siempre</v>
      </c>
      <c r="AC888">
        <v>0.87177199999999999</v>
      </c>
      <c r="AD888">
        <f t="shared" si="355"/>
        <v>0</v>
      </c>
      <c r="AE888" t="str">
        <f t="shared" si="356"/>
        <v>Nunca</v>
      </c>
      <c r="AF888">
        <v>1</v>
      </c>
      <c r="AG888" t="str">
        <f t="shared" si="357"/>
        <v>A veces</v>
      </c>
      <c r="AH888">
        <v>0</v>
      </c>
      <c r="AI888" t="str">
        <f t="shared" si="358"/>
        <v>No usa</v>
      </c>
      <c r="AJ888">
        <v>0</v>
      </c>
      <c r="AK888" t="str">
        <f t="shared" si="359"/>
        <v>No usa</v>
      </c>
      <c r="AL888">
        <v>0</v>
      </c>
      <c r="AM888" t="str">
        <f t="shared" si="360"/>
        <v>No usa</v>
      </c>
      <c r="AN888">
        <v>1</v>
      </c>
      <c r="AO888" t="str">
        <f t="shared" si="361"/>
        <v>Usa Transporte</v>
      </c>
      <c r="AP888">
        <v>0</v>
      </c>
      <c r="AQ888" t="str">
        <f t="shared" si="362"/>
        <v>No camina</v>
      </c>
      <c r="AR888">
        <v>0</v>
      </c>
      <c r="AS888" t="str">
        <f t="shared" si="363"/>
        <v>No es obeso</v>
      </c>
    </row>
    <row r="889" spans="1:45" x14ac:dyDescent="0.25">
      <c r="A889">
        <v>1</v>
      </c>
      <c r="B889" t="str">
        <f t="shared" si="338"/>
        <v>M</v>
      </c>
      <c r="C889">
        <v>19429723</v>
      </c>
      <c r="D889">
        <f t="shared" si="339"/>
        <v>53</v>
      </c>
      <c r="E889">
        <f t="shared" si="340"/>
        <v>53</v>
      </c>
      <c r="F889" t="str">
        <f t="shared" si="341"/>
        <v>50-75</v>
      </c>
      <c r="G889">
        <v>1</v>
      </c>
      <c r="H889" t="str">
        <f t="shared" si="342"/>
        <v>Pariente gordo</v>
      </c>
      <c r="I889">
        <v>1</v>
      </c>
      <c r="J889" t="str">
        <f t="shared" si="343"/>
        <v>Hipercaloricos</v>
      </c>
      <c r="K889">
        <v>2643183</v>
      </c>
      <c r="L889">
        <f t="shared" si="344"/>
        <v>1</v>
      </c>
      <c r="M889" t="str">
        <f t="shared" si="345"/>
        <v>Suele comer</v>
      </c>
      <c r="N889">
        <v>3821461</v>
      </c>
      <c r="O889">
        <f t="shared" si="346"/>
        <v>2</v>
      </c>
      <c r="P889" t="str">
        <f t="shared" si="347"/>
        <v>Mas de 3</v>
      </c>
      <c r="Q889">
        <v>1</v>
      </c>
      <c r="R889" t="str">
        <f t="shared" si="348"/>
        <v>A veces</v>
      </c>
      <c r="S889">
        <v>0</v>
      </c>
      <c r="T889" t="str">
        <f t="shared" si="349"/>
        <v>No fuma</v>
      </c>
      <c r="U889">
        <v>2397124</v>
      </c>
      <c r="V889">
        <f t="shared" si="350"/>
        <v>2</v>
      </c>
      <c r="W889" t="str">
        <f t="shared" si="351"/>
        <v>Siempre</v>
      </c>
      <c r="X889">
        <v>0</v>
      </c>
      <c r="Y889" t="str">
        <f t="shared" si="352"/>
        <v>No controla</v>
      </c>
      <c r="Z889">
        <v>2044165</v>
      </c>
      <c r="AA889">
        <f t="shared" si="353"/>
        <v>3</v>
      </c>
      <c r="AB889" t="str">
        <f t="shared" si="354"/>
        <v>Siempre</v>
      </c>
      <c r="AC889">
        <v>0.471663</v>
      </c>
      <c r="AD889">
        <f t="shared" si="355"/>
        <v>0</v>
      </c>
      <c r="AE889" t="str">
        <f t="shared" si="356"/>
        <v>Nunca</v>
      </c>
      <c r="AF889">
        <v>1</v>
      </c>
      <c r="AG889" t="str">
        <f t="shared" si="357"/>
        <v>A veces</v>
      </c>
      <c r="AH889">
        <v>0</v>
      </c>
      <c r="AI889" t="str">
        <f t="shared" si="358"/>
        <v>No usa</v>
      </c>
      <c r="AJ889">
        <v>0</v>
      </c>
      <c r="AK889" t="str">
        <f t="shared" si="359"/>
        <v>No usa</v>
      </c>
      <c r="AL889">
        <v>0</v>
      </c>
      <c r="AM889" t="str">
        <f t="shared" si="360"/>
        <v>No usa</v>
      </c>
      <c r="AN889">
        <v>1</v>
      </c>
      <c r="AO889" t="str">
        <f t="shared" si="361"/>
        <v>Usa Transporte</v>
      </c>
      <c r="AP889">
        <v>0</v>
      </c>
      <c r="AQ889" t="str">
        <f t="shared" si="362"/>
        <v>No camina</v>
      </c>
      <c r="AR889">
        <v>0</v>
      </c>
      <c r="AS889" t="str">
        <f t="shared" si="363"/>
        <v>No es obeso</v>
      </c>
    </row>
    <row r="890" spans="1:45" x14ac:dyDescent="0.25">
      <c r="A890">
        <v>0</v>
      </c>
      <c r="B890" t="str">
        <f t="shared" si="338"/>
        <v>F</v>
      </c>
      <c r="C890">
        <v>20979254</v>
      </c>
      <c r="D890">
        <f t="shared" si="339"/>
        <v>57</v>
      </c>
      <c r="E890">
        <f t="shared" si="340"/>
        <v>57</v>
      </c>
      <c r="F890" t="str">
        <f t="shared" si="341"/>
        <v>50-75</v>
      </c>
      <c r="G890">
        <v>1</v>
      </c>
      <c r="H890" t="str">
        <f t="shared" si="342"/>
        <v>Pariente gordo</v>
      </c>
      <c r="I890">
        <v>1</v>
      </c>
      <c r="J890" t="str">
        <f t="shared" si="343"/>
        <v>Hipercaloricos</v>
      </c>
      <c r="K890">
        <v>2</v>
      </c>
      <c r="L890">
        <f t="shared" si="344"/>
        <v>1</v>
      </c>
      <c r="M890" t="str">
        <f t="shared" si="345"/>
        <v>Suele comer</v>
      </c>
      <c r="N890">
        <v>3</v>
      </c>
      <c r="O890">
        <f t="shared" si="346"/>
        <v>2</v>
      </c>
      <c r="P890" t="str">
        <f t="shared" si="347"/>
        <v>Mas de 3</v>
      </c>
      <c r="Q890">
        <v>1</v>
      </c>
      <c r="R890" t="str">
        <f t="shared" si="348"/>
        <v>A veces</v>
      </c>
      <c r="S890">
        <v>0</v>
      </c>
      <c r="T890" t="str">
        <f t="shared" si="349"/>
        <v>No fuma</v>
      </c>
      <c r="U890">
        <v>2813234</v>
      </c>
      <c r="V890">
        <f t="shared" si="350"/>
        <v>2</v>
      </c>
      <c r="W890" t="str">
        <f t="shared" si="351"/>
        <v>Siempre</v>
      </c>
      <c r="X890">
        <v>0</v>
      </c>
      <c r="Y890" t="str">
        <f t="shared" si="352"/>
        <v>No controla</v>
      </c>
      <c r="Z890">
        <v>0.22875300000000001</v>
      </c>
      <c r="AA890">
        <f t="shared" si="353"/>
        <v>0</v>
      </c>
      <c r="AB890" t="str">
        <f t="shared" si="354"/>
        <v>Nunca</v>
      </c>
      <c r="AC890">
        <v>2</v>
      </c>
      <c r="AD890">
        <f t="shared" si="355"/>
        <v>2</v>
      </c>
      <c r="AE890" t="str">
        <f t="shared" si="356"/>
        <v>Siempre</v>
      </c>
      <c r="AF890">
        <v>2</v>
      </c>
      <c r="AG890" t="str">
        <f t="shared" si="357"/>
        <v>Usualmente</v>
      </c>
      <c r="AH890">
        <v>0</v>
      </c>
      <c r="AI890" t="str">
        <f t="shared" si="358"/>
        <v>No usa</v>
      </c>
      <c r="AJ890">
        <v>0</v>
      </c>
      <c r="AK890" t="str">
        <f t="shared" si="359"/>
        <v>No usa</v>
      </c>
      <c r="AL890">
        <v>0</v>
      </c>
      <c r="AM890" t="str">
        <f t="shared" si="360"/>
        <v>No usa</v>
      </c>
      <c r="AN890">
        <v>1</v>
      </c>
      <c r="AO890" t="str">
        <f t="shared" si="361"/>
        <v>Usa Transporte</v>
      </c>
      <c r="AP890">
        <v>0</v>
      </c>
      <c r="AQ890" t="str">
        <f t="shared" si="362"/>
        <v>No camina</v>
      </c>
      <c r="AR890">
        <v>0</v>
      </c>
      <c r="AS890" t="str">
        <f t="shared" si="363"/>
        <v>No es obeso</v>
      </c>
    </row>
    <row r="891" spans="1:45" x14ac:dyDescent="0.25">
      <c r="A891">
        <v>0</v>
      </c>
      <c r="B891" t="str">
        <f t="shared" si="338"/>
        <v>F</v>
      </c>
      <c r="C891">
        <v>18869151</v>
      </c>
      <c r="D891">
        <f t="shared" si="339"/>
        <v>51</v>
      </c>
      <c r="E891">
        <f t="shared" si="340"/>
        <v>51</v>
      </c>
      <c r="F891" t="str">
        <f t="shared" si="341"/>
        <v>50-75</v>
      </c>
      <c r="G891">
        <v>1</v>
      </c>
      <c r="H891" t="str">
        <f t="shared" si="342"/>
        <v>Pariente gordo</v>
      </c>
      <c r="I891">
        <v>1</v>
      </c>
      <c r="J891" t="str">
        <f t="shared" si="343"/>
        <v>Hipercaloricos</v>
      </c>
      <c r="K891">
        <v>2</v>
      </c>
      <c r="L891">
        <f t="shared" si="344"/>
        <v>1</v>
      </c>
      <c r="M891" t="str">
        <f t="shared" si="345"/>
        <v>Suele comer</v>
      </c>
      <c r="N891">
        <v>2658639</v>
      </c>
      <c r="O891">
        <f t="shared" si="346"/>
        <v>2</v>
      </c>
      <c r="P891" t="str">
        <f t="shared" si="347"/>
        <v>Mas de 3</v>
      </c>
      <c r="Q891">
        <v>1</v>
      </c>
      <c r="R891" t="str">
        <f t="shared" si="348"/>
        <v>A veces</v>
      </c>
      <c r="S891">
        <v>0</v>
      </c>
      <c r="T891" t="str">
        <f t="shared" si="349"/>
        <v>No fuma</v>
      </c>
      <c r="U891">
        <v>2781628</v>
      </c>
      <c r="V891">
        <f t="shared" si="350"/>
        <v>2</v>
      </c>
      <c r="W891" t="str">
        <f t="shared" si="351"/>
        <v>Siempre</v>
      </c>
      <c r="X891">
        <v>0</v>
      </c>
      <c r="Y891" t="str">
        <f t="shared" si="352"/>
        <v>No controla</v>
      </c>
      <c r="Z891">
        <v>1955992</v>
      </c>
      <c r="AA891">
        <f t="shared" si="353"/>
        <v>3</v>
      </c>
      <c r="AB891" t="str">
        <f t="shared" si="354"/>
        <v>Siempre</v>
      </c>
      <c r="AC891">
        <v>1409198</v>
      </c>
      <c r="AD891">
        <f t="shared" si="355"/>
        <v>2</v>
      </c>
      <c r="AE891" t="str">
        <f t="shared" si="356"/>
        <v>Siempre</v>
      </c>
      <c r="AF891">
        <v>2</v>
      </c>
      <c r="AG891" t="str">
        <f t="shared" si="357"/>
        <v>Usualmente</v>
      </c>
      <c r="AH891">
        <v>0</v>
      </c>
      <c r="AI891" t="str">
        <f t="shared" si="358"/>
        <v>No usa</v>
      </c>
      <c r="AJ891">
        <v>0</v>
      </c>
      <c r="AK891" t="str">
        <f t="shared" si="359"/>
        <v>No usa</v>
      </c>
      <c r="AL891">
        <v>0</v>
      </c>
      <c r="AM891" t="str">
        <f t="shared" si="360"/>
        <v>No usa</v>
      </c>
      <c r="AN891">
        <v>1</v>
      </c>
      <c r="AO891" t="str">
        <f t="shared" si="361"/>
        <v>Usa Transporte</v>
      </c>
      <c r="AP891">
        <v>0</v>
      </c>
      <c r="AQ891" t="str">
        <f t="shared" si="362"/>
        <v>No camina</v>
      </c>
      <c r="AR891">
        <v>0</v>
      </c>
      <c r="AS891" t="str">
        <f t="shared" si="363"/>
        <v>No es obeso</v>
      </c>
    </row>
    <row r="892" spans="1:45" x14ac:dyDescent="0.25">
      <c r="A892">
        <v>0</v>
      </c>
      <c r="B892" t="str">
        <f t="shared" si="338"/>
        <v>F</v>
      </c>
      <c r="C892">
        <v>18236087</v>
      </c>
      <c r="D892">
        <f t="shared" si="339"/>
        <v>49</v>
      </c>
      <c r="E892">
        <f t="shared" si="340"/>
        <v>49</v>
      </c>
      <c r="F892" t="str">
        <f t="shared" si="341"/>
        <v>25-50</v>
      </c>
      <c r="G892">
        <v>1</v>
      </c>
      <c r="H892" t="str">
        <f t="shared" si="342"/>
        <v>Pariente gordo</v>
      </c>
      <c r="I892">
        <v>1</v>
      </c>
      <c r="J892" t="str">
        <f t="shared" si="343"/>
        <v>Hipercaloricos</v>
      </c>
      <c r="K892">
        <v>222399</v>
      </c>
      <c r="L892">
        <f t="shared" si="344"/>
        <v>1</v>
      </c>
      <c r="M892" t="str">
        <f t="shared" si="345"/>
        <v>Suele comer</v>
      </c>
      <c r="N892">
        <v>1</v>
      </c>
      <c r="O892">
        <f t="shared" si="346"/>
        <v>1</v>
      </c>
      <c r="P892">
        <f t="shared" si="347"/>
        <v>3</v>
      </c>
      <c r="Q892">
        <v>1</v>
      </c>
      <c r="R892" t="str">
        <f t="shared" si="348"/>
        <v>A veces</v>
      </c>
      <c r="S892">
        <v>0</v>
      </c>
      <c r="T892" t="str">
        <f t="shared" si="349"/>
        <v>No fuma</v>
      </c>
      <c r="U892">
        <v>220312</v>
      </c>
      <c r="V892">
        <f t="shared" si="350"/>
        <v>2</v>
      </c>
      <c r="W892" t="str">
        <f t="shared" si="351"/>
        <v>Siempre</v>
      </c>
      <c r="X892">
        <v>0</v>
      </c>
      <c r="Y892" t="str">
        <f t="shared" si="352"/>
        <v>No controla</v>
      </c>
      <c r="Z892">
        <v>0.104451</v>
      </c>
      <c r="AA892">
        <f t="shared" si="353"/>
        <v>0</v>
      </c>
      <c r="AB892" t="str">
        <f t="shared" si="354"/>
        <v>Nunca</v>
      </c>
      <c r="AC892">
        <v>1899073</v>
      </c>
      <c r="AD892">
        <f t="shared" si="355"/>
        <v>2</v>
      </c>
      <c r="AE892" t="str">
        <f t="shared" si="356"/>
        <v>Siempre</v>
      </c>
      <c r="AF892">
        <v>0</v>
      </c>
      <c r="AG892" t="str">
        <f t="shared" si="357"/>
        <v>Nunca</v>
      </c>
      <c r="AH892">
        <v>0</v>
      </c>
      <c r="AI892" t="str">
        <f t="shared" si="358"/>
        <v>No usa</v>
      </c>
      <c r="AJ892">
        <v>0</v>
      </c>
      <c r="AK892" t="str">
        <f t="shared" si="359"/>
        <v>No usa</v>
      </c>
      <c r="AL892">
        <v>0</v>
      </c>
      <c r="AM892" t="str">
        <f t="shared" si="360"/>
        <v>No usa</v>
      </c>
      <c r="AN892">
        <v>1</v>
      </c>
      <c r="AO892" t="str">
        <f t="shared" si="361"/>
        <v>Usa Transporte</v>
      </c>
      <c r="AP892">
        <v>0</v>
      </c>
      <c r="AQ892" t="str">
        <f t="shared" si="362"/>
        <v>No camina</v>
      </c>
      <c r="AR892">
        <v>0</v>
      </c>
      <c r="AS892" t="str">
        <f t="shared" si="363"/>
        <v>No es obeso</v>
      </c>
    </row>
    <row r="893" spans="1:45" x14ac:dyDescent="0.25">
      <c r="A893">
        <v>0</v>
      </c>
      <c r="B893" t="str">
        <f t="shared" si="338"/>
        <v>F</v>
      </c>
      <c r="C893">
        <v>20901393</v>
      </c>
      <c r="D893">
        <f t="shared" si="339"/>
        <v>57</v>
      </c>
      <c r="E893">
        <f t="shared" si="340"/>
        <v>57</v>
      </c>
      <c r="F893" t="str">
        <f t="shared" si="341"/>
        <v>50-75</v>
      </c>
      <c r="G893">
        <v>1</v>
      </c>
      <c r="H893" t="str">
        <f t="shared" si="342"/>
        <v>Pariente gordo</v>
      </c>
      <c r="I893">
        <v>1</v>
      </c>
      <c r="J893" t="str">
        <f t="shared" si="343"/>
        <v>Hipercaloricos</v>
      </c>
      <c r="K893">
        <v>2104105</v>
      </c>
      <c r="L893">
        <f t="shared" si="344"/>
        <v>1</v>
      </c>
      <c r="M893" t="str">
        <f t="shared" si="345"/>
        <v>Suele comer</v>
      </c>
      <c r="N893">
        <v>3</v>
      </c>
      <c r="O893">
        <f t="shared" si="346"/>
        <v>2</v>
      </c>
      <c r="P893" t="str">
        <f t="shared" si="347"/>
        <v>Mas de 3</v>
      </c>
      <c r="Q893">
        <v>1</v>
      </c>
      <c r="R893" t="str">
        <f t="shared" si="348"/>
        <v>A veces</v>
      </c>
      <c r="S893">
        <v>0</v>
      </c>
      <c r="T893" t="str">
        <f t="shared" si="349"/>
        <v>No fuma</v>
      </c>
      <c r="U893">
        <v>1871033</v>
      </c>
      <c r="V893">
        <f t="shared" si="350"/>
        <v>2</v>
      </c>
      <c r="W893" t="str">
        <f t="shared" si="351"/>
        <v>Siempre</v>
      </c>
      <c r="X893">
        <v>0</v>
      </c>
      <c r="Y893" t="str">
        <f t="shared" si="352"/>
        <v>No controla</v>
      </c>
      <c r="Z893">
        <v>1</v>
      </c>
      <c r="AA893">
        <f t="shared" si="353"/>
        <v>1</v>
      </c>
      <c r="AB893" t="str">
        <f t="shared" si="354"/>
        <v>A veces</v>
      </c>
      <c r="AC893">
        <v>0</v>
      </c>
      <c r="AD893">
        <f t="shared" si="355"/>
        <v>0</v>
      </c>
      <c r="AE893" t="str">
        <f t="shared" si="356"/>
        <v>Nunca</v>
      </c>
      <c r="AF893">
        <v>1</v>
      </c>
      <c r="AG893" t="str">
        <f t="shared" si="357"/>
        <v>A veces</v>
      </c>
      <c r="AH893">
        <v>0</v>
      </c>
      <c r="AI893" t="str">
        <f t="shared" si="358"/>
        <v>No usa</v>
      </c>
      <c r="AJ893">
        <v>0</v>
      </c>
      <c r="AK893" t="str">
        <f t="shared" si="359"/>
        <v>No usa</v>
      </c>
      <c r="AL893">
        <v>0</v>
      </c>
      <c r="AM893" t="str">
        <f t="shared" si="360"/>
        <v>No usa</v>
      </c>
      <c r="AN893">
        <v>1</v>
      </c>
      <c r="AO893" t="str">
        <f t="shared" si="361"/>
        <v>Usa Transporte</v>
      </c>
      <c r="AP893">
        <v>0</v>
      </c>
      <c r="AQ893" t="str">
        <f t="shared" si="362"/>
        <v>No camina</v>
      </c>
      <c r="AR893">
        <v>0</v>
      </c>
      <c r="AS893" t="str">
        <f t="shared" si="363"/>
        <v>No es obeso</v>
      </c>
    </row>
    <row r="894" spans="1:45" x14ac:dyDescent="0.25">
      <c r="A894">
        <v>0</v>
      </c>
      <c r="B894" t="str">
        <f t="shared" si="338"/>
        <v>F</v>
      </c>
      <c r="C894">
        <v>1708525</v>
      </c>
      <c r="D894">
        <f t="shared" si="339"/>
        <v>4</v>
      </c>
      <c r="E894">
        <f t="shared" si="340"/>
        <v>4</v>
      </c>
      <c r="F894" t="str">
        <f t="shared" si="341"/>
        <v>1-25</v>
      </c>
      <c r="G894">
        <v>0</v>
      </c>
      <c r="H894" t="str">
        <f t="shared" si="342"/>
        <v>Pariente normal</v>
      </c>
      <c r="I894">
        <v>1</v>
      </c>
      <c r="J894" t="str">
        <f t="shared" si="343"/>
        <v>Hipercaloricos</v>
      </c>
      <c r="K894">
        <v>1972545</v>
      </c>
      <c r="L894">
        <f t="shared" si="344"/>
        <v>1</v>
      </c>
      <c r="M894" t="str">
        <f t="shared" si="345"/>
        <v>Suele comer</v>
      </c>
      <c r="N894">
        <v>2339614</v>
      </c>
      <c r="O894">
        <f t="shared" si="346"/>
        <v>2</v>
      </c>
      <c r="P894" t="str">
        <f t="shared" si="347"/>
        <v>Mas de 3</v>
      </c>
      <c r="Q894">
        <v>1</v>
      </c>
      <c r="R894" t="str">
        <f t="shared" si="348"/>
        <v>A veces</v>
      </c>
      <c r="S894">
        <v>0</v>
      </c>
      <c r="T894" t="str">
        <f t="shared" si="349"/>
        <v>No fuma</v>
      </c>
      <c r="U894">
        <v>1711074</v>
      </c>
      <c r="V894">
        <f t="shared" si="350"/>
        <v>2</v>
      </c>
      <c r="W894" t="str">
        <f t="shared" si="351"/>
        <v>Siempre</v>
      </c>
      <c r="X894">
        <v>1</v>
      </c>
      <c r="Y894" t="str">
        <f t="shared" si="352"/>
        <v>Controla</v>
      </c>
      <c r="Z894">
        <v>9.5517000000000005E-2</v>
      </c>
      <c r="AA894">
        <f t="shared" si="353"/>
        <v>0</v>
      </c>
      <c r="AB894" t="str">
        <f t="shared" si="354"/>
        <v>Nunca</v>
      </c>
      <c r="AC894">
        <v>1191053</v>
      </c>
      <c r="AD894">
        <f t="shared" si="355"/>
        <v>2</v>
      </c>
      <c r="AE894" t="str">
        <f t="shared" si="356"/>
        <v>Siempre</v>
      </c>
      <c r="AF894">
        <v>1</v>
      </c>
      <c r="AG894" t="str">
        <f t="shared" si="357"/>
        <v>A veces</v>
      </c>
      <c r="AH894">
        <v>0</v>
      </c>
      <c r="AI894" t="str">
        <f t="shared" si="358"/>
        <v>No usa</v>
      </c>
      <c r="AJ894">
        <v>0</v>
      </c>
      <c r="AK894" t="str">
        <f t="shared" si="359"/>
        <v>No usa</v>
      </c>
      <c r="AL894">
        <v>0</v>
      </c>
      <c r="AM894" t="str">
        <f t="shared" si="360"/>
        <v>No usa</v>
      </c>
      <c r="AN894">
        <v>1</v>
      </c>
      <c r="AO894" t="str">
        <f t="shared" si="361"/>
        <v>Usa Transporte</v>
      </c>
      <c r="AP894">
        <v>0</v>
      </c>
      <c r="AQ894" t="str">
        <f t="shared" si="362"/>
        <v>No camina</v>
      </c>
      <c r="AR894">
        <v>0</v>
      </c>
      <c r="AS894" t="str">
        <f t="shared" si="363"/>
        <v>No es obeso</v>
      </c>
    </row>
    <row r="895" spans="1:45" x14ac:dyDescent="0.25">
      <c r="A895">
        <v>1</v>
      </c>
      <c r="B895" t="str">
        <f t="shared" si="338"/>
        <v>M</v>
      </c>
      <c r="C895">
        <v>25785925</v>
      </c>
      <c r="D895">
        <f t="shared" si="339"/>
        <v>70</v>
      </c>
      <c r="E895">
        <f t="shared" si="340"/>
        <v>70</v>
      </c>
      <c r="F895" t="str">
        <f t="shared" si="341"/>
        <v>50-75</v>
      </c>
      <c r="G895">
        <v>0</v>
      </c>
      <c r="H895" t="str">
        <f t="shared" si="342"/>
        <v>Pariente normal</v>
      </c>
      <c r="I895">
        <v>1</v>
      </c>
      <c r="J895" t="str">
        <f t="shared" si="343"/>
        <v>Hipercaloricos</v>
      </c>
      <c r="K895">
        <v>2286481</v>
      </c>
      <c r="L895">
        <f t="shared" si="344"/>
        <v>1</v>
      </c>
      <c r="M895" t="str">
        <f t="shared" si="345"/>
        <v>Suele comer</v>
      </c>
      <c r="N895">
        <v>1713762</v>
      </c>
      <c r="O895">
        <f t="shared" si="346"/>
        <v>2</v>
      </c>
      <c r="P895" t="str">
        <f t="shared" si="347"/>
        <v>Mas de 3</v>
      </c>
      <c r="Q895">
        <v>1</v>
      </c>
      <c r="R895" t="str">
        <f t="shared" si="348"/>
        <v>A veces</v>
      </c>
      <c r="S895">
        <v>0</v>
      </c>
      <c r="T895" t="str">
        <f t="shared" si="349"/>
        <v>No fuma</v>
      </c>
      <c r="U895">
        <v>1797161</v>
      </c>
      <c r="V895">
        <f t="shared" si="350"/>
        <v>2</v>
      </c>
      <c r="W895" t="str">
        <f t="shared" si="351"/>
        <v>Siempre</v>
      </c>
      <c r="X895">
        <v>0</v>
      </c>
      <c r="Y895" t="str">
        <f t="shared" si="352"/>
        <v>No controla</v>
      </c>
      <c r="Z895">
        <v>1658698</v>
      </c>
      <c r="AA895">
        <f t="shared" si="353"/>
        <v>3</v>
      </c>
      <c r="AB895" t="str">
        <f t="shared" si="354"/>
        <v>Siempre</v>
      </c>
      <c r="AC895">
        <v>0.92658099999999999</v>
      </c>
      <c r="AD895">
        <f t="shared" si="355"/>
        <v>0</v>
      </c>
      <c r="AE895" t="str">
        <f t="shared" si="356"/>
        <v>Nunca</v>
      </c>
      <c r="AF895">
        <v>0</v>
      </c>
      <c r="AG895" t="str">
        <f t="shared" si="357"/>
        <v>Nunca</v>
      </c>
      <c r="AH895">
        <v>1</v>
      </c>
      <c r="AI895" t="str">
        <f t="shared" si="358"/>
        <v>Usa auto</v>
      </c>
      <c r="AJ895">
        <v>0</v>
      </c>
      <c r="AK895" t="str">
        <f t="shared" si="359"/>
        <v>No usa</v>
      </c>
      <c r="AL895">
        <v>0</v>
      </c>
      <c r="AM895" t="str">
        <f t="shared" si="360"/>
        <v>No usa</v>
      </c>
      <c r="AN895">
        <v>0</v>
      </c>
      <c r="AO895" t="str">
        <f t="shared" si="361"/>
        <v>No usa</v>
      </c>
      <c r="AP895">
        <v>0</v>
      </c>
      <c r="AQ895" t="str">
        <f t="shared" si="362"/>
        <v>No camina</v>
      </c>
      <c r="AR895">
        <v>0</v>
      </c>
      <c r="AS895" t="str">
        <f t="shared" si="363"/>
        <v>No es obeso</v>
      </c>
    </row>
    <row r="896" spans="1:45" x14ac:dyDescent="0.25">
      <c r="A896">
        <v>1</v>
      </c>
      <c r="B896" t="str">
        <f t="shared" si="338"/>
        <v>M</v>
      </c>
      <c r="C896">
        <v>26787842</v>
      </c>
      <c r="D896">
        <f t="shared" si="339"/>
        <v>73</v>
      </c>
      <c r="E896">
        <f t="shared" si="340"/>
        <v>73</v>
      </c>
      <c r="F896" t="str">
        <f t="shared" si="341"/>
        <v>50-75</v>
      </c>
      <c r="G896">
        <v>0</v>
      </c>
      <c r="H896" t="str">
        <f t="shared" si="342"/>
        <v>Pariente normal</v>
      </c>
      <c r="I896">
        <v>1</v>
      </c>
      <c r="J896" t="str">
        <f t="shared" si="343"/>
        <v>Hipercaloricos</v>
      </c>
      <c r="K896">
        <v>2971588</v>
      </c>
      <c r="L896">
        <f t="shared" si="344"/>
        <v>1</v>
      </c>
      <c r="M896" t="str">
        <f t="shared" si="345"/>
        <v>Suele comer</v>
      </c>
      <c r="N896">
        <v>2743277</v>
      </c>
      <c r="O896">
        <f t="shared" si="346"/>
        <v>2</v>
      </c>
      <c r="P896" t="str">
        <f t="shared" si="347"/>
        <v>Mas de 3</v>
      </c>
      <c r="Q896">
        <v>1</v>
      </c>
      <c r="R896" t="str">
        <f t="shared" si="348"/>
        <v>A veces</v>
      </c>
      <c r="S896">
        <v>0</v>
      </c>
      <c r="T896" t="str">
        <f t="shared" si="349"/>
        <v>No fuma</v>
      </c>
      <c r="U896">
        <v>1394883</v>
      </c>
      <c r="V896">
        <f t="shared" si="350"/>
        <v>2</v>
      </c>
      <c r="W896" t="str">
        <f t="shared" si="351"/>
        <v>Siempre</v>
      </c>
      <c r="X896">
        <v>0</v>
      </c>
      <c r="Y896" t="str">
        <f t="shared" si="352"/>
        <v>No controla</v>
      </c>
      <c r="Z896">
        <v>2</v>
      </c>
      <c r="AA896">
        <f t="shared" si="353"/>
        <v>2</v>
      </c>
      <c r="AB896" t="str">
        <f t="shared" si="354"/>
        <v>Usualmente</v>
      </c>
      <c r="AC896">
        <v>0.47024300000000002</v>
      </c>
      <c r="AD896">
        <f t="shared" si="355"/>
        <v>0</v>
      </c>
      <c r="AE896" t="str">
        <f t="shared" si="356"/>
        <v>Nunca</v>
      </c>
      <c r="AF896">
        <v>0</v>
      </c>
      <c r="AG896" t="str">
        <f t="shared" si="357"/>
        <v>Nunca</v>
      </c>
      <c r="AH896">
        <v>1</v>
      </c>
      <c r="AI896" t="str">
        <f t="shared" si="358"/>
        <v>Usa auto</v>
      </c>
      <c r="AJ896">
        <v>0</v>
      </c>
      <c r="AK896" t="str">
        <f t="shared" si="359"/>
        <v>No usa</v>
      </c>
      <c r="AL896">
        <v>0</v>
      </c>
      <c r="AM896" t="str">
        <f t="shared" si="360"/>
        <v>No usa</v>
      </c>
      <c r="AN896">
        <v>0</v>
      </c>
      <c r="AO896" t="str">
        <f t="shared" si="361"/>
        <v>No usa</v>
      </c>
      <c r="AP896">
        <v>0</v>
      </c>
      <c r="AQ896" t="str">
        <f t="shared" si="362"/>
        <v>No camina</v>
      </c>
      <c r="AR896">
        <v>0</v>
      </c>
      <c r="AS896" t="str">
        <f t="shared" si="363"/>
        <v>No es obeso</v>
      </c>
    </row>
    <row r="897" spans="1:45" x14ac:dyDescent="0.25">
      <c r="A897">
        <v>1</v>
      </c>
      <c r="B897" t="str">
        <f t="shared" si="338"/>
        <v>M</v>
      </c>
      <c r="C897">
        <v>21037514</v>
      </c>
      <c r="D897">
        <f t="shared" si="339"/>
        <v>57</v>
      </c>
      <c r="E897">
        <f t="shared" si="340"/>
        <v>57</v>
      </c>
      <c r="F897" t="str">
        <f t="shared" si="341"/>
        <v>50-75</v>
      </c>
      <c r="G897">
        <v>0</v>
      </c>
      <c r="H897" t="str">
        <f t="shared" si="342"/>
        <v>Pariente normal</v>
      </c>
      <c r="I897">
        <v>1</v>
      </c>
      <c r="J897" t="str">
        <f t="shared" si="343"/>
        <v>Hipercaloricos</v>
      </c>
      <c r="K897">
        <v>2</v>
      </c>
      <c r="L897">
        <f t="shared" si="344"/>
        <v>1</v>
      </c>
      <c r="M897" t="str">
        <f t="shared" si="345"/>
        <v>Suele comer</v>
      </c>
      <c r="N897">
        <v>1</v>
      </c>
      <c r="O897">
        <f t="shared" si="346"/>
        <v>1</v>
      </c>
      <c r="P897">
        <f t="shared" si="347"/>
        <v>3</v>
      </c>
      <c r="Q897">
        <v>0</v>
      </c>
      <c r="R897" t="str">
        <f t="shared" si="348"/>
        <v>Nunca</v>
      </c>
      <c r="S897">
        <v>0</v>
      </c>
      <c r="T897" t="str">
        <f t="shared" si="349"/>
        <v>No fuma</v>
      </c>
      <c r="U897">
        <v>2881677</v>
      </c>
      <c r="V897">
        <f t="shared" si="350"/>
        <v>2</v>
      </c>
      <c r="W897" t="str">
        <f t="shared" si="351"/>
        <v>Siempre</v>
      </c>
      <c r="X897">
        <v>0</v>
      </c>
      <c r="Y897" t="str">
        <f t="shared" si="352"/>
        <v>No controla</v>
      </c>
      <c r="Z897">
        <v>0.91569900000000004</v>
      </c>
      <c r="AA897">
        <f t="shared" si="353"/>
        <v>0</v>
      </c>
      <c r="AB897" t="str">
        <f t="shared" si="354"/>
        <v>Nunca</v>
      </c>
      <c r="AC897">
        <v>0</v>
      </c>
      <c r="AD897">
        <f t="shared" si="355"/>
        <v>0</v>
      </c>
      <c r="AE897" t="str">
        <f t="shared" si="356"/>
        <v>Nunca</v>
      </c>
      <c r="AF897">
        <v>1</v>
      </c>
      <c r="AG897" t="str">
        <f t="shared" si="357"/>
        <v>A veces</v>
      </c>
      <c r="AH897">
        <v>0</v>
      </c>
      <c r="AI897" t="str">
        <f t="shared" si="358"/>
        <v>No usa</v>
      </c>
      <c r="AJ897">
        <v>0</v>
      </c>
      <c r="AK897" t="str">
        <f t="shared" si="359"/>
        <v>No usa</v>
      </c>
      <c r="AL897">
        <v>0</v>
      </c>
      <c r="AM897" t="str">
        <f t="shared" si="360"/>
        <v>No usa</v>
      </c>
      <c r="AN897">
        <v>1</v>
      </c>
      <c r="AO897" t="str">
        <f t="shared" si="361"/>
        <v>Usa Transporte</v>
      </c>
      <c r="AP897">
        <v>0</v>
      </c>
      <c r="AQ897" t="str">
        <f t="shared" si="362"/>
        <v>No camina</v>
      </c>
      <c r="AR897">
        <v>0</v>
      </c>
      <c r="AS897" t="str">
        <f t="shared" si="363"/>
        <v>No es obeso</v>
      </c>
    </row>
    <row r="898" spans="1:45" x14ac:dyDescent="0.25">
      <c r="A898">
        <v>1</v>
      </c>
      <c r="B898" t="str">
        <f t="shared" si="338"/>
        <v>M</v>
      </c>
      <c r="C898">
        <v>2100829</v>
      </c>
      <c r="D898">
        <f t="shared" si="339"/>
        <v>5</v>
      </c>
      <c r="E898">
        <f t="shared" si="340"/>
        <v>5</v>
      </c>
      <c r="F898" t="str">
        <f t="shared" si="341"/>
        <v>1-25</v>
      </c>
      <c r="G898">
        <v>0</v>
      </c>
      <c r="H898" t="str">
        <f t="shared" si="342"/>
        <v>Pariente normal</v>
      </c>
      <c r="I898">
        <v>1</v>
      </c>
      <c r="J898" t="str">
        <f t="shared" si="343"/>
        <v>Hipercaloricos</v>
      </c>
      <c r="K898">
        <v>2</v>
      </c>
      <c r="L898">
        <f t="shared" si="344"/>
        <v>1</v>
      </c>
      <c r="M898" t="str">
        <f t="shared" si="345"/>
        <v>Suele comer</v>
      </c>
      <c r="N898">
        <v>1</v>
      </c>
      <c r="O898">
        <f t="shared" si="346"/>
        <v>1</v>
      </c>
      <c r="P898">
        <f t="shared" si="347"/>
        <v>3</v>
      </c>
      <c r="Q898">
        <v>0</v>
      </c>
      <c r="R898" t="str">
        <f t="shared" si="348"/>
        <v>Nunca</v>
      </c>
      <c r="S898">
        <v>0</v>
      </c>
      <c r="T898" t="str">
        <f t="shared" si="349"/>
        <v>No fuma</v>
      </c>
      <c r="U898">
        <v>2795651</v>
      </c>
      <c r="V898">
        <f t="shared" si="350"/>
        <v>2</v>
      </c>
      <c r="W898" t="str">
        <f t="shared" si="351"/>
        <v>Siempre</v>
      </c>
      <c r="X898">
        <v>0</v>
      </c>
      <c r="Y898" t="str">
        <f t="shared" si="352"/>
        <v>No controla</v>
      </c>
      <c r="Z898">
        <v>0.80872999999999995</v>
      </c>
      <c r="AA898">
        <f t="shared" si="353"/>
        <v>0</v>
      </c>
      <c r="AB898" t="str">
        <f t="shared" si="354"/>
        <v>Nunca</v>
      </c>
      <c r="AC898">
        <v>0</v>
      </c>
      <c r="AD898">
        <f t="shared" si="355"/>
        <v>0</v>
      </c>
      <c r="AE898" t="str">
        <f t="shared" si="356"/>
        <v>Nunca</v>
      </c>
      <c r="AF898">
        <v>1</v>
      </c>
      <c r="AG898" t="str">
        <f t="shared" si="357"/>
        <v>A veces</v>
      </c>
      <c r="AH898">
        <v>0</v>
      </c>
      <c r="AI898" t="str">
        <f t="shared" si="358"/>
        <v>No usa</v>
      </c>
      <c r="AJ898">
        <v>0</v>
      </c>
      <c r="AK898" t="str">
        <f t="shared" si="359"/>
        <v>No usa</v>
      </c>
      <c r="AL898">
        <v>0</v>
      </c>
      <c r="AM898" t="str">
        <f t="shared" si="360"/>
        <v>No usa</v>
      </c>
      <c r="AN898">
        <v>1</v>
      </c>
      <c r="AO898" t="str">
        <f t="shared" si="361"/>
        <v>Usa Transporte</v>
      </c>
      <c r="AP898">
        <v>0</v>
      </c>
      <c r="AQ898" t="str">
        <f t="shared" si="362"/>
        <v>No camina</v>
      </c>
      <c r="AR898">
        <v>0</v>
      </c>
      <c r="AS898" t="str">
        <f t="shared" si="363"/>
        <v>No es obeso</v>
      </c>
    </row>
    <row r="899" spans="1:45" x14ac:dyDescent="0.25">
      <c r="A899">
        <v>1</v>
      </c>
      <c r="B899" t="str">
        <f t="shared" ref="B899:B962" si="364">IF(A899=1,"M","F")</f>
        <v>M</v>
      </c>
      <c r="C899">
        <v>2670371</v>
      </c>
      <c r="D899">
        <f t="shared" ref="D899:D962" si="365">IF(C899&lt;100,C899,ROUNDDOWN((C899/1000)/365,0))</f>
        <v>7</v>
      </c>
      <c r="E899">
        <f t="shared" ref="E899:E962" si="366">IF(AND(D899&gt;1,D899&lt;=100),D899,IF(D899&gt;100,100,5))</f>
        <v>7</v>
      </c>
      <c r="F899" t="str">
        <f t="shared" ref="F899:F962" si="367">IF(AND(E899&gt;=1,E899&lt;=25),"1-25",IF(AND(E899&gt;25,E899&lt;=50),"25-50",IF(AND(E899&gt;50,E899&lt;=75),"50-75","75-100")))</f>
        <v>1-25</v>
      </c>
      <c r="G899">
        <v>1</v>
      </c>
      <c r="H899" t="str">
        <f t="shared" ref="H899:H962" si="368">IF(G899=1,"Pariente gordo","Pariente normal")</f>
        <v>Pariente gordo</v>
      </c>
      <c r="I899">
        <v>1</v>
      </c>
      <c r="J899" t="str">
        <f t="shared" ref="J899:J962" si="369">IF(I899=1,"Hipercaloricos","Saludables")</f>
        <v>Hipercaloricos</v>
      </c>
      <c r="K899">
        <v>2872121</v>
      </c>
      <c r="L899">
        <f t="shared" ref="L899:L962" si="370">IF(AND(K899&gt;=1,K899&lt;=3),1,IF(AND(K899&gt;3,K899&lt;3000000),1))</f>
        <v>1</v>
      </c>
      <c r="M899" t="str">
        <f t="shared" ref="M899:M962" si="371">IF(L899=1,"Suele comer","No come")</f>
        <v>Suele comer</v>
      </c>
      <c r="N899">
        <v>3051804</v>
      </c>
      <c r="O899">
        <f t="shared" ref="O899:O962" si="372">IF(N899=1,N899,IF(AND(N899&gt;=2,N899&lt;4000000),2))</f>
        <v>2</v>
      </c>
      <c r="P899" t="str">
        <f t="shared" ref="P899:P962" si="373">IF(O899=0,"1-2",IF(O899=1,3,"Mas de 3"))</f>
        <v>Mas de 3</v>
      </c>
      <c r="Q899">
        <v>1</v>
      </c>
      <c r="R899" t="str">
        <f t="shared" ref="R899:R962" si="374">IF(Q899=0,"Nunca",IF(Q899=1,"A veces",IF(Q899=2,"Usualmente","Siempre")))</f>
        <v>A veces</v>
      </c>
      <c r="S899">
        <v>0</v>
      </c>
      <c r="T899" t="str">
        <f t="shared" ref="T899:T962" si="375">IF(S899=1,"Fuma","No fuma")</f>
        <v>No fuma</v>
      </c>
      <c r="U899">
        <v>2111913</v>
      </c>
      <c r="V899">
        <f t="shared" ref="V899:V962" si="376">IF(U899=1,U899,IF(U899=2,U899,IF(AND(U899&gt;=3,U899&lt;3000000),2)))</f>
        <v>2</v>
      </c>
      <c r="W899" t="str">
        <f t="shared" ref="W899:W962" si="377">IF(V899=0,"Nunca",IF(V899=1,"Usualmente","Siempre"))</f>
        <v>Siempre</v>
      </c>
      <c r="X899">
        <v>0</v>
      </c>
      <c r="Y899" t="str">
        <f t="shared" ref="Y899:Y962" si="378">IF(X899=1,"Controla","No controla")</f>
        <v>No controla</v>
      </c>
      <c r="Z899">
        <v>0.84370900000000004</v>
      </c>
      <c r="AA899">
        <f t="shared" ref="AA899:AA962" si="379">IF(Z899=0,Z899,IF(Z899=1,Z899,IF(Z899=2,Z899,IF(Z899=3,Z899,IF(AND(Z899&gt;3,Z899&lt;300000),2,IF(AND(Z899&gt;300000,Z899&lt;3000000),3,IF(AND(Z899&gt;0,Z899&lt;1),0)))))))</f>
        <v>0</v>
      </c>
      <c r="AB899" t="str">
        <f t="shared" ref="AB899:AB962" si="380">IF(AA899=0,"Nunca",IF(AA899=1,"A veces",IF(AA899=2,"Usualmente","Siempre")))</f>
        <v>Nunca</v>
      </c>
      <c r="AC899">
        <v>0.153559</v>
      </c>
      <c r="AD899">
        <f t="shared" ref="AD899:AD962" si="381">IF(AC899= 0,AC899,IF(AC899=1,AC899,IF(AC899=2,AC899,IF(AND(AC899&gt;2,AC899&lt;200000),1,IF(AND(AC899&gt;200000,AC899&lt;2000000),2,IF(AND(AC899&gt;0,AC899&lt;1),0))))))</f>
        <v>0</v>
      </c>
      <c r="AE899" t="str">
        <f t="shared" ref="AE899:AE962" si="382">IF(AD899=0,"Nunca",IF(AD899=1,"Usualmente","Siempre"))</f>
        <v>Nunca</v>
      </c>
      <c r="AF899">
        <v>1</v>
      </c>
      <c r="AG899" t="str">
        <f t="shared" ref="AG899:AG962" si="383">IF(AF899=0,"Nunca",IF(AF899=1,"A veces",IF(AF899=2,"Usualmente","Siempre")))</f>
        <v>A veces</v>
      </c>
      <c r="AH899">
        <v>1</v>
      </c>
      <c r="AI899" t="str">
        <f t="shared" ref="AI899:AI962" si="384">IF(AH899=1,"Usa auto","No usa")</f>
        <v>Usa auto</v>
      </c>
      <c r="AJ899">
        <v>0</v>
      </c>
      <c r="AK899" t="str">
        <f t="shared" ref="AK899:AK962" si="385">IF(AJ899=1,"Usa Bici","No usa")</f>
        <v>No usa</v>
      </c>
      <c r="AL899">
        <v>0</v>
      </c>
      <c r="AM899" t="str">
        <f t="shared" ref="AM899:AM962" si="386">IF(AL899=1,"Usa Moto","No usa")</f>
        <v>No usa</v>
      </c>
      <c r="AN899">
        <v>0</v>
      </c>
      <c r="AO899" t="str">
        <f t="shared" ref="AO899:AO962" si="387">IF(AN899=1,"Usa Transporte","No usa")</f>
        <v>No usa</v>
      </c>
      <c r="AP899">
        <v>0</v>
      </c>
      <c r="AQ899" t="str">
        <f t="shared" ref="AQ899:AQ962" si="388">IF(AP899=1,"Camina","No camina")</f>
        <v>No camina</v>
      </c>
      <c r="AR899">
        <v>0</v>
      </c>
      <c r="AS899" t="str">
        <f t="shared" ref="AS899:AS962" si="389">IF(AR899=1,"Es Obeso","No es obeso")</f>
        <v>No es obeso</v>
      </c>
    </row>
    <row r="900" spans="1:45" x14ac:dyDescent="0.25">
      <c r="A900">
        <v>1</v>
      </c>
      <c r="B900" t="str">
        <f t="shared" si="364"/>
        <v>M</v>
      </c>
      <c r="C900">
        <v>21731497</v>
      </c>
      <c r="D900">
        <f t="shared" si="365"/>
        <v>59</v>
      </c>
      <c r="E900">
        <f t="shared" si="366"/>
        <v>59</v>
      </c>
      <c r="F900" t="str">
        <f t="shared" si="367"/>
        <v>50-75</v>
      </c>
      <c r="G900">
        <v>1</v>
      </c>
      <c r="H900" t="str">
        <f t="shared" si="368"/>
        <v>Pariente gordo</v>
      </c>
      <c r="I900">
        <v>1</v>
      </c>
      <c r="J900" t="str">
        <f t="shared" si="369"/>
        <v>Hipercaloricos</v>
      </c>
      <c r="K900">
        <v>2109162</v>
      </c>
      <c r="L900">
        <f t="shared" si="370"/>
        <v>1</v>
      </c>
      <c r="M900" t="str">
        <f t="shared" si="371"/>
        <v>Suele comer</v>
      </c>
      <c r="N900">
        <v>3245148</v>
      </c>
      <c r="O900">
        <f t="shared" si="372"/>
        <v>2</v>
      </c>
      <c r="P900" t="str">
        <f t="shared" si="373"/>
        <v>Mas de 3</v>
      </c>
      <c r="Q900">
        <v>1</v>
      </c>
      <c r="R900" t="str">
        <f t="shared" si="374"/>
        <v>A veces</v>
      </c>
      <c r="S900">
        <v>0</v>
      </c>
      <c r="T900" t="str">
        <f t="shared" si="375"/>
        <v>No fuma</v>
      </c>
      <c r="U900">
        <v>1971774</v>
      </c>
      <c r="V900">
        <f t="shared" si="376"/>
        <v>2</v>
      </c>
      <c r="W900" t="str">
        <f t="shared" si="377"/>
        <v>Siempre</v>
      </c>
      <c r="X900">
        <v>0</v>
      </c>
      <c r="Y900" t="str">
        <f t="shared" si="378"/>
        <v>No controla</v>
      </c>
      <c r="Z900">
        <v>0.98933499999999996</v>
      </c>
      <c r="AA900">
        <f t="shared" si="379"/>
        <v>0</v>
      </c>
      <c r="AB900" t="str">
        <f t="shared" si="380"/>
        <v>Nunca</v>
      </c>
      <c r="AC900">
        <v>0</v>
      </c>
      <c r="AD900">
        <f t="shared" si="381"/>
        <v>0</v>
      </c>
      <c r="AE900" t="str">
        <f t="shared" si="382"/>
        <v>Nunca</v>
      </c>
      <c r="AF900">
        <v>1</v>
      </c>
      <c r="AG900" t="str">
        <f t="shared" si="383"/>
        <v>A veces</v>
      </c>
      <c r="AH900">
        <v>0</v>
      </c>
      <c r="AI900" t="str">
        <f t="shared" si="384"/>
        <v>No usa</v>
      </c>
      <c r="AJ900">
        <v>0</v>
      </c>
      <c r="AK900" t="str">
        <f t="shared" si="385"/>
        <v>No usa</v>
      </c>
      <c r="AL900">
        <v>0</v>
      </c>
      <c r="AM900" t="str">
        <f t="shared" si="386"/>
        <v>No usa</v>
      </c>
      <c r="AN900">
        <v>1</v>
      </c>
      <c r="AO900" t="str">
        <f t="shared" si="387"/>
        <v>Usa Transporte</v>
      </c>
      <c r="AP900">
        <v>0</v>
      </c>
      <c r="AQ900" t="str">
        <f t="shared" si="388"/>
        <v>No camina</v>
      </c>
      <c r="AR900">
        <v>0</v>
      </c>
      <c r="AS900" t="str">
        <f t="shared" si="389"/>
        <v>No es obeso</v>
      </c>
    </row>
    <row r="901" spans="1:45" x14ac:dyDescent="0.25">
      <c r="A901">
        <v>1</v>
      </c>
      <c r="B901" t="str">
        <f t="shared" si="364"/>
        <v>M</v>
      </c>
      <c r="C901">
        <v>21052894</v>
      </c>
      <c r="D901">
        <f t="shared" si="365"/>
        <v>57</v>
      </c>
      <c r="E901">
        <f t="shared" si="366"/>
        <v>57</v>
      </c>
      <c r="F901" t="str">
        <f t="shared" si="367"/>
        <v>50-75</v>
      </c>
      <c r="G901">
        <v>1</v>
      </c>
      <c r="H901" t="str">
        <f t="shared" si="368"/>
        <v>Pariente gordo</v>
      </c>
      <c r="I901">
        <v>1</v>
      </c>
      <c r="J901" t="str">
        <f t="shared" si="369"/>
        <v>Hipercaloricos</v>
      </c>
      <c r="K901">
        <v>2178889</v>
      </c>
      <c r="L901">
        <f t="shared" si="370"/>
        <v>1</v>
      </c>
      <c r="M901" t="str">
        <f t="shared" si="371"/>
        <v>Suele comer</v>
      </c>
      <c r="N901">
        <v>3563744</v>
      </c>
      <c r="O901">
        <f t="shared" si="372"/>
        <v>2</v>
      </c>
      <c r="P901" t="str">
        <f t="shared" si="373"/>
        <v>Mas de 3</v>
      </c>
      <c r="Q901">
        <v>1</v>
      </c>
      <c r="R901" t="str">
        <f t="shared" si="374"/>
        <v>A veces</v>
      </c>
      <c r="S901">
        <v>0</v>
      </c>
      <c r="T901" t="str">
        <f t="shared" si="375"/>
        <v>No fuma</v>
      </c>
      <c r="U901">
        <v>1853991</v>
      </c>
      <c r="V901">
        <f t="shared" si="376"/>
        <v>2</v>
      </c>
      <c r="W901" t="str">
        <f t="shared" si="377"/>
        <v>Siempre</v>
      </c>
      <c r="X901">
        <v>0</v>
      </c>
      <c r="Y901" t="str">
        <f t="shared" si="378"/>
        <v>No controla</v>
      </c>
      <c r="Z901">
        <v>0.99773100000000003</v>
      </c>
      <c r="AA901">
        <f t="shared" si="379"/>
        <v>0</v>
      </c>
      <c r="AB901" t="str">
        <f t="shared" si="380"/>
        <v>Nunca</v>
      </c>
      <c r="AC901">
        <v>0</v>
      </c>
      <c r="AD901">
        <f t="shared" si="381"/>
        <v>0</v>
      </c>
      <c r="AE901" t="str">
        <f t="shared" si="382"/>
        <v>Nunca</v>
      </c>
      <c r="AF901">
        <v>1</v>
      </c>
      <c r="AG901" t="str">
        <f t="shared" si="383"/>
        <v>A veces</v>
      </c>
      <c r="AH901">
        <v>0</v>
      </c>
      <c r="AI901" t="str">
        <f t="shared" si="384"/>
        <v>No usa</v>
      </c>
      <c r="AJ901">
        <v>0</v>
      </c>
      <c r="AK901" t="str">
        <f t="shared" si="385"/>
        <v>No usa</v>
      </c>
      <c r="AL901">
        <v>0</v>
      </c>
      <c r="AM901" t="str">
        <f t="shared" si="386"/>
        <v>No usa</v>
      </c>
      <c r="AN901">
        <v>1</v>
      </c>
      <c r="AO901" t="str">
        <f t="shared" si="387"/>
        <v>Usa Transporte</v>
      </c>
      <c r="AP901">
        <v>0</v>
      </c>
      <c r="AQ901" t="str">
        <f t="shared" si="388"/>
        <v>No camina</v>
      </c>
      <c r="AR901">
        <v>0</v>
      </c>
      <c r="AS901" t="str">
        <f t="shared" si="389"/>
        <v>No es obeso</v>
      </c>
    </row>
    <row r="902" spans="1:45" x14ac:dyDescent="0.25">
      <c r="A902">
        <v>0</v>
      </c>
      <c r="B902" t="str">
        <f t="shared" si="364"/>
        <v>F</v>
      </c>
      <c r="C902">
        <v>21</v>
      </c>
      <c r="D902">
        <f t="shared" si="365"/>
        <v>21</v>
      </c>
      <c r="E902">
        <f t="shared" si="366"/>
        <v>21</v>
      </c>
      <c r="F902" t="str">
        <f t="shared" si="367"/>
        <v>1-25</v>
      </c>
      <c r="G902">
        <v>1</v>
      </c>
      <c r="H902" t="str">
        <f t="shared" si="368"/>
        <v>Pariente gordo</v>
      </c>
      <c r="I902">
        <v>1</v>
      </c>
      <c r="J902" t="str">
        <f t="shared" si="369"/>
        <v>Hipercaloricos</v>
      </c>
      <c r="K902">
        <v>1142468</v>
      </c>
      <c r="L902">
        <f t="shared" si="370"/>
        <v>1</v>
      </c>
      <c r="M902" t="str">
        <f t="shared" si="371"/>
        <v>Suele comer</v>
      </c>
      <c r="N902">
        <v>3</v>
      </c>
      <c r="O902">
        <f t="shared" si="372"/>
        <v>2</v>
      </c>
      <c r="P902" t="str">
        <f t="shared" si="373"/>
        <v>Mas de 3</v>
      </c>
      <c r="Q902">
        <v>0</v>
      </c>
      <c r="R902" t="str">
        <f t="shared" si="374"/>
        <v>Nunca</v>
      </c>
      <c r="S902">
        <v>0</v>
      </c>
      <c r="T902" t="str">
        <f t="shared" si="375"/>
        <v>No fuma</v>
      </c>
      <c r="U902">
        <v>2197732</v>
      </c>
      <c r="V902">
        <f t="shared" si="376"/>
        <v>2</v>
      </c>
      <c r="W902" t="str">
        <f t="shared" si="377"/>
        <v>Siempre</v>
      </c>
      <c r="X902">
        <v>0</v>
      </c>
      <c r="Y902" t="str">
        <f t="shared" si="378"/>
        <v>No controla</v>
      </c>
      <c r="Z902">
        <v>0.82750599999999996</v>
      </c>
      <c r="AA902">
        <f t="shared" si="379"/>
        <v>0</v>
      </c>
      <c r="AB902" t="str">
        <f t="shared" si="380"/>
        <v>Nunca</v>
      </c>
      <c r="AC902">
        <v>0.57287699999999997</v>
      </c>
      <c r="AD902">
        <f t="shared" si="381"/>
        <v>0</v>
      </c>
      <c r="AE902" t="str">
        <f t="shared" si="382"/>
        <v>Nunca</v>
      </c>
      <c r="AF902">
        <v>1</v>
      </c>
      <c r="AG902" t="str">
        <f t="shared" si="383"/>
        <v>A veces</v>
      </c>
      <c r="AH902">
        <v>0</v>
      </c>
      <c r="AI902" t="str">
        <f t="shared" si="384"/>
        <v>No usa</v>
      </c>
      <c r="AJ902">
        <v>0</v>
      </c>
      <c r="AK902" t="str">
        <f t="shared" si="385"/>
        <v>No usa</v>
      </c>
      <c r="AL902">
        <v>0</v>
      </c>
      <c r="AM902" t="str">
        <f t="shared" si="386"/>
        <v>No usa</v>
      </c>
      <c r="AN902">
        <v>1</v>
      </c>
      <c r="AO902" t="str">
        <f t="shared" si="387"/>
        <v>Usa Transporte</v>
      </c>
      <c r="AP902">
        <v>0</v>
      </c>
      <c r="AQ902" t="str">
        <f t="shared" si="388"/>
        <v>No camina</v>
      </c>
      <c r="AR902">
        <v>0</v>
      </c>
      <c r="AS902" t="str">
        <f t="shared" si="389"/>
        <v>No es obeso</v>
      </c>
    </row>
    <row r="903" spans="1:45" x14ac:dyDescent="0.25">
      <c r="A903">
        <v>1</v>
      </c>
      <c r="B903" t="str">
        <f t="shared" si="364"/>
        <v>M</v>
      </c>
      <c r="C903">
        <v>19241058</v>
      </c>
      <c r="D903">
        <f t="shared" si="365"/>
        <v>52</v>
      </c>
      <c r="E903">
        <f t="shared" si="366"/>
        <v>52</v>
      </c>
      <c r="F903" t="str">
        <f t="shared" si="367"/>
        <v>50-75</v>
      </c>
      <c r="G903">
        <v>1</v>
      </c>
      <c r="H903" t="str">
        <f t="shared" si="368"/>
        <v>Pariente gordo</v>
      </c>
      <c r="I903">
        <v>1</v>
      </c>
      <c r="J903" t="str">
        <f t="shared" si="369"/>
        <v>Hipercaloricos</v>
      </c>
      <c r="K903">
        <v>2047069</v>
      </c>
      <c r="L903">
        <f t="shared" si="370"/>
        <v>1</v>
      </c>
      <c r="M903" t="str">
        <f t="shared" si="371"/>
        <v>Suele comer</v>
      </c>
      <c r="N903">
        <v>3829101</v>
      </c>
      <c r="O903">
        <f t="shared" si="372"/>
        <v>2</v>
      </c>
      <c r="P903" t="str">
        <f t="shared" si="373"/>
        <v>Mas de 3</v>
      </c>
      <c r="Q903">
        <v>1</v>
      </c>
      <c r="R903" t="str">
        <f t="shared" si="374"/>
        <v>A veces</v>
      </c>
      <c r="S903">
        <v>0</v>
      </c>
      <c r="T903" t="str">
        <f t="shared" si="375"/>
        <v>No fuma</v>
      </c>
      <c r="U903">
        <v>1641022</v>
      </c>
      <c r="V903">
        <f t="shared" si="376"/>
        <v>2</v>
      </c>
      <c r="W903" t="str">
        <f t="shared" si="377"/>
        <v>Siempre</v>
      </c>
      <c r="X903">
        <v>0</v>
      </c>
      <c r="Y903" t="str">
        <f t="shared" si="378"/>
        <v>No controla</v>
      </c>
      <c r="Z903">
        <v>1554817</v>
      </c>
      <c r="AA903">
        <f t="shared" si="379"/>
        <v>3</v>
      </c>
      <c r="AB903" t="str">
        <f t="shared" si="380"/>
        <v>Siempre</v>
      </c>
      <c r="AC903">
        <v>0.24821799999999999</v>
      </c>
      <c r="AD903">
        <f t="shared" si="381"/>
        <v>0</v>
      </c>
      <c r="AE903" t="str">
        <f t="shared" si="382"/>
        <v>Nunca</v>
      </c>
      <c r="AF903">
        <v>1</v>
      </c>
      <c r="AG903" t="str">
        <f t="shared" si="383"/>
        <v>A veces</v>
      </c>
      <c r="AH903">
        <v>0</v>
      </c>
      <c r="AI903" t="str">
        <f t="shared" si="384"/>
        <v>No usa</v>
      </c>
      <c r="AJ903">
        <v>0</v>
      </c>
      <c r="AK903" t="str">
        <f t="shared" si="385"/>
        <v>No usa</v>
      </c>
      <c r="AL903">
        <v>0</v>
      </c>
      <c r="AM903" t="str">
        <f t="shared" si="386"/>
        <v>No usa</v>
      </c>
      <c r="AN903">
        <v>1</v>
      </c>
      <c r="AO903" t="str">
        <f t="shared" si="387"/>
        <v>Usa Transporte</v>
      </c>
      <c r="AP903">
        <v>0</v>
      </c>
      <c r="AQ903" t="str">
        <f t="shared" si="388"/>
        <v>No camina</v>
      </c>
      <c r="AR903">
        <v>0</v>
      </c>
      <c r="AS903" t="str">
        <f t="shared" si="389"/>
        <v>No es obeso</v>
      </c>
    </row>
    <row r="904" spans="1:45" x14ac:dyDescent="0.25">
      <c r="A904">
        <v>0</v>
      </c>
      <c r="B904" t="str">
        <f t="shared" si="364"/>
        <v>F</v>
      </c>
      <c r="C904">
        <v>38939448</v>
      </c>
      <c r="D904">
        <f t="shared" si="365"/>
        <v>106</v>
      </c>
      <c r="E904">
        <f t="shared" si="366"/>
        <v>100</v>
      </c>
      <c r="F904" t="str">
        <f t="shared" si="367"/>
        <v>75-100</v>
      </c>
      <c r="G904">
        <v>0</v>
      </c>
      <c r="H904" t="str">
        <f t="shared" si="368"/>
        <v>Pariente normal</v>
      </c>
      <c r="I904">
        <v>1</v>
      </c>
      <c r="J904" t="str">
        <f t="shared" si="369"/>
        <v>Hipercaloricos</v>
      </c>
      <c r="K904">
        <v>2843709</v>
      </c>
      <c r="L904">
        <f t="shared" si="370"/>
        <v>1</v>
      </c>
      <c r="M904" t="str">
        <f t="shared" si="371"/>
        <v>Suele comer</v>
      </c>
      <c r="N904">
        <v>3058539</v>
      </c>
      <c r="O904">
        <f t="shared" si="372"/>
        <v>2</v>
      </c>
      <c r="P904" t="str">
        <f t="shared" si="373"/>
        <v>Mas de 3</v>
      </c>
      <c r="Q904">
        <v>1</v>
      </c>
      <c r="R904" t="str">
        <f t="shared" si="374"/>
        <v>A veces</v>
      </c>
      <c r="S904">
        <v>0</v>
      </c>
      <c r="T904" t="str">
        <f t="shared" si="375"/>
        <v>No fuma</v>
      </c>
      <c r="U904">
        <v>1130079</v>
      </c>
      <c r="V904">
        <f t="shared" si="376"/>
        <v>2</v>
      </c>
      <c r="W904" t="str">
        <f t="shared" si="377"/>
        <v>Siempre</v>
      </c>
      <c r="X904">
        <v>0</v>
      </c>
      <c r="Y904" t="str">
        <f t="shared" si="378"/>
        <v>No controla</v>
      </c>
      <c r="Z904">
        <v>2834373</v>
      </c>
      <c r="AA904">
        <f t="shared" si="379"/>
        <v>3</v>
      </c>
      <c r="AB904" t="str">
        <f t="shared" si="380"/>
        <v>Siempre</v>
      </c>
      <c r="AC904">
        <v>4.4954000000000001E-2</v>
      </c>
      <c r="AD904">
        <f t="shared" si="381"/>
        <v>0</v>
      </c>
      <c r="AE904" t="str">
        <f t="shared" si="382"/>
        <v>Nunca</v>
      </c>
      <c r="AF904">
        <v>1</v>
      </c>
      <c r="AG904" t="str">
        <f t="shared" si="383"/>
        <v>A veces</v>
      </c>
      <c r="AH904">
        <v>1</v>
      </c>
      <c r="AI904" t="str">
        <f t="shared" si="384"/>
        <v>Usa auto</v>
      </c>
      <c r="AJ904">
        <v>0</v>
      </c>
      <c r="AK904" t="str">
        <f t="shared" si="385"/>
        <v>No usa</v>
      </c>
      <c r="AL904">
        <v>0</v>
      </c>
      <c r="AM904" t="str">
        <f t="shared" si="386"/>
        <v>No usa</v>
      </c>
      <c r="AN904">
        <v>0</v>
      </c>
      <c r="AO904" t="str">
        <f t="shared" si="387"/>
        <v>No usa</v>
      </c>
      <c r="AP904">
        <v>0</v>
      </c>
      <c r="AQ904" t="str">
        <f t="shared" si="388"/>
        <v>No camina</v>
      </c>
      <c r="AR904">
        <v>0</v>
      </c>
      <c r="AS904" t="str">
        <f t="shared" si="389"/>
        <v>No es obeso</v>
      </c>
    </row>
    <row r="905" spans="1:45" x14ac:dyDescent="0.25">
      <c r="A905">
        <v>0</v>
      </c>
      <c r="B905" t="str">
        <f t="shared" si="364"/>
        <v>F</v>
      </c>
      <c r="C905">
        <v>39965474</v>
      </c>
      <c r="D905">
        <f t="shared" si="365"/>
        <v>109</v>
      </c>
      <c r="E905">
        <f t="shared" si="366"/>
        <v>100</v>
      </c>
      <c r="F905" t="str">
        <f t="shared" si="367"/>
        <v>75-100</v>
      </c>
      <c r="G905">
        <v>0</v>
      </c>
      <c r="H905" t="str">
        <f t="shared" si="368"/>
        <v>Pariente normal</v>
      </c>
      <c r="I905">
        <v>1</v>
      </c>
      <c r="J905" t="str">
        <f t="shared" si="369"/>
        <v>Hipercaloricos</v>
      </c>
      <c r="K905">
        <v>2416044</v>
      </c>
      <c r="L905">
        <f t="shared" si="370"/>
        <v>1</v>
      </c>
      <c r="M905" t="str">
        <f t="shared" si="371"/>
        <v>Suele comer</v>
      </c>
      <c r="N905">
        <v>3196043</v>
      </c>
      <c r="O905">
        <f t="shared" si="372"/>
        <v>2</v>
      </c>
      <c r="P905" t="str">
        <f t="shared" si="373"/>
        <v>Mas de 3</v>
      </c>
      <c r="Q905">
        <v>1</v>
      </c>
      <c r="R905" t="str">
        <f t="shared" si="374"/>
        <v>A veces</v>
      </c>
      <c r="S905">
        <v>0</v>
      </c>
      <c r="T905" t="str">
        <f t="shared" si="375"/>
        <v>No fuma</v>
      </c>
      <c r="U905">
        <v>1352649</v>
      </c>
      <c r="V905">
        <f t="shared" si="376"/>
        <v>2</v>
      </c>
      <c r="W905" t="str">
        <f t="shared" si="377"/>
        <v>Siempre</v>
      </c>
      <c r="X905">
        <v>0</v>
      </c>
      <c r="Y905" t="str">
        <f t="shared" si="378"/>
        <v>No controla</v>
      </c>
      <c r="Z905">
        <v>0.14862800000000001</v>
      </c>
      <c r="AA905">
        <f t="shared" si="379"/>
        <v>0</v>
      </c>
      <c r="AB905" t="str">
        <f t="shared" si="380"/>
        <v>Nunca</v>
      </c>
      <c r="AC905">
        <v>108266</v>
      </c>
      <c r="AD905">
        <f t="shared" si="381"/>
        <v>1</v>
      </c>
      <c r="AE905" t="str">
        <f t="shared" si="382"/>
        <v>Usualmente</v>
      </c>
      <c r="AF905">
        <v>1</v>
      </c>
      <c r="AG905" t="str">
        <f t="shared" si="383"/>
        <v>A veces</v>
      </c>
      <c r="AH905">
        <v>1</v>
      </c>
      <c r="AI905" t="str">
        <f t="shared" si="384"/>
        <v>Usa auto</v>
      </c>
      <c r="AJ905">
        <v>0</v>
      </c>
      <c r="AK905" t="str">
        <f t="shared" si="385"/>
        <v>No usa</v>
      </c>
      <c r="AL905">
        <v>0</v>
      </c>
      <c r="AM905" t="str">
        <f t="shared" si="386"/>
        <v>No usa</v>
      </c>
      <c r="AN905">
        <v>0</v>
      </c>
      <c r="AO905" t="str">
        <f t="shared" si="387"/>
        <v>No usa</v>
      </c>
      <c r="AP905">
        <v>0</v>
      </c>
      <c r="AQ905" t="str">
        <f t="shared" si="388"/>
        <v>No camina</v>
      </c>
      <c r="AR905">
        <v>0</v>
      </c>
      <c r="AS905" t="str">
        <f t="shared" si="389"/>
        <v>No es obeso</v>
      </c>
    </row>
    <row r="906" spans="1:45" x14ac:dyDescent="0.25">
      <c r="A906">
        <v>1</v>
      </c>
      <c r="B906" t="str">
        <f t="shared" si="364"/>
        <v>M</v>
      </c>
      <c r="C906">
        <v>20261925</v>
      </c>
      <c r="D906">
        <f t="shared" si="365"/>
        <v>55</v>
      </c>
      <c r="E906">
        <f t="shared" si="366"/>
        <v>55</v>
      </c>
      <c r="F906" t="str">
        <f t="shared" si="367"/>
        <v>50-75</v>
      </c>
      <c r="G906">
        <v>1</v>
      </c>
      <c r="H906" t="str">
        <f t="shared" si="368"/>
        <v>Pariente gordo</v>
      </c>
      <c r="I906">
        <v>1</v>
      </c>
      <c r="J906" t="str">
        <f t="shared" si="369"/>
        <v>Hipercaloricos</v>
      </c>
      <c r="K906">
        <v>2</v>
      </c>
      <c r="L906">
        <f t="shared" si="370"/>
        <v>1</v>
      </c>
      <c r="M906" t="str">
        <f t="shared" si="371"/>
        <v>Suele comer</v>
      </c>
      <c r="N906">
        <v>3</v>
      </c>
      <c r="O906">
        <f t="shared" si="372"/>
        <v>2</v>
      </c>
      <c r="P906" t="str">
        <f t="shared" si="373"/>
        <v>Mas de 3</v>
      </c>
      <c r="Q906">
        <v>1</v>
      </c>
      <c r="R906" t="str">
        <f t="shared" si="374"/>
        <v>A veces</v>
      </c>
      <c r="S906">
        <v>0</v>
      </c>
      <c r="T906" t="str">
        <f t="shared" si="375"/>
        <v>No fuma</v>
      </c>
      <c r="U906">
        <v>1968011</v>
      </c>
      <c r="V906">
        <f t="shared" si="376"/>
        <v>2</v>
      </c>
      <c r="W906" t="str">
        <f t="shared" si="377"/>
        <v>Siempre</v>
      </c>
      <c r="X906">
        <v>0</v>
      </c>
      <c r="Y906" t="str">
        <f t="shared" si="378"/>
        <v>No controla</v>
      </c>
      <c r="Z906">
        <v>1072662</v>
      </c>
      <c r="AA906">
        <f t="shared" si="379"/>
        <v>3</v>
      </c>
      <c r="AB906" t="str">
        <f t="shared" si="380"/>
        <v>Siempre</v>
      </c>
      <c r="AC906">
        <v>0.77675799999999995</v>
      </c>
      <c r="AD906">
        <f t="shared" si="381"/>
        <v>0</v>
      </c>
      <c r="AE906" t="str">
        <f t="shared" si="382"/>
        <v>Nunca</v>
      </c>
      <c r="AF906">
        <v>1</v>
      </c>
      <c r="AG906" t="str">
        <f t="shared" si="383"/>
        <v>A veces</v>
      </c>
      <c r="AH906">
        <v>0</v>
      </c>
      <c r="AI906" t="str">
        <f t="shared" si="384"/>
        <v>No usa</v>
      </c>
      <c r="AJ906">
        <v>0</v>
      </c>
      <c r="AK906" t="str">
        <f t="shared" si="385"/>
        <v>No usa</v>
      </c>
      <c r="AL906">
        <v>0</v>
      </c>
      <c r="AM906" t="str">
        <f t="shared" si="386"/>
        <v>No usa</v>
      </c>
      <c r="AN906">
        <v>1</v>
      </c>
      <c r="AO906" t="str">
        <f t="shared" si="387"/>
        <v>Usa Transporte</v>
      </c>
      <c r="AP906">
        <v>0</v>
      </c>
      <c r="AQ906" t="str">
        <f t="shared" si="388"/>
        <v>No camina</v>
      </c>
      <c r="AR906">
        <v>0</v>
      </c>
      <c r="AS906" t="str">
        <f t="shared" si="389"/>
        <v>No es obeso</v>
      </c>
    </row>
    <row r="907" spans="1:45" x14ac:dyDescent="0.25">
      <c r="A907">
        <v>1</v>
      </c>
      <c r="B907" t="str">
        <f t="shared" si="364"/>
        <v>M</v>
      </c>
      <c r="C907">
        <v>2031094</v>
      </c>
      <c r="D907">
        <f t="shared" si="365"/>
        <v>5</v>
      </c>
      <c r="E907">
        <f t="shared" si="366"/>
        <v>5</v>
      </c>
      <c r="F907" t="str">
        <f t="shared" si="367"/>
        <v>1-25</v>
      </c>
      <c r="G907">
        <v>1</v>
      </c>
      <c r="H907" t="str">
        <f t="shared" si="368"/>
        <v>Pariente gordo</v>
      </c>
      <c r="I907">
        <v>1</v>
      </c>
      <c r="J907" t="str">
        <f t="shared" si="369"/>
        <v>Hipercaloricos</v>
      </c>
      <c r="K907">
        <v>2146598</v>
      </c>
      <c r="L907">
        <f t="shared" si="370"/>
        <v>1</v>
      </c>
      <c r="M907" t="str">
        <f t="shared" si="371"/>
        <v>Suele comer</v>
      </c>
      <c r="N907">
        <v>3</v>
      </c>
      <c r="O907">
        <f t="shared" si="372"/>
        <v>2</v>
      </c>
      <c r="P907" t="str">
        <f t="shared" si="373"/>
        <v>Mas de 3</v>
      </c>
      <c r="Q907">
        <v>1</v>
      </c>
      <c r="R907" t="str">
        <f t="shared" si="374"/>
        <v>A veces</v>
      </c>
      <c r="S907">
        <v>0</v>
      </c>
      <c r="T907" t="str">
        <f t="shared" si="375"/>
        <v>No fuma</v>
      </c>
      <c r="U907">
        <v>2100112</v>
      </c>
      <c r="V907">
        <f t="shared" si="376"/>
        <v>2</v>
      </c>
      <c r="W907" t="str">
        <f t="shared" si="377"/>
        <v>Siempre</v>
      </c>
      <c r="X907">
        <v>0</v>
      </c>
      <c r="Y907" t="str">
        <f t="shared" si="378"/>
        <v>No controla</v>
      </c>
      <c r="Z907">
        <v>117116</v>
      </c>
      <c r="AA907">
        <f t="shared" si="379"/>
        <v>2</v>
      </c>
      <c r="AB907" t="str">
        <f t="shared" si="380"/>
        <v>Usualmente</v>
      </c>
      <c r="AC907">
        <v>0.83376099999999997</v>
      </c>
      <c r="AD907">
        <f t="shared" si="381"/>
        <v>0</v>
      </c>
      <c r="AE907" t="str">
        <f t="shared" si="382"/>
        <v>Nunca</v>
      </c>
      <c r="AF907">
        <v>1</v>
      </c>
      <c r="AG907" t="str">
        <f t="shared" si="383"/>
        <v>A veces</v>
      </c>
      <c r="AH907">
        <v>0</v>
      </c>
      <c r="AI907" t="str">
        <f t="shared" si="384"/>
        <v>No usa</v>
      </c>
      <c r="AJ907">
        <v>0</v>
      </c>
      <c r="AK907" t="str">
        <f t="shared" si="385"/>
        <v>No usa</v>
      </c>
      <c r="AL907">
        <v>0</v>
      </c>
      <c r="AM907" t="str">
        <f t="shared" si="386"/>
        <v>No usa</v>
      </c>
      <c r="AN907">
        <v>1</v>
      </c>
      <c r="AO907" t="str">
        <f t="shared" si="387"/>
        <v>Usa Transporte</v>
      </c>
      <c r="AP907">
        <v>0</v>
      </c>
      <c r="AQ907" t="str">
        <f t="shared" si="388"/>
        <v>No camina</v>
      </c>
      <c r="AR907">
        <v>0</v>
      </c>
      <c r="AS907" t="str">
        <f t="shared" si="389"/>
        <v>No es obeso</v>
      </c>
    </row>
    <row r="908" spans="1:45" x14ac:dyDescent="0.25">
      <c r="A908">
        <v>1</v>
      </c>
      <c r="B908" t="str">
        <f t="shared" si="364"/>
        <v>M</v>
      </c>
      <c r="C908">
        <v>21420537</v>
      </c>
      <c r="D908">
        <f t="shared" si="365"/>
        <v>58</v>
      </c>
      <c r="E908">
        <f t="shared" si="366"/>
        <v>58</v>
      </c>
      <c r="F908" t="str">
        <f t="shared" si="367"/>
        <v>50-75</v>
      </c>
      <c r="G908">
        <v>1</v>
      </c>
      <c r="H908" t="str">
        <f t="shared" si="368"/>
        <v>Pariente gordo</v>
      </c>
      <c r="I908">
        <v>1</v>
      </c>
      <c r="J908" t="str">
        <f t="shared" si="369"/>
        <v>Hipercaloricos</v>
      </c>
      <c r="K908">
        <v>2</v>
      </c>
      <c r="L908">
        <f t="shared" si="370"/>
        <v>1</v>
      </c>
      <c r="M908" t="str">
        <f t="shared" si="371"/>
        <v>Suele comer</v>
      </c>
      <c r="N908">
        <v>3</v>
      </c>
      <c r="O908">
        <f t="shared" si="372"/>
        <v>2</v>
      </c>
      <c r="P908" t="str">
        <f t="shared" si="373"/>
        <v>Mas de 3</v>
      </c>
      <c r="Q908">
        <v>1</v>
      </c>
      <c r="R908" t="str">
        <f t="shared" si="374"/>
        <v>A veces</v>
      </c>
      <c r="S908">
        <v>0</v>
      </c>
      <c r="T908" t="str">
        <f t="shared" si="375"/>
        <v>No fuma</v>
      </c>
      <c r="U908">
        <v>1362642</v>
      </c>
      <c r="V908">
        <f t="shared" si="376"/>
        <v>2</v>
      </c>
      <c r="W908" t="str">
        <f t="shared" si="377"/>
        <v>Siempre</v>
      </c>
      <c r="X908">
        <v>0</v>
      </c>
      <c r="Y908" t="str">
        <f t="shared" si="378"/>
        <v>No controla</v>
      </c>
      <c r="Z908">
        <v>0.92126799999999998</v>
      </c>
      <c r="AA908">
        <f t="shared" si="379"/>
        <v>0</v>
      </c>
      <c r="AB908" t="str">
        <f t="shared" si="380"/>
        <v>Nunca</v>
      </c>
      <c r="AC908">
        <v>0.139013</v>
      </c>
      <c r="AD908">
        <f t="shared" si="381"/>
        <v>0</v>
      </c>
      <c r="AE908" t="str">
        <f t="shared" si="382"/>
        <v>Nunca</v>
      </c>
      <c r="AF908">
        <v>1</v>
      </c>
      <c r="AG908" t="str">
        <f t="shared" si="383"/>
        <v>A veces</v>
      </c>
      <c r="AH908">
        <v>0</v>
      </c>
      <c r="AI908" t="str">
        <f t="shared" si="384"/>
        <v>No usa</v>
      </c>
      <c r="AJ908">
        <v>0</v>
      </c>
      <c r="AK908" t="str">
        <f t="shared" si="385"/>
        <v>No usa</v>
      </c>
      <c r="AL908">
        <v>0</v>
      </c>
      <c r="AM908" t="str">
        <f t="shared" si="386"/>
        <v>No usa</v>
      </c>
      <c r="AN908">
        <v>1</v>
      </c>
      <c r="AO908" t="str">
        <f t="shared" si="387"/>
        <v>Usa Transporte</v>
      </c>
      <c r="AP908">
        <v>0</v>
      </c>
      <c r="AQ908" t="str">
        <f t="shared" si="388"/>
        <v>No camina</v>
      </c>
      <c r="AR908">
        <v>0</v>
      </c>
      <c r="AS908" t="str">
        <f t="shared" si="389"/>
        <v>No es obeso</v>
      </c>
    </row>
    <row r="909" spans="1:45" x14ac:dyDescent="0.25">
      <c r="A909">
        <v>0</v>
      </c>
      <c r="B909" t="str">
        <f t="shared" si="364"/>
        <v>F</v>
      </c>
      <c r="C909">
        <v>18845518</v>
      </c>
      <c r="D909">
        <f t="shared" si="365"/>
        <v>51</v>
      </c>
      <c r="E909">
        <f t="shared" si="366"/>
        <v>51</v>
      </c>
      <c r="F909" t="str">
        <f t="shared" si="367"/>
        <v>50-75</v>
      </c>
      <c r="G909">
        <v>1</v>
      </c>
      <c r="H909" t="str">
        <f t="shared" si="368"/>
        <v>Pariente gordo</v>
      </c>
      <c r="I909">
        <v>1</v>
      </c>
      <c r="J909" t="str">
        <f t="shared" si="369"/>
        <v>Hipercaloricos</v>
      </c>
      <c r="K909">
        <v>2</v>
      </c>
      <c r="L909">
        <f t="shared" si="370"/>
        <v>1</v>
      </c>
      <c r="M909" t="str">
        <f t="shared" si="371"/>
        <v>Suele comer</v>
      </c>
      <c r="N909">
        <v>1391778</v>
      </c>
      <c r="O909">
        <f t="shared" si="372"/>
        <v>2</v>
      </c>
      <c r="P909" t="str">
        <f t="shared" si="373"/>
        <v>Mas de 3</v>
      </c>
      <c r="Q909">
        <v>1</v>
      </c>
      <c r="R909" t="str">
        <f t="shared" si="374"/>
        <v>A veces</v>
      </c>
      <c r="S909">
        <v>0</v>
      </c>
      <c r="T909" t="str">
        <f t="shared" si="375"/>
        <v>No fuma</v>
      </c>
      <c r="U909">
        <v>264548</v>
      </c>
      <c r="V909">
        <f t="shared" si="376"/>
        <v>2</v>
      </c>
      <c r="W909" t="str">
        <f t="shared" si="377"/>
        <v>Siempre</v>
      </c>
      <c r="X909">
        <v>0</v>
      </c>
      <c r="Y909" t="str">
        <f t="shared" si="378"/>
        <v>No controla</v>
      </c>
      <c r="Z909">
        <v>2685087</v>
      </c>
      <c r="AA909">
        <f t="shared" si="379"/>
        <v>3</v>
      </c>
      <c r="AB909" t="str">
        <f t="shared" si="380"/>
        <v>Siempre</v>
      </c>
      <c r="AC909">
        <v>0.97553999999999996</v>
      </c>
      <c r="AD909">
        <f t="shared" si="381"/>
        <v>0</v>
      </c>
      <c r="AE909" t="str">
        <f t="shared" si="382"/>
        <v>Nunca</v>
      </c>
      <c r="AF909">
        <v>0</v>
      </c>
      <c r="AG909" t="str">
        <f t="shared" si="383"/>
        <v>Nunca</v>
      </c>
      <c r="AH909">
        <v>0</v>
      </c>
      <c r="AI909" t="str">
        <f t="shared" si="384"/>
        <v>No usa</v>
      </c>
      <c r="AJ909">
        <v>0</v>
      </c>
      <c r="AK909" t="str">
        <f t="shared" si="385"/>
        <v>No usa</v>
      </c>
      <c r="AL909">
        <v>0</v>
      </c>
      <c r="AM909" t="str">
        <f t="shared" si="386"/>
        <v>No usa</v>
      </c>
      <c r="AN909">
        <v>1</v>
      </c>
      <c r="AO909" t="str">
        <f t="shared" si="387"/>
        <v>Usa Transporte</v>
      </c>
      <c r="AP909">
        <v>0</v>
      </c>
      <c r="AQ909" t="str">
        <f t="shared" si="388"/>
        <v>No camina</v>
      </c>
      <c r="AR909">
        <v>0</v>
      </c>
      <c r="AS909" t="str">
        <f t="shared" si="389"/>
        <v>No es obeso</v>
      </c>
    </row>
    <row r="910" spans="1:45" x14ac:dyDescent="0.25">
      <c r="A910">
        <v>1</v>
      </c>
      <c r="B910" t="str">
        <f t="shared" si="364"/>
        <v>M</v>
      </c>
      <c r="C910">
        <v>23562135</v>
      </c>
      <c r="D910">
        <f t="shared" si="365"/>
        <v>64</v>
      </c>
      <c r="E910">
        <f t="shared" si="366"/>
        <v>64</v>
      </c>
      <c r="F910" t="str">
        <f t="shared" si="367"/>
        <v>50-75</v>
      </c>
      <c r="G910">
        <v>1</v>
      </c>
      <c r="H910" t="str">
        <f t="shared" si="368"/>
        <v>Pariente gordo</v>
      </c>
      <c r="I910">
        <v>1</v>
      </c>
      <c r="J910" t="str">
        <f t="shared" si="369"/>
        <v>Hipercaloricos</v>
      </c>
      <c r="K910">
        <v>2</v>
      </c>
      <c r="L910">
        <f t="shared" si="370"/>
        <v>1</v>
      </c>
      <c r="M910" t="str">
        <f t="shared" si="371"/>
        <v>Suele comer</v>
      </c>
      <c r="N910">
        <v>3</v>
      </c>
      <c r="O910">
        <f t="shared" si="372"/>
        <v>2</v>
      </c>
      <c r="P910" t="str">
        <f t="shared" si="373"/>
        <v>Mas de 3</v>
      </c>
      <c r="Q910">
        <v>1</v>
      </c>
      <c r="R910" t="str">
        <f t="shared" si="374"/>
        <v>A veces</v>
      </c>
      <c r="S910">
        <v>0</v>
      </c>
      <c r="T910" t="str">
        <f t="shared" si="375"/>
        <v>No fuma</v>
      </c>
      <c r="U910">
        <v>2</v>
      </c>
      <c r="V910">
        <f t="shared" si="376"/>
        <v>2</v>
      </c>
      <c r="W910" t="str">
        <f t="shared" si="377"/>
        <v>Siempre</v>
      </c>
      <c r="X910">
        <v>0</v>
      </c>
      <c r="Y910" t="str">
        <f t="shared" si="378"/>
        <v>No controla</v>
      </c>
      <c r="Z910">
        <v>0.121585</v>
      </c>
      <c r="AA910">
        <f t="shared" si="379"/>
        <v>0</v>
      </c>
      <c r="AB910" t="str">
        <f t="shared" si="380"/>
        <v>Nunca</v>
      </c>
      <c r="AC910">
        <v>1967259</v>
      </c>
      <c r="AD910">
        <f t="shared" si="381"/>
        <v>2</v>
      </c>
      <c r="AE910" t="str">
        <f t="shared" si="382"/>
        <v>Siempre</v>
      </c>
      <c r="AF910">
        <v>1</v>
      </c>
      <c r="AG910" t="str">
        <f t="shared" si="383"/>
        <v>A veces</v>
      </c>
      <c r="AH910">
        <v>0</v>
      </c>
      <c r="AI910" t="str">
        <f t="shared" si="384"/>
        <v>No usa</v>
      </c>
      <c r="AJ910">
        <v>0</v>
      </c>
      <c r="AK910" t="str">
        <f t="shared" si="385"/>
        <v>No usa</v>
      </c>
      <c r="AL910">
        <v>0</v>
      </c>
      <c r="AM910" t="str">
        <f t="shared" si="386"/>
        <v>No usa</v>
      </c>
      <c r="AN910">
        <v>1</v>
      </c>
      <c r="AO910" t="str">
        <f t="shared" si="387"/>
        <v>Usa Transporte</v>
      </c>
      <c r="AP910">
        <v>0</v>
      </c>
      <c r="AQ910" t="str">
        <f t="shared" si="388"/>
        <v>No camina</v>
      </c>
      <c r="AR910">
        <v>0</v>
      </c>
      <c r="AS910" t="str">
        <f t="shared" si="389"/>
        <v>No es obeso</v>
      </c>
    </row>
    <row r="911" spans="1:45" x14ac:dyDescent="0.25">
      <c r="A911">
        <v>1</v>
      </c>
      <c r="B911" t="str">
        <f t="shared" si="364"/>
        <v>M</v>
      </c>
      <c r="C911">
        <v>23118327</v>
      </c>
      <c r="D911">
        <f t="shared" si="365"/>
        <v>63</v>
      </c>
      <c r="E911">
        <f t="shared" si="366"/>
        <v>63</v>
      </c>
      <c r="F911" t="str">
        <f t="shared" si="367"/>
        <v>50-75</v>
      </c>
      <c r="G911">
        <v>1</v>
      </c>
      <c r="H911" t="str">
        <f t="shared" si="368"/>
        <v>Pariente gordo</v>
      </c>
      <c r="I911">
        <v>1</v>
      </c>
      <c r="J911" t="str">
        <f t="shared" si="369"/>
        <v>Hipercaloricos</v>
      </c>
      <c r="K911">
        <v>2</v>
      </c>
      <c r="L911">
        <f t="shared" si="370"/>
        <v>1</v>
      </c>
      <c r="M911" t="str">
        <f t="shared" si="371"/>
        <v>Suele comer</v>
      </c>
      <c r="N911">
        <v>3</v>
      </c>
      <c r="O911">
        <f t="shared" si="372"/>
        <v>2</v>
      </c>
      <c r="P911" t="str">
        <f t="shared" si="373"/>
        <v>Mas de 3</v>
      </c>
      <c r="Q911">
        <v>1</v>
      </c>
      <c r="R911" t="str">
        <f t="shared" si="374"/>
        <v>A veces</v>
      </c>
      <c r="S911">
        <v>0</v>
      </c>
      <c r="T911" t="str">
        <f t="shared" si="375"/>
        <v>No fuma</v>
      </c>
      <c r="U911">
        <v>2</v>
      </c>
      <c r="V911">
        <f t="shared" si="376"/>
        <v>2</v>
      </c>
      <c r="W911" t="str">
        <f t="shared" si="377"/>
        <v>Siempre</v>
      </c>
      <c r="X911">
        <v>0</v>
      </c>
      <c r="Y911" t="str">
        <f t="shared" si="378"/>
        <v>No controla</v>
      </c>
      <c r="Z911">
        <v>0.33457900000000002</v>
      </c>
      <c r="AA911">
        <f t="shared" si="379"/>
        <v>0</v>
      </c>
      <c r="AB911" t="str">
        <f t="shared" si="380"/>
        <v>Nunca</v>
      </c>
      <c r="AC911">
        <v>1905826</v>
      </c>
      <c r="AD911">
        <f t="shared" si="381"/>
        <v>2</v>
      </c>
      <c r="AE911" t="str">
        <f t="shared" si="382"/>
        <v>Siempre</v>
      </c>
      <c r="AF911">
        <v>1</v>
      </c>
      <c r="AG911" t="str">
        <f t="shared" si="383"/>
        <v>A veces</v>
      </c>
      <c r="AH911">
        <v>0</v>
      </c>
      <c r="AI911" t="str">
        <f t="shared" si="384"/>
        <v>No usa</v>
      </c>
      <c r="AJ911">
        <v>0</v>
      </c>
      <c r="AK911" t="str">
        <f t="shared" si="385"/>
        <v>No usa</v>
      </c>
      <c r="AL911">
        <v>0</v>
      </c>
      <c r="AM911" t="str">
        <f t="shared" si="386"/>
        <v>No usa</v>
      </c>
      <c r="AN911">
        <v>1</v>
      </c>
      <c r="AO911" t="str">
        <f t="shared" si="387"/>
        <v>Usa Transporte</v>
      </c>
      <c r="AP911">
        <v>0</v>
      </c>
      <c r="AQ911" t="str">
        <f t="shared" si="388"/>
        <v>No camina</v>
      </c>
      <c r="AR911">
        <v>0</v>
      </c>
      <c r="AS911" t="str">
        <f t="shared" si="389"/>
        <v>No es obeso</v>
      </c>
    </row>
    <row r="912" spans="1:45" x14ac:dyDescent="0.25">
      <c r="A912">
        <v>0</v>
      </c>
      <c r="B912" t="str">
        <f t="shared" si="364"/>
        <v>F</v>
      </c>
      <c r="C912">
        <v>33732714</v>
      </c>
      <c r="D912">
        <f t="shared" si="365"/>
        <v>92</v>
      </c>
      <c r="E912">
        <f t="shared" si="366"/>
        <v>92</v>
      </c>
      <c r="F912" t="str">
        <f t="shared" si="367"/>
        <v>75-100</v>
      </c>
      <c r="G912">
        <v>1</v>
      </c>
      <c r="H912" t="str">
        <f t="shared" si="368"/>
        <v>Pariente gordo</v>
      </c>
      <c r="I912">
        <v>1</v>
      </c>
      <c r="J912" t="str">
        <f t="shared" si="369"/>
        <v>Hipercaloricos</v>
      </c>
      <c r="K912">
        <v>3</v>
      </c>
      <c r="L912">
        <f t="shared" si="370"/>
        <v>1</v>
      </c>
      <c r="M912" t="str">
        <f t="shared" si="371"/>
        <v>Suele comer</v>
      </c>
      <c r="N912">
        <v>113715</v>
      </c>
      <c r="O912">
        <f t="shared" si="372"/>
        <v>2</v>
      </c>
      <c r="P912" t="str">
        <f t="shared" si="373"/>
        <v>Mas de 3</v>
      </c>
      <c r="Q912">
        <v>1</v>
      </c>
      <c r="R912" t="str">
        <f t="shared" si="374"/>
        <v>A veces</v>
      </c>
      <c r="S912">
        <v>0</v>
      </c>
      <c r="T912" t="str">
        <f t="shared" si="375"/>
        <v>No fuma</v>
      </c>
      <c r="U912">
        <v>1000695</v>
      </c>
      <c r="V912">
        <f t="shared" si="376"/>
        <v>2</v>
      </c>
      <c r="W912" t="str">
        <f t="shared" si="377"/>
        <v>Siempre</v>
      </c>
      <c r="X912">
        <v>0</v>
      </c>
      <c r="Y912" t="str">
        <f t="shared" si="378"/>
        <v>No controla</v>
      </c>
      <c r="Z912">
        <v>0.26127400000000001</v>
      </c>
      <c r="AA912">
        <f t="shared" si="379"/>
        <v>0</v>
      </c>
      <c r="AB912" t="str">
        <f t="shared" si="380"/>
        <v>Nunca</v>
      </c>
      <c r="AC912">
        <v>0</v>
      </c>
      <c r="AD912">
        <f t="shared" si="381"/>
        <v>0</v>
      </c>
      <c r="AE912" t="str">
        <f t="shared" si="382"/>
        <v>Nunca</v>
      </c>
      <c r="AF912">
        <v>1</v>
      </c>
      <c r="AG912" t="str">
        <f t="shared" si="383"/>
        <v>A veces</v>
      </c>
      <c r="AH912">
        <v>1</v>
      </c>
      <c r="AI912" t="str">
        <f t="shared" si="384"/>
        <v>Usa auto</v>
      </c>
      <c r="AJ912">
        <v>0</v>
      </c>
      <c r="AK912" t="str">
        <f t="shared" si="385"/>
        <v>No usa</v>
      </c>
      <c r="AL912">
        <v>0</v>
      </c>
      <c r="AM912" t="str">
        <f t="shared" si="386"/>
        <v>No usa</v>
      </c>
      <c r="AN912">
        <v>0</v>
      </c>
      <c r="AO912" t="str">
        <f t="shared" si="387"/>
        <v>No usa</v>
      </c>
      <c r="AP912">
        <v>0</v>
      </c>
      <c r="AQ912" t="str">
        <f t="shared" si="388"/>
        <v>No camina</v>
      </c>
      <c r="AR912">
        <v>0</v>
      </c>
      <c r="AS912" t="str">
        <f t="shared" si="389"/>
        <v>No es obeso</v>
      </c>
    </row>
    <row r="913" spans="1:45" x14ac:dyDescent="0.25">
      <c r="A913">
        <v>0</v>
      </c>
      <c r="B913" t="str">
        <f t="shared" si="364"/>
        <v>F</v>
      </c>
      <c r="C913">
        <v>21571288</v>
      </c>
      <c r="D913">
        <f t="shared" si="365"/>
        <v>59</v>
      </c>
      <c r="E913">
        <f t="shared" si="366"/>
        <v>59</v>
      </c>
      <c r="F913" t="str">
        <f t="shared" si="367"/>
        <v>50-75</v>
      </c>
      <c r="G913">
        <v>1</v>
      </c>
      <c r="H913" t="str">
        <f t="shared" si="368"/>
        <v>Pariente gordo</v>
      </c>
      <c r="I913">
        <v>1</v>
      </c>
      <c r="J913" t="str">
        <f t="shared" si="369"/>
        <v>Hipercaloricos</v>
      </c>
      <c r="K913">
        <v>1766849</v>
      </c>
      <c r="L913">
        <f t="shared" si="370"/>
        <v>1</v>
      </c>
      <c r="M913" t="str">
        <f t="shared" si="371"/>
        <v>Suele comer</v>
      </c>
      <c r="N913">
        <v>3322522</v>
      </c>
      <c r="O913">
        <f t="shared" si="372"/>
        <v>2</v>
      </c>
      <c r="P913" t="str">
        <f t="shared" si="373"/>
        <v>Mas de 3</v>
      </c>
      <c r="Q913">
        <v>1</v>
      </c>
      <c r="R913" t="str">
        <f t="shared" si="374"/>
        <v>A veces</v>
      </c>
      <c r="S913">
        <v>0</v>
      </c>
      <c r="T913" t="str">
        <f t="shared" si="375"/>
        <v>No fuma</v>
      </c>
      <c r="U913">
        <v>2616285</v>
      </c>
      <c r="V913">
        <f t="shared" si="376"/>
        <v>2</v>
      </c>
      <c r="W913" t="str">
        <f t="shared" si="377"/>
        <v>Siempre</v>
      </c>
      <c r="X913">
        <v>0</v>
      </c>
      <c r="Y913" t="str">
        <f t="shared" si="378"/>
        <v>No controla</v>
      </c>
      <c r="Z913">
        <v>0.94305799999999995</v>
      </c>
      <c r="AA913">
        <f t="shared" si="379"/>
        <v>0</v>
      </c>
      <c r="AB913" t="str">
        <f t="shared" si="380"/>
        <v>Nunca</v>
      </c>
      <c r="AC913">
        <v>0.25697700000000001</v>
      </c>
      <c r="AD913">
        <f t="shared" si="381"/>
        <v>0</v>
      </c>
      <c r="AE913" t="str">
        <f t="shared" si="382"/>
        <v>Nunca</v>
      </c>
      <c r="AF913">
        <v>1</v>
      </c>
      <c r="AG913" t="str">
        <f t="shared" si="383"/>
        <v>A veces</v>
      </c>
      <c r="AH913">
        <v>0</v>
      </c>
      <c r="AI913" t="str">
        <f t="shared" si="384"/>
        <v>No usa</v>
      </c>
      <c r="AJ913">
        <v>0</v>
      </c>
      <c r="AK913" t="str">
        <f t="shared" si="385"/>
        <v>No usa</v>
      </c>
      <c r="AL913">
        <v>0</v>
      </c>
      <c r="AM913" t="str">
        <f t="shared" si="386"/>
        <v>No usa</v>
      </c>
      <c r="AN913">
        <v>1</v>
      </c>
      <c r="AO913" t="str">
        <f t="shared" si="387"/>
        <v>Usa Transporte</v>
      </c>
      <c r="AP913">
        <v>0</v>
      </c>
      <c r="AQ913" t="str">
        <f t="shared" si="388"/>
        <v>No camina</v>
      </c>
      <c r="AR913">
        <v>0</v>
      </c>
      <c r="AS913" t="str">
        <f t="shared" si="389"/>
        <v>No es obeso</v>
      </c>
    </row>
    <row r="914" spans="1:45" x14ac:dyDescent="0.25">
      <c r="A914">
        <v>0</v>
      </c>
      <c r="B914" t="str">
        <f t="shared" si="364"/>
        <v>F</v>
      </c>
      <c r="C914">
        <v>21165574</v>
      </c>
      <c r="D914">
        <f t="shared" si="365"/>
        <v>57</v>
      </c>
      <c r="E914">
        <f t="shared" si="366"/>
        <v>57</v>
      </c>
      <c r="F914" t="str">
        <f t="shared" si="367"/>
        <v>50-75</v>
      </c>
      <c r="G914">
        <v>1</v>
      </c>
      <c r="H914" t="str">
        <f t="shared" si="368"/>
        <v>Pariente gordo</v>
      </c>
      <c r="I914">
        <v>1</v>
      </c>
      <c r="J914" t="str">
        <f t="shared" si="369"/>
        <v>Hipercaloricos</v>
      </c>
      <c r="K914">
        <v>1188089</v>
      </c>
      <c r="L914">
        <f t="shared" si="370"/>
        <v>1</v>
      </c>
      <c r="M914" t="str">
        <f t="shared" si="371"/>
        <v>Suele comer</v>
      </c>
      <c r="N914">
        <v>3269088</v>
      </c>
      <c r="O914">
        <f t="shared" si="372"/>
        <v>2</v>
      </c>
      <c r="P914" t="str">
        <f t="shared" si="373"/>
        <v>Mas de 3</v>
      </c>
      <c r="Q914">
        <v>1</v>
      </c>
      <c r="R914" t="str">
        <f t="shared" si="374"/>
        <v>A veces</v>
      </c>
      <c r="S914">
        <v>0</v>
      </c>
      <c r="T914" t="str">
        <f t="shared" si="375"/>
        <v>No fuma</v>
      </c>
      <c r="U914">
        <v>2039535</v>
      </c>
      <c r="V914">
        <f t="shared" si="376"/>
        <v>2</v>
      </c>
      <c r="W914" t="str">
        <f t="shared" si="377"/>
        <v>Siempre</v>
      </c>
      <c r="X914">
        <v>0</v>
      </c>
      <c r="Y914" t="str">
        <f t="shared" si="378"/>
        <v>No controla</v>
      </c>
      <c r="Z914">
        <v>0.77968599999999999</v>
      </c>
      <c r="AA914">
        <f t="shared" si="379"/>
        <v>0</v>
      </c>
      <c r="AB914" t="str">
        <f t="shared" si="380"/>
        <v>Nunca</v>
      </c>
      <c r="AC914">
        <v>1043108</v>
      </c>
      <c r="AD914">
        <f t="shared" si="381"/>
        <v>2</v>
      </c>
      <c r="AE914" t="str">
        <f t="shared" si="382"/>
        <v>Siempre</v>
      </c>
      <c r="AF914">
        <v>1</v>
      </c>
      <c r="AG914" t="str">
        <f t="shared" si="383"/>
        <v>A veces</v>
      </c>
      <c r="AH914">
        <v>0</v>
      </c>
      <c r="AI914" t="str">
        <f t="shared" si="384"/>
        <v>No usa</v>
      </c>
      <c r="AJ914">
        <v>0</v>
      </c>
      <c r="AK914" t="str">
        <f t="shared" si="385"/>
        <v>No usa</v>
      </c>
      <c r="AL914">
        <v>0</v>
      </c>
      <c r="AM914" t="str">
        <f t="shared" si="386"/>
        <v>No usa</v>
      </c>
      <c r="AN914">
        <v>1</v>
      </c>
      <c r="AO914" t="str">
        <f t="shared" si="387"/>
        <v>Usa Transporte</v>
      </c>
      <c r="AP914">
        <v>0</v>
      </c>
      <c r="AQ914" t="str">
        <f t="shared" si="388"/>
        <v>No camina</v>
      </c>
      <c r="AR914">
        <v>0</v>
      </c>
      <c r="AS914" t="str">
        <f t="shared" si="389"/>
        <v>No es obeso</v>
      </c>
    </row>
    <row r="915" spans="1:45" x14ac:dyDescent="0.25">
      <c r="A915">
        <v>1</v>
      </c>
      <c r="B915" t="str">
        <f t="shared" si="364"/>
        <v>M</v>
      </c>
      <c r="C915">
        <v>21</v>
      </c>
      <c r="D915">
        <f t="shared" si="365"/>
        <v>21</v>
      </c>
      <c r="E915">
        <f t="shared" si="366"/>
        <v>21</v>
      </c>
      <c r="F915" t="str">
        <f t="shared" si="367"/>
        <v>1-25</v>
      </c>
      <c r="G915">
        <v>0</v>
      </c>
      <c r="H915" t="str">
        <f t="shared" si="368"/>
        <v>Pariente normal</v>
      </c>
      <c r="I915">
        <v>1</v>
      </c>
      <c r="J915" t="str">
        <f t="shared" si="369"/>
        <v>Hipercaloricos</v>
      </c>
      <c r="K915">
        <v>1910176</v>
      </c>
      <c r="L915">
        <f t="shared" si="370"/>
        <v>1</v>
      </c>
      <c r="M915" t="str">
        <f t="shared" si="371"/>
        <v>Suele comer</v>
      </c>
      <c r="N915">
        <v>2938135</v>
      </c>
      <c r="O915">
        <f t="shared" si="372"/>
        <v>2</v>
      </c>
      <c r="P915" t="str">
        <f t="shared" si="373"/>
        <v>Mas de 3</v>
      </c>
      <c r="Q915">
        <v>0</v>
      </c>
      <c r="R915" t="str">
        <f t="shared" si="374"/>
        <v>Nunca</v>
      </c>
      <c r="S915">
        <v>0</v>
      </c>
      <c r="T915" t="str">
        <f t="shared" si="375"/>
        <v>No fuma</v>
      </c>
      <c r="U915">
        <v>2943097</v>
      </c>
      <c r="V915">
        <f t="shared" si="376"/>
        <v>2</v>
      </c>
      <c r="W915" t="str">
        <f t="shared" si="377"/>
        <v>Siempre</v>
      </c>
      <c r="X915">
        <v>0</v>
      </c>
      <c r="Y915" t="str">
        <f t="shared" si="378"/>
        <v>No controla</v>
      </c>
      <c r="Z915">
        <v>0.99720200000000003</v>
      </c>
      <c r="AA915">
        <f t="shared" si="379"/>
        <v>0</v>
      </c>
      <c r="AB915" t="str">
        <f t="shared" si="380"/>
        <v>Nunca</v>
      </c>
      <c r="AC915">
        <v>0.207922</v>
      </c>
      <c r="AD915">
        <f t="shared" si="381"/>
        <v>0</v>
      </c>
      <c r="AE915" t="str">
        <f t="shared" si="382"/>
        <v>Nunca</v>
      </c>
      <c r="AF915">
        <v>1</v>
      </c>
      <c r="AG915" t="str">
        <f t="shared" si="383"/>
        <v>A veces</v>
      </c>
      <c r="AH915">
        <v>0</v>
      </c>
      <c r="AI915" t="str">
        <f t="shared" si="384"/>
        <v>No usa</v>
      </c>
      <c r="AJ915">
        <v>0</v>
      </c>
      <c r="AK915" t="str">
        <f t="shared" si="385"/>
        <v>No usa</v>
      </c>
      <c r="AL915">
        <v>0</v>
      </c>
      <c r="AM915" t="str">
        <f t="shared" si="386"/>
        <v>No usa</v>
      </c>
      <c r="AN915">
        <v>1</v>
      </c>
      <c r="AO915" t="str">
        <f t="shared" si="387"/>
        <v>Usa Transporte</v>
      </c>
      <c r="AP915">
        <v>0</v>
      </c>
      <c r="AQ915" t="str">
        <f t="shared" si="388"/>
        <v>No camina</v>
      </c>
      <c r="AR915">
        <v>0</v>
      </c>
      <c r="AS915" t="str">
        <f t="shared" si="389"/>
        <v>No es obeso</v>
      </c>
    </row>
    <row r="916" spans="1:45" x14ac:dyDescent="0.25">
      <c r="A916">
        <v>1</v>
      </c>
      <c r="B916" t="str">
        <f t="shared" si="364"/>
        <v>M</v>
      </c>
      <c r="C916">
        <v>21</v>
      </c>
      <c r="D916">
        <f t="shared" si="365"/>
        <v>21</v>
      </c>
      <c r="E916">
        <f t="shared" si="366"/>
        <v>21</v>
      </c>
      <c r="F916" t="str">
        <f t="shared" si="367"/>
        <v>1-25</v>
      </c>
      <c r="G916">
        <v>0</v>
      </c>
      <c r="H916" t="str">
        <f t="shared" si="368"/>
        <v>Pariente normal</v>
      </c>
      <c r="I916">
        <v>1</v>
      </c>
      <c r="J916" t="str">
        <f t="shared" si="369"/>
        <v>Hipercaloricos</v>
      </c>
      <c r="K916">
        <v>2</v>
      </c>
      <c r="L916">
        <f t="shared" si="370"/>
        <v>1</v>
      </c>
      <c r="M916" t="str">
        <f t="shared" si="371"/>
        <v>Suele comer</v>
      </c>
      <c r="N916">
        <v>1259628</v>
      </c>
      <c r="O916">
        <f t="shared" si="372"/>
        <v>2</v>
      </c>
      <c r="P916" t="str">
        <f t="shared" si="373"/>
        <v>Mas de 3</v>
      </c>
      <c r="Q916">
        <v>0</v>
      </c>
      <c r="R916" t="str">
        <f t="shared" si="374"/>
        <v>Nunca</v>
      </c>
      <c r="S916">
        <v>0</v>
      </c>
      <c r="T916" t="str">
        <f t="shared" si="375"/>
        <v>No fuma</v>
      </c>
      <c r="U916">
        <v>3</v>
      </c>
      <c r="V916">
        <f t="shared" si="376"/>
        <v>2</v>
      </c>
      <c r="W916" t="str">
        <f t="shared" si="377"/>
        <v>Siempre</v>
      </c>
      <c r="X916">
        <v>0</v>
      </c>
      <c r="Y916" t="str">
        <f t="shared" si="378"/>
        <v>No controla</v>
      </c>
      <c r="Z916">
        <v>1</v>
      </c>
      <c r="AA916">
        <f t="shared" si="379"/>
        <v>1</v>
      </c>
      <c r="AB916" t="str">
        <f t="shared" si="380"/>
        <v>A veces</v>
      </c>
      <c r="AC916">
        <v>0</v>
      </c>
      <c r="AD916">
        <f t="shared" si="381"/>
        <v>0</v>
      </c>
      <c r="AE916" t="str">
        <f t="shared" si="382"/>
        <v>Nunca</v>
      </c>
      <c r="AF916">
        <v>1</v>
      </c>
      <c r="AG916" t="str">
        <f t="shared" si="383"/>
        <v>A veces</v>
      </c>
      <c r="AH916">
        <v>0</v>
      </c>
      <c r="AI916" t="str">
        <f t="shared" si="384"/>
        <v>No usa</v>
      </c>
      <c r="AJ916">
        <v>0</v>
      </c>
      <c r="AK916" t="str">
        <f t="shared" si="385"/>
        <v>No usa</v>
      </c>
      <c r="AL916">
        <v>0</v>
      </c>
      <c r="AM916" t="str">
        <f t="shared" si="386"/>
        <v>No usa</v>
      </c>
      <c r="AN916">
        <v>1</v>
      </c>
      <c r="AO916" t="str">
        <f t="shared" si="387"/>
        <v>Usa Transporte</v>
      </c>
      <c r="AP916">
        <v>0</v>
      </c>
      <c r="AQ916" t="str">
        <f t="shared" si="388"/>
        <v>No camina</v>
      </c>
      <c r="AR916">
        <v>0</v>
      </c>
      <c r="AS916" t="str">
        <f t="shared" si="389"/>
        <v>No es obeso</v>
      </c>
    </row>
    <row r="917" spans="1:45" x14ac:dyDescent="0.25">
      <c r="A917">
        <v>0</v>
      </c>
      <c r="B917" t="str">
        <f t="shared" si="364"/>
        <v>F</v>
      </c>
      <c r="C917">
        <v>38692265</v>
      </c>
      <c r="D917">
        <f t="shared" si="365"/>
        <v>106</v>
      </c>
      <c r="E917">
        <f t="shared" si="366"/>
        <v>100</v>
      </c>
      <c r="F917" t="str">
        <f t="shared" si="367"/>
        <v>75-100</v>
      </c>
      <c r="G917">
        <v>1</v>
      </c>
      <c r="H917" t="str">
        <f t="shared" si="368"/>
        <v>Pariente gordo</v>
      </c>
      <c r="I917">
        <v>1</v>
      </c>
      <c r="J917" t="str">
        <f t="shared" si="369"/>
        <v>Hipercaloricos</v>
      </c>
      <c r="K917">
        <v>2956671</v>
      </c>
      <c r="L917">
        <f t="shared" si="370"/>
        <v>1</v>
      </c>
      <c r="M917" t="str">
        <f t="shared" si="371"/>
        <v>Suele comer</v>
      </c>
      <c r="N917">
        <v>2965494</v>
      </c>
      <c r="O917">
        <f t="shared" si="372"/>
        <v>2</v>
      </c>
      <c r="P917" t="str">
        <f t="shared" si="373"/>
        <v>Mas de 3</v>
      </c>
      <c r="Q917">
        <v>1</v>
      </c>
      <c r="R917" t="str">
        <f t="shared" si="374"/>
        <v>A veces</v>
      </c>
      <c r="S917">
        <v>0</v>
      </c>
      <c r="T917" t="str">
        <f t="shared" si="375"/>
        <v>No fuma</v>
      </c>
      <c r="U917">
        <v>2868132</v>
      </c>
      <c r="V917">
        <f t="shared" si="376"/>
        <v>2</v>
      </c>
      <c r="W917" t="str">
        <f t="shared" si="377"/>
        <v>Siempre</v>
      </c>
      <c r="X917">
        <v>0</v>
      </c>
      <c r="Y917" t="str">
        <f t="shared" si="378"/>
        <v>No controla</v>
      </c>
      <c r="Z917">
        <v>0</v>
      </c>
      <c r="AA917">
        <f t="shared" si="379"/>
        <v>0</v>
      </c>
      <c r="AB917" t="str">
        <f t="shared" si="380"/>
        <v>Nunca</v>
      </c>
      <c r="AC917">
        <v>0.54925000000000002</v>
      </c>
      <c r="AD917">
        <f t="shared" si="381"/>
        <v>0</v>
      </c>
      <c r="AE917" t="str">
        <f t="shared" si="382"/>
        <v>Nunca</v>
      </c>
      <c r="AF917">
        <v>1</v>
      </c>
      <c r="AG917" t="str">
        <f t="shared" si="383"/>
        <v>A veces</v>
      </c>
      <c r="AH917">
        <v>1</v>
      </c>
      <c r="AI917" t="str">
        <f t="shared" si="384"/>
        <v>Usa auto</v>
      </c>
      <c r="AJ917">
        <v>0</v>
      </c>
      <c r="AK917" t="str">
        <f t="shared" si="385"/>
        <v>No usa</v>
      </c>
      <c r="AL917">
        <v>0</v>
      </c>
      <c r="AM917" t="str">
        <f t="shared" si="386"/>
        <v>No usa</v>
      </c>
      <c r="AN917">
        <v>0</v>
      </c>
      <c r="AO917" t="str">
        <f t="shared" si="387"/>
        <v>No usa</v>
      </c>
      <c r="AP917">
        <v>0</v>
      </c>
      <c r="AQ917" t="str">
        <f t="shared" si="388"/>
        <v>No camina</v>
      </c>
      <c r="AR917">
        <v>0</v>
      </c>
      <c r="AS917" t="str">
        <f t="shared" si="389"/>
        <v>No es obeso</v>
      </c>
    </row>
    <row r="918" spans="1:45" x14ac:dyDescent="0.25">
      <c r="A918">
        <v>0</v>
      </c>
      <c r="B918" t="str">
        <f t="shared" si="364"/>
        <v>F</v>
      </c>
      <c r="C918">
        <v>38952866</v>
      </c>
      <c r="D918">
        <f t="shared" si="365"/>
        <v>106</v>
      </c>
      <c r="E918">
        <f t="shared" si="366"/>
        <v>100</v>
      </c>
      <c r="F918" t="str">
        <f t="shared" si="367"/>
        <v>75-100</v>
      </c>
      <c r="G918">
        <v>1</v>
      </c>
      <c r="H918" t="str">
        <f t="shared" si="368"/>
        <v>Pariente gordo</v>
      </c>
      <c r="I918">
        <v>1</v>
      </c>
      <c r="J918" t="str">
        <f t="shared" si="369"/>
        <v>Hipercaloricos</v>
      </c>
      <c r="K918">
        <v>2002796</v>
      </c>
      <c r="L918">
        <f t="shared" si="370"/>
        <v>1</v>
      </c>
      <c r="M918" t="str">
        <f t="shared" si="371"/>
        <v>Suele comer</v>
      </c>
      <c r="N918">
        <v>3</v>
      </c>
      <c r="O918">
        <f t="shared" si="372"/>
        <v>2</v>
      </c>
      <c r="P918" t="str">
        <f t="shared" si="373"/>
        <v>Mas de 3</v>
      </c>
      <c r="Q918">
        <v>1</v>
      </c>
      <c r="R918" t="str">
        <f t="shared" si="374"/>
        <v>A veces</v>
      </c>
      <c r="S918">
        <v>0</v>
      </c>
      <c r="T918" t="str">
        <f t="shared" si="375"/>
        <v>No fuma</v>
      </c>
      <c r="U918">
        <v>2526775</v>
      </c>
      <c r="V918">
        <f t="shared" si="376"/>
        <v>2</v>
      </c>
      <c r="W918" t="str">
        <f t="shared" si="377"/>
        <v>Siempre</v>
      </c>
      <c r="X918">
        <v>0</v>
      </c>
      <c r="Y918" t="str">
        <f t="shared" si="378"/>
        <v>No controla</v>
      </c>
      <c r="Z918">
        <v>0.27117400000000003</v>
      </c>
      <c r="AA918">
        <f t="shared" si="379"/>
        <v>0</v>
      </c>
      <c r="AB918" t="str">
        <f t="shared" si="380"/>
        <v>Nunca</v>
      </c>
      <c r="AC918">
        <v>0.80606900000000004</v>
      </c>
      <c r="AD918">
        <f t="shared" si="381"/>
        <v>0</v>
      </c>
      <c r="AE918" t="str">
        <f t="shared" si="382"/>
        <v>Nunca</v>
      </c>
      <c r="AF918">
        <v>1</v>
      </c>
      <c r="AG918" t="str">
        <f t="shared" si="383"/>
        <v>A veces</v>
      </c>
      <c r="AH918">
        <v>1</v>
      </c>
      <c r="AI918" t="str">
        <f t="shared" si="384"/>
        <v>Usa auto</v>
      </c>
      <c r="AJ918">
        <v>0</v>
      </c>
      <c r="AK918" t="str">
        <f t="shared" si="385"/>
        <v>No usa</v>
      </c>
      <c r="AL918">
        <v>0</v>
      </c>
      <c r="AM918" t="str">
        <f t="shared" si="386"/>
        <v>No usa</v>
      </c>
      <c r="AN918">
        <v>0</v>
      </c>
      <c r="AO918" t="str">
        <f t="shared" si="387"/>
        <v>No usa</v>
      </c>
      <c r="AP918">
        <v>0</v>
      </c>
      <c r="AQ918" t="str">
        <f t="shared" si="388"/>
        <v>No camina</v>
      </c>
      <c r="AR918">
        <v>0</v>
      </c>
      <c r="AS918" t="str">
        <f t="shared" si="389"/>
        <v>No es obeso</v>
      </c>
    </row>
    <row r="919" spans="1:45" x14ac:dyDescent="0.25">
      <c r="A919">
        <v>0</v>
      </c>
      <c r="B919" t="str">
        <f t="shared" si="364"/>
        <v>F</v>
      </c>
      <c r="C919">
        <v>36631456</v>
      </c>
      <c r="D919">
        <f t="shared" si="365"/>
        <v>100</v>
      </c>
      <c r="E919">
        <f t="shared" si="366"/>
        <v>100</v>
      </c>
      <c r="F919" t="str">
        <f t="shared" si="367"/>
        <v>75-100</v>
      </c>
      <c r="G919">
        <v>1</v>
      </c>
      <c r="H919" t="str">
        <f t="shared" si="368"/>
        <v>Pariente gordo</v>
      </c>
      <c r="I919">
        <v>1</v>
      </c>
      <c r="J919" t="str">
        <f t="shared" si="369"/>
        <v>Hipercaloricos</v>
      </c>
      <c r="K919">
        <v>2288604</v>
      </c>
      <c r="L919">
        <f t="shared" si="370"/>
        <v>1</v>
      </c>
      <c r="M919" t="str">
        <f t="shared" si="371"/>
        <v>Suele comer</v>
      </c>
      <c r="N919">
        <v>2845307</v>
      </c>
      <c r="O919">
        <f t="shared" si="372"/>
        <v>2</v>
      </c>
      <c r="P919" t="str">
        <f t="shared" si="373"/>
        <v>Mas de 3</v>
      </c>
      <c r="Q919">
        <v>1</v>
      </c>
      <c r="R919" t="str">
        <f t="shared" si="374"/>
        <v>A veces</v>
      </c>
      <c r="S919">
        <v>0</v>
      </c>
      <c r="T919" t="str">
        <f t="shared" si="375"/>
        <v>No fuma</v>
      </c>
      <c r="U919">
        <v>2638164</v>
      </c>
      <c r="V919">
        <f t="shared" si="376"/>
        <v>2</v>
      </c>
      <c r="W919" t="str">
        <f t="shared" si="377"/>
        <v>Siempre</v>
      </c>
      <c r="X919">
        <v>0</v>
      </c>
      <c r="Y919" t="str">
        <f t="shared" si="378"/>
        <v>No controla</v>
      </c>
      <c r="Z919">
        <v>0</v>
      </c>
      <c r="AA919">
        <f t="shared" si="379"/>
        <v>0</v>
      </c>
      <c r="AB919" t="str">
        <f t="shared" si="380"/>
        <v>Nunca</v>
      </c>
      <c r="AC919">
        <v>0.99074099999999998</v>
      </c>
      <c r="AD919">
        <f t="shared" si="381"/>
        <v>0</v>
      </c>
      <c r="AE919" t="str">
        <f t="shared" si="382"/>
        <v>Nunca</v>
      </c>
      <c r="AF919">
        <v>1</v>
      </c>
      <c r="AG919" t="str">
        <f t="shared" si="383"/>
        <v>A veces</v>
      </c>
      <c r="AH919">
        <v>1</v>
      </c>
      <c r="AI919" t="str">
        <f t="shared" si="384"/>
        <v>Usa auto</v>
      </c>
      <c r="AJ919">
        <v>0</v>
      </c>
      <c r="AK919" t="str">
        <f t="shared" si="385"/>
        <v>No usa</v>
      </c>
      <c r="AL919">
        <v>0</v>
      </c>
      <c r="AM919" t="str">
        <f t="shared" si="386"/>
        <v>No usa</v>
      </c>
      <c r="AN919">
        <v>0</v>
      </c>
      <c r="AO919" t="str">
        <f t="shared" si="387"/>
        <v>No usa</v>
      </c>
      <c r="AP919">
        <v>0</v>
      </c>
      <c r="AQ919" t="str">
        <f t="shared" si="388"/>
        <v>No camina</v>
      </c>
      <c r="AR919">
        <v>0</v>
      </c>
      <c r="AS919" t="str">
        <f t="shared" si="389"/>
        <v>No es obeso</v>
      </c>
    </row>
    <row r="920" spans="1:45" x14ac:dyDescent="0.25">
      <c r="A920">
        <v>0</v>
      </c>
      <c r="B920" t="str">
        <f t="shared" si="364"/>
        <v>F</v>
      </c>
      <c r="C920">
        <v>21996118</v>
      </c>
      <c r="D920">
        <f t="shared" si="365"/>
        <v>60</v>
      </c>
      <c r="E920">
        <f t="shared" si="366"/>
        <v>60</v>
      </c>
      <c r="F920" t="str">
        <f t="shared" si="367"/>
        <v>50-75</v>
      </c>
      <c r="G920">
        <v>1</v>
      </c>
      <c r="H920" t="str">
        <f t="shared" si="368"/>
        <v>Pariente gordo</v>
      </c>
      <c r="I920">
        <v>1</v>
      </c>
      <c r="J920" t="str">
        <f t="shared" si="369"/>
        <v>Hipercaloricos</v>
      </c>
      <c r="K920">
        <v>2277077</v>
      </c>
      <c r="L920">
        <f t="shared" si="370"/>
        <v>1</v>
      </c>
      <c r="M920" t="str">
        <f t="shared" si="371"/>
        <v>Suele comer</v>
      </c>
      <c r="N920">
        <v>1</v>
      </c>
      <c r="O920">
        <f t="shared" si="372"/>
        <v>1</v>
      </c>
      <c r="P920">
        <f t="shared" si="373"/>
        <v>3</v>
      </c>
      <c r="Q920">
        <v>1</v>
      </c>
      <c r="R920" t="str">
        <f t="shared" si="374"/>
        <v>A veces</v>
      </c>
      <c r="S920">
        <v>0</v>
      </c>
      <c r="T920" t="str">
        <f t="shared" si="375"/>
        <v>No fuma</v>
      </c>
      <c r="U920">
        <v>2</v>
      </c>
      <c r="V920">
        <f t="shared" si="376"/>
        <v>2</v>
      </c>
      <c r="W920" t="str">
        <f t="shared" si="377"/>
        <v>Siempre</v>
      </c>
      <c r="X920">
        <v>0</v>
      </c>
      <c r="Y920" t="str">
        <f t="shared" si="378"/>
        <v>No controla</v>
      </c>
      <c r="Z920">
        <v>1061743</v>
      </c>
      <c r="AA920">
        <f t="shared" si="379"/>
        <v>3</v>
      </c>
      <c r="AB920" t="str">
        <f t="shared" si="380"/>
        <v>Siempre</v>
      </c>
      <c r="AC920">
        <v>0</v>
      </c>
      <c r="AD920">
        <f t="shared" si="381"/>
        <v>0</v>
      </c>
      <c r="AE920" t="str">
        <f t="shared" si="382"/>
        <v>Nunca</v>
      </c>
      <c r="AF920">
        <v>1</v>
      </c>
      <c r="AG920" t="str">
        <f t="shared" si="383"/>
        <v>A veces</v>
      </c>
      <c r="AH920">
        <v>0</v>
      </c>
      <c r="AI920" t="str">
        <f t="shared" si="384"/>
        <v>No usa</v>
      </c>
      <c r="AJ920">
        <v>0</v>
      </c>
      <c r="AK920" t="str">
        <f t="shared" si="385"/>
        <v>No usa</v>
      </c>
      <c r="AL920">
        <v>0</v>
      </c>
      <c r="AM920" t="str">
        <f t="shared" si="386"/>
        <v>No usa</v>
      </c>
      <c r="AN920">
        <v>1</v>
      </c>
      <c r="AO920" t="str">
        <f t="shared" si="387"/>
        <v>Usa Transporte</v>
      </c>
      <c r="AP920">
        <v>0</v>
      </c>
      <c r="AQ920" t="str">
        <f t="shared" si="388"/>
        <v>No camina</v>
      </c>
      <c r="AR920">
        <v>0</v>
      </c>
      <c r="AS920" t="str">
        <f t="shared" si="389"/>
        <v>No es obeso</v>
      </c>
    </row>
    <row r="921" spans="1:45" x14ac:dyDescent="0.25">
      <c r="A921">
        <v>0</v>
      </c>
      <c r="B921" t="str">
        <f t="shared" si="364"/>
        <v>F</v>
      </c>
      <c r="C921">
        <v>21951309</v>
      </c>
      <c r="D921">
        <f t="shared" si="365"/>
        <v>60</v>
      </c>
      <c r="E921">
        <f t="shared" si="366"/>
        <v>60</v>
      </c>
      <c r="F921" t="str">
        <f t="shared" si="367"/>
        <v>50-75</v>
      </c>
      <c r="G921">
        <v>1</v>
      </c>
      <c r="H921" t="str">
        <f t="shared" si="368"/>
        <v>Pariente gordo</v>
      </c>
      <c r="I921">
        <v>1</v>
      </c>
      <c r="J921" t="str">
        <f t="shared" si="369"/>
        <v>Hipercaloricos</v>
      </c>
      <c r="K921">
        <v>2138334</v>
      </c>
      <c r="L921">
        <f t="shared" si="370"/>
        <v>1</v>
      </c>
      <c r="M921" t="str">
        <f t="shared" si="371"/>
        <v>Suele comer</v>
      </c>
      <c r="N921">
        <v>1</v>
      </c>
      <c r="O921">
        <f t="shared" si="372"/>
        <v>1</v>
      </c>
      <c r="P921">
        <f t="shared" si="373"/>
        <v>3</v>
      </c>
      <c r="Q921">
        <v>1</v>
      </c>
      <c r="R921" t="str">
        <f t="shared" si="374"/>
        <v>A veces</v>
      </c>
      <c r="S921">
        <v>0</v>
      </c>
      <c r="T921" t="str">
        <f t="shared" si="375"/>
        <v>No fuma</v>
      </c>
      <c r="U921">
        <v>2</v>
      </c>
      <c r="V921">
        <f t="shared" si="376"/>
        <v>2</v>
      </c>
      <c r="W921" t="str">
        <f t="shared" si="377"/>
        <v>Siempre</v>
      </c>
      <c r="X921">
        <v>0</v>
      </c>
      <c r="Y921" t="str">
        <f t="shared" si="378"/>
        <v>No controla</v>
      </c>
      <c r="Z921">
        <v>2269058</v>
      </c>
      <c r="AA921">
        <f t="shared" si="379"/>
        <v>3</v>
      </c>
      <c r="AB921" t="str">
        <f t="shared" si="380"/>
        <v>Siempre</v>
      </c>
      <c r="AC921">
        <v>0</v>
      </c>
      <c r="AD921">
        <f t="shared" si="381"/>
        <v>0</v>
      </c>
      <c r="AE921" t="str">
        <f t="shared" si="382"/>
        <v>Nunca</v>
      </c>
      <c r="AF921">
        <v>1</v>
      </c>
      <c r="AG921" t="str">
        <f t="shared" si="383"/>
        <v>A veces</v>
      </c>
      <c r="AH921">
        <v>0</v>
      </c>
      <c r="AI921" t="str">
        <f t="shared" si="384"/>
        <v>No usa</v>
      </c>
      <c r="AJ921">
        <v>0</v>
      </c>
      <c r="AK921" t="str">
        <f t="shared" si="385"/>
        <v>No usa</v>
      </c>
      <c r="AL921">
        <v>0</v>
      </c>
      <c r="AM921" t="str">
        <f t="shared" si="386"/>
        <v>No usa</v>
      </c>
      <c r="AN921">
        <v>1</v>
      </c>
      <c r="AO921" t="str">
        <f t="shared" si="387"/>
        <v>Usa Transporte</v>
      </c>
      <c r="AP921">
        <v>0</v>
      </c>
      <c r="AQ921" t="str">
        <f t="shared" si="388"/>
        <v>No camina</v>
      </c>
      <c r="AR921">
        <v>0</v>
      </c>
      <c r="AS921" t="str">
        <f t="shared" si="389"/>
        <v>No es obeso</v>
      </c>
    </row>
    <row r="922" spans="1:45" x14ac:dyDescent="0.25">
      <c r="A922">
        <v>1</v>
      </c>
      <c r="B922" t="str">
        <f t="shared" si="364"/>
        <v>M</v>
      </c>
      <c r="C922">
        <v>22018228</v>
      </c>
      <c r="D922">
        <f t="shared" si="365"/>
        <v>60</v>
      </c>
      <c r="E922">
        <f t="shared" si="366"/>
        <v>60</v>
      </c>
      <c r="F922" t="str">
        <f t="shared" si="367"/>
        <v>50-75</v>
      </c>
      <c r="G922">
        <v>0</v>
      </c>
      <c r="H922" t="str">
        <f t="shared" si="368"/>
        <v>Pariente normal</v>
      </c>
      <c r="I922">
        <v>1</v>
      </c>
      <c r="J922" t="str">
        <f t="shared" si="369"/>
        <v>Hipercaloricos</v>
      </c>
      <c r="K922">
        <v>2</v>
      </c>
      <c r="L922">
        <f t="shared" si="370"/>
        <v>1</v>
      </c>
      <c r="M922" t="str">
        <f t="shared" si="371"/>
        <v>Suele comer</v>
      </c>
      <c r="N922">
        <v>1</v>
      </c>
      <c r="O922">
        <f t="shared" si="372"/>
        <v>1</v>
      </c>
      <c r="P922">
        <f t="shared" si="373"/>
        <v>3</v>
      </c>
      <c r="Q922">
        <v>0</v>
      </c>
      <c r="R922" t="str">
        <f t="shared" si="374"/>
        <v>Nunca</v>
      </c>
      <c r="S922">
        <v>0</v>
      </c>
      <c r="T922" t="str">
        <f t="shared" si="375"/>
        <v>No fuma</v>
      </c>
      <c r="U922">
        <v>2976177</v>
      </c>
      <c r="V922">
        <f t="shared" si="376"/>
        <v>2</v>
      </c>
      <c r="W922" t="str">
        <f t="shared" si="377"/>
        <v>Siempre</v>
      </c>
      <c r="X922">
        <v>0</v>
      </c>
      <c r="Y922" t="str">
        <f t="shared" si="378"/>
        <v>No controla</v>
      </c>
      <c r="Z922">
        <v>0.78011699999999995</v>
      </c>
      <c r="AA922">
        <f t="shared" si="379"/>
        <v>0</v>
      </c>
      <c r="AB922" t="str">
        <f t="shared" si="380"/>
        <v>Nunca</v>
      </c>
      <c r="AC922">
        <v>0</v>
      </c>
      <c r="AD922">
        <f t="shared" si="381"/>
        <v>0</v>
      </c>
      <c r="AE922" t="str">
        <f t="shared" si="382"/>
        <v>Nunca</v>
      </c>
      <c r="AF922">
        <v>1</v>
      </c>
      <c r="AG922" t="str">
        <f t="shared" si="383"/>
        <v>A veces</v>
      </c>
      <c r="AH922">
        <v>0</v>
      </c>
      <c r="AI922" t="str">
        <f t="shared" si="384"/>
        <v>No usa</v>
      </c>
      <c r="AJ922">
        <v>0</v>
      </c>
      <c r="AK922" t="str">
        <f t="shared" si="385"/>
        <v>No usa</v>
      </c>
      <c r="AL922">
        <v>0</v>
      </c>
      <c r="AM922" t="str">
        <f t="shared" si="386"/>
        <v>No usa</v>
      </c>
      <c r="AN922">
        <v>1</v>
      </c>
      <c r="AO922" t="str">
        <f t="shared" si="387"/>
        <v>Usa Transporte</v>
      </c>
      <c r="AP922">
        <v>0</v>
      </c>
      <c r="AQ922" t="str">
        <f t="shared" si="388"/>
        <v>No camina</v>
      </c>
      <c r="AR922">
        <v>0</v>
      </c>
      <c r="AS922" t="str">
        <f t="shared" si="389"/>
        <v>No es obeso</v>
      </c>
    </row>
    <row r="923" spans="1:45" x14ac:dyDescent="0.25">
      <c r="A923">
        <v>1</v>
      </c>
      <c r="B923" t="str">
        <f t="shared" si="364"/>
        <v>M</v>
      </c>
      <c r="C923">
        <v>21</v>
      </c>
      <c r="D923">
        <f t="shared" si="365"/>
        <v>21</v>
      </c>
      <c r="E923">
        <f t="shared" si="366"/>
        <v>21</v>
      </c>
      <c r="F923" t="str">
        <f t="shared" si="367"/>
        <v>1-25</v>
      </c>
      <c r="G923">
        <v>0</v>
      </c>
      <c r="H923" t="str">
        <f t="shared" si="368"/>
        <v>Pariente normal</v>
      </c>
      <c r="I923">
        <v>1</v>
      </c>
      <c r="J923" t="str">
        <f t="shared" si="369"/>
        <v>Hipercaloricos</v>
      </c>
      <c r="K923">
        <v>2</v>
      </c>
      <c r="L923">
        <f t="shared" si="370"/>
        <v>1</v>
      </c>
      <c r="M923" t="str">
        <f t="shared" si="371"/>
        <v>Suele comer</v>
      </c>
      <c r="N923">
        <v>1</v>
      </c>
      <c r="O923">
        <f t="shared" si="372"/>
        <v>1</v>
      </c>
      <c r="P923">
        <f t="shared" si="373"/>
        <v>3</v>
      </c>
      <c r="Q923">
        <v>0</v>
      </c>
      <c r="R923" t="str">
        <f t="shared" si="374"/>
        <v>Nunca</v>
      </c>
      <c r="S923">
        <v>0</v>
      </c>
      <c r="T923" t="str">
        <f t="shared" si="375"/>
        <v>No fuma</v>
      </c>
      <c r="U923">
        <v>3</v>
      </c>
      <c r="V923">
        <f t="shared" si="376"/>
        <v>2</v>
      </c>
      <c r="W923" t="str">
        <f t="shared" si="377"/>
        <v>Siempre</v>
      </c>
      <c r="X923">
        <v>0</v>
      </c>
      <c r="Y923" t="str">
        <f t="shared" si="378"/>
        <v>No controla</v>
      </c>
      <c r="Z923">
        <v>1</v>
      </c>
      <c r="AA923">
        <f t="shared" si="379"/>
        <v>1</v>
      </c>
      <c r="AB923" t="str">
        <f t="shared" si="380"/>
        <v>A veces</v>
      </c>
      <c r="AC923">
        <v>0</v>
      </c>
      <c r="AD923">
        <f t="shared" si="381"/>
        <v>0</v>
      </c>
      <c r="AE923" t="str">
        <f t="shared" si="382"/>
        <v>Nunca</v>
      </c>
      <c r="AF923">
        <v>1</v>
      </c>
      <c r="AG923" t="str">
        <f t="shared" si="383"/>
        <v>A veces</v>
      </c>
      <c r="AH923">
        <v>0</v>
      </c>
      <c r="AI923" t="str">
        <f t="shared" si="384"/>
        <v>No usa</v>
      </c>
      <c r="AJ923">
        <v>0</v>
      </c>
      <c r="AK923" t="str">
        <f t="shared" si="385"/>
        <v>No usa</v>
      </c>
      <c r="AL923">
        <v>0</v>
      </c>
      <c r="AM923" t="str">
        <f t="shared" si="386"/>
        <v>No usa</v>
      </c>
      <c r="AN923">
        <v>1</v>
      </c>
      <c r="AO923" t="str">
        <f t="shared" si="387"/>
        <v>Usa Transporte</v>
      </c>
      <c r="AP923">
        <v>0</v>
      </c>
      <c r="AQ923" t="str">
        <f t="shared" si="388"/>
        <v>No camina</v>
      </c>
      <c r="AR923">
        <v>0</v>
      </c>
      <c r="AS923" t="str">
        <f t="shared" si="389"/>
        <v>No es obeso</v>
      </c>
    </row>
    <row r="924" spans="1:45" x14ac:dyDescent="0.25">
      <c r="A924">
        <v>1</v>
      </c>
      <c r="B924" t="str">
        <f t="shared" si="364"/>
        <v>M</v>
      </c>
      <c r="C924">
        <v>21</v>
      </c>
      <c r="D924">
        <f t="shared" si="365"/>
        <v>21</v>
      </c>
      <c r="E924">
        <f t="shared" si="366"/>
        <v>21</v>
      </c>
      <c r="F924" t="str">
        <f t="shared" si="367"/>
        <v>1-25</v>
      </c>
      <c r="G924">
        <v>0</v>
      </c>
      <c r="H924" t="str">
        <f t="shared" si="368"/>
        <v>Pariente normal</v>
      </c>
      <c r="I924">
        <v>1</v>
      </c>
      <c r="J924" t="str">
        <f t="shared" si="369"/>
        <v>Hipercaloricos</v>
      </c>
      <c r="K924">
        <v>2</v>
      </c>
      <c r="L924">
        <f t="shared" si="370"/>
        <v>1</v>
      </c>
      <c r="M924" t="str">
        <f t="shared" si="371"/>
        <v>Suele comer</v>
      </c>
      <c r="N924">
        <v>1</v>
      </c>
      <c r="O924">
        <f t="shared" si="372"/>
        <v>1</v>
      </c>
      <c r="P924">
        <f t="shared" si="373"/>
        <v>3</v>
      </c>
      <c r="Q924">
        <v>0</v>
      </c>
      <c r="R924" t="str">
        <f t="shared" si="374"/>
        <v>Nunca</v>
      </c>
      <c r="S924">
        <v>0</v>
      </c>
      <c r="T924" t="str">
        <f t="shared" si="375"/>
        <v>No fuma</v>
      </c>
      <c r="U924">
        <v>3</v>
      </c>
      <c r="V924">
        <f t="shared" si="376"/>
        <v>2</v>
      </c>
      <c r="W924" t="str">
        <f t="shared" si="377"/>
        <v>Siempre</v>
      </c>
      <c r="X924">
        <v>0</v>
      </c>
      <c r="Y924" t="str">
        <f t="shared" si="378"/>
        <v>No controla</v>
      </c>
      <c r="Z924">
        <v>1</v>
      </c>
      <c r="AA924">
        <f t="shared" si="379"/>
        <v>1</v>
      </c>
      <c r="AB924" t="str">
        <f t="shared" si="380"/>
        <v>A veces</v>
      </c>
      <c r="AC924">
        <v>0</v>
      </c>
      <c r="AD924">
        <f t="shared" si="381"/>
        <v>0</v>
      </c>
      <c r="AE924" t="str">
        <f t="shared" si="382"/>
        <v>Nunca</v>
      </c>
      <c r="AF924">
        <v>1</v>
      </c>
      <c r="AG924" t="str">
        <f t="shared" si="383"/>
        <v>A veces</v>
      </c>
      <c r="AH924">
        <v>0</v>
      </c>
      <c r="AI924" t="str">
        <f t="shared" si="384"/>
        <v>No usa</v>
      </c>
      <c r="AJ924">
        <v>0</v>
      </c>
      <c r="AK924" t="str">
        <f t="shared" si="385"/>
        <v>No usa</v>
      </c>
      <c r="AL924">
        <v>0</v>
      </c>
      <c r="AM924" t="str">
        <f t="shared" si="386"/>
        <v>No usa</v>
      </c>
      <c r="AN924">
        <v>1</v>
      </c>
      <c r="AO924" t="str">
        <f t="shared" si="387"/>
        <v>Usa Transporte</v>
      </c>
      <c r="AP924">
        <v>0</v>
      </c>
      <c r="AQ924" t="str">
        <f t="shared" si="388"/>
        <v>No camina</v>
      </c>
      <c r="AR924">
        <v>0</v>
      </c>
      <c r="AS924" t="str">
        <f t="shared" si="389"/>
        <v>No es obeso</v>
      </c>
    </row>
    <row r="925" spans="1:45" x14ac:dyDescent="0.25">
      <c r="A925">
        <v>1</v>
      </c>
      <c r="B925" t="str">
        <f t="shared" si="364"/>
        <v>M</v>
      </c>
      <c r="C925">
        <v>21</v>
      </c>
      <c r="D925">
        <f t="shared" si="365"/>
        <v>21</v>
      </c>
      <c r="E925">
        <f t="shared" si="366"/>
        <v>21</v>
      </c>
      <c r="F925" t="str">
        <f t="shared" si="367"/>
        <v>1-25</v>
      </c>
      <c r="G925">
        <v>0</v>
      </c>
      <c r="H925" t="str">
        <f t="shared" si="368"/>
        <v>Pariente normal</v>
      </c>
      <c r="I925">
        <v>1</v>
      </c>
      <c r="J925" t="str">
        <f t="shared" si="369"/>
        <v>Hipercaloricos</v>
      </c>
      <c r="K925">
        <v>2</v>
      </c>
      <c r="L925">
        <f t="shared" si="370"/>
        <v>1</v>
      </c>
      <c r="M925" t="str">
        <f t="shared" si="371"/>
        <v>Suele comer</v>
      </c>
      <c r="N925">
        <v>1</v>
      </c>
      <c r="O925">
        <f t="shared" si="372"/>
        <v>1</v>
      </c>
      <c r="P925">
        <f t="shared" si="373"/>
        <v>3</v>
      </c>
      <c r="Q925">
        <v>0</v>
      </c>
      <c r="R925" t="str">
        <f t="shared" si="374"/>
        <v>Nunca</v>
      </c>
      <c r="S925">
        <v>0</v>
      </c>
      <c r="T925" t="str">
        <f t="shared" si="375"/>
        <v>No fuma</v>
      </c>
      <c r="U925">
        <v>3</v>
      </c>
      <c r="V925">
        <f t="shared" si="376"/>
        <v>2</v>
      </c>
      <c r="W925" t="str">
        <f t="shared" si="377"/>
        <v>Siempre</v>
      </c>
      <c r="X925">
        <v>0</v>
      </c>
      <c r="Y925" t="str">
        <f t="shared" si="378"/>
        <v>No controla</v>
      </c>
      <c r="Z925">
        <v>1</v>
      </c>
      <c r="AA925">
        <f t="shared" si="379"/>
        <v>1</v>
      </c>
      <c r="AB925" t="str">
        <f t="shared" si="380"/>
        <v>A veces</v>
      </c>
      <c r="AC925">
        <v>0</v>
      </c>
      <c r="AD925">
        <f t="shared" si="381"/>
        <v>0</v>
      </c>
      <c r="AE925" t="str">
        <f t="shared" si="382"/>
        <v>Nunca</v>
      </c>
      <c r="AF925">
        <v>1</v>
      </c>
      <c r="AG925" t="str">
        <f t="shared" si="383"/>
        <v>A veces</v>
      </c>
      <c r="AH925">
        <v>0</v>
      </c>
      <c r="AI925" t="str">
        <f t="shared" si="384"/>
        <v>No usa</v>
      </c>
      <c r="AJ925">
        <v>0</v>
      </c>
      <c r="AK925" t="str">
        <f t="shared" si="385"/>
        <v>No usa</v>
      </c>
      <c r="AL925">
        <v>0</v>
      </c>
      <c r="AM925" t="str">
        <f t="shared" si="386"/>
        <v>No usa</v>
      </c>
      <c r="AN925">
        <v>1</v>
      </c>
      <c r="AO925" t="str">
        <f t="shared" si="387"/>
        <v>Usa Transporte</v>
      </c>
      <c r="AP925">
        <v>0</v>
      </c>
      <c r="AQ925" t="str">
        <f t="shared" si="388"/>
        <v>No camina</v>
      </c>
      <c r="AR925">
        <v>0</v>
      </c>
      <c r="AS925" t="str">
        <f t="shared" si="389"/>
        <v>No es obeso</v>
      </c>
    </row>
    <row r="926" spans="1:45" x14ac:dyDescent="0.25">
      <c r="A926">
        <v>0</v>
      </c>
      <c r="B926" t="str">
        <f t="shared" si="364"/>
        <v>F</v>
      </c>
      <c r="C926">
        <v>29934465</v>
      </c>
      <c r="D926">
        <f t="shared" si="365"/>
        <v>82</v>
      </c>
      <c r="E926">
        <f t="shared" si="366"/>
        <v>82</v>
      </c>
      <c r="F926" t="str">
        <f t="shared" si="367"/>
        <v>75-100</v>
      </c>
      <c r="G926">
        <v>1</v>
      </c>
      <c r="H926" t="str">
        <f t="shared" si="368"/>
        <v>Pariente gordo</v>
      </c>
      <c r="I926">
        <v>1</v>
      </c>
      <c r="J926" t="str">
        <f t="shared" si="369"/>
        <v>Hipercaloricos</v>
      </c>
      <c r="K926">
        <v>2029634</v>
      </c>
      <c r="L926">
        <f t="shared" si="370"/>
        <v>1</v>
      </c>
      <c r="M926" t="str">
        <f t="shared" si="371"/>
        <v>Suele comer</v>
      </c>
      <c r="N926">
        <v>3</v>
      </c>
      <c r="O926">
        <f t="shared" si="372"/>
        <v>2</v>
      </c>
      <c r="P926" t="str">
        <f t="shared" si="373"/>
        <v>Mas de 3</v>
      </c>
      <c r="Q926">
        <v>1</v>
      </c>
      <c r="R926" t="str">
        <f t="shared" si="374"/>
        <v>A veces</v>
      </c>
      <c r="S926">
        <v>0</v>
      </c>
      <c r="T926" t="str">
        <f t="shared" si="375"/>
        <v>No fuma</v>
      </c>
      <c r="U926">
        <v>1827515</v>
      </c>
      <c r="V926">
        <f t="shared" si="376"/>
        <v>2</v>
      </c>
      <c r="W926" t="str">
        <f t="shared" si="377"/>
        <v>Siempre</v>
      </c>
      <c r="X926">
        <v>0</v>
      </c>
      <c r="Y926" t="str">
        <f t="shared" si="378"/>
        <v>No controla</v>
      </c>
      <c r="Z926">
        <v>0.48020600000000002</v>
      </c>
      <c r="AA926">
        <f t="shared" si="379"/>
        <v>0</v>
      </c>
      <c r="AB926" t="str">
        <f t="shared" si="380"/>
        <v>Nunca</v>
      </c>
      <c r="AC926">
        <v>0</v>
      </c>
      <c r="AD926">
        <f t="shared" si="381"/>
        <v>0</v>
      </c>
      <c r="AE926" t="str">
        <f t="shared" si="382"/>
        <v>Nunca</v>
      </c>
      <c r="AF926">
        <v>1</v>
      </c>
      <c r="AG926" t="str">
        <f t="shared" si="383"/>
        <v>A veces</v>
      </c>
      <c r="AH926">
        <v>1</v>
      </c>
      <c r="AI926" t="str">
        <f t="shared" si="384"/>
        <v>Usa auto</v>
      </c>
      <c r="AJ926">
        <v>0</v>
      </c>
      <c r="AK926" t="str">
        <f t="shared" si="385"/>
        <v>No usa</v>
      </c>
      <c r="AL926">
        <v>0</v>
      </c>
      <c r="AM926" t="str">
        <f t="shared" si="386"/>
        <v>No usa</v>
      </c>
      <c r="AN926">
        <v>0</v>
      </c>
      <c r="AO926" t="str">
        <f t="shared" si="387"/>
        <v>No usa</v>
      </c>
      <c r="AP926">
        <v>0</v>
      </c>
      <c r="AQ926" t="str">
        <f t="shared" si="388"/>
        <v>No camina</v>
      </c>
      <c r="AR926">
        <v>0</v>
      </c>
      <c r="AS926" t="str">
        <f t="shared" si="389"/>
        <v>No es obeso</v>
      </c>
    </row>
    <row r="927" spans="1:45" x14ac:dyDescent="0.25">
      <c r="A927">
        <v>0</v>
      </c>
      <c r="B927" t="str">
        <f t="shared" si="364"/>
        <v>F</v>
      </c>
      <c r="C927">
        <v>31166572</v>
      </c>
      <c r="D927">
        <f t="shared" si="365"/>
        <v>85</v>
      </c>
      <c r="E927">
        <f t="shared" si="366"/>
        <v>85</v>
      </c>
      <c r="F927" t="str">
        <f t="shared" si="367"/>
        <v>75-100</v>
      </c>
      <c r="G927">
        <v>1</v>
      </c>
      <c r="H927" t="str">
        <f t="shared" si="368"/>
        <v>Pariente gordo</v>
      </c>
      <c r="I927">
        <v>1</v>
      </c>
      <c r="J927" t="str">
        <f t="shared" si="369"/>
        <v>Hipercaloricos</v>
      </c>
      <c r="K927">
        <v>2048216</v>
      </c>
      <c r="L927">
        <f t="shared" si="370"/>
        <v>1</v>
      </c>
      <c r="M927" t="str">
        <f t="shared" si="371"/>
        <v>Suele comer</v>
      </c>
      <c r="N927">
        <v>3</v>
      </c>
      <c r="O927">
        <f t="shared" si="372"/>
        <v>2</v>
      </c>
      <c r="P927" t="str">
        <f t="shared" si="373"/>
        <v>Mas de 3</v>
      </c>
      <c r="Q927">
        <v>1</v>
      </c>
      <c r="R927" t="str">
        <f t="shared" si="374"/>
        <v>A veces</v>
      </c>
      <c r="S927">
        <v>0</v>
      </c>
      <c r="T927" t="str">
        <f t="shared" si="375"/>
        <v>No fuma</v>
      </c>
      <c r="U927">
        <v>1305816</v>
      </c>
      <c r="V927">
        <f t="shared" si="376"/>
        <v>2</v>
      </c>
      <c r="W927" t="str">
        <f t="shared" si="377"/>
        <v>Siempre</v>
      </c>
      <c r="X927">
        <v>0</v>
      </c>
      <c r="Y927" t="str">
        <f t="shared" si="378"/>
        <v>No controla</v>
      </c>
      <c r="Z927">
        <v>0.17045199999999999</v>
      </c>
      <c r="AA927">
        <f t="shared" si="379"/>
        <v>0</v>
      </c>
      <c r="AB927" t="str">
        <f t="shared" si="380"/>
        <v>Nunca</v>
      </c>
      <c r="AC927">
        <v>0.276806</v>
      </c>
      <c r="AD927">
        <f t="shared" si="381"/>
        <v>0</v>
      </c>
      <c r="AE927" t="str">
        <f t="shared" si="382"/>
        <v>Nunca</v>
      </c>
      <c r="AF927">
        <v>1</v>
      </c>
      <c r="AG927" t="str">
        <f t="shared" si="383"/>
        <v>A veces</v>
      </c>
      <c r="AH927">
        <v>1</v>
      </c>
      <c r="AI927" t="str">
        <f t="shared" si="384"/>
        <v>Usa auto</v>
      </c>
      <c r="AJ927">
        <v>0</v>
      </c>
      <c r="AK927" t="str">
        <f t="shared" si="385"/>
        <v>No usa</v>
      </c>
      <c r="AL927">
        <v>0</v>
      </c>
      <c r="AM927" t="str">
        <f t="shared" si="386"/>
        <v>No usa</v>
      </c>
      <c r="AN927">
        <v>0</v>
      </c>
      <c r="AO927" t="str">
        <f t="shared" si="387"/>
        <v>No usa</v>
      </c>
      <c r="AP927">
        <v>0</v>
      </c>
      <c r="AQ927" t="str">
        <f t="shared" si="388"/>
        <v>No camina</v>
      </c>
      <c r="AR927">
        <v>0</v>
      </c>
      <c r="AS927" t="str">
        <f t="shared" si="389"/>
        <v>No es obeso</v>
      </c>
    </row>
    <row r="928" spans="1:45" x14ac:dyDescent="0.25">
      <c r="A928">
        <v>0</v>
      </c>
      <c r="B928" t="str">
        <f t="shared" si="364"/>
        <v>F</v>
      </c>
      <c r="C928">
        <v>20534606</v>
      </c>
      <c r="D928">
        <f t="shared" si="365"/>
        <v>56</v>
      </c>
      <c r="E928">
        <f t="shared" si="366"/>
        <v>56</v>
      </c>
      <c r="F928" t="str">
        <f t="shared" si="367"/>
        <v>50-75</v>
      </c>
      <c r="G928">
        <v>1</v>
      </c>
      <c r="H928" t="str">
        <f t="shared" si="368"/>
        <v>Pariente gordo</v>
      </c>
      <c r="I928">
        <v>1</v>
      </c>
      <c r="J928" t="str">
        <f t="shared" si="369"/>
        <v>Hipercaloricos</v>
      </c>
      <c r="K928">
        <v>28557</v>
      </c>
      <c r="L928">
        <f t="shared" si="370"/>
        <v>1</v>
      </c>
      <c r="M928" t="str">
        <f t="shared" si="371"/>
        <v>Suele comer</v>
      </c>
      <c r="N928">
        <v>1</v>
      </c>
      <c r="O928">
        <f t="shared" si="372"/>
        <v>1</v>
      </c>
      <c r="P928">
        <f t="shared" si="373"/>
        <v>3</v>
      </c>
      <c r="Q928">
        <v>1</v>
      </c>
      <c r="R928" t="str">
        <f t="shared" si="374"/>
        <v>A veces</v>
      </c>
      <c r="S928">
        <v>0</v>
      </c>
      <c r="T928" t="str">
        <f t="shared" si="375"/>
        <v>No fuma</v>
      </c>
      <c r="U928">
        <v>2663861</v>
      </c>
      <c r="V928">
        <f t="shared" si="376"/>
        <v>2</v>
      </c>
      <c r="W928" t="str">
        <f t="shared" si="377"/>
        <v>Siempre</v>
      </c>
      <c r="X928">
        <v>0</v>
      </c>
      <c r="Y928" t="str">
        <f t="shared" si="378"/>
        <v>No controla</v>
      </c>
      <c r="Z928">
        <v>2762711</v>
      </c>
      <c r="AA928">
        <f t="shared" si="379"/>
        <v>3</v>
      </c>
      <c r="AB928" t="str">
        <f t="shared" si="380"/>
        <v>Siempre</v>
      </c>
      <c r="AC928">
        <v>0.78333600000000003</v>
      </c>
      <c r="AD928">
        <f t="shared" si="381"/>
        <v>0</v>
      </c>
      <c r="AE928" t="str">
        <f t="shared" si="382"/>
        <v>Nunca</v>
      </c>
      <c r="AF928">
        <v>1</v>
      </c>
      <c r="AG928" t="str">
        <f t="shared" si="383"/>
        <v>A veces</v>
      </c>
      <c r="AH928">
        <v>0</v>
      </c>
      <c r="AI928" t="str">
        <f t="shared" si="384"/>
        <v>No usa</v>
      </c>
      <c r="AJ928">
        <v>0</v>
      </c>
      <c r="AK928" t="str">
        <f t="shared" si="385"/>
        <v>No usa</v>
      </c>
      <c r="AL928">
        <v>0</v>
      </c>
      <c r="AM928" t="str">
        <f t="shared" si="386"/>
        <v>No usa</v>
      </c>
      <c r="AN928">
        <v>1</v>
      </c>
      <c r="AO928" t="str">
        <f t="shared" si="387"/>
        <v>Usa Transporte</v>
      </c>
      <c r="AP928">
        <v>0</v>
      </c>
      <c r="AQ928" t="str">
        <f t="shared" si="388"/>
        <v>No camina</v>
      </c>
      <c r="AR928">
        <v>0</v>
      </c>
      <c r="AS928" t="str">
        <f t="shared" si="389"/>
        <v>No es obeso</v>
      </c>
    </row>
    <row r="929" spans="1:45" x14ac:dyDescent="0.25">
      <c r="A929">
        <v>1</v>
      </c>
      <c r="B929" t="str">
        <f t="shared" si="364"/>
        <v>M</v>
      </c>
      <c r="C929">
        <v>1997166</v>
      </c>
      <c r="D929">
        <f t="shared" si="365"/>
        <v>5</v>
      </c>
      <c r="E929">
        <f t="shared" si="366"/>
        <v>5</v>
      </c>
      <c r="F929" t="str">
        <f t="shared" si="367"/>
        <v>1-25</v>
      </c>
      <c r="G929">
        <v>1</v>
      </c>
      <c r="H929" t="str">
        <f t="shared" si="368"/>
        <v>Pariente gordo</v>
      </c>
      <c r="I929">
        <v>1</v>
      </c>
      <c r="J929" t="str">
        <f t="shared" si="369"/>
        <v>Hipercaloricos</v>
      </c>
      <c r="K929">
        <v>2995599</v>
      </c>
      <c r="L929">
        <f t="shared" si="370"/>
        <v>1</v>
      </c>
      <c r="M929" t="str">
        <f t="shared" si="371"/>
        <v>Suele comer</v>
      </c>
      <c r="N929">
        <v>3095663</v>
      </c>
      <c r="O929">
        <f t="shared" si="372"/>
        <v>2</v>
      </c>
      <c r="P929" t="str">
        <f t="shared" si="373"/>
        <v>Mas de 3</v>
      </c>
      <c r="Q929">
        <v>1</v>
      </c>
      <c r="R929" t="str">
        <f t="shared" si="374"/>
        <v>A veces</v>
      </c>
      <c r="S929">
        <v>0</v>
      </c>
      <c r="T929" t="str">
        <f t="shared" si="375"/>
        <v>No fuma</v>
      </c>
      <c r="U929">
        <v>2568157</v>
      </c>
      <c r="V929">
        <f t="shared" si="376"/>
        <v>2</v>
      </c>
      <c r="W929" t="str">
        <f t="shared" si="377"/>
        <v>Siempre</v>
      </c>
      <c r="X929">
        <v>0</v>
      </c>
      <c r="Y929" t="str">
        <f t="shared" si="378"/>
        <v>No controla</v>
      </c>
      <c r="Z929">
        <v>27243</v>
      </c>
      <c r="AA929">
        <f t="shared" si="379"/>
        <v>2</v>
      </c>
      <c r="AB929" t="str">
        <f t="shared" si="380"/>
        <v>Usualmente</v>
      </c>
      <c r="AC929">
        <v>0.330457</v>
      </c>
      <c r="AD929">
        <f t="shared" si="381"/>
        <v>0</v>
      </c>
      <c r="AE929" t="str">
        <f t="shared" si="382"/>
        <v>Nunca</v>
      </c>
      <c r="AF929">
        <v>1</v>
      </c>
      <c r="AG929" t="str">
        <f t="shared" si="383"/>
        <v>A veces</v>
      </c>
      <c r="AH929">
        <v>0</v>
      </c>
      <c r="AI929" t="str">
        <f t="shared" si="384"/>
        <v>No usa</v>
      </c>
      <c r="AJ929">
        <v>0</v>
      </c>
      <c r="AK929" t="str">
        <f t="shared" si="385"/>
        <v>No usa</v>
      </c>
      <c r="AL929">
        <v>0</v>
      </c>
      <c r="AM929" t="str">
        <f t="shared" si="386"/>
        <v>No usa</v>
      </c>
      <c r="AN929">
        <v>1</v>
      </c>
      <c r="AO929" t="str">
        <f t="shared" si="387"/>
        <v>Usa Transporte</v>
      </c>
      <c r="AP929">
        <v>0</v>
      </c>
      <c r="AQ929" t="str">
        <f t="shared" si="388"/>
        <v>No camina</v>
      </c>
      <c r="AR929">
        <v>0</v>
      </c>
      <c r="AS929" t="str">
        <f t="shared" si="389"/>
        <v>No es obeso</v>
      </c>
    </row>
    <row r="930" spans="1:45" x14ac:dyDescent="0.25">
      <c r="A930">
        <v>1</v>
      </c>
      <c r="B930" t="str">
        <f t="shared" si="364"/>
        <v>M</v>
      </c>
      <c r="C930">
        <v>19627</v>
      </c>
      <c r="D930">
        <f t="shared" si="365"/>
        <v>0</v>
      </c>
      <c r="E930">
        <f t="shared" si="366"/>
        <v>5</v>
      </c>
      <c r="F930" t="str">
        <f t="shared" si="367"/>
        <v>1-25</v>
      </c>
      <c r="G930">
        <v>1</v>
      </c>
      <c r="H930" t="str">
        <f t="shared" si="368"/>
        <v>Pariente gordo</v>
      </c>
      <c r="I930">
        <v>1</v>
      </c>
      <c r="J930" t="str">
        <f t="shared" si="369"/>
        <v>Hipercaloricos</v>
      </c>
      <c r="K930">
        <v>2987148</v>
      </c>
      <c r="L930">
        <f t="shared" si="370"/>
        <v>1</v>
      </c>
      <c r="M930" t="str">
        <f t="shared" si="371"/>
        <v>Suele comer</v>
      </c>
      <c r="N930">
        <v>3483449</v>
      </c>
      <c r="O930">
        <f t="shared" si="372"/>
        <v>2</v>
      </c>
      <c r="P930" t="str">
        <f t="shared" si="373"/>
        <v>Mas de 3</v>
      </c>
      <c r="Q930">
        <v>1</v>
      </c>
      <c r="R930" t="str">
        <f t="shared" si="374"/>
        <v>A veces</v>
      </c>
      <c r="S930">
        <v>0</v>
      </c>
      <c r="T930" t="str">
        <f t="shared" si="375"/>
        <v>No fuma</v>
      </c>
      <c r="U930">
        <v>2359246</v>
      </c>
      <c r="V930">
        <f t="shared" si="376"/>
        <v>2</v>
      </c>
      <c r="W930" t="str">
        <f t="shared" si="377"/>
        <v>Siempre</v>
      </c>
      <c r="X930">
        <v>0</v>
      </c>
      <c r="Y930" t="str">
        <f t="shared" si="378"/>
        <v>No controla</v>
      </c>
      <c r="Z930">
        <v>2060415</v>
      </c>
      <c r="AA930">
        <f t="shared" si="379"/>
        <v>3</v>
      </c>
      <c r="AB930" t="str">
        <f t="shared" si="380"/>
        <v>Siempre</v>
      </c>
      <c r="AC930">
        <v>0.59899899999999995</v>
      </c>
      <c r="AD930">
        <f t="shared" si="381"/>
        <v>0</v>
      </c>
      <c r="AE930" t="str">
        <f t="shared" si="382"/>
        <v>Nunca</v>
      </c>
      <c r="AF930">
        <v>1</v>
      </c>
      <c r="AG930" t="str">
        <f t="shared" si="383"/>
        <v>A veces</v>
      </c>
      <c r="AH930">
        <v>0</v>
      </c>
      <c r="AI930" t="str">
        <f t="shared" si="384"/>
        <v>No usa</v>
      </c>
      <c r="AJ930">
        <v>0</v>
      </c>
      <c r="AK930" t="str">
        <f t="shared" si="385"/>
        <v>No usa</v>
      </c>
      <c r="AL930">
        <v>0</v>
      </c>
      <c r="AM930" t="str">
        <f t="shared" si="386"/>
        <v>No usa</v>
      </c>
      <c r="AN930">
        <v>1</v>
      </c>
      <c r="AO930" t="str">
        <f t="shared" si="387"/>
        <v>Usa Transporte</v>
      </c>
      <c r="AP930">
        <v>0</v>
      </c>
      <c r="AQ930" t="str">
        <f t="shared" si="388"/>
        <v>No camina</v>
      </c>
      <c r="AR930">
        <v>0</v>
      </c>
      <c r="AS930" t="str">
        <f t="shared" si="389"/>
        <v>No es obeso</v>
      </c>
    </row>
    <row r="931" spans="1:45" x14ac:dyDescent="0.25">
      <c r="A931">
        <v>1</v>
      </c>
      <c r="B931" t="str">
        <f t="shared" si="364"/>
        <v>M</v>
      </c>
      <c r="C931">
        <v>21929387</v>
      </c>
      <c r="D931">
        <f t="shared" si="365"/>
        <v>60</v>
      </c>
      <c r="E931">
        <f t="shared" si="366"/>
        <v>60</v>
      </c>
      <c r="F931" t="str">
        <f t="shared" si="367"/>
        <v>50-75</v>
      </c>
      <c r="G931">
        <v>1</v>
      </c>
      <c r="H931" t="str">
        <f t="shared" si="368"/>
        <v>Pariente gordo</v>
      </c>
      <c r="I931">
        <v>1</v>
      </c>
      <c r="J931" t="str">
        <f t="shared" si="369"/>
        <v>Hipercaloricos</v>
      </c>
      <c r="K931">
        <v>2</v>
      </c>
      <c r="L931">
        <f t="shared" si="370"/>
        <v>1</v>
      </c>
      <c r="M931" t="str">
        <f t="shared" si="371"/>
        <v>Suele comer</v>
      </c>
      <c r="N931">
        <v>3</v>
      </c>
      <c r="O931">
        <f t="shared" si="372"/>
        <v>2</v>
      </c>
      <c r="P931" t="str">
        <f t="shared" si="373"/>
        <v>Mas de 3</v>
      </c>
      <c r="Q931">
        <v>1</v>
      </c>
      <c r="R931" t="str">
        <f t="shared" si="374"/>
        <v>A veces</v>
      </c>
      <c r="S931">
        <v>0</v>
      </c>
      <c r="T931" t="str">
        <f t="shared" si="375"/>
        <v>No fuma</v>
      </c>
      <c r="U931">
        <v>2763573</v>
      </c>
      <c r="V931">
        <f t="shared" si="376"/>
        <v>2</v>
      </c>
      <c r="W931" t="str">
        <f t="shared" si="377"/>
        <v>Siempre</v>
      </c>
      <c r="X931">
        <v>0</v>
      </c>
      <c r="Y931" t="str">
        <f t="shared" si="378"/>
        <v>No controla</v>
      </c>
      <c r="Z931">
        <v>1502711</v>
      </c>
      <c r="AA931">
        <f t="shared" si="379"/>
        <v>3</v>
      </c>
      <c r="AB931" t="str">
        <f t="shared" si="380"/>
        <v>Siempre</v>
      </c>
      <c r="AC931">
        <v>0.12787899999999999</v>
      </c>
      <c r="AD931">
        <f t="shared" si="381"/>
        <v>0</v>
      </c>
      <c r="AE931" t="str">
        <f t="shared" si="382"/>
        <v>Nunca</v>
      </c>
      <c r="AF931">
        <v>1</v>
      </c>
      <c r="AG931" t="str">
        <f t="shared" si="383"/>
        <v>A veces</v>
      </c>
      <c r="AH931">
        <v>0</v>
      </c>
      <c r="AI931" t="str">
        <f t="shared" si="384"/>
        <v>No usa</v>
      </c>
      <c r="AJ931">
        <v>0</v>
      </c>
      <c r="AK931" t="str">
        <f t="shared" si="385"/>
        <v>No usa</v>
      </c>
      <c r="AL931">
        <v>0</v>
      </c>
      <c r="AM931" t="str">
        <f t="shared" si="386"/>
        <v>No usa</v>
      </c>
      <c r="AN931">
        <v>1</v>
      </c>
      <c r="AO931" t="str">
        <f t="shared" si="387"/>
        <v>Usa Transporte</v>
      </c>
      <c r="AP931">
        <v>0</v>
      </c>
      <c r="AQ931" t="str">
        <f t="shared" si="388"/>
        <v>No camina</v>
      </c>
      <c r="AR931">
        <v>0</v>
      </c>
      <c r="AS931" t="str">
        <f t="shared" si="389"/>
        <v>No es obeso</v>
      </c>
    </row>
    <row r="932" spans="1:45" x14ac:dyDescent="0.25">
      <c r="A932">
        <v>0</v>
      </c>
      <c r="B932" t="str">
        <f t="shared" si="364"/>
        <v>F</v>
      </c>
      <c r="C932">
        <v>21009437</v>
      </c>
      <c r="D932">
        <f t="shared" si="365"/>
        <v>57</v>
      </c>
      <c r="E932">
        <f t="shared" si="366"/>
        <v>57</v>
      </c>
      <c r="F932" t="str">
        <f t="shared" si="367"/>
        <v>50-75</v>
      </c>
      <c r="G932">
        <v>1</v>
      </c>
      <c r="H932" t="str">
        <f t="shared" si="368"/>
        <v>Pariente gordo</v>
      </c>
      <c r="I932">
        <v>1</v>
      </c>
      <c r="J932" t="str">
        <f t="shared" si="369"/>
        <v>Hipercaloricos</v>
      </c>
      <c r="K932">
        <v>2</v>
      </c>
      <c r="L932">
        <f t="shared" si="370"/>
        <v>1</v>
      </c>
      <c r="M932" t="str">
        <f t="shared" si="371"/>
        <v>Suele comer</v>
      </c>
      <c r="N932">
        <v>3156309</v>
      </c>
      <c r="O932">
        <f t="shared" si="372"/>
        <v>2</v>
      </c>
      <c r="P932" t="str">
        <f t="shared" si="373"/>
        <v>Mas de 3</v>
      </c>
      <c r="Q932">
        <v>0</v>
      </c>
      <c r="R932" t="str">
        <f t="shared" si="374"/>
        <v>Nunca</v>
      </c>
      <c r="S932">
        <v>0</v>
      </c>
      <c r="T932" t="str">
        <f t="shared" si="375"/>
        <v>No fuma</v>
      </c>
      <c r="U932">
        <v>3</v>
      </c>
      <c r="V932">
        <f t="shared" si="376"/>
        <v>2</v>
      </c>
      <c r="W932" t="str">
        <f t="shared" si="377"/>
        <v>Siempre</v>
      </c>
      <c r="X932">
        <v>0</v>
      </c>
      <c r="Y932" t="str">
        <f t="shared" si="378"/>
        <v>No controla</v>
      </c>
      <c r="Z932">
        <v>1179592</v>
      </c>
      <c r="AA932">
        <f t="shared" si="379"/>
        <v>3</v>
      </c>
      <c r="AB932" t="str">
        <f t="shared" si="380"/>
        <v>Siempre</v>
      </c>
      <c r="AC932">
        <v>8.6868000000000001E-2</v>
      </c>
      <c r="AD932">
        <f t="shared" si="381"/>
        <v>0</v>
      </c>
      <c r="AE932" t="str">
        <f t="shared" si="382"/>
        <v>Nunca</v>
      </c>
      <c r="AF932">
        <v>1</v>
      </c>
      <c r="AG932" t="str">
        <f t="shared" si="383"/>
        <v>A veces</v>
      </c>
      <c r="AH932">
        <v>0</v>
      </c>
      <c r="AI932" t="str">
        <f t="shared" si="384"/>
        <v>No usa</v>
      </c>
      <c r="AJ932">
        <v>0</v>
      </c>
      <c r="AK932" t="str">
        <f t="shared" si="385"/>
        <v>No usa</v>
      </c>
      <c r="AL932">
        <v>0</v>
      </c>
      <c r="AM932" t="str">
        <f t="shared" si="386"/>
        <v>No usa</v>
      </c>
      <c r="AN932">
        <v>1</v>
      </c>
      <c r="AO932" t="str">
        <f t="shared" si="387"/>
        <v>Usa Transporte</v>
      </c>
      <c r="AP932">
        <v>0</v>
      </c>
      <c r="AQ932" t="str">
        <f t="shared" si="388"/>
        <v>No camina</v>
      </c>
      <c r="AR932">
        <v>0</v>
      </c>
      <c r="AS932" t="str">
        <f t="shared" si="389"/>
        <v>No es obeso</v>
      </c>
    </row>
    <row r="933" spans="1:45" x14ac:dyDescent="0.25">
      <c r="A933">
        <v>0</v>
      </c>
      <c r="B933" t="str">
        <f t="shared" si="364"/>
        <v>F</v>
      </c>
      <c r="C933">
        <v>21538225</v>
      </c>
      <c r="D933">
        <f t="shared" si="365"/>
        <v>59</v>
      </c>
      <c r="E933">
        <f t="shared" si="366"/>
        <v>59</v>
      </c>
      <c r="F933" t="str">
        <f t="shared" si="367"/>
        <v>50-75</v>
      </c>
      <c r="G933">
        <v>1</v>
      </c>
      <c r="H933" t="str">
        <f t="shared" si="368"/>
        <v>Pariente gordo</v>
      </c>
      <c r="I933">
        <v>1</v>
      </c>
      <c r="J933" t="str">
        <f t="shared" si="369"/>
        <v>Hipercaloricos</v>
      </c>
      <c r="K933">
        <v>1887951</v>
      </c>
      <c r="L933">
        <f t="shared" si="370"/>
        <v>1</v>
      </c>
      <c r="M933" t="str">
        <f t="shared" si="371"/>
        <v>Suele comer</v>
      </c>
      <c r="N933">
        <v>3728377</v>
      </c>
      <c r="O933">
        <f t="shared" si="372"/>
        <v>2</v>
      </c>
      <c r="P933" t="str">
        <f t="shared" si="373"/>
        <v>Mas de 3</v>
      </c>
      <c r="Q933">
        <v>0</v>
      </c>
      <c r="R933" t="str">
        <f t="shared" si="374"/>
        <v>Nunca</v>
      </c>
      <c r="S933">
        <v>0</v>
      </c>
      <c r="T933" t="str">
        <f t="shared" si="375"/>
        <v>No fuma</v>
      </c>
      <c r="U933">
        <v>2682107</v>
      </c>
      <c r="V933">
        <f t="shared" si="376"/>
        <v>2</v>
      </c>
      <c r="W933" t="str">
        <f t="shared" si="377"/>
        <v>Siempre</v>
      </c>
      <c r="X933">
        <v>0</v>
      </c>
      <c r="Y933" t="str">
        <f t="shared" si="378"/>
        <v>No controla</v>
      </c>
      <c r="Z933">
        <v>1123931</v>
      </c>
      <c r="AA933">
        <f t="shared" si="379"/>
        <v>3</v>
      </c>
      <c r="AB933" t="str">
        <f t="shared" si="380"/>
        <v>Siempre</v>
      </c>
      <c r="AC933">
        <v>0.49252800000000002</v>
      </c>
      <c r="AD933">
        <f t="shared" si="381"/>
        <v>0</v>
      </c>
      <c r="AE933" t="str">
        <f t="shared" si="382"/>
        <v>Nunca</v>
      </c>
      <c r="AF933">
        <v>1</v>
      </c>
      <c r="AG933" t="str">
        <f t="shared" si="383"/>
        <v>A veces</v>
      </c>
      <c r="AH933">
        <v>0</v>
      </c>
      <c r="AI933" t="str">
        <f t="shared" si="384"/>
        <v>No usa</v>
      </c>
      <c r="AJ933">
        <v>0</v>
      </c>
      <c r="AK933" t="str">
        <f t="shared" si="385"/>
        <v>No usa</v>
      </c>
      <c r="AL933">
        <v>0</v>
      </c>
      <c r="AM933" t="str">
        <f t="shared" si="386"/>
        <v>No usa</v>
      </c>
      <c r="AN933">
        <v>1</v>
      </c>
      <c r="AO933" t="str">
        <f t="shared" si="387"/>
        <v>Usa Transporte</v>
      </c>
      <c r="AP933">
        <v>0</v>
      </c>
      <c r="AQ933" t="str">
        <f t="shared" si="388"/>
        <v>No camina</v>
      </c>
      <c r="AR933">
        <v>0</v>
      </c>
      <c r="AS933" t="str">
        <f t="shared" si="389"/>
        <v>No es obeso</v>
      </c>
    </row>
    <row r="934" spans="1:45" x14ac:dyDescent="0.25">
      <c r="A934">
        <v>1</v>
      </c>
      <c r="B934" t="str">
        <f t="shared" si="364"/>
        <v>M</v>
      </c>
      <c r="C934">
        <v>22828435</v>
      </c>
      <c r="D934">
        <f t="shared" si="365"/>
        <v>62</v>
      </c>
      <c r="E934">
        <f t="shared" si="366"/>
        <v>62</v>
      </c>
      <c r="F934" t="str">
        <f t="shared" si="367"/>
        <v>50-75</v>
      </c>
      <c r="G934">
        <v>1</v>
      </c>
      <c r="H934" t="str">
        <f t="shared" si="368"/>
        <v>Pariente gordo</v>
      </c>
      <c r="I934">
        <v>1</v>
      </c>
      <c r="J934" t="str">
        <f t="shared" si="369"/>
        <v>Hipercaloricos</v>
      </c>
      <c r="K934">
        <v>2786008</v>
      </c>
      <c r="L934">
        <f t="shared" si="370"/>
        <v>1</v>
      </c>
      <c r="M934" t="str">
        <f t="shared" si="371"/>
        <v>Suele comer</v>
      </c>
      <c r="N934">
        <v>3</v>
      </c>
      <c r="O934">
        <f t="shared" si="372"/>
        <v>2</v>
      </c>
      <c r="P934" t="str">
        <f t="shared" si="373"/>
        <v>Mas de 3</v>
      </c>
      <c r="Q934">
        <v>1</v>
      </c>
      <c r="R934" t="str">
        <f t="shared" si="374"/>
        <v>A veces</v>
      </c>
      <c r="S934">
        <v>0</v>
      </c>
      <c r="T934" t="str">
        <f t="shared" si="375"/>
        <v>No fuma</v>
      </c>
      <c r="U934">
        <v>2526193</v>
      </c>
      <c r="V934">
        <f t="shared" si="376"/>
        <v>2</v>
      </c>
      <c r="W934" t="str">
        <f t="shared" si="377"/>
        <v>Siempre</v>
      </c>
      <c r="X934">
        <v>0</v>
      </c>
      <c r="Y934" t="str">
        <f t="shared" si="378"/>
        <v>No controla</v>
      </c>
      <c r="Z934">
        <v>0.925118</v>
      </c>
      <c r="AA934">
        <f t="shared" si="379"/>
        <v>0</v>
      </c>
      <c r="AB934" t="str">
        <f t="shared" si="380"/>
        <v>Nunca</v>
      </c>
      <c r="AC934">
        <v>2</v>
      </c>
      <c r="AD934">
        <f t="shared" si="381"/>
        <v>2</v>
      </c>
      <c r="AE934" t="str">
        <f t="shared" si="382"/>
        <v>Siempre</v>
      </c>
      <c r="AF934">
        <v>1</v>
      </c>
      <c r="AG934" t="str">
        <f t="shared" si="383"/>
        <v>A veces</v>
      </c>
      <c r="AH934">
        <v>0</v>
      </c>
      <c r="AI934" t="str">
        <f t="shared" si="384"/>
        <v>No usa</v>
      </c>
      <c r="AJ934">
        <v>0</v>
      </c>
      <c r="AK934" t="str">
        <f t="shared" si="385"/>
        <v>No usa</v>
      </c>
      <c r="AL934">
        <v>0</v>
      </c>
      <c r="AM934" t="str">
        <f t="shared" si="386"/>
        <v>No usa</v>
      </c>
      <c r="AN934">
        <v>1</v>
      </c>
      <c r="AO934" t="str">
        <f t="shared" si="387"/>
        <v>Usa Transporte</v>
      </c>
      <c r="AP934">
        <v>0</v>
      </c>
      <c r="AQ934" t="str">
        <f t="shared" si="388"/>
        <v>No camina</v>
      </c>
      <c r="AR934">
        <v>0</v>
      </c>
      <c r="AS934" t="str">
        <f t="shared" si="389"/>
        <v>No es obeso</v>
      </c>
    </row>
    <row r="935" spans="1:45" x14ac:dyDescent="0.25">
      <c r="A935">
        <v>1</v>
      </c>
      <c r="B935" t="str">
        <f t="shared" si="364"/>
        <v>M</v>
      </c>
      <c r="C935">
        <v>22814657</v>
      </c>
      <c r="D935">
        <f t="shared" si="365"/>
        <v>62</v>
      </c>
      <c r="E935">
        <f t="shared" si="366"/>
        <v>62</v>
      </c>
      <c r="F935" t="str">
        <f t="shared" si="367"/>
        <v>50-75</v>
      </c>
      <c r="G935">
        <v>1</v>
      </c>
      <c r="H935" t="str">
        <f t="shared" si="368"/>
        <v>Pariente gordo</v>
      </c>
      <c r="I935">
        <v>1</v>
      </c>
      <c r="J935" t="str">
        <f t="shared" si="369"/>
        <v>Hipercaloricos</v>
      </c>
      <c r="K935">
        <v>2</v>
      </c>
      <c r="L935">
        <f t="shared" si="370"/>
        <v>1</v>
      </c>
      <c r="M935" t="str">
        <f t="shared" si="371"/>
        <v>Suele comer</v>
      </c>
      <c r="N935">
        <v>3</v>
      </c>
      <c r="O935">
        <f t="shared" si="372"/>
        <v>2</v>
      </c>
      <c r="P935" t="str">
        <f t="shared" si="373"/>
        <v>Mas de 3</v>
      </c>
      <c r="Q935">
        <v>1</v>
      </c>
      <c r="R935" t="str">
        <f t="shared" si="374"/>
        <v>A veces</v>
      </c>
      <c r="S935">
        <v>0</v>
      </c>
      <c r="T935" t="str">
        <f t="shared" si="375"/>
        <v>No fuma</v>
      </c>
      <c r="U935">
        <v>2</v>
      </c>
      <c r="V935">
        <f t="shared" si="376"/>
        <v>2</v>
      </c>
      <c r="W935" t="str">
        <f t="shared" si="377"/>
        <v>Siempre</v>
      </c>
      <c r="X935">
        <v>0</v>
      </c>
      <c r="Y935" t="str">
        <f t="shared" si="378"/>
        <v>No controla</v>
      </c>
      <c r="Z935">
        <v>9.2343999999999996E-2</v>
      </c>
      <c r="AA935">
        <f t="shared" si="379"/>
        <v>0</v>
      </c>
      <c r="AB935" t="str">
        <f t="shared" si="380"/>
        <v>Nunca</v>
      </c>
      <c r="AC935">
        <v>1466496</v>
      </c>
      <c r="AD935">
        <f t="shared" si="381"/>
        <v>2</v>
      </c>
      <c r="AE935" t="str">
        <f t="shared" si="382"/>
        <v>Siempre</v>
      </c>
      <c r="AF935">
        <v>1</v>
      </c>
      <c r="AG935" t="str">
        <f t="shared" si="383"/>
        <v>A veces</v>
      </c>
      <c r="AH935">
        <v>0</v>
      </c>
      <c r="AI935" t="str">
        <f t="shared" si="384"/>
        <v>No usa</v>
      </c>
      <c r="AJ935">
        <v>0</v>
      </c>
      <c r="AK935" t="str">
        <f t="shared" si="385"/>
        <v>No usa</v>
      </c>
      <c r="AL935">
        <v>0</v>
      </c>
      <c r="AM935" t="str">
        <f t="shared" si="386"/>
        <v>No usa</v>
      </c>
      <c r="AN935">
        <v>1</v>
      </c>
      <c r="AO935" t="str">
        <f t="shared" si="387"/>
        <v>Usa Transporte</v>
      </c>
      <c r="AP935">
        <v>0</v>
      </c>
      <c r="AQ935" t="str">
        <f t="shared" si="388"/>
        <v>No camina</v>
      </c>
      <c r="AR935">
        <v>0</v>
      </c>
      <c r="AS935" t="str">
        <f t="shared" si="389"/>
        <v>No es obeso</v>
      </c>
    </row>
    <row r="936" spans="1:45" x14ac:dyDescent="0.25">
      <c r="A936">
        <v>1</v>
      </c>
      <c r="B936" t="str">
        <f t="shared" si="364"/>
        <v>M</v>
      </c>
      <c r="C936">
        <v>19576682</v>
      </c>
      <c r="D936">
        <f t="shared" si="365"/>
        <v>53</v>
      </c>
      <c r="E936">
        <f t="shared" si="366"/>
        <v>53</v>
      </c>
      <c r="F936" t="str">
        <f t="shared" si="367"/>
        <v>50-75</v>
      </c>
      <c r="G936">
        <v>1</v>
      </c>
      <c r="H936" t="str">
        <f t="shared" si="368"/>
        <v>Pariente gordo</v>
      </c>
      <c r="I936">
        <v>1</v>
      </c>
      <c r="J936" t="str">
        <f t="shared" si="369"/>
        <v>Hipercaloricos</v>
      </c>
      <c r="K936">
        <v>2342323</v>
      </c>
      <c r="L936">
        <f t="shared" si="370"/>
        <v>1</v>
      </c>
      <c r="M936" t="str">
        <f t="shared" si="371"/>
        <v>Suele comer</v>
      </c>
      <c r="N936">
        <v>360885</v>
      </c>
      <c r="O936">
        <f t="shared" si="372"/>
        <v>2</v>
      </c>
      <c r="P936" t="str">
        <f t="shared" si="373"/>
        <v>Mas de 3</v>
      </c>
      <c r="Q936">
        <v>1</v>
      </c>
      <c r="R936" t="str">
        <f t="shared" si="374"/>
        <v>A veces</v>
      </c>
      <c r="S936">
        <v>0</v>
      </c>
      <c r="T936" t="str">
        <f t="shared" si="375"/>
        <v>No fuma</v>
      </c>
      <c r="U936">
        <v>2878866</v>
      </c>
      <c r="V936">
        <f t="shared" si="376"/>
        <v>2</v>
      </c>
      <c r="W936" t="str">
        <f t="shared" si="377"/>
        <v>Siempre</v>
      </c>
      <c r="X936">
        <v>0</v>
      </c>
      <c r="Y936" t="str">
        <f t="shared" si="378"/>
        <v>No controla</v>
      </c>
      <c r="Z936">
        <v>2</v>
      </c>
      <c r="AA936">
        <f t="shared" si="379"/>
        <v>2</v>
      </c>
      <c r="AB936" t="str">
        <f t="shared" si="380"/>
        <v>Usualmente</v>
      </c>
      <c r="AC936">
        <v>0.20832300000000001</v>
      </c>
      <c r="AD936">
        <f t="shared" si="381"/>
        <v>0</v>
      </c>
      <c r="AE936" t="str">
        <f t="shared" si="382"/>
        <v>Nunca</v>
      </c>
      <c r="AF936">
        <v>1</v>
      </c>
      <c r="AG936" t="str">
        <f t="shared" si="383"/>
        <v>A veces</v>
      </c>
      <c r="AH936">
        <v>0</v>
      </c>
      <c r="AI936" t="str">
        <f t="shared" si="384"/>
        <v>No usa</v>
      </c>
      <c r="AJ936">
        <v>0</v>
      </c>
      <c r="AK936" t="str">
        <f t="shared" si="385"/>
        <v>No usa</v>
      </c>
      <c r="AL936">
        <v>0</v>
      </c>
      <c r="AM936" t="str">
        <f t="shared" si="386"/>
        <v>No usa</v>
      </c>
      <c r="AN936">
        <v>1</v>
      </c>
      <c r="AO936" t="str">
        <f t="shared" si="387"/>
        <v>Usa Transporte</v>
      </c>
      <c r="AP936">
        <v>0</v>
      </c>
      <c r="AQ936" t="str">
        <f t="shared" si="388"/>
        <v>No camina</v>
      </c>
      <c r="AR936">
        <v>0</v>
      </c>
      <c r="AS936" t="str">
        <f t="shared" si="389"/>
        <v>No es obeso</v>
      </c>
    </row>
    <row r="937" spans="1:45" x14ac:dyDescent="0.25">
      <c r="A937">
        <v>0</v>
      </c>
      <c r="B937" t="str">
        <f t="shared" si="364"/>
        <v>F</v>
      </c>
      <c r="C937">
        <v>21814653</v>
      </c>
      <c r="D937">
        <f t="shared" si="365"/>
        <v>59</v>
      </c>
      <c r="E937">
        <f t="shared" si="366"/>
        <v>59</v>
      </c>
      <c r="F937" t="str">
        <f t="shared" si="367"/>
        <v>50-75</v>
      </c>
      <c r="G937">
        <v>1</v>
      </c>
      <c r="H937" t="str">
        <f t="shared" si="368"/>
        <v>Pariente gordo</v>
      </c>
      <c r="I937">
        <v>1</v>
      </c>
      <c r="J937" t="str">
        <f t="shared" si="369"/>
        <v>Hipercaloricos</v>
      </c>
      <c r="K937">
        <v>1874935</v>
      </c>
      <c r="L937">
        <f t="shared" si="370"/>
        <v>1</v>
      </c>
      <c r="M937" t="str">
        <f t="shared" si="371"/>
        <v>Suele comer</v>
      </c>
      <c r="N937">
        <v>3370362</v>
      </c>
      <c r="O937">
        <f t="shared" si="372"/>
        <v>2</v>
      </c>
      <c r="P937" t="str">
        <f t="shared" si="373"/>
        <v>Mas de 3</v>
      </c>
      <c r="Q937">
        <v>1</v>
      </c>
      <c r="R937" t="str">
        <f t="shared" si="374"/>
        <v>A veces</v>
      </c>
      <c r="S937">
        <v>0</v>
      </c>
      <c r="T937" t="str">
        <f t="shared" si="375"/>
        <v>No fuma</v>
      </c>
      <c r="U937">
        <v>2558773</v>
      </c>
      <c r="V937">
        <f t="shared" si="376"/>
        <v>2</v>
      </c>
      <c r="W937" t="str">
        <f t="shared" si="377"/>
        <v>Siempre</v>
      </c>
      <c r="X937">
        <v>0</v>
      </c>
      <c r="Y937" t="str">
        <f t="shared" si="378"/>
        <v>No controla</v>
      </c>
      <c r="Z937">
        <v>1206121</v>
      </c>
      <c r="AA937">
        <f t="shared" si="379"/>
        <v>3</v>
      </c>
      <c r="AB937" t="str">
        <f t="shared" si="380"/>
        <v>Siempre</v>
      </c>
      <c r="AC937">
        <v>0.27102399999999999</v>
      </c>
      <c r="AD937">
        <f t="shared" si="381"/>
        <v>0</v>
      </c>
      <c r="AE937" t="str">
        <f t="shared" si="382"/>
        <v>Nunca</v>
      </c>
      <c r="AF937">
        <v>1</v>
      </c>
      <c r="AG937" t="str">
        <f t="shared" si="383"/>
        <v>A veces</v>
      </c>
      <c r="AH937">
        <v>0</v>
      </c>
      <c r="AI937" t="str">
        <f t="shared" si="384"/>
        <v>No usa</v>
      </c>
      <c r="AJ937">
        <v>0</v>
      </c>
      <c r="AK937" t="str">
        <f t="shared" si="385"/>
        <v>No usa</v>
      </c>
      <c r="AL937">
        <v>0</v>
      </c>
      <c r="AM937" t="str">
        <f t="shared" si="386"/>
        <v>No usa</v>
      </c>
      <c r="AN937">
        <v>1</v>
      </c>
      <c r="AO937" t="str">
        <f t="shared" si="387"/>
        <v>Usa Transporte</v>
      </c>
      <c r="AP937">
        <v>0</v>
      </c>
      <c r="AQ937" t="str">
        <f t="shared" si="388"/>
        <v>No camina</v>
      </c>
      <c r="AR937">
        <v>0</v>
      </c>
      <c r="AS937" t="str">
        <f t="shared" si="389"/>
        <v>No es obeso</v>
      </c>
    </row>
    <row r="938" spans="1:45" x14ac:dyDescent="0.25">
      <c r="A938">
        <v>0</v>
      </c>
      <c r="B938" t="str">
        <f t="shared" si="364"/>
        <v>F</v>
      </c>
      <c r="C938">
        <v>21979769</v>
      </c>
      <c r="D938">
        <f t="shared" si="365"/>
        <v>60</v>
      </c>
      <c r="E938">
        <f t="shared" si="366"/>
        <v>60</v>
      </c>
      <c r="F938" t="str">
        <f t="shared" si="367"/>
        <v>50-75</v>
      </c>
      <c r="G938">
        <v>1</v>
      </c>
      <c r="H938" t="str">
        <f t="shared" si="368"/>
        <v>Pariente gordo</v>
      </c>
      <c r="I938">
        <v>1</v>
      </c>
      <c r="J938" t="str">
        <f t="shared" si="369"/>
        <v>Hipercaloricos</v>
      </c>
      <c r="K938">
        <v>2213135</v>
      </c>
      <c r="L938">
        <f t="shared" si="370"/>
        <v>1</v>
      </c>
      <c r="M938" t="str">
        <f t="shared" si="371"/>
        <v>Suele comer</v>
      </c>
      <c r="N938">
        <v>3</v>
      </c>
      <c r="O938">
        <f t="shared" si="372"/>
        <v>2</v>
      </c>
      <c r="P938" t="str">
        <f t="shared" si="373"/>
        <v>Mas de 3</v>
      </c>
      <c r="Q938">
        <v>1</v>
      </c>
      <c r="R938" t="str">
        <f t="shared" si="374"/>
        <v>A veces</v>
      </c>
      <c r="S938">
        <v>0</v>
      </c>
      <c r="T938" t="str">
        <f t="shared" si="375"/>
        <v>No fuma</v>
      </c>
      <c r="U938">
        <v>2046766</v>
      </c>
      <c r="V938">
        <f t="shared" si="376"/>
        <v>2</v>
      </c>
      <c r="W938" t="str">
        <f t="shared" si="377"/>
        <v>Siempre</v>
      </c>
      <c r="X938">
        <v>0</v>
      </c>
      <c r="Y938" t="str">
        <f t="shared" si="378"/>
        <v>No controla</v>
      </c>
      <c r="Z938">
        <v>2172546</v>
      </c>
      <c r="AA938">
        <f t="shared" si="379"/>
        <v>3</v>
      </c>
      <c r="AB938" t="str">
        <f t="shared" si="380"/>
        <v>Siempre</v>
      </c>
      <c r="AC938">
        <v>0</v>
      </c>
      <c r="AD938">
        <f t="shared" si="381"/>
        <v>0</v>
      </c>
      <c r="AE938" t="str">
        <f t="shared" si="382"/>
        <v>Nunca</v>
      </c>
      <c r="AF938">
        <v>1</v>
      </c>
      <c r="AG938" t="str">
        <f t="shared" si="383"/>
        <v>A veces</v>
      </c>
      <c r="AH938">
        <v>0</v>
      </c>
      <c r="AI938" t="str">
        <f t="shared" si="384"/>
        <v>No usa</v>
      </c>
      <c r="AJ938">
        <v>0</v>
      </c>
      <c r="AK938" t="str">
        <f t="shared" si="385"/>
        <v>No usa</v>
      </c>
      <c r="AL938">
        <v>0</v>
      </c>
      <c r="AM938" t="str">
        <f t="shared" si="386"/>
        <v>No usa</v>
      </c>
      <c r="AN938">
        <v>1</v>
      </c>
      <c r="AO938" t="str">
        <f t="shared" si="387"/>
        <v>Usa Transporte</v>
      </c>
      <c r="AP938">
        <v>0</v>
      </c>
      <c r="AQ938" t="str">
        <f t="shared" si="388"/>
        <v>No camina</v>
      </c>
      <c r="AR938">
        <v>0</v>
      </c>
      <c r="AS938" t="str">
        <f t="shared" si="389"/>
        <v>No es obeso</v>
      </c>
    </row>
    <row r="939" spans="1:45" x14ac:dyDescent="0.25">
      <c r="A939">
        <v>0</v>
      </c>
      <c r="B939" t="str">
        <f t="shared" si="364"/>
        <v>F</v>
      </c>
      <c r="C939">
        <v>21</v>
      </c>
      <c r="D939">
        <f t="shared" si="365"/>
        <v>21</v>
      </c>
      <c r="E939">
        <f t="shared" si="366"/>
        <v>21</v>
      </c>
      <c r="F939" t="str">
        <f t="shared" si="367"/>
        <v>1-25</v>
      </c>
      <c r="G939">
        <v>1</v>
      </c>
      <c r="H939" t="str">
        <f t="shared" si="368"/>
        <v>Pariente gordo</v>
      </c>
      <c r="I939">
        <v>1</v>
      </c>
      <c r="J939" t="str">
        <f t="shared" si="369"/>
        <v>Hipercaloricos</v>
      </c>
      <c r="K939">
        <v>2273548</v>
      </c>
      <c r="L939">
        <f t="shared" si="370"/>
        <v>1</v>
      </c>
      <c r="M939" t="str">
        <f t="shared" si="371"/>
        <v>Suele comer</v>
      </c>
      <c r="N939">
        <v>239007</v>
      </c>
      <c r="O939">
        <f t="shared" si="372"/>
        <v>2</v>
      </c>
      <c r="P939" t="str">
        <f t="shared" si="373"/>
        <v>Mas de 3</v>
      </c>
      <c r="Q939">
        <v>1</v>
      </c>
      <c r="R939" t="str">
        <f t="shared" si="374"/>
        <v>A veces</v>
      </c>
      <c r="S939">
        <v>0</v>
      </c>
      <c r="T939" t="str">
        <f t="shared" si="375"/>
        <v>No fuma</v>
      </c>
      <c r="U939">
        <v>1648404</v>
      </c>
      <c r="V939">
        <f t="shared" si="376"/>
        <v>2</v>
      </c>
      <c r="W939" t="str">
        <f t="shared" si="377"/>
        <v>Siempre</v>
      </c>
      <c r="X939">
        <v>0</v>
      </c>
      <c r="Y939" t="str">
        <f t="shared" si="378"/>
        <v>No controla</v>
      </c>
      <c r="Z939">
        <v>0.87464299999999995</v>
      </c>
      <c r="AA939">
        <f t="shared" si="379"/>
        <v>0</v>
      </c>
      <c r="AB939" t="str">
        <f t="shared" si="380"/>
        <v>Nunca</v>
      </c>
      <c r="AC939">
        <v>1102696</v>
      </c>
      <c r="AD939">
        <f t="shared" si="381"/>
        <v>2</v>
      </c>
      <c r="AE939" t="str">
        <f t="shared" si="382"/>
        <v>Siempre</v>
      </c>
      <c r="AF939">
        <v>1</v>
      </c>
      <c r="AG939" t="str">
        <f t="shared" si="383"/>
        <v>A veces</v>
      </c>
      <c r="AH939">
        <v>0</v>
      </c>
      <c r="AI939" t="str">
        <f t="shared" si="384"/>
        <v>No usa</v>
      </c>
      <c r="AJ939">
        <v>0</v>
      </c>
      <c r="AK939" t="str">
        <f t="shared" si="385"/>
        <v>No usa</v>
      </c>
      <c r="AL939">
        <v>0</v>
      </c>
      <c r="AM939" t="str">
        <f t="shared" si="386"/>
        <v>No usa</v>
      </c>
      <c r="AN939">
        <v>1</v>
      </c>
      <c r="AO939" t="str">
        <f t="shared" si="387"/>
        <v>Usa Transporte</v>
      </c>
      <c r="AP939">
        <v>0</v>
      </c>
      <c r="AQ939" t="str">
        <f t="shared" si="388"/>
        <v>No camina</v>
      </c>
      <c r="AR939">
        <v>0</v>
      </c>
      <c r="AS939" t="str">
        <f t="shared" si="389"/>
        <v>No es obeso</v>
      </c>
    </row>
    <row r="940" spans="1:45" x14ac:dyDescent="0.25">
      <c r="A940">
        <v>0</v>
      </c>
      <c r="B940" t="str">
        <f t="shared" si="364"/>
        <v>F</v>
      </c>
      <c r="C940">
        <v>210285</v>
      </c>
      <c r="D940">
        <f t="shared" si="365"/>
        <v>0</v>
      </c>
      <c r="E940">
        <f t="shared" si="366"/>
        <v>5</v>
      </c>
      <c r="F940" t="str">
        <f t="shared" si="367"/>
        <v>1-25</v>
      </c>
      <c r="G940">
        <v>1</v>
      </c>
      <c r="H940" t="str">
        <f t="shared" si="368"/>
        <v>Pariente gordo</v>
      </c>
      <c r="I940">
        <v>1</v>
      </c>
      <c r="J940" t="str">
        <f t="shared" si="369"/>
        <v>Hipercaloricos</v>
      </c>
      <c r="K940">
        <v>2780699</v>
      </c>
      <c r="L940">
        <f t="shared" si="370"/>
        <v>1</v>
      </c>
      <c r="M940" t="str">
        <f t="shared" si="371"/>
        <v>Suele comer</v>
      </c>
      <c r="N940">
        <v>1101404</v>
      </c>
      <c r="O940">
        <f t="shared" si="372"/>
        <v>2</v>
      </c>
      <c r="P940" t="str">
        <f t="shared" si="373"/>
        <v>Mas de 3</v>
      </c>
      <c r="Q940">
        <v>1</v>
      </c>
      <c r="R940" t="str">
        <f t="shared" si="374"/>
        <v>A veces</v>
      </c>
      <c r="S940">
        <v>0</v>
      </c>
      <c r="T940" t="str">
        <f t="shared" si="375"/>
        <v>No fuma</v>
      </c>
      <c r="U940">
        <v>1579207</v>
      </c>
      <c r="V940">
        <f t="shared" si="376"/>
        <v>2</v>
      </c>
      <c r="W940" t="str">
        <f t="shared" si="377"/>
        <v>Siempre</v>
      </c>
      <c r="X940">
        <v>0</v>
      </c>
      <c r="Y940" t="str">
        <f t="shared" si="378"/>
        <v>No controla</v>
      </c>
      <c r="Z940">
        <v>1153775</v>
      </c>
      <c r="AA940">
        <f t="shared" si="379"/>
        <v>3</v>
      </c>
      <c r="AB940" t="str">
        <f t="shared" si="380"/>
        <v>Siempre</v>
      </c>
      <c r="AC940">
        <v>0</v>
      </c>
      <c r="AD940">
        <f t="shared" si="381"/>
        <v>0</v>
      </c>
      <c r="AE940" t="str">
        <f t="shared" si="382"/>
        <v>Nunca</v>
      </c>
      <c r="AF940">
        <v>1</v>
      </c>
      <c r="AG940" t="str">
        <f t="shared" si="383"/>
        <v>A veces</v>
      </c>
      <c r="AH940">
        <v>0</v>
      </c>
      <c r="AI940" t="str">
        <f t="shared" si="384"/>
        <v>No usa</v>
      </c>
      <c r="AJ940">
        <v>0</v>
      </c>
      <c r="AK940" t="str">
        <f t="shared" si="385"/>
        <v>No usa</v>
      </c>
      <c r="AL940">
        <v>0</v>
      </c>
      <c r="AM940" t="str">
        <f t="shared" si="386"/>
        <v>No usa</v>
      </c>
      <c r="AN940">
        <v>1</v>
      </c>
      <c r="AO940" t="str">
        <f t="shared" si="387"/>
        <v>Usa Transporte</v>
      </c>
      <c r="AP940">
        <v>0</v>
      </c>
      <c r="AQ940" t="str">
        <f t="shared" si="388"/>
        <v>No camina</v>
      </c>
      <c r="AR940">
        <v>0</v>
      </c>
      <c r="AS940" t="str">
        <f t="shared" si="389"/>
        <v>No es obeso</v>
      </c>
    </row>
    <row r="941" spans="1:45" x14ac:dyDescent="0.25">
      <c r="A941">
        <v>1</v>
      </c>
      <c r="B941" t="str">
        <f t="shared" si="364"/>
        <v>M</v>
      </c>
      <c r="C941">
        <v>18721041</v>
      </c>
      <c r="D941">
        <f t="shared" si="365"/>
        <v>51</v>
      </c>
      <c r="E941">
        <f t="shared" si="366"/>
        <v>51</v>
      </c>
      <c r="F941" t="str">
        <f t="shared" si="367"/>
        <v>50-75</v>
      </c>
      <c r="G941">
        <v>1</v>
      </c>
      <c r="H941" t="str">
        <f t="shared" si="368"/>
        <v>Pariente gordo</v>
      </c>
      <c r="I941">
        <v>1</v>
      </c>
      <c r="J941" t="str">
        <f t="shared" si="369"/>
        <v>Hipercaloricos</v>
      </c>
      <c r="K941">
        <v>1687569</v>
      </c>
      <c r="L941">
        <f t="shared" si="370"/>
        <v>1</v>
      </c>
      <c r="M941" t="str">
        <f t="shared" si="371"/>
        <v>Suele comer</v>
      </c>
      <c r="N941">
        <v>2756405</v>
      </c>
      <c r="O941">
        <f t="shared" si="372"/>
        <v>2</v>
      </c>
      <c r="P941" t="str">
        <f t="shared" si="373"/>
        <v>Mas de 3</v>
      </c>
      <c r="Q941">
        <v>1</v>
      </c>
      <c r="R941" t="str">
        <f t="shared" si="374"/>
        <v>A veces</v>
      </c>
      <c r="S941">
        <v>0</v>
      </c>
      <c r="T941" t="str">
        <f t="shared" si="375"/>
        <v>No fuma</v>
      </c>
      <c r="U941">
        <v>2079131</v>
      </c>
      <c r="V941">
        <f t="shared" si="376"/>
        <v>2</v>
      </c>
      <c r="W941" t="str">
        <f t="shared" si="377"/>
        <v>Siempre</v>
      </c>
      <c r="X941">
        <v>0</v>
      </c>
      <c r="Y941" t="str">
        <f t="shared" si="378"/>
        <v>No controla</v>
      </c>
      <c r="Z941">
        <v>2931527</v>
      </c>
      <c r="AA941">
        <f t="shared" si="379"/>
        <v>3</v>
      </c>
      <c r="AB941" t="str">
        <f t="shared" si="380"/>
        <v>Siempre</v>
      </c>
      <c r="AC941">
        <v>0.68172999999999995</v>
      </c>
      <c r="AD941">
        <f t="shared" si="381"/>
        <v>0</v>
      </c>
      <c r="AE941" t="str">
        <f t="shared" si="382"/>
        <v>Nunca</v>
      </c>
      <c r="AF941">
        <v>0</v>
      </c>
      <c r="AG941" t="str">
        <f t="shared" si="383"/>
        <v>Nunca</v>
      </c>
      <c r="AH941">
        <v>0</v>
      </c>
      <c r="AI941" t="str">
        <f t="shared" si="384"/>
        <v>No usa</v>
      </c>
      <c r="AJ941">
        <v>0</v>
      </c>
      <c r="AK941" t="str">
        <f t="shared" si="385"/>
        <v>No usa</v>
      </c>
      <c r="AL941">
        <v>0</v>
      </c>
      <c r="AM941" t="str">
        <f t="shared" si="386"/>
        <v>No usa</v>
      </c>
      <c r="AN941">
        <v>1</v>
      </c>
      <c r="AO941" t="str">
        <f t="shared" si="387"/>
        <v>Usa Transporte</v>
      </c>
      <c r="AP941">
        <v>0</v>
      </c>
      <c r="AQ941" t="str">
        <f t="shared" si="388"/>
        <v>No camina</v>
      </c>
      <c r="AR941">
        <v>0</v>
      </c>
      <c r="AS941" t="str">
        <f t="shared" si="389"/>
        <v>No es obeso</v>
      </c>
    </row>
    <row r="942" spans="1:45" x14ac:dyDescent="0.25">
      <c r="A942">
        <v>1</v>
      </c>
      <c r="B942" t="str">
        <f t="shared" si="364"/>
        <v>M</v>
      </c>
      <c r="C942">
        <v>21</v>
      </c>
      <c r="D942">
        <f t="shared" si="365"/>
        <v>21</v>
      </c>
      <c r="E942">
        <f t="shared" si="366"/>
        <v>21</v>
      </c>
      <c r="F942" t="str">
        <f t="shared" si="367"/>
        <v>1-25</v>
      </c>
      <c r="G942">
        <v>1</v>
      </c>
      <c r="H942" t="str">
        <f t="shared" si="368"/>
        <v>Pariente gordo</v>
      </c>
      <c r="I942">
        <v>1</v>
      </c>
      <c r="J942" t="str">
        <f t="shared" si="369"/>
        <v>Hipercaloricos</v>
      </c>
      <c r="K942">
        <v>2</v>
      </c>
      <c r="L942">
        <f t="shared" si="370"/>
        <v>1</v>
      </c>
      <c r="M942" t="str">
        <f t="shared" si="371"/>
        <v>Suele comer</v>
      </c>
      <c r="N942">
        <v>3</v>
      </c>
      <c r="O942">
        <f t="shared" si="372"/>
        <v>2</v>
      </c>
      <c r="P942" t="str">
        <f t="shared" si="373"/>
        <v>Mas de 3</v>
      </c>
      <c r="Q942">
        <v>1</v>
      </c>
      <c r="R942" t="str">
        <f t="shared" si="374"/>
        <v>A veces</v>
      </c>
      <c r="S942">
        <v>0</v>
      </c>
      <c r="T942" t="str">
        <f t="shared" si="375"/>
        <v>No fuma</v>
      </c>
      <c r="U942">
        <v>1081597</v>
      </c>
      <c r="V942">
        <f t="shared" si="376"/>
        <v>2</v>
      </c>
      <c r="W942" t="str">
        <f t="shared" si="377"/>
        <v>Siempre</v>
      </c>
      <c r="X942">
        <v>0</v>
      </c>
      <c r="Y942" t="str">
        <f t="shared" si="378"/>
        <v>No controla</v>
      </c>
      <c r="Z942">
        <v>1</v>
      </c>
      <c r="AA942">
        <f t="shared" si="379"/>
        <v>1</v>
      </c>
      <c r="AB942" t="str">
        <f t="shared" si="380"/>
        <v>A veces</v>
      </c>
      <c r="AC942">
        <v>0</v>
      </c>
      <c r="AD942">
        <f t="shared" si="381"/>
        <v>0</v>
      </c>
      <c r="AE942" t="str">
        <f t="shared" si="382"/>
        <v>Nunca</v>
      </c>
      <c r="AF942">
        <v>1</v>
      </c>
      <c r="AG942" t="str">
        <f t="shared" si="383"/>
        <v>A veces</v>
      </c>
      <c r="AH942">
        <v>0</v>
      </c>
      <c r="AI942" t="str">
        <f t="shared" si="384"/>
        <v>No usa</v>
      </c>
      <c r="AJ942">
        <v>0</v>
      </c>
      <c r="AK942" t="str">
        <f t="shared" si="385"/>
        <v>No usa</v>
      </c>
      <c r="AL942">
        <v>0</v>
      </c>
      <c r="AM942" t="str">
        <f t="shared" si="386"/>
        <v>No usa</v>
      </c>
      <c r="AN942">
        <v>1</v>
      </c>
      <c r="AO942" t="str">
        <f t="shared" si="387"/>
        <v>Usa Transporte</v>
      </c>
      <c r="AP942">
        <v>0</v>
      </c>
      <c r="AQ942" t="str">
        <f t="shared" si="388"/>
        <v>No camina</v>
      </c>
      <c r="AR942">
        <v>0</v>
      </c>
      <c r="AS942" t="str">
        <f t="shared" si="389"/>
        <v>No es obeso</v>
      </c>
    </row>
    <row r="943" spans="1:45" x14ac:dyDescent="0.25">
      <c r="A943">
        <v>1</v>
      </c>
      <c r="B943" t="str">
        <f t="shared" si="364"/>
        <v>M</v>
      </c>
      <c r="C943">
        <v>21</v>
      </c>
      <c r="D943">
        <f t="shared" si="365"/>
        <v>21</v>
      </c>
      <c r="E943">
        <f t="shared" si="366"/>
        <v>21</v>
      </c>
      <c r="F943" t="str">
        <f t="shared" si="367"/>
        <v>1-25</v>
      </c>
      <c r="G943">
        <v>1</v>
      </c>
      <c r="H943" t="str">
        <f t="shared" si="368"/>
        <v>Pariente gordo</v>
      </c>
      <c r="I943">
        <v>1</v>
      </c>
      <c r="J943" t="str">
        <f t="shared" si="369"/>
        <v>Hipercaloricos</v>
      </c>
      <c r="K943">
        <v>2</v>
      </c>
      <c r="L943">
        <f t="shared" si="370"/>
        <v>1</v>
      </c>
      <c r="M943" t="str">
        <f t="shared" si="371"/>
        <v>Suele comer</v>
      </c>
      <c r="N943">
        <v>3</v>
      </c>
      <c r="O943">
        <f t="shared" si="372"/>
        <v>2</v>
      </c>
      <c r="P943" t="str">
        <f t="shared" si="373"/>
        <v>Mas de 3</v>
      </c>
      <c r="Q943">
        <v>1</v>
      </c>
      <c r="R943" t="str">
        <f t="shared" si="374"/>
        <v>A veces</v>
      </c>
      <c r="S943">
        <v>0</v>
      </c>
      <c r="T943" t="str">
        <f t="shared" si="375"/>
        <v>No fuma</v>
      </c>
      <c r="U943">
        <v>1833055</v>
      </c>
      <c r="V943">
        <f t="shared" si="376"/>
        <v>2</v>
      </c>
      <c r="W943" t="str">
        <f t="shared" si="377"/>
        <v>Siempre</v>
      </c>
      <c r="X943">
        <v>0</v>
      </c>
      <c r="Y943" t="str">
        <f t="shared" si="378"/>
        <v>No controla</v>
      </c>
      <c r="Z943">
        <v>1</v>
      </c>
      <c r="AA943">
        <f t="shared" si="379"/>
        <v>1</v>
      </c>
      <c r="AB943" t="str">
        <f t="shared" si="380"/>
        <v>A veces</v>
      </c>
      <c r="AC943">
        <v>0</v>
      </c>
      <c r="AD943">
        <f t="shared" si="381"/>
        <v>0</v>
      </c>
      <c r="AE943" t="str">
        <f t="shared" si="382"/>
        <v>Nunca</v>
      </c>
      <c r="AF943">
        <v>1</v>
      </c>
      <c r="AG943" t="str">
        <f t="shared" si="383"/>
        <v>A veces</v>
      </c>
      <c r="AH943">
        <v>0</v>
      </c>
      <c r="AI943" t="str">
        <f t="shared" si="384"/>
        <v>No usa</v>
      </c>
      <c r="AJ943">
        <v>0</v>
      </c>
      <c r="AK943" t="str">
        <f t="shared" si="385"/>
        <v>No usa</v>
      </c>
      <c r="AL943">
        <v>0</v>
      </c>
      <c r="AM943" t="str">
        <f t="shared" si="386"/>
        <v>No usa</v>
      </c>
      <c r="AN943">
        <v>1</v>
      </c>
      <c r="AO943" t="str">
        <f t="shared" si="387"/>
        <v>Usa Transporte</v>
      </c>
      <c r="AP943">
        <v>0</v>
      </c>
      <c r="AQ943" t="str">
        <f t="shared" si="388"/>
        <v>No camina</v>
      </c>
      <c r="AR943">
        <v>0</v>
      </c>
      <c r="AS943" t="str">
        <f t="shared" si="389"/>
        <v>No es obeso</v>
      </c>
    </row>
    <row r="944" spans="1:45" x14ac:dyDescent="0.25">
      <c r="A944">
        <v>0</v>
      </c>
      <c r="B944" t="str">
        <f t="shared" si="364"/>
        <v>F</v>
      </c>
      <c r="C944">
        <v>29463168</v>
      </c>
      <c r="D944">
        <f t="shared" si="365"/>
        <v>80</v>
      </c>
      <c r="E944">
        <f t="shared" si="366"/>
        <v>80</v>
      </c>
      <c r="F944" t="str">
        <f t="shared" si="367"/>
        <v>75-100</v>
      </c>
      <c r="G944">
        <v>1</v>
      </c>
      <c r="H944" t="str">
        <f t="shared" si="368"/>
        <v>Pariente gordo</v>
      </c>
      <c r="I944">
        <v>1</v>
      </c>
      <c r="J944" t="str">
        <f t="shared" si="369"/>
        <v>Hipercaloricos</v>
      </c>
      <c r="K944">
        <v>2</v>
      </c>
      <c r="L944">
        <f t="shared" si="370"/>
        <v>1</v>
      </c>
      <c r="M944" t="str">
        <f t="shared" si="371"/>
        <v>Suele comer</v>
      </c>
      <c r="N944">
        <v>3</v>
      </c>
      <c r="O944">
        <f t="shared" si="372"/>
        <v>2</v>
      </c>
      <c r="P944" t="str">
        <f t="shared" si="373"/>
        <v>Mas de 3</v>
      </c>
      <c r="Q944">
        <v>1</v>
      </c>
      <c r="R944" t="str">
        <f t="shared" si="374"/>
        <v>A veces</v>
      </c>
      <c r="S944">
        <v>0</v>
      </c>
      <c r="T944" t="str">
        <f t="shared" si="375"/>
        <v>No fuma</v>
      </c>
      <c r="U944">
        <v>1281683</v>
      </c>
      <c r="V944">
        <f t="shared" si="376"/>
        <v>2</v>
      </c>
      <c r="W944" t="str">
        <f t="shared" si="377"/>
        <v>Siempre</v>
      </c>
      <c r="X944">
        <v>0</v>
      </c>
      <c r="Y944" t="str">
        <f t="shared" si="378"/>
        <v>No controla</v>
      </c>
      <c r="Z944">
        <v>1609801</v>
      </c>
      <c r="AA944">
        <f t="shared" si="379"/>
        <v>3</v>
      </c>
      <c r="AB944" t="str">
        <f t="shared" si="380"/>
        <v>Siempre</v>
      </c>
      <c r="AC944">
        <v>0</v>
      </c>
      <c r="AD944">
        <f t="shared" si="381"/>
        <v>0</v>
      </c>
      <c r="AE944" t="str">
        <f t="shared" si="382"/>
        <v>Nunca</v>
      </c>
      <c r="AF944">
        <v>1</v>
      </c>
      <c r="AG944" t="str">
        <f t="shared" si="383"/>
        <v>A veces</v>
      </c>
      <c r="AH944">
        <v>1</v>
      </c>
      <c r="AI944" t="str">
        <f t="shared" si="384"/>
        <v>Usa auto</v>
      </c>
      <c r="AJ944">
        <v>0</v>
      </c>
      <c r="AK944" t="str">
        <f t="shared" si="385"/>
        <v>No usa</v>
      </c>
      <c r="AL944">
        <v>0</v>
      </c>
      <c r="AM944" t="str">
        <f t="shared" si="386"/>
        <v>No usa</v>
      </c>
      <c r="AN944">
        <v>0</v>
      </c>
      <c r="AO944" t="str">
        <f t="shared" si="387"/>
        <v>No usa</v>
      </c>
      <c r="AP944">
        <v>0</v>
      </c>
      <c r="AQ944" t="str">
        <f t="shared" si="388"/>
        <v>No camina</v>
      </c>
      <c r="AR944">
        <v>0</v>
      </c>
      <c r="AS944" t="str">
        <f t="shared" si="389"/>
        <v>No es obeso</v>
      </c>
    </row>
    <row r="945" spans="1:45" x14ac:dyDescent="0.25">
      <c r="A945">
        <v>1</v>
      </c>
      <c r="B945" t="str">
        <f t="shared" si="364"/>
        <v>M</v>
      </c>
      <c r="C945">
        <v>24284861</v>
      </c>
      <c r="D945">
        <f t="shared" si="365"/>
        <v>66</v>
      </c>
      <c r="E945">
        <f t="shared" si="366"/>
        <v>66</v>
      </c>
      <c r="F945" t="str">
        <f t="shared" si="367"/>
        <v>50-75</v>
      </c>
      <c r="G945">
        <v>1</v>
      </c>
      <c r="H945" t="str">
        <f t="shared" si="368"/>
        <v>Pariente gordo</v>
      </c>
      <c r="I945">
        <v>1</v>
      </c>
      <c r="J945" t="str">
        <f t="shared" si="369"/>
        <v>Hipercaloricos</v>
      </c>
      <c r="K945">
        <v>1989905</v>
      </c>
      <c r="L945">
        <f t="shared" si="370"/>
        <v>1</v>
      </c>
      <c r="M945" t="str">
        <f t="shared" si="371"/>
        <v>Suele comer</v>
      </c>
      <c r="N945">
        <v>3054899</v>
      </c>
      <c r="O945">
        <f t="shared" si="372"/>
        <v>2</v>
      </c>
      <c r="P945" t="str">
        <f t="shared" si="373"/>
        <v>Mas de 3</v>
      </c>
      <c r="Q945">
        <v>1</v>
      </c>
      <c r="R945" t="str">
        <f t="shared" si="374"/>
        <v>A veces</v>
      </c>
      <c r="S945">
        <v>0</v>
      </c>
      <c r="T945" t="str">
        <f t="shared" si="375"/>
        <v>No fuma</v>
      </c>
      <c r="U945">
        <v>2080968</v>
      </c>
      <c r="V945">
        <f t="shared" si="376"/>
        <v>2</v>
      </c>
      <c r="W945" t="str">
        <f t="shared" si="377"/>
        <v>Siempre</v>
      </c>
      <c r="X945">
        <v>0</v>
      </c>
      <c r="Y945" t="str">
        <f t="shared" si="378"/>
        <v>No controla</v>
      </c>
      <c r="Z945">
        <v>1107543</v>
      </c>
      <c r="AA945">
        <f t="shared" si="379"/>
        <v>3</v>
      </c>
      <c r="AB945" t="str">
        <f t="shared" si="380"/>
        <v>Siempre</v>
      </c>
      <c r="AC945">
        <v>0.93972599999999995</v>
      </c>
      <c r="AD945">
        <f t="shared" si="381"/>
        <v>0</v>
      </c>
      <c r="AE945" t="str">
        <f t="shared" si="382"/>
        <v>Nunca</v>
      </c>
      <c r="AF945">
        <v>0</v>
      </c>
      <c r="AG945" t="str">
        <f t="shared" si="383"/>
        <v>Nunca</v>
      </c>
      <c r="AH945">
        <v>0</v>
      </c>
      <c r="AI945" t="str">
        <f t="shared" si="384"/>
        <v>No usa</v>
      </c>
      <c r="AJ945">
        <v>0</v>
      </c>
      <c r="AK945" t="str">
        <f t="shared" si="385"/>
        <v>No usa</v>
      </c>
      <c r="AL945">
        <v>0</v>
      </c>
      <c r="AM945" t="str">
        <f t="shared" si="386"/>
        <v>No usa</v>
      </c>
      <c r="AN945">
        <v>1</v>
      </c>
      <c r="AO945" t="str">
        <f t="shared" si="387"/>
        <v>Usa Transporte</v>
      </c>
      <c r="AP945">
        <v>0</v>
      </c>
      <c r="AQ945" t="str">
        <f t="shared" si="388"/>
        <v>No camina</v>
      </c>
      <c r="AR945">
        <v>0</v>
      </c>
      <c r="AS945" t="str">
        <f t="shared" si="389"/>
        <v>No es obeso</v>
      </c>
    </row>
    <row r="946" spans="1:45" x14ac:dyDescent="0.25">
      <c r="A946">
        <v>1</v>
      </c>
      <c r="B946" t="str">
        <f t="shared" si="364"/>
        <v>M</v>
      </c>
      <c r="C946">
        <v>26288417</v>
      </c>
      <c r="D946">
        <f t="shared" si="365"/>
        <v>72</v>
      </c>
      <c r="E946">
        <f t="shared" si="366"/>
        <v>72</v>
      </c>
      <c r="F946" t="str">
        <f t="shared" si="367"/>
        <v>50-75</v>
      </c>
      <c r="G946">
        <v>1</v>
      </c>
      <c r="H946" t="str">
        <f t="shared" si="368"/>
        <v>Pariente gordo</v>
      </c>
      <c r="I946">
        <v>1</v>
      </c>
      <c r="J946" t="str">
        <f t="shared" si="369"/>
        <v>Hipercaloricos</v>
      </c>
      <c r="K946">
        <v>1947405</v>
      </c>
      <c r="L946">
        <f t="shared" si="370"/>
        <v>1</v>
      </c>
      <c r="M946" t="str">
        <f t="shared" si="371"/>
        <v>Suele comer</v>
      </c>
      <c r="N946">
        <v>3118013</v>
      </c>
      <c r="O946">
        <f t="shared" si="372"/>
        <v>2</v>
      </c>
      <c r="P946" t="str">
        <f t="shared" si="373"/>
        <v>Mas de 3</v>
      </c>
      <c r="Q946">
        <v>1</v>
      </c>
      <c r="R946" t="str">
        <f t="shared" si="374"/>
        <v>A veces</v>
      </c>
      <c r="S946">
        <v>0</v>
      </c>
      <c r="T946" t="str">
        <f t="shared" si="375"/>
        <v>No fuma</v>
      </c>
      <c r="U946">
        <v>2136159</v>
      </c>
      <c r="V946">
        <f t="shared" si="376"/>
        <v>2</v>
      </c>
      <c r="W946" t="str">
        <f t="shared" si="377"/>
        <v>Siempre</v>
      </c>
      <c r="X946">
        <v>0</v>
      </c>
      <c r="Y946" t="str">
        <f t="shared" si="378"/>
        <v>No controla</v>
      </c>
      <c r="Z946">
        <v>0.78396299999999997</v>
      </c>
      <c r="AA946">
        <f t="shared" si="379"/>
        <v>0</v>
      </c>
      <c r="AB946" t="str">
        <f t="shared" si="380"/>
        <v>Nunca</v>
      </c>
      <c r="AC946">
        <v>0.88868000000000003</v>
      </c>
      <c r="AD946">
        <f t="shared" si="381"/>
        <v>0</v>
      </c>
      <c r="AE946" t="str">
        <f t="shared" si="382"/>
        <v>Nunca</v>
      </c>
      <c r="AF946">
        <v>0</v>
      </c>
      <c r="AG946" t="str">
        <f t="shared" si="383"/>
        <v>Nunca</v>
      </c>
      <c r="AH946">
        <v>0</v>
      </c>
      <c r="AI946" t="str">
        <f t="shared" si="384"/>
        <v>No usa</v>
      </c>
      <c r="AJ946">
        <v>0</v>
      </c>
      <c r="AK946" t="str">
        <f t="shared" si="385"/>
        <v>No usa</v>
      </c>
      <c r="AL946">
        <v>0</v>
      </c>
      <c r="AM946" t="str">
        <f t="shared" si="386"/>
        <v>No usa</v>
      </c>
      <c r="AN946">
        <v>1</v>
      </c>
      <c r="AO946" t="str">
        <f t="shared" si="387"/>
        <v>Usa Transporte</v>
      </c>
      <c r="AP946">
        <v>0</v>
      </c>
      <c r="AQ946" t="str">
        <f t="shared" si="388"/>
        <v>No camina</v>
      </c>
      <c r="AR946">
        <v>0</v>
      </c>
      <c r="AS946" t="str">
        <f t="shared" si="389"/>
        <v>No es obeso</v>
      </c>
    </row>
    <row r="947" spans="1:45" x14ac:dyDescent="0.25">
      <c r="A947">
        <v>1</v>
      </c>
      <c r="B947" t="str">
        <f t="shared" si="364"/>
        <v>M</v>
      </c>
      <c r="C947">
        <v>23455324</v>
      </c>
      <c r="D947">
        <f t="shared" si="365"/>
        <v>64</v>
      </c>
      <c r="E947">
        <f t="shared" si="366"/>
        <v>64</v>
      </c>
      <c r="F947" t="str">
        <f t="shared" si="367"/>
        <v>50-75</v>
      </c>
      <c r="G947">
        <v>1</v>
      </c>
      <c r="H947" t="str">
        <f t="shared" si="368"/>
        <v>Pariente gordo</v>
      </c>
      <c r="I947">
        <v>1</v>
      </c>
      <c r="J947" t="str">
        <f t="shared" si="369"/>
        <v>Hipercaloricos</v>
      </c>
      <c r="K947">
        <v>2162519</v>
      </c>
      <c r="L947">
        <f t="shared" si="370"/>
        <v>1</v>
      </c>
      <c r="M947" t="str">
        <f t="shared" si="371"/>
        <v>Suele comer</v>
      </c>
      <c r="N947">
        <v>3</v>
      </c>
      <c r="O947">
        <f t="shared" si="372"/>
        <v>2</v>
      </c>
      <c r="P947" t="str">
        <f t="shared" si="373"/>
        <v>Mas de 3</v>
      </c>
      <c r="Q947">
        <v>1</v>
      </c>
      <c r="R947" t="str">
        <f t="shared" si="374"/>
        <v>A veces</v>
      </c>
      <c r="S947">
        <v>0</v>
      </c>
      <c r="T947" t="str">
        <f t="shared" si="375"/>
        <v>No fuma</v>
      </c>
      <c r="U947">
        <v>2152666</v>
      </c>
      <c r="V947">
        <f t="shared" si="376"/>
        <v>2</v>
      </c>
      <c r="W947" t="str">
        <f t="shared" si="377"/>
        <v>Siempre</v>
      </c>
      <c r="X947">
        <v>0</v>
      </c>
      <c r="Y947" t="str">
        <f t="shared" si="378"/>
        <v>No controla</v>
      </c>
      <c r="Z947">
        <v>1078074</v>
      </c>
      <c r="AA947">
        <f t="shared" si="379"/>
        <v>3</v>
      </c>
      <c r="AB947" t="str">
        <f t="shared" si="380"/>
        <v>Siempre</v>
      </c>
      <c r="AC947">
        <v>1502839</v>
      </c>
      <c r="AD947">
        <f t="shared" si="381"/>
        <v>2</v>
      </c>
      <c r="AE947" t="str">
        <f t="shared" si="382"/>
        <v>Siempre</v>
      </c>
      <c r="AF947">
        <v>1</v>
      </c>
      <c r="AG947" t="str">
        <f t="shared" si="383"/>
        <v>A veces</v>
      </c>
      <c r="AH947">
        <v>0</v>
      </c>
      <c r="AI947" t="str">
        <f t="shared" si="384"/>
        <v>No usa</v>
      </c>
      <c r="AJ947">
        <v>0</v>
      </c>
      <c r="AK947" t="str">
        <f t="shared" si="385"/>
        <v>No usa</v>
      </c>
      <c r="AL947">
        <v>0</v>
      </c>
      <c r="AM947" t="str">
        <f t="shared" si="386"/>
        <v>No usa</v>
      </c>
      <c r="AN947">
        <v>1</v>
      </c>
      <c r="AO947" t="str">
        <f t="shared" si="387"/>
        <v>Usa Transporte</v>
      </c>
      <c r="AP947">
        <v>0</v>
      </c>
      <c r="AQ947" t="str">
        <f t="shared" si="388"/>
        <v>No camina</v>
      </c>
      <c r="AR947">
        <v>0</v>
      </c>
      <c r="AS947" t="str">
        <f t="shared" si="389"/>
        <v>No es obeso</v>
      </c>
    </row>
    <row r="948" spans="1:45" x14ac:dyDescent="0.25">
      <c r="A948">
        <v>1</v>
      </c>
      <c r="B948" t="str">
        <f t="shared" si="364"/>
        <v>M</v>
      </c>
      <c r="C948">
        <v>19637203</v>
      </c>
      <c r="D948">
        <f t="shared" si="365"/>
        <v>53</v>
      </c>
      <c r="E948">
        <f t="shared" si="366"/>
        <v>53</v>
      </c>
      <c r="F948" t="str">
        <f t="shared" si="367"/>
        <v>50-75</v>
      </c>
      <c r="G948">
        <v>1</v>
      </c>
      <c r="H948" t="str">
        <f t="shared" si="368"/>
        <v>Pariente gordo</v>
      </c>
      <c r="I948">
        <v>1</v>
      </c>
      <c r="J948" t="str">
        <f t="shared" si="369"/>
        <v>Hipercaloricos</v>
      </c>
      <c r="K948">
        <v>2923916</v>
      </c>
      <c r="L948">
        <f t="shared" si="370"/>
        <v>1</v>
      </c>
      <c r="M948" t="str">
        <f t="shared" si="371"/>
        <v>Suele comer</v>
      </c>
      <c r="N948">
        <v>3335876</v>
      </c>
      <c r="O948">
        <f t="shared" si="372"/>
        <v>2</v>
      </c>
      <c r="P948" t="str">
        <f t="shared" si="373"/>
        <v>Mas de 3</v>
      </c>
      <c r="Q948">
        <v>1</v>
      </c>
      <c r="R948" t="str">
        <f t="shared" si="374"/>
        <v>A veces</v>
      </c>
      <c r="S948">
        <v>0</v>
      </c>
      <c r="T948" t="str">
        <f t="shared" si="375"/>
        <v>No fuma</v>
      </c>
      <c r="U948">
        <v>2372444</v>
      </c>
      <c r="V948">
        <f t="shared" si="376"/>
        <v>2</v>
      </c>
      <c r="W948" t="str">
        <f t="shared" si="377"/>
        <v>Siempre</v>
      </c>
      <c r="X948">
        <v>0</v>
      </c>
      <c r="Y948" t="str">
        <f t="shared" si="378"/>
        <v>No controla</v>
      </c>
      <c r="Z948">
        <v>1305633</v>
      </c>
      <c r="AA948">
        <f t="shared" si="379"/>
        <v>3</v>
      </c>
      <c r="AB948" t="str">
        <f t="shared" si="380"/>
        <v>Siempre</v>
      </c>
      <c r="AC948">
        <v>0.31143599999999999</v>
      </c>
      <c r="AD948">
        <f t="shared" si="381"/>
        <v>0</v>
      </c>
      <c r="AE948" t="str">
        <f t="shared" si="382"/>
        <v>Nunca</v>
      </c>
      <c r="AF948">
        <v>1</v>
      </c>
      <c r="AG948" t="str">
        <f t="shared" si="383"/>
        <v>A veces</v>
      </c>
      <c r="AH948">
        <v>0</v>
      </c>
      <c r="AI948" t="str">
        <f t="shared" si="384"/>
        <v>No usa</v>
      </c>
      <c r="AJ948">
        <v>0</v>
      </c>
      <c r="AK948" t="str">
        <f t="shared" si="385"/>
        <v>No usa</v>
      </c>
      <c r="AL948">
        <v>0</v>
      </c>
      <c r="AM948" t="str">
        <f t="shared" si="386"/>
        <v>No usa</v>
      </c>
      <c r="AN948">
        <v>1</v>
      </c>
      <c r="AO948" t="str">
        <f t="shared" si="387"/>
        <v>Usa Transporte</v>
      </c>
      <c r="AP948">
        <v>0</v>
      </c>
      <c r="AQ948" t="str">
        <f t="shared" si="388"/>
        <v>No camina</v>
      </c>
      <c r="AR948">
        <v>0</v>
      </c>
      <c r="AS948" t="str">
        <f t="shared" si="389"/>
        <v>No es obeso</v>
      </c>
    </row>
    <row r="949" spans="1:45" x14ac:dyDescent="0.25">
      <c r="A949">
        <v>0</v>
      </c>
      <c r="B949" t="str">
        <f t="shared" si="364"/>
        <v>F</v>
      </c>
      <c r="C949">
        <v>22239836</v>
      </c>
      <c r="D949">
        <f t="shared" si="365"/>
        <v>60</v>
      </c>
      <c r="E949">
        <f t="shared" si="366"/>
        <v>60</v>
      </c>
      <c r="F949" t="str">
        <f t="shared" si="367"/>
        <v>50-75</v>
      </c>
      <c r="G949">
        <v>0</v>
      </c>
      <c r="H949" t="str">
        <f t="shared" si="368"/>
        <v>Pariente normal</v>
      </c>
      <c r="I949">
        <v>1</v>
      </c>
      <c r="J949" t="str">
        <f t="shared" si="369"/>
        <v>Hipercaloricos</v>
      </c>
      <c r="K949">
        <v>299448</v>
      </c>
      <c r="L949">
        <f t="shared" si="370"/>
        <v>1</v>
      </c>
      <c r="M949" t="str">
        <f t="shared" si="371"/>
        <v>Suele comer</v>
      </c>
      <c r="N949">
        <v>3</v>
      </c>
      <c r="O949">
        <f t="shared" si="372"/>
        <v>2</v>
      </c>
      <c r="P949" t="str">
        <f t="shared" si="373"/>
        <v>Mas de 3</v>
      </c>
      <c r="Q949">
        <v>1</v>
      </c>
      <c r="R949" t="str">
        <f t="shared" si="374"/>
        <v>A veces</v>
      </c>
      <c r="S949">
        <v>0</v>
      </c>
      <c r="T949" t="str">
        <f t="shared" si="375"/>
        <v>No fuma</v>
      </c>
      <c r="U949">
        <v>1706568</v>
      </c>
      <c r="V949">
        <f t="shared" si="376"/>
        <v>2</v>
      </c>
      <c r="W949" t="str">
        <f t="shared" si="377"/>
        <v>Siempre</v>
      </c>
      <c r="X949">
        <v>0</v>
      </c>
      <c r="Y949" t="str">
        <f t="shared" si="378"/>
        <v>No controla</v>
      </c>
      <c r="Z949">
        <v>0.78421600000000002</v>
      </c>
      <c r="AA949">
        <f t="shared" si="379"/>
        <v>0</v>
      </c>
      <c r="AB949" t="str">
        <f t="shared" si="380"/>
        <v>Nunca</v>
      </c>
      <c r="AC949">
        <v>0.15096899999999999</v>
      </c>
      <c r="AD949">
        <f t="shared" si="381"/>
        <v>0</v>
      </c>
      <c r="AE949" t="str">
        <f t="shared" si="382"/>
        <v>Nunca</v>
      </c>
      <c r="AF949">
        <v>1</v>
      </c>
      <c r="AG949" t="str">
        <f t="shared" si="383"/>
        <v>A veces</v>
      </c>
      <c r="AH949">
        <v>0</v>
      </c>
      <c r="AI949" t="str">
        <f t="shared" si="384"/>
        <v>No usa</v>
      </c>
      <c r="AJ949">
        <v>0</v>
      </c>
      <c r="AK949" t="str">
        <f t="shared" si="385"/>
        <v>No usa</v>
      </c>
      <c r="AL949">
        <v>0</v>
      </c>
      <c r="AM949" t="str">
        <f t="shared" si="386"/>
        <v>No usa</v>
      </c>
      <c r="AN949">
        <v>1</v>
      </c>
      <c r="AO949" t="str">
        <f t="shared" si="387"/>
        <v>Usa Transporte</v>
      </c>
      <c r="AP949">
        <v>0</v>
      </c>
      <c r="AQ949" t="str">
        <f t="shared" si="388"/>
        <v>No camina</v>
      </c>
      <c r="AR949">
        <v>0</v>
      </c>
      <c r="AS949" t="str">
        <f t="shared" si="389"/>
        <v>No es obeso</v>
      </c>
    </row>
    <row r="950" spans="1:45" x14ac:dyDescent="0.25">
      <c r="A950">
        <v>0</v>
      </c>
      <c r="B950" t="str">
        <f t="shared" si="364"/>
        <v>F</v>
      </c>
      <c r="C950">
        <v>3162638</v>
      </c>
      <c r="D950">
        <f t="shared" si="365"/>
        <v>8</v>
      </c>
      <c r="E950">
        <f t="shared" si="366"/>
        <v>8</v>
      </c>
      <c r="F950" t="str">
        <f t="shared" si="367"/>
        <v>1-25</v>
      </c>
      <c r="G950">
        <v>1</v>
      </c>
      <c r="H950" t="str">
        <f t="shared" si="368"/>
        <v>Pariente gordo</v>
      </c>
      <c r="I950">
        <v>1</v>
      </c>
      <c r="J950" t="str">
        <f t="shared" si="369"/>
        <v>Hipercaloricos</v>
      </c>
      <c r="K950">
        <v>2</v>
      </c>
      <c r="L950">
        <f t="shared" si="370"/>
        <v>1</v>
      </c>
      <c r="M950" t="str">
        <f t="shared" si="371"/>
        <v>Suele comer</v>
      </c>
      <c r="N950">
        <v>3</v>
      </c>
      <c r="O950">
        <f t="shared" si="372"/>
        <v>2</v>
      </c>
      <c r="P950" t="str">
        <f t="shared" si="373"/>
        <v>Mas de 3</v>
      </c>
      <c r="Q950">
        <v>1</v>
      </c>
      <c r="R950" t="str">
        <f t="shared" si="374"/>
        <v>A veces</v>
      </c>
      <c r="S950">
        <v>0</v>
      </c>
      <c r="T950" t="str">
        <f t="shared" si="375"/>
        <v>No fuma</v>
      </c>
      <c r="U950">
        <v>1</v>
      </c>
      <c r="V950">
        <f t="shared" si="376"/>
        <v>1</v>
      </c>
      <c r="W950" t="str">
        <f t="shared" si="377"/>
        <v>Usualmente</v>
      </c>
      <c r="X950">
        <v>0</v>
      </c>
      <c r="Y950" t="str">
        <f t="shared" si="378"/>
        <v>No controla</v>
      </c>
      <c r="Z950">
        <v>0</v>
      </c>
      <c r="AA950">
        <f t="shared" si="379"/>
        <v>0</v>
      </c>
      <c r="AB950" t="str">
        <f t="shared" si="380"/>
        <v>Nunca</v>
      </c>
      <c r="AC950">
        <v>1301385</v>
      </c>
      <c r="AD950">
        <f t="shared" si="381"/>
        <v>2</v>
      </c>
      <c r="AE950" t="str">
        <f t="shared" si="382"/>
        <v>Siempre</v>
      </c>
      <c r="AF950">
        <v>1</v>
      </c>
      <c r="AG950" t="str">
        <f t="shared" si="383"/>
        <v>A veces</v>
      </c>
      <c r="AH950">
        <v>1</v>
      </c>
      <c r="AI950" t="str">
        <f t="shared" si="384"/>
        <v>Usa auto</v>
      </c>
      <c r="AJ950">
        <v>0</v>
      </c>
      <c r="AK950" t="str">
        <f t="shared" si="385"/>
        <v>No usa</v>
      </c>
      <c r="AL950">
        <v>0</v>
      </c>
      <c r="AM950" t="str">
        <f t="shared" si="386"/>
        <v>No usa</v>
      </c>
      <c r="AN950">
        <v>0</v>
      </c>
      <c r="AO950" t="str">
        <f t="shared" si="387"/>
        <v>No usa</v>
      </c>
      <c r="AP950">
        <v>0</v>
      </c>
      <c r="AQ950" t="str">
        <f t="shared" si="388"/>
        <v>No camina</v>
      </c>
      <c r="AR950">
        <v>0</v>
      </c>
      <c r="AS950" t="str">
        <f t="shared" si="389"/>
        <v>No es obeso</v>
      </c>
    </row>
    <row r="951" spans="1:45" x14ac:dyDescent="0.25">
      <c r="A951">
        <v>1</v>
      </c>
      <c r="B951" t="str">
        <f t="shared" si="364"/>
        <v>M</v>
      </c>
      <c r="C951">
        <v>23</v>
      </c>
      <c r="D951">
        <f t="shared" si="365"/>
        <v>23</v>
      </c>
      <c r="E951">
        <f t="shared" si="366"/>
        <v>23</v>
      </c>
      <c r="F951" t="str">
        <f t="shared" si="367"/>
        <v>1-25</v>
      </c>
      <c r="G951">
        <v>1</v>
      </c>
      <c r="H951" t="str">
        <f t="shared" si="368"/>
        <v>Pariente gordo</v>
      </c>
      <c r="I951">
        <v>1</v>
      </c>
      <c r="J951" t="str">
        <f t="shared" si="369"/>
        <v>Hipercaloricos</v>
      </c>
      <c r="K951">
        <v>3</v>
      </c>
      <c r="L951">
        <f t="shared" si="370"/>
        <v>1</v>
      </c>
      <c r="M951" t="str">
        <f t="shared" si="371"/>
        <v>Suele comer</v>
      </c>
      <c r="N951">
        <v>3205009</v>
      </c>
      <c r="O951">
        <f t="shared" si="372"/>
        <v>2</v>
      </c>
      <c r="P951" t="str">
        <f t="shared" si="373"/>
        <v>Mas de 3</v>
      </c>
      <c r="Q951">
        <v>1</v>
      </c>
      <c r="R951" t="str">
        <f t="shared" si="374"/>
        <v>A veces</v>
      </c>
      <c r="S951">
        <v>0</v>
      </c>
      <c r="T951" t="str">
        <f t="shared" si="375"/>
        <v>No fuma</v>
      </c>
      <c r="U951">
        <v>2643468</v>
      </c>
      <c r="V951">
        <f t="shared" si="376"/>
        <v>2</v>
      </c>
      <c r="W951" t="str">
        <f t="shared" si="377"/>
        <v>Siempre</v>
      </c>
      <c r="X951">
        <v>0</v>
      </c>
      <c r="Y951" t="str">
        <f t="shared" si="378"/>
        <v>No controla</v>
      </c>
      <c r="Z951">
        <v>0.99803900000000001</v>
      </c>
      <c r="AA951">
        <f t="shared" si="379"/>
        <v>0</v>
      </c>
      <c r="AB951" t="str">
        <f t="shared" si="380"/>
        <v>Nunca</v>
      </c>
      <c r="AC951">
        <v>1898139</v>
      </c>
      <c r="AD951">
        <f t="shared" si="381"/>
        <v>2</v>
      </c>
      <c r="AE951" t="str">
        <f t="shared" si="382"/>
        <v>Siempre</v>
      </c>
      <c r="AF951">
        <v>1</v>
      </c>
      <c r="AG951" t="str">
        <f t="shared" si="383"/>
        <v>A veces</v>
      </c>
      <c r="AH951">
        <v>0</v>
      </c>
      <c r="AI951" t="str">
        <f t="shared" si="384"/>
        <v>No usa</v>
      </c>
      <c r="AJ951">
        <v>0</v>
      </c>
      <c r="AK951" t="str">
        <f t="shared" si="385"/>
        <v>No usa</v>
      </c>
      <c r="AL951">
        <v>0</v>
      </c>
      <c r="AM951" t="str">
        <f t="shared" si="386"/>
        <v>No usa</v>
      </c>
      <c r="AN951">
        <v>1</v>
      </c>
      <c r="AO951" t="str">
        <f t="shared" si="387"/>
        <v>Usa Transporte</v>
      </c>
      <c r="AP951">
        <v>0</v>
      </c>
      <c r="AQ951" t="str">
        <f t="shared" si="388"/>
        <v>No camina</v>
      </c>
      <c r="AR951">
        <v>0</v>
      </c>
      <c r="AS951" t="str">
        <f t="shared" si="389"/>
        <v>No es obeso</v>
      </c>
    </row>
    <row r="952" spans="1:45" x14ac:dyDescent="0.25">
      <c r="A952">
        <v>1</v>
      </c>
      <c r="B952" t="str">
        <f t="shared" si="364"/>
        <v>M</v>
      </c>
      <c r="C952">
        <v>22874658</v>
      </c>
      <c r="D952">
        <f t="shared" si="365"/>
        <v>62</v>
      </c>
      <c r="E952">
        <f t="shared" si="366"/>
        <v>62</v>
      </c>
      <c r="F952" t="str">
        <f t="shared" si="367"/>
        <v>50-75</v>
      </c>
      <c r="G952">
        <v>1</v>
      </c>
      <c r="H952" t="str">
        <f t="shared" si="368"/>
        <v>Pariente gordo</v>
      </c>
      <c r="I952">
        <v>1</v>
      </c>
      <c r="J952" t="str">
        <f t="shared" si="369"/>
        <v>Hipercaloricos</v>
      </c>
      <c r="K952">
        <v>2507841</v>
      </c>
      <c r="L952">
        <f t="shared" si="370"/>
        <v>1</v>
      </c>
      <c r="M952" t="str">
        <f t="shared" si="371"/>
        <v>Suele comer</v>
      </c>
      <c r="N952">
        <v>3648194</v>
      </c>
      <c r="O952">
        <f t="shared" si="372"/>
        <v>2</v>
      </c>
      <c r="P952" t="str">
        <f t="shared" si="373"/>
        <v>Mas de 3</v>
      </c>
      <c r="Q952">
        <v>1</v>
      </c>
      <c r="R952" t="str">
        <f t="shared" si="374"/>
        <v>A veces</v>
      </c>
      <c r="S952">
        <v>0</v>
      </c>
      <c r="T952" t="str">
        <f t="shared" si="375"/>
        <v>No fuma</v>
      </c>
      <c r="U952">
        <v>1279756</v>
      </c>
      <c r="V952">
        <f t="shared" si="376"/>
        <v>2</v>
      </c>
      <c r="W952" t="str">
        <f t="shared" si="377"/>
        <v>Siempre</v>
      </c>
      <c r="X952">
        <v>0</v>
      </c>
      <c r="Y952" t="str">
        <f t="shared" si="378"/>
        <v>No controla</v>
      </c>
      <c r="Z952">
        <v>0.132629</v>
      </c>
      <c r="AA952">
        <f t="shared" si="379"/>
        <v>0</v>
      </c>
      <c r="AB952" t="str">
        <f t="shared" si="380"/>
        <v>Nunca</v>
      </c>
      <c r="AC952">
        <v>182753</v>
      </c>
      <c r="AD952">
        <f t="shared" si="381"/>
        <v>1</v>
      </c>
      <c r="AE952" t="str">
        <f t="shared" si="382"/>
        <v>Usualmente</v>
      </c>
      <c r="AF952">
        <v>1</v>
      </c>
      <c r="AG952" t="str">
        <f t="shared" si="383"/>
        <v>A veces</v>
      </c>
      <c r="AH952">
        <v>0</v>
      </c>
      <c r="AI952" t="str">
        <f t="shared" si="384"/>
        <v>No usa</v>
      </c>
      <c r="AJ952">
        <v>0</v>
      </c>
      <c r="AK952" t="str">
        <f t="shared" si="385"/>
        <v>No usa</v>
      </c>
      <c r="AL952">
        <v>0</v>
      </c>
      <c r="AM952" t="str">
        <f t="shared" si="386"/>
        <v>No usa</v>
      </c>
      <c r="AN952">
        <v>1</v>
      </c>
      <c r="AO952" t="str">
        <f t="shared" si="387"/>
        <v>Usa Transporte</v>
      </c>
      <c r="AP952">
        <v>0</v>
      </c>
      <c r="AQ952" t="str">
        <f t="shared" si="388"/>
        <v>No camina</v>
      </c>
      <c r="AR952">
        <v>0</v>
      </c>
      <c r="AS952" t="str">
        <f t="shared" si="389"/>
        <v>No es obeso</v>
      </c>
    </row>
    <row r="953" spans="1:45" x14ac:dyDescent="0.25">
      <c r="A953">
        <v>0</v>
      </c>
      <c r="B953" t="str">
        <f t="shared" si="364"/>
        <v>F</v>
      </c>
      <c r="C953">
        <v>17420269</v>
      </c>
      <c r="D953">
        <f t="shared" si="365"/>
        <v>47</v>
      </c>
      <c r="E953">
        <f t="shared" si="366"/>
        <v>47</v>
      </c>
      <c r="F953" t="str">
        <f t="shared" si="367"/>
        <v>25-50</v>
      </c>
      <c r="G953">
        <v>0</v>
      </c>
      <c r="H953" t="str">
        <f t="shared" si="368"/>
        <v>Pariente normal</v>
      </c>
      <c r="I953">
        <v>1</v>
      </c>
      <c r="J953" t="str">
        <f t="shared" si="369"/>
        <v>Hipercaloricos</v>
      </c>
      <c r="K953">
        <v>1836554</v>
      </c>
      <c r="L953">
        <f t="shared" si="370"/>
        <v>1</v>
      </c>
      <c r="M953" t="str">
        <f t="shared" si="371"/>
        <v>Suele comer</v>
      </c>
      <c r="N953">
        <v>1865238</v>
      </c>
      <c r="O953">
        <f t="shared" si="372"/>
        <v>2</v>
      </c>
      <c r="P953" t="str">
        <f t="shared" si="373"/>
        <v>Mas de 3</v>
      </c>
      <c r="Q953">
        <v>1</v>
      </c>
      <c r="R953" t="str">
        <f t="shared" si="374"/>
        <v>A veces</v>
      </c>
      <c r="S953">
        <v>0</v>
      </c>
      <c r="T953" t="str">
        <f t="shared" si="375"/>
        <v>No fuma</v>
      </c>
      <c r="U953">
        <v>2</v>
      </c>
      <c r="V953">
        <f t="shared" si="376"/>
        <v>2</v>
      </c>
      <c r="W953" t="str">
        <f t="shared" si="377"/>
        <v>Siempre</v>
      </c>
      <c r="X953">
        <v>1</v>
      </c>
      <c r="Y953" t="str">
        <f t="shared" si="378"/>
        <v>Controla</v>
      </c>
      <c r="Z953">
        <v>0.32020900000000002</v>
      </c>
      <c r="AA953">
        <f t="shared" si="379"/>
        <v>0</v>
      </c>
      <c r="AB953" t="str">
        <f t="shared" si="380"/>
        <v>Nunca</v>
      </c>
      <c r="AC953">
        <v>1969507</v>
      </c>
      <c r="AD953">
        <f t="shared" si="381"/>
        <v>2</v>
      </c>
      <c r="AE953" t="str">
        <f t="shared" si="382"/>
        <v>Siempre</v>
      </c>
      <c r="AF953">
        <v>1</v>
      </c>
      <c r="AG953" t="str">
        <f t="shared" si="383"/>
        <v>A veces</v>
      </c>
      <c r="AH953">
        <v>0</v>
      </c>
      <c r="AI953" t="str">
        <f t="shared" si="384"/>
        <v>No usa</v>
      </c>
      <c r="AJ953">
        <v>0</v>
      </c>
      <c r="AK953" t="str">
        <f t="shared" si="385"/>
        <v>No usa</v>
      </c>
      <c r="AL953">
        <v>0</v>
      </c>
      <c r="AM953" t="str">
        <f t="shared" si="386"/>
        <v>No usa</v>
      </c>
      <c r="AN953">
        <v>1</v>
      </c>
      <c r="AO953" t="str">
        <f t="shared" si="387"/>
        <v>Usa Transporte</v>
      </c>
      <c r="AP953">
        <v>0</v>
      </c>
      <c r="AQ953" t="str">
        <f t="shared" si="388"/>
        <v>No camina</v>
      </c>
      <c r="AR953">
        <v>0</v>
      </c>
      <c r="AS953" t="str">
        <f t="shared" si="389"/>
        <v>No es obeso</v>
      </c>
    </row>
    <row r="954" spans="1:45" x14ac:dyDescent="0.25">
      <c r="A954">
        <v>0</v>
      </c>
      <c r="B954" t="str">
        <f t="shared" si="364"/>
        <v>F</v>
      </c>
      <c r="C954">
        <v>17807828</v>
      </c>
      <c r="D954">
        <f t="shared" si="365"/>
        <v>48</v>
      </c>
      <c r="E954">
        <f t="shared" si="366"/>
        <v>48</v>
      </c>
      <c r="F954" t="str">
        <f t="shared" si="367"/>
        <v>25-50</v>
      </c>
      <c r="G954">
        <v>0</v>
      </c>
      <c r="H954" t="str">
        <f t="shared" si="368"/>
        <v>Pariente normal</v>
      </c>
      <c r="I954">
        <v>1</v>
      </c>
      <c r="J954" t="str">
        <f t="shared" si="369"/>
        <v>Hipercaloricos</v>
      </c>
      <c r="K954">
        <v>1773265</v>
      </c>
      <c r="L954">
        <f t="shared" si="370"/>
        <v>1</v>
      </c>
      <c r="M954" t="str">
        <f t="shared" si="371"/>
        <v>Suele comer</v>
      </c>
      <c r="N954">
        <v>2118153</v>
      </c>
      <c r="O954">
        <f t="shared" si="372"/>
        <v>2</v>
      </c>
      <c r="P954" t="str">
        <f t="shared" si="373"/>
        <v>Mas de 3</v>
      </c>
      <c r="Q954">
        <v>1</v>
      </c>
      <c r="R954" t="str">
        <f t="shared" si="374"/>
        <v>A veces</v>
      </c>
      <c r="S954">
        <v>0</v>
      </c>
      <c r="T954" t="str">
        <f t="shared" si="375"/>
        <v>No fuma</v>
      </c>
      <c r="U954">
        <v>1075239</v>
      </c>
      <c r="V954">
        <f t="shared" si="376"/>
        <v>2</v>
      </c>
      <c r="W954" t="str">
        <f t="shared" si="377"/>
        <v>Siempre</v>
      </c>
      <c r="X954">
        <v>1</v>
      </c>
      <c r="Y954" t="str">
        <f t="shared" si="378"/>
        <v>Controla</v>
      </c>
      <c r="Z954">
        <v>8.5388000000000006E-2</v>
      </c>
      <c r="AA954">
        <f t="shared" si="379"/>
        <v>0</v>
      </c>
      <c r="AB954" t="str">
        <f t="shared" si="380"/>
        <v>Nunca</v>
      </c>
      <c r="AC954">
        <v>1915191</v>
      </c>
      <c r="AD954">
        <f t="shared" si="381"/>
        <v>2</v>
      </c>
      <c r="AE954" t="str">
        <f t="shared" si="382"/>
        <v>Siempre</v>
      </c>
      <c r="AF954">
        <v>1</v>
      </c>
      <c r="AG954" t="str">
        <f t="shared" si="383"/>
        <v>A veces</v>
      </c>
      <c r="AH954">
        <v>0</v>
      </c>
      <c r="AI954" t="str">
        <f t="shared" si="384"/>
        <v>No usa</v>
      </c>
      <c r="AJ954">
        <v>0</v>
      </c>
      <c r="AK954" t="str">
        <f t="shared" si="385"/>
        <v>No usa</v>
      </c>
      <c r="AL954">
        <v>0</v>
      </c>
      <c r="AM954" t="str">
        <f t="shared" si="386"/>
        <v>No usa</v>
      </c>
      <c r="AN954">
        <v>1</v>
      </c>
      <c r="AO954" t="str">
        <f t="shared" si="387"/>
        <v>Usa Transporte</v>
      </c>
      <c r="AP954">
        <v>0</v>
      </c>
      <c r="AQ954" t="str">
        <f t="shared" si="388"/>
        <v>No camina</v>
      </c>
      <c r="AR954">
        <v>0</v>
      </c>
      <c r="AS954" t="str">
        <f t="shared" si="389"/>
        <v>No es obeso</v>
      </c>
    </row>
    <row r="955" spans="1:45" x14ac:dyDescent="0.25">
      <c r="A955">
        <v>0</v>
      </c>
      <c r="B955" t="str">
        <f t="shared" si="364"/>
        <v>F</v>
      </c>
      <c r="C955">
        <v>16240576</v>
      </c>
      <c r="D955">
        <f t="shared" si="365"/>
        <v>44</v>
      </c>
      <c r="E955">
        <f t="shared" si="366"/>
        <v>44</v>
      </c>
      <c r="F955" t="str">
        <f t="shared" si="367"/>
        <v>25-50</v>
      </c>
      <c r="G955">
        <v>1</v>
      </c>
      <c r="H955" t="str">
        <f t="shared" si="368"/>
        <v>Pariente gordo</v>
      </c>
      <c r="I955">
        <v>1</v>
      </c>
      <c r="J955" t="str">
        <f t="shared" si="369"/>
        <v>Hipercaloricos</v>
      </c>
      <c r="K955">
        <v>2388168</v>
      </c>
      <c r="L955">
        <f t="shared" si="370"/>
        <v>1</v>
      </c>
      <c r="M955" t="str">
        <f t="shared" si="371"/>
        <v>Suele comer</v>
      </c>
      <c r="N955">
        <v>1</v>
      </c>
      <c r="O955">
        <f t="shared" si="372"/>
        <v>1</v>
      </c>
      <c r="P955">
        <f t="shared" si="373"/>
        <v>3</v>
      </c>
      <c r="Q955">
        <v>1</v>
      </c>
      <c r="R955" t="str">
        <f t="shared" si="374"/>
        <v>A veces</v>
      </c>
      <c r="S955">
        <v>0</v>
      </c>
      <c r="T955" t="str">
        <f t="shared" si="375"/>
        <v>No fuma</v>
      </c>
      <c r="U955">
        <v>1438018</v>
      </c>
      <c r="V955">
        <f t="shared" si="376"/>
        <v>2</v>
      </c>
      <c r="W955" t="str">
        <f t="shared" si="377"/>
        <v>Siempre</v>
      </c>
      <c r="X955">
        <v>1</v>
      </c>
      <c r="Y955" t="str">
        <f t="shared" si="378"/>
        <v>Controla</v>
      </c>
      <c r="Z955">
        <v>0.110887</v>
      </c>
      <c r="AA955">
        <f t="shared" si="379"/>
        <v>0</v>
      </c>
      <c r="AB955" t="str">
        <f t="shared" si="380"/>
        <v>Nunca</v>
      </c>
      <c r="AC955">
        <v>1165817</v>
      </c>
      <c r="AD955">
        <f t="shared" si="381"/>
        <v>2</v>
      </c>
      <c r="AE955" t="str">
        <f t="shared" si="382"/>
        <v>Siempre</v>
      </c>
      <c r="AF955">
        <v>0</v>
      </c>
      <c r="AG955" t="str">
        <f t="shared" si="383"/>
        <v>Nunca</v>
      </c>
      <c r="AH955">
        <v>0</v>
      </c>
      <c r="AI955" t="str">
        <f t="shared" si="384"/>
        <v>No usa</v>
      </c>
      <c r="AJ955">
        <v>0</v>
      </c>
      <c r="AK955" t="str">
        <f t="shared" si="385"/>
        <v>No usa</v>
      </c>
      <c r="AL955">
        <v>0</v>
      </c>
      <c r="AM955" t="str">
        <f t="shared" si="386"/>
        <v>No usa</v>
      </c>
      <c r="AN955">
        <v>1</v>
      </c>
      <c r="AO955" t="str">
        <f t="shared" si="387"/>
        <v>Usa Transporte</v>
      </c>
      <c r="AP955">
        <v>0</v>
      </c>
      <c r="AQ955" t="str">
        <f t="shared" si="388"/>
        <v>No camina</v>
      </c>
      <c r="AR955">
        <v>0</v>
      </c>
      <c r="AS955" t="str">
        <f t="shared" si="389"/>
        <v>No es obeso</v>
      </c>
    </row>
    <row r="956" spans="1:45" x14ac:dyDescent="0.25">
      <c r="A956">
        <v>0</v>
      </c>
      <c r="B956" t="str">
        <f t="shared" si="364"/>
        <v>F</v>
      </c>
      <c r="C956">
        <v>23252457</v>
      </c>
      <c r="D956">
        <f t="shared" si="365"/>
        <v>63</v>
      </c>
      <c r="E956">
        <f t="shared" si="366"/>
        <v>63</v>
      </c>
      <c r="F956" t="str">
        <f t="shared" si="367"/>
        <v>50-75</v>
      </c>
      <c r="G956">
        <v>0</v>
      </c>
      <c r="H956" t="str">
        <f t="shared" si="368"/>
        <v>Pariente normal</v>
      </c>
      <c r="I956">
        <v>1</v>
      </c>
      <c r="J956" t="str">
        <f t="shared" si="369"/>
        <v>Hipercaloricos</v>
      </c>
      <c r="K956">
        <v>2286146</v>
      </c>
      <c r="L956">
        <f t="shared" si="370"/>
        <v>1</v>
      </c>
      <c r="M956" t="str">
        <f t="shared" si="371"/>
        <v>Suele comer</v>
      </c>
      <c r="N956">
        <v>2961113</v>
      </c>
      <c r="O956">
        <f t="shared" si="372"/>
        <v>2</v>
      </c>
      <c r="P956" t="str">
        <f t="shared" si="373"/>
        <v>Mas de 3</v>
      </c>
      <c r="Q956">
        <v>1</v>
      </c>
      <c r="R956" t="str">
        <f t="shared" si="374"/>
        <v>A veces</v>
      </c>
      <c r="S956">
        <v>0</v>
      </c>
      <c r="T956" t="str">
        <f t="shared" si="375"/>
        <v>No fuma</v>
      </c>
      <c r="U956">
        <v>2657303</v>
      </c>
      <c r="V956">
        <f t="shared" si="376"/>
        <v>2</v>
      </c>
      <c r="W956" t="str">
        <f t="shared" si="377"/>
        <v>Siempre</v>
      </c>
      <c r="X956">
        <v>0</v>
      </c>
      <c r="Y956" t="str">
        <f t="shared" si="378"/>
        <v>No controla</v>
      </c>
      <c r="Z956">
        <v>191108</v>
      </c>
      <c r="AA956">
        <f t="shared" si="379"/>
        <v>2</v>
      </c>
      <c r="AB956" t="str">
        <f t="shared" si="380"/>
        <v>Usualmente</v>
      </c>
      <c r="AC956">
        <v>1618227</v>
      </c>
      <c r="AD956">
        <f t="shared" si="381"/>
        <v>2</v>
      </c>
      <c r="AE956" t="str">
        <f t="shared" si="382"/>
        <v>Siempre</v>
      </c>
      <c r="AF956">
        <v>1</v>
      </c>
      <c r="AG956" t="str">
        <f t="shared" si="383"/>
        <v>A veces</v>
      </c>
      <c r="AH956">
        <v>0</v>
      </c>
      <c r="AI956" t="str">
        <f t="shared" si="384"/>
        <v>No usa</v>
      </c>
      <c r="AJ956">
        <v>0</v>
      </c>
      <c r="AK956" t="str">
        <f t="shared" si="385"/>
        <v>No usa</v>
      </c>
      <c r="AL956">
        <v>0</v>
      </c>
      <c r="AM956" t="str">
        <f t="shared" si="386"/>
        <v>No usa</v>
      </c>
      <c r="AN956">
        <v>1</v>
      </c>
      <c r="AO956" t="str">
        <f t="shared" si="387"/>
        <v>Usa Transporte</v>
      </c>
      <c r="AP956">
        <v>0</v>
      </c>
      <c r="AQ956" t="str">
        <f t="shared" si="388"/>
        <v>No camina</v>
      </c>
      <c r="AR956">
        <v>0</v>
      </c>
      <c r="AS956" t="str">
        <f t="shared" si="389"/>
        <v>No es obeso</v>
      </c>
    </row>
    <row r="957" spans="1:45" x14ac:dyDescent="0.25">
      <c r="A957">
        <v>0</v>
      </c>
      <c r="B957" t="str">
        <f t="shared" si="364"/>
        <v>F</v>
      </c>
      <c r="C957">
        <v>34772902</v>
      </c>
      <c r="D957">
        <f t="shared" si="365"/>
        <v>95</v>
      </c>
      <c r="E957">
        <f t="shared" si="366"/>
        <v>95</v>
      </c>
      <c r="F957" t="str">
        <f t="shared" si="367"/>
        <v>75-100</v>
      </c>
      <c r="G957">
        <v>1</v>
      </c>
      <c r="H957" t="str">
        <f t="shared" si="368"/>
        <v>Pariente gordo</v>
      </c>
      <c r="I957">
        <v>1</v>
      </c>
      <c r="J957" t="str">
        <f t="shared" si="369"/>
        <v>Hipercaloricos</v>
      </c>
      <c r="K957">
        <v>3</v>
      </c>
      <c r="L957">
        <f t="shared" si="370"/>
        <v>1</v>
      </c>
      <c r="M957" t="str">
        <f t="shared" si="371"/>
        <v>Suele comer</v>
      </c>
      <c r="N957">
        <v>2400943</v>
      </c>
      <c r="O957">
        <f t="shared" si="372"/>
        <v>2</v>
      </c>
      <c r="P957" t="str">
        <f t="shared" si="373"/>
        <v>Mas de 3</v>
      </c>
      <c r="Q957">
        <v>1</v>
      </c>
      <c r="R957" t="str">
        <f t="shared" si="374"/>
        <v>A veces</v>
      </c>
      <c r="S957">
        <v>0</v>
      </c>
      <c r="T957" t="str">
        <f t="shared" si="375"/>
        <v>No fuma</v>
      </c>
      <c r="U957">
        <v>1509734</v>
      </c>
      <c r="V957">
        <f t="shared" si="376"/>
        <v>2</v>
      </c>
      <c r="W957" t="str">
        <f t="shared" si="377"/>
        <v>Siempre</v>
      </c>
      <c r="X957">
        <v>0</v>
      </c>
      <c r="Y957" t="str">
        <f t="shared" si="378"/>
        <v>No controla</v>
      </c>
      <c r="Z957">
        <v>0.167125</v>
      </c>
      <c r="AA957">
        <f t="shared" si="379"/>
        <v>0</v>
      </c>
      <c r="AB957" t="str">
        <f t="shared" si="380"/>
        <v>Nunca</v>
      </c>
      <c r="AC957">
        <v>0</v>
      </c>
      <c r="AD957">
        <f t="shared" si="381"/>
        <v>0</v>
      </c>
      <c r="AE957" t="str">
        <f t="shared" si="382"/>
        <v>Nunca</v>
      </c>
      <c r="AF957">
        <v>1</v>
      </c>
      <c r="AG957" t="str">
        <f t="shared" si="383"/>
        <v>A veces</v>
      </c>
      <c r="AH957">
        <v>1</v>
      </c>
      <c r="AI957" t="str">
        <f t="shared" si="384"/>
        <v>Usa auto</v>
      </c>
      <c r="AJ957">
        <v>0</v>
      </c>
      <c r="AK957" t="str">
        <f t="shared" si="385"/>
        <v>No usa</v>
      </c>
      <c r="AL957">
        <v>0</v>
      </c>
      <c r="AM957" t="str">
        <f t="shared" si="386"/>
        <v>No usa</v>
      </c>
      <c r="AN957">
        <v>0</v>
      </c>
      <c r="AO957" t="str">
        <f t="shared" si="387"/>
        <v>No usa</v>
      </c>
      <c r="AP957">
        <v>0</v>
      </c>
      <c r="AQ957" t="str">
        <f t="shared" si="388"/>
        <v>No camina</v>
      </c>
      <c r="AR957">
        <v>0</v>
      </c>
      <c r="AS957" t="str">
        <f t="shared" si="389"/>
        <v>No es obeso</v>
      </c>
    </row>
    <row r="958" spans="1:45" x14ac:dyDescent="0.25">
      <c r="A958">
        <v>1</v>
      </c>
      <c r="B958" t="str">
        <f t="shared" si="364"/>
        <v>M</v>
      </c>
      <c r="C958">
        <v>22766227</v>
      </c>
      <c r="D958">
        <f t="shared" si="365"/>
        <v>62</v>
      </c>
      <c r="E958">
        <f t="shared" si="366"/>
        <v>62</v>
      </c>
      <c r="F958" t="str">
        <f t="shared" si="367"/>
        <v>50-75</v>
      </c>
      <c r="G958">
        <v>1</v>
      </c>
      <c r="H958" t="str">
        <f t="shared" si="368"/>
        <v>Pariente gordo</v>
      </c>
      <c r="I958">
        <v>1</v>
      </c>
      <c r="J958" t="str">
        <f t="shared" si="369"/>
        <v>Hipercaloricos</v>
      </c>
      <c r="K958">
        <v>2</v>
      </c>
      <c r="L958">
        <f t="shared" si="370"/>
        <v>1</v>
      </c>
      <c r="M958" t="str">
        <f t="shared" si="371"/>
        <v>Suele comer</v>
      </c>
      <c r="N958">
        <v>2870005</v>
      </c>
      <c r="O958">
        <f t="shared" si="372"/>
        <v>2</v>
      </c>
      <c r="P958" t="str">
        <f t="shared" si="373"/>
        <v>Mas de 3</v>
      </c>
      <c r="Q958">
        <v>1</v>
      </c>
      <c r="R958" t="str">
        <f t="shared" si="374"/>
        <v>A veces</v>
      </c>
      <c r="S958">
        <v>0</v>
      </c>
      <c r="T958" t="str">
        <f t="shared" si="375"/>
        <v>No fuma</v>
      </c>
      <c r="U958">
        <v>115031</v>
      </c>
      <c r="V958">
        <f t="shared" si="376"/>
        <v>2</v>
      </c>
      <c r="W958" t="str">
        <f t="shared" si="377"/>
        <v>Siempre</v>
      </c>
      <c r="X958">
        <v>0</v>
      </c>
      <c r="Y958" t="str">
        <f t="shared" si="378"/>
        <v>No controla</v>
      </c>
      <c r="Z958">
        <v>0.41772399999999998</v>
      </c>
      <c r="AA958">
        <f t="shared" si="379"/>
        <v>0</v>
      </c>
      <c r="AB958" t="str">
        <f t="shared" si="380"/>
        <v>Nunca</v>
      </c>
      <c r="AC958">
        <v>1</v>
      </c>
      <c r="AD958">
        <f t="shared" si="381"/>
        <v>1</v>
      </c>
      <c r="AE958" t="str">
        <f t="shared" si="382"/>
        <v>Usualmente</v>
      </c>
      <c r="AF958">
        <v>1</v>
      </c>
      <c r="AG958" t="str">
        <f t="shared" si="383"/>
        <v>A veces</v>
      </c>
      <c r="AH958">
        <v>1</v>
      </c>
      <c r="AI958" t="str">
        <f t="shared" si="384"/>
        <v>Usa auto</v>
      </c>
      <c r="AJ958">
        <v>0</v>
      </c>
      <c r="AK958" t="str">
        <f t="shared" si="385"/>
        <v>No usa</v>
      </c>
      <c r="AL958">
        <v>0</v>
      </c>
      <c r="AM958" t="str">
        <f t="shared" si="386"/>
        <v>No usa</v>
      </c>
      <c r="AN958">
        <v>0</v>
      </c>
      <c r="AO958" t="str">
        <f t="shared" si="387"/>
        <v>No usa</v>
      </c>
      <c r="AP958">
        <v>0</v>
      </c>
      <c r="AQ958" t="str">
        <f t="shared" si="388"/>
        <v>No camina</v>
      </c>
      <c r="AR958">
        <v>0</v>
      </c>
      <c r="AS958" t="str">
        <f t="shared" si="389"/>
        <v>No es obeso</v>
      </c>
    </row>
    <row r="959" spans="1:45" x14ac:dyDescent="0.25">
      <c r="A959">
        <v>0</v>
      </c>
      <c r="B959" t="str">
        <f t="shared" si="364"/>
        <v>F</v>
      </c>
      <c r="C959">
        <v>39214514</v>
      </c>
      <c r="D959">
        <f t="shared" si="365"/>
        <v>107</v>
      </c>
      <c r="E959">
        <f t="shared" si="366"/>
        <v>100</v>
      </c>
      <c r="F959" t="str">
        <f t="shared" si="367"/>
        <v>75-100</v>
      </c>
      <c r="G959">
        <v>1</v>
      </c>
      <c r="H959" t="str">
        <f t="shared" si="368"/>
        <v>Pariente gordo</v>
      </c>
      <c r="I959">
        <v>1</v>
      </c>
      <c r="J959" t="str">
        <f t="shared" si="369"/>
        <v>Hipercaloricos</v>
      </c>
      <c r="K959">
        <v>2487167</v>
      </c>
      <c r="L959">
        <f t="shared" si="370"/>
        <v>1</v>
      </c>
      <c r="M959" t="str">
        <f t="shared" si="371"/>
        <v>Suele comer</v>
      </c>
      <c r="N959">
        <v>3</v>
      </c>
      <c r="O959">
        <f t="shared" si="372"/>
        <v>2</v>
      </c>
      <c r="P959" t="str">
        <f t="shared" si="373"/>
        <v>Mas de 3</v>
      </c>
      <c r="Q959">
        <v>1</v>
      </c>
      <c r="R959" t="str">
        <f t="shared" si="374"/>
        <v>A veces</v>
      </c>
      <c r="S959">
        <v>0</v>
      </c>
      <c r="T959" t="str">
        <f t="shared" si="375"/>
        <v>No fuma</v>
      </c>
      <c r="U959">
        <v>2396977</v>
      </c>
      <c r="V959">
        <f t="shared" si="376"/>
        <v>2</v>
      </c>
      <c r="W959" t="str">
        <f t="shared" si="377"/>
        <v>Siempre</v>
      </c>
      <c r="X959">
        <v>0</v>
      </c>
      <c r="Y959" t="str">
        <f t="shared" si="378"/>
        <v>No controla</v>
      </c>
      <c r="Z959">
        <v>0.57706299999999999</v>
      </c>
      <c r="AA959">
        <f t="shared" si="379"/>
        <v>0</v>
      </c>
      <c r="AB959" t="str">
        <f t="shared" si="380"/>
        <v>Nunca</v>
      </c>
      <c r="AC959">
        <v>0.43507200000000001</v>
      </c>
      <c r="AD959">
        <f t="shared" si="381"/>
        <v>0</v>
      </c>
      <c r="AE959" t="str">
        <f t="shared" si="382"/>
        <v>Nunca</v>
      </c>
      <c r="AF959">
        <v>1</v>
      </c>
      <c r="AG959" t="str">
        <f t="shared" si="383"/>
        <v>A veces</v>
      </c>
      <c r="AH959">
        <v>1</v>
      </c>
      <c r="AI959" t="str">
        <f t="shared" si="384"/>
        <v>Usa auto</v>
      </c>
      <c r="AJ959">
        <v>0</v>
      </c>
      <c r="AK959" t="str">
        <f t="shared" si="385"/>
        <v>No usa</v>
      </c>
      <c r="AL959">
        <v>0</v>
      </c>
      <c r="AM959" t="str">
        <f t="shared" si="386"/>
        <v>No usa</v>
      </c>
      <c r="AN959">
        <v>0</v>
      </c>
      <c r="AO959" t="str">
        <f t="shared" si="387"/>
        <v>No usa</v>
      </c>
      <c r="AP959">
        <v>0</v>
      </c>
      <c r="AQ959" t="str">
        <f t="shared" si="388"/>
        <v>No camina</v>
      </c>
      <c r="AR959">
        <v>0</v>
      </c>
      <c r="AS959" t="str">
        <f t="shared" si="389"/>
        <v>No es obeso</v>
      </c>
    </row>
    <row r="960" spans="1:45" x14ac:dyDescent="0.25">
      <c r="A960">
        <v>1</v>
      </c>
      <c r="B960" t="str">
        <f t="shared" si="364"/>
        <v>M</v>
      </c>
      <c r="C960">
        <v>19858973</v>
      </c>
      <c r="D960">
        <f t="shared" si="365"/>
        <v>54</v>
      </c>
      <c r="E960">
        <f t="shared" si="366"/>
        <v>54</v>
      </c>
      <c r="F960" t="str">
        <f t="shared" si="367"/>
        <v>50-75</v>
      </c>
      <c r="G960">
        <v>0</v>
      </c>
      <c r="H960" t="str">
        <f t="shared" si="368"/>
        <v>Pariente normal</v>
      </c>
      <c r="I960">
        <v>1</v>
      </c>
      <c r="J960" t="str">
        <f t="shared" si="369"/>
        <v>Hipercaloricos</v>
      </c>
      <c r="K960">
        <v>2185938</v>
      </c>
      <c r="L960">
        <f t="shared" si="370"/>
        <v>1</v>
      </c>
      <c r="M960" t="str">
        <f t="shared" si="371"/>
        <v>Suele comer</v>
      </c>
      <c r="N960">
        <v>1</v>
      </c>
      <c r="O960">
        <f t="shared" si="372"/>
        <v>1</v>
      </c>
      <c r="P960">
        <f t="shared" si="373"/>
        <v>3</v>
      </c>
      <c r="Q960">
        <v>0</v>
      </c>
      <c r="R960" t="str">
        <f t="shared" si="374"/>
        <v>Nunca</v>
      </c>
      <c r="S960">
        <v>0</v>
      </c>
      <c r="T960" t="str">
        <f t="shared" si="375"/>
        <v>No fuma</v>
      </c>
      <c r="U960">
        <v>281353</v>
      </c>
      <c r="V960">
        <f t="shared" si="376"/>
        <v>2</v>
      </c>
      <c r="W960" t="str">
        <f t="shared" si="377"/>
        <v>Siempre</v>
      </c>
      <c r="X960">
        <v>0</v>
      </c>
      <c r="Y960" t="str">
        <f t="shared" si="378"/>
        <v>No controla</v>
      </c>
      <c r="Z960">
        <v>1</v>
      </c>
      <c r="AA960">
        <f t="shared" si="379"/>
        <v>1</v>
      </c>
      <c r="AB960" t="str">
        <f t="shared" si="380"/>
        <v>A veces</v>
      </c>
      <c r="AC960">
        <v>1110222</v>
      </c>
      <c r="AD960">
        <f t="shared" si="381"/>
        <v>2</v>
      </c>
      <c r="AE960" t="str">
        <f t="shared" si="382"/>
        <v>Siempre</v>
      </c>
      <c r="AF960">
        <v>1</v>
      </c>
      <c r="AG960" t="str">
        <f t="shared" si="383"/>
        <v>A veces</v>
      </c>
      <c r="AH960">
        <v>0</v>
      </c>
      <c r="AI960" t="str">
        <f t="shared" si="384"/>
        <v>No usa</v>
      </c>
      <c r="AJ960">
        <v>0</v>
      </c>
      <c r="AK960" t="str">
        <f t="shared" si="385"/>
        <v>No usa</v>
      </c>
      <c r="AL960">
        <v>0</v>
      </c>
      <c r="AM960" t="str">
        <f t="shared" si="386"/>
        <v>No usa</v>
      </c>
      <c r="AN960">
        <v>1</v>
      </c>
      <c r="AO960" t="str">
        <f t="shared" si="387"/>
        <v>Usa Transporte</v>
      </c>
      <c r="AP960">
        <v>0</v>
      </c>
      <c r="AQ960" t="str">
        <f t="shared" si="388"/>
        <v>No camina</v>
      </c>
      <c r="AR960">
        <v>0</v>
      </c>
      <c r="AS960" t="str">
        <f t="shared" si="389"/>
        <v>No es obeso</v>
      </c>
    </row>
    <row r="961" spans="1:45" x14ac:dyDescent="0.25">
      <c r="A961">
        <v>0</v>
      </c>
      <c r="B961" t="str">
        <f t="shared" si="364"/>
        <v>F</v>
      </c>
      <c r="C961">
        <v>16370009</v>
      </c>
      <c r="D961">
        <f t="shared" si="365"/>
        <v>44</v>
      </c>
      <c r="E961">
        <f t="shared" si="366"/>
        <v>44</v>
      </c>
      <c r="F961" t="str">
        <f t="shared" si="367"/>
        <v>25-50</v>
      </c>
      <c r="G961">
        <v>1</v>
      </c>
      <c r="H961" t="str">
        <f t="shared" si="368"/>
        <v>Pariente gordo</v>
      </c>
      <c r="I961">
        <v>1</v>
      </c>
      <c r="J961" t="str">
        <f t="shared" si="369"/>
        <v>Hipercaloricos</v>
      </c>
      <c r="K961">
        <v>2206399</v>
      </c>
      <c r="L961">
        <f t="shared" si="370"/>
        <v>1</v>
      </c>
      <c r="M961" t="str">
        <f t="shared" si="371"/>
        <v>Suele comer</v>
      </c>
      <c r="N961">
        <v>1</v>
      </c>
      <c r="O961">
        <f t="shared" si="372"/>
        <v>1</v>
      </c>
      <c r="P961">
        <f t="shared" si="373"/>
        <v>3</v>
      </c>
      <c r="Q961">
        <v>1</v>
      </c>
      <c r="R961" t="str">
        <f t="shared" si="374"/>
        <v>A veces</v>
      </c>
      <c r="S961">
        <v>0</v>
      </c>
      <c r="T961" t="str">
        <f t="shared" si="375"/>
        <v>No fuma</v>
      </c>
      <c r="U961">
        <v>2</v>
      </c>
      <c r="V961">
        <f t="shared" si="376"/>
        <v>2</v>
      </c>
      <c r="W961" t="str">
        <f t="shared" si="377"/>
        <v>Siempre</v>
      </c>
      <c r="X961">
        <v>1</v>
      </c>
      <c r="Y961" t="str">
        <f t="shared" si="378"/>
        <v>Controla</v>
      </c>
      <c r="Z961">
        <v>0.94893000000000005</v>
      </c>
      <c r="AA961">
        <f t="shared" si="379"/>
        <v>0</v>
      </c>
      <c r="AB961" t="str">
        <f t="shared" si="380"/>
        <v>Nunca</v>
      </c>
      <c r="AC961">
        <v>1772463</v>
      </c>
      <c r="AD961">
        <f t="shared" si="381"/>
        <v>2</v>
      </c>
      <c r="AE961" t="str">
        <f t="shared" si="382"/>
        <v>Siempre</v>
      </c>
      <c r="AF961">
        <v>0</v>
      </c>
      <c r="AG961" t="str">
        <f t="shared" si="383"/>
        <v>Nunca</v>
      </c>
      <c r="AH961">
        <v>0</v>
      </c>
      <c r="AI961" t="str">
        <f t="shared" si="384"/>
        <v>No usa</v>
      </c>
      <c r="AJ961">
        <v>0</v>
      </c>
      <c r="AK961" t="str">
        <f t="shared" si="385"/>
        <v>No usa</v>
      </c>
      <c r="AL961">
        <v>0</v>
      </c>
      <c r="AM961" t="str">
        <f t="shared" si="386"/>
        <v>No usa</v>
      </c>
      <c r="AN961">
        <v>1</v>
      </c>
      <c r="AO961" t="str">
        <f t="shared" si="387"/>
        <v>Usa Transporte</v>
      </c>
      <c r="AP961">
        <v>0</v>
      </c>
      <c r="AQ961" t="str">
        <f t="shared" si="388"/>
        <v>No camina</v>
      </c>
      <c r="AR961">
        <v>0</v>
      </c>
      <c r="AS961" t="str">
        <f t="shared" si="389"/>
        <v>No es obeso</v>
      </c>
    </row>
    <row r="962" spans="1:45" x14ac:dyDescent="0.25">
      <c r="A962">
        <v>0</v>
      </c>
      <c r="B962" t="str">
        <f t="shared" si="364"/>
        <v>F</v>
      </c>
      <c r="C962">
        <v>17992717</v>
      </c>
      <c r="D962">
        <f t="shared" si="365"/>
        <v>49</v>
      </c>
      <c r="E962">
        <f t="shared" si="366"/>
        <v>49</v>
      </c>
      <c r="F962" t="str">
        <f t="shared" si="367"/>
        <v>25-50</v>
      </c>
      <c r="G962">
        <v>1</v>
      </c>
      <c r="H962" t="str">
        <f t="shared" si="368"/>
        <v>Pariente gordo</v>
      </c>
      <c r="I962">
        <v>1</v>
      </c>
      <c r="J962" t="str">
        <f t="shared" si="369"/>
        <v>Hipercaloricos</v>
      </c>
      <c r="K962">
        <v>1952987</v>
      </c>
      <c r="L962">
        <f t="shared" si="370"/>
        <v>1</v>
      </c>
      <c r="M962" t="str">
        <f t="shared" si="371"/>
        <v>Suele comer</v>
      </c>
      <c r="N962">
        <v>1</v>
      </c>
      <c r="O962">
        <f t="shared" si="372"/>
        <v>1</v>
      </c>
      <c r="P962">
        <f t="shared" si="373"/>
        <v>3</v>
      </c>
      <c r="Q962">
        <v>1</v>
      </c>
      <c r="R962" t="str">
        <f t="shared" si="374"/>
        <v>A veces</v>
      </c>
      <c r="S962">
        <v>0</v>
      </c>
      <c r="T962" t="str">
        <f t="shared" si="375"/>
        <v>No fuma</v>
      </c>
      <c r="U962">
        <v>1334856</v>
      </c>
      <c r="V962">
        <f t="shared" si="376"/>
        <v>2</v>
      </c>
      <c r="W962" t="str">
        <f t="shared" si="377"/>
        <v>Siempre</v>
      </c>
      <c r="X962">
        <v>1</v>
      </c>
      <c r="Y962" t="str">
        <f t="shared" si="378"/>
        <v>Controla</v>
      </c>
      <c r="Z962">
        <v>0.73227600000000004</v>
      </c>
      <c r="AA962">
        <f t="shared" si="379"/>
        <v>0</v>
      </c>
      <c r="AB962" t="str">
        <f t="shared" si="380"/>
        <v>Nunca</v>
      </c>
      <c r="AC962">
        <v>1890214</v>
      </c>
      <c r="AD962">
        <f t="shared" si="381"/>
        <v>2</v>
      </c>
      <c r="AE962" t="str">
        <f t="shared" si="382"/>
        <v>Siempre</v>
      </c>
      <c r="AF962">
        <v>0</v>
      </c>
      <c r="AG962" t="str">
        <f t="shared" si="383"/>
        <v>Nunca</v>
      </c>
      <c r="AH962">
        <v>0</v>
      </c>
      <c r="AI962" t="str">
        <f t="shared" si="384"/>
        <v>No usa</v>
      </c>
      <c r="AJ962">
        <v>0</v>
      </c>
      <c r="AK962" t="str">
        <f t="shared" si="385"/>
        <v>No usa</v>
      </c>
      <c r="AL962">
        <v>0</v>
      </c>
      <c r="AM962" t="str">
        <f t="shared" si="386"/>
        <v>No usa</v>
      </c>
      <c r="AN962">
        <v>1</v>
      </c>
      <c r="AO962" t="str">
        <f t="shared" si="387"/>
        <v>Usa Transporte</v>
      </c>
      <c r="AP962">
        <v>0</v>
      </c>
      <c r="AQ962" t="str">
        <f t="shared" si="388"/>
        <v>No camina</v>
      </c>
      <c r="AR962">
        <v>0</v>
      </c>
      <c r="AS962" t="str">
        <f t="shared" si="389"/>
        <v>No es obeso</v>
      </c>
    </row>
    <row r="963" spans="1:45" x14ac:dyDescent="0.25">
      <c r="A963">
        <v>1</v>
      </c>
      <c r="B963" t="str">
        <f t="shared" ref="B963:B1026" si="390">IF(A963=1,"M","F")</f>
        <v>M</v>
      </c>
      <c r="C963">
        <v>19179932</v>
      </c>
      <c r="D963">
        <f t="shared" ref="D963:D1026" si="391">IF(C963&lt;100,C963,ROUNDDOWN((C963/1000)/365,0))</f>
        <v>52</v>
      </c>
      <c r="E963">
        <f t="shared" ref="E963:E1026" si="392">IF(AND(D963&gt;1,D963&lt;=100),D963,IF(D963&gt;100,100,5))</f>
        <v>52</v>
      </c>
      <c r="F963" t="str">
        <f t="shared" ref="F963:F1026" si="393">IF(AND(E963&gt;=1,E963&lt;=25),"1-25",IF(AND(E963&gt;25,E963&lt;=50),"25-50",IF(AND(E963&gt;50,E963&lt;=75),"50-75","75-100")))</f>
        <v>50-75</v>
      </c>
      <c r="G963">
        <v>1</v>
      </c>
      <c r="H963" t="str">
        <f t="shared" ref="H963:H1026" si="394">IF(G963=1,"Pariente gordo","Pariente normal")</f>
        <v>Pariente gordo</v>
      </c>
      <c r="I963">
        <v>1</v>
      </c>
      <c r="J963" t="str">
        <f t="shared" ref="J963:J1026" si="395">IF(I963=1,"Hipercaloricos","Saludables")</f>
        <v>Hipercaloricos</v>
      </c>
      <c r="K963">
        <v>2</v>
      </c>
      <c r="L963">
        <f t="shared" ref="L963:L1026" si="396">IF(AND(K963&gt;=1,K963&lt;=3),1,IF(AND(K963&gt;3,K963&lt;3000000),1))</f>
        <v>1</v>
      </c>
      <c r="M963" t="str">
        <f t="shared" ref="M963:M1026" si="397">IF(L963=1,"Suele comer","No come")</f>
        <v>Suele comer</v>
      </c>
      <c r="N963">
        <v>1030416</v>
      </c>
      <c r="O963">
        <f t="shared" ref="O963:O1026" si="398">IF(N963=1,N963,IF(AND(N963&gt;=2,N963&lt;4000000),2))</f>
        <v>2</v>
      </c>
      <c r="P963" t="str">
        <f t="shared" ref="P963:P1026" si="399">IF(O963=0,"1-2",IF(O963=1,3,"Mas de 3"))</f>
        <v>Mas de 3</v>
      </c>
      <c r="Q963">
        <v>1</v>
      </c>
      <c r="R963" t="str">
        <f t="shared" ref="R963:R1026" si="400">IF(Q963=0,"Nunca",IF(Q963=1,"A veces",IF(Q963=2,"Usualmente","Siempre")))</f>
        <v>A veces</v>
      </c>
      <c r="S963">
        <v>0</v>
      </c>
      <c r="T963" t="str">
        <f t="shared" ref="T963:T1026" si="401">IF(S963=1,"Fuma","No fuma")</f>
        <v>No fuma</v>
      </c>
      <c r="U963">
        <v>2118716</v>
      </c>
      <c r="V963">
        <f t="shared" ref="V963:V1026" si="402">IF(U963=1,U963,IF(U963=2,U963,IF(AND(U963&gt;=3,U963&lt;3000000),2)))</f>
        <v>2</v>
      </c>
      <c r="W963" t="str">
        <f t="shared" ref="W963:W1026" si="403">IF(V963=0,"Nunca",IF(V963=1,"Usualmente","Siempre"))</f>
        <v>Siempre</v>
      </c>
      <c r="X963">
        <v>0</v>
      </c>
      <c r="Y963" t="str">
        <f t="shared" ref="Y963:Y1026" si="404">IF(X963=1,"Controla","No controla")</f>
        <v>No controla</v>
      </c>
      <c r="Z963">
        <v>0.52925900000000003</v>
      </c>
      <c r="AA963">
        <f t="shared" ref="AA963:AA1026" si="405">IF(Z963=0,Z963,IF(Z963=1,Z963,IF(Z963=2,Z963,IF(Z963=3,Z963,IF(AND(Z963&gt;3,Z963&lt;300000),2,IF(AND(Z963&gt;300000,Z963&lt;3000000),3,IF(AND(Z963&gt;0,Z963&lt;1),0)))))))</f>
        <v>0</v>
      </c>
      <c r="AB963" t="str">
        <f t="shared" ref="AB963:AB1026" si="406">IF(AA963=0,"Nunca",IF(AA963=1,"A veces",IF(AA963=2,"Usualmente","Siempre")))</f>
        <v>Nunca</v>
      </c>
      <c r="AC963">
        <v>0</v>
      </c>
      <c r="AD963">
        <f t="shared" ref="AD963:AD1026" si="407">IF(AC963= 0,AC963,IF(AC963=1,AC963,IF(AC963=2,AC963,IF(AND(AC963&gt;2,AC963&lt;200000),1,IF(AND(AC963&gt;200000,AC963&lt;2000000),2,IF(AND(AC963&gt;0,AC963&lt;1),0))))))</f>
        <v>0</v>
      </c>
      <c r="AE963" t="str">
        <f t="shared" ref="AE963:AE1026" si="408">IF(AD963=0,"Nunca",IF(AD963=1,"Usualmente","Siempre"))</f>
        <v>Nunca</v>
      </c>
      <c r="AF963">
        <v>0</v>
      </c>
      <c r="AG963" t="str">
        <f t="shared" ref="AG963:AG1026" si="409">IF(AF963=0,"Nunca",IF(AF963=1,"A veces",IF(AF963=2,"Usualmente","Siempre")))</f>
        <v>Nunca</v>
      </c>
      <c r="AH963">
        <v>0</v>
      </c>
      <c r="AI963" t="str">
        <f t="shared" ref="AI963:AI1026" si="410">IF(AH963=1,"Usa auto","No usa")</f>
        <v>No usa</v>
      </c>
      <c r="AJ963">
        <v>0</v>
      </c>
      <c r="AK963" t="str">
        <f t="shared" ref="AK963:AK1026" si="411">IF(AJ963=1,"Usa Bici","No usa")</f>
        <v>No usa</v>
      </c>
      <c r="AL963">
        <v>0</v>
      </c>
      <c r="AM963" t="str">
        <f t="shared" ref="AM963:AM1026" si="412">IF(AL963=1,"Usa Moto","No usa")</f>
        <v>No usa</v>
      </c>
      <c r="AN963">
        <v>1</v>
      </c>
      <c r="AO963" t="str">
        <f t="shared" ref="AO963:AO1026" si="413">IF(AN963=1,"Usa Transporte","No usa")</f>
        <v>Usa Transporte</v>
      </c>
      <c r="AP963">
        <v>0</v>
      </c>
      <c r="AQ963" t="str">
        <f t="shared" ref="AQ963:AQ1026" si="414">IF(AP963=1,"Camina","No camina")</f>
        <v>No camina</v>
      </c>
      <c r="AR963">
        <v>0</v>
      </c>
      <c r="AS963" t="str">
        <f t="shared" ref="AS963:AS1026" si="415">IF(AR963=1,"Es Obeso","No es obeso")</f>
        <v>No es obeso</v>
      </c>
    </row>
    <row r="964" spans="1:45" x14ac:dyDescent="0.25">
      <c r="A964">
        <v>0</v>
      </c>
      <c r="B964" t="str">
        <f t="shared" si="390"/>
        <v>F</v>
      </c>
      <c r="C964">
        <v>19621545</v>
      </c>
      <c r="D964">
        <f t="shared" si="391"/>
        <v>53</v>
      </c>
      <c r="E964">
        <f t="shared" si="392"/>
        <v>53</v>
      </c>
      <c r="F964" t="str">
        <f t="shared" si="393"/>
        <v>50-75</v>
      </c>
      <c r="G964">
        <v>0</v>
      </c>
      <c r="H964" t="str">
        <f t="shared" si="394"/>
        <v>Pariente normal</v>
      </c>
      <c r="I964">
        <v>1</v>
      </c>
      <c r="J964" t="str">
        <f t="shared" si="395"/>
        <v>Hipercaloricos</v>
      </c>
      <c r="K964">
        <v>2908757</v>
      </c>
      <c r="L964">
        <f t="shared" si="396"/>
        <v>1</v>
      </c>
      <c r="M964" t="str">
        <f t="shared" si="397"/>
        <v>Suele comer</v>
      </c>
      <c r="N964">
        <v>2696051</v>
      </c>
      <c r="O964">
        <f t="shared" si="398"/>
        <v>2</v>
      </c>
      <c r="P964" t="str">
        <f t="shared" si="399"/>
        <v>Mas de 3</v>
      </c>
      <c r="Q964">
        <v>1</v>
      </c>
      <c r="R964" t="str">
        <f t="shared" si="400"/>
        <v>A veces</v>
      </c>
      <c r="S964">
        <v>0</v>
      </c>
      <c r="T964" t="str">
        <f t="shared" si="401"/>
        <v>No fuma</v>
      </c>
      <c r="U964">
        <v>1622827</v>
      </c>
      <c r="V964">
        <f t="shared" si="402"/>
        <v>2</v>
      </c>
      <c r="W964" t="str">
        <f t="shared" si="403"/>
        <v>Siempre</v>
      </c>
      <c r="X964">
        <v>1</v>
      </c>
      <c r="Y964" t="str">
        <f t="shared" si="404"/>
        <v>Controla</v>
      </c>
      <c r="Z964">
        <v>0.53995199999999999</v>
      </c>
      <c r="AA964">
        <f t="shared" si="405"/>
        <v>0</v>
      </c>
      <c r="AB964" t="str">
        <f t="shared" si="406"/>
        <v>Nunca</v>
      </c>
      <c r="AC964">
        <v>1.096E-3</v>
      </c>
      <c r="AD964">
        <f t="shared" si="407"/>
        <v>0</v>
      </c>
      <c r="AE964" t="str">
        <f t="shared" si="408"/>
        <v>Nunca</v>
      </c>
      <c r="AF964">
        <v>1</v>
      </c>
      <c r="AG964" t="str">
        <f t="shared" si="409"/>
        <v>A veces</v>
      </c>
      <c r="AH964">
        <v>0</v>
      </c>
      <c r="AI964" t="str">
        <f t="shared" si="410"/>
        <v>No usa</v>
      </c>
      <c r="AJ964">
        <v>0</v>
      </c>
      <c r="AK964" t="str">
        <f t="shared" si="411"/>
        <v>No usa</v>
      </c>
      <c r="AL964">
        <v>0</v>
      </c>
      <c r="AM964" t="str">
        <f t="shared" si="412"/>
        <v>No usa</v>
      </c>
      <c r="AN964">
        <v>1</v>
      </c>
      <c r="AO964" t="str">
        <f t="shared" si="413"/>
        <v>Usa Transporte</v>
      </c>
      <c r="AP964">
        <v>0</v>
      </c>
      <c r="AQ964" t="str">
        <f t="shared" si="414"/>
        <v>No camina</v>
      </c>
      <c r="AR964">
        <v>0</v>
      </c>
      <c r="AS964" t="str">
        <f t="shared" si="415"/>
        <v>No es obeso</v>
      </c>
    </row>
    <row r="965" spans="1:45" x14ac:dyDescent="0.25">
      <c r="A965">
        <v>0</v>
      </c>
      <c r="B965" t="str">
        <f t="shared" si="390"/>
        <v>F</v>
      </c>
      <c r="C965">
        <v>19755797</v>
      </c>
      <c r="D965">
        <f t="shared" si="391"/>
        <v>54</v>
      </c>
      <c r="E965">
        <f t="shared" si="392"/>
        <v>54</v>
      </c>
      <c r="F965" t="str">
        <f t="shared" si="393"/>
        <v>50-75</v>
      </c>
      <c r="G965">
        <v>0</v>
      </c>
      <c r="H965" t="str">
        <f t="shared" si="394"/>
        <v>Pariente normal</v>
      </c>
      <c r="I965">
        <v>1</v>
      </c>
      <c r="J965" t="str">
        <f t="shared" si="395"/>
        <v>Hipercaloricos</v>
      </c>
      <c r="K965">
        <v>2628791</v>
      </c>
      <c r="L965">
        <f t="shared" si="396"/>
        <v>1</v>
      </c>
      <c r="M965" t="str">
        <f t="shared" si="397"/>
        <v>Suele comer</v>
      </c>
      <c r="N965">
        <v>2762883</v>
      </c>
      <c r="O965">
        <f t="shared" si="398"/>
        <v>2</v>
      </c>
      <c r="P965" t="str">
        <f t="shared" si="399"/>
        <v>Mas de 3</v>
      </c>
      <c r="Q965">
        <v>1</v>
      </c>
      <c r="R965" t="str">
        <f t="shared" si="400"/>
        <v>A veces</v>
      </c>
      <c r="S965">
        <v>0</v>
      </c>
      <c r="T965" t="str">
        <f t="shared" si="401"/>
        <v>No fuma</v>
      </c>
      <c r="U965">
        <v>1512035</v>
      </c>
      <c r="V965">
        <f t="shared" si="402"/>
        <v>2</v>
      </c>
      <c r="W965" t="str">
        <f t="shared" si="403"/>
        <v>Siempre</v>
      </c>
      <c r="X965">
        <v>1</v>
      </c>
      <c r="Y965" t="str">
        <f t="shared" si="404"/>
        <v>Controla</v>
      </c>
      <c r="Z965">
        <v>0.30372199999999999</v>
      </c>
      <c r="AA965">
        <f t="shared" si="405"/>
        <v>0</v>
      </c>
      <c r="AB965" t="str">
        <f t="shared" si="406"/>
        <v>Nunca</v>
      </c>
      <c r="AC965">
        <v>3.2290000000000001E-3</v>
      </c>
      <c r="AD965">
        <f t="shared" si="407"/>
        <v>0</v>
      </c>
      <c r="AE965" t="str">
        <f t="shared" si="408"/>
        <v>Nunca</v>
      </c>
      <c r="AF965">
        <v>1</v>
      </c>
      <c r="AG965" t="str">
        <f t="shared" si="409"/>
        <v>A veces</v>
      </c>
      <c r="AH965">
        <v>0</v>
      </c>
      <c r="AI965" t="str">
        <f t="shared" si="410"/>
        <v>No usa</v>
      </c>
      <c r="AJ965">
        <v>0</v>
      </c>
      <c r="AK965" t="str">
        <f t="shared" si="411"/>
        <v>No usa</v>
      </c>
      <c r="AL965">
        <v>0</v>
      </c>
      <c r="AM965" t="str">
        <f t="shared" si="412"/>
        <v>No usa</v>
      </c>
      <c r="AN965">
        <v>1</v>
      </c>
      <c r="AO965" t="str">
        <f t="shared" si="413"/>
        <v>Usa Transporte</v>
      </c>
      <c r="AP965">
        <v>0</v>
      </c>
      <c r="AQ965" t="str">
        <f t="shared" si="414"/>
        <v>No camina</v>
      </c>
      <c r="AR965">
        <v>0</v>
      </c>
      <c r="AS965" t="str">
        <f t="shared" si="415"/>
        <v>No es obeso</v>
      </c>
    </row>
    <row r="966" spans="1:45" x14ac:dyDescent="0.25">
      <c r="A966">
        <v>0</v>
      </c>
      <c r="B966" t="str">
        <f t="shared" si="390"/>
        <v>F</v>
      </c>
      <c r="C966">
        <v>17099015</v>
      </c>
      <c r="D966">
        <f t="shared" si="391"/>
        <v>46</v>
      </c>
      <c r="E966">
        <f t="shared" si="392"/>
        <v>46</v>
      </c>
      <c r="F966" t="str">
        <f t="shared" si="393"/>
        <v>25-50</v>
      </c>
      <c r="G966">
        <v>1</v>
      </c>
      <c r="H966" t="str">
        <f t="shared" si="394"/>
        <v>Pariente gordo</v>
      </c>
      <c r="I966">
        <v>1</v>
      </c>
      <c r="J966" t="str">
        <f t="shared" si="395"/>
        <v>Hipercaloricos</v>
      </c>
      <c r="K966">
        <v>3</v>
      </c>
      <c r="L966">
        <f t="shared" si="396"/>
        <v>1</v>
      </c>
      <c r="M966" t="str">
        <f t="shared" si="397"/>
        <v>Suele comer</v>
      </c>
      <c r="N966">
        <v>2401341</v>
      </c>
      <c r="O966">
        <f t="shared" si="398"/>
        <v>2</v>
      </c>
      <c r="P966" t="str">
        <f t="shared" si="399"/>
        <v>Mas de 3</v>
      </c>
      <c r="Q966">
        <v>1</v>
      </c>
      <c r="R966" t="str">
        <f t="shared" si="400"/>
        <v>A veces</v>
      </c>
      <c r="S966">
        <v>0</v>
      </c>
      <c r="T966" t="str">
        <f t="shared" si="401"/>
        <v>No fuma</v>
      </c>
      <c r="U966">
        <v>2</v>
      </c>
      <c r="V966">
        <f t="shared" si="402"/>
        <v>2</v>
      </c>
      <c r="W966" t="str">
        <f t="shared" si="403"/>
        <v>Siempre</v>
      </c>
      <c r="X966">
        <v>1</v>
      </c>
      <c r="Y966" t="str">
        <f t="shared" si="404"/>
        <v>Controla</v>
      </c>
      <c r="Z966">
        <v>0.66389600000000004</v>
      </c>
      <c r="AA966">
        <f t="shared" si="405"/>
        <v>0</v>
      </c>
      <c r="AB966" t="str">
        <f t="shared" si="406"/>
        <v>Nunca</v>
      </c>
      <c r="AC966">
        <v>1753745</v>
      </c>
      <c r="AD966">
        <f t="shared" si="407"/>
        <v>2</v>
      </c>
      <c r="AE966" t="str">
        <f t="shared" si="408"/>
        <v>Siempre</v>
      </c>
      <c r="AF966">
        <v>1</v>
      </c>
      <c r="AG966" t="str">
        <f t="shared" si="409"/>
        <v>A veces</v>
      </c>
      <c r="AH966">
        <v>0</v>
      </c>
      <c r="AI966" t="str">
        <f t="shared" si="410"/>
        <v>No usa</v>
      </c>
      <c r="AJ966">
        <v>0</v>
      </c>
      <c r="AK966" t="str">
        <f t="shared" si="411"/>
        <v>No usa</v>
      </c>
      <c r="AL966">
        <v>0</v>
      </c>
      <c r="AM966" t="str">
        <f t="shared" si="412"/>
        <v>No usa</v>
      </c>
      <c r="AN966">
        <v>1</v>
      </c>
      <c r="AO966" t="str">
        <f t="shared" si="413"/>
        <v>Usa Transporte</v>
      </c>
      <c r="AP966">
        <v>0</v>
      </c>
      <c r="AQ966" t="str">
        <f t="shared" si="414"/>
        <v>No camina</v>
      </c>
      <c r="AR966">
        <v>0</v>
      </c>
      <c r="AS966" t="str">
        <f t="shared" si="415"/>
        <v>No es obeso</v>
      </c>
    </row>
    <row r="967" spans="1:45" x14ac:dyDescent="0.25">
      <c r="A967">
        <v>0</v>
      </c>
      <c r="B967" t="str">
        <f t="shared" si="390"/>
        <v>F</v>
      </c>
      <c r="C967">
        <v>1725813</v>
      </c>
      <c r="D967">
        <f t="shared" si="391"/>
        <v>4</v>
      </c>
      <c r="E967">
        <f t="shared" si="392"/>
        <v>4</v>
      </c>
      <c r="F967" t="str">
        <f t="shared" si="393"/>
        <v>1-25</v>
      </c>
      <c r="G967">
        <v>1</v>
      </c>
      <c r="H967" t="str">
        <f t="shared" si="394"/>
        <v>Pariente gordo</v>
      </c>
      <c r="I967">
        <v>1</v>
      </c>
      <c r="J967" t="str">
        <f t="shared" si="395"/>
        <v>Hipercaloricos</v>
      </c>
      <c r="K967">
        <v>2749629</v>
      </c>
      <c r="L967">
        <f t="shared" si="396"/>
        <v>1</v>
      </c>
      <c r="M967" t="str">
        <f t="shared" si="397"/>
        <v>Suele comer</v>
      </c>
      <c r="N967">
        <v>2298612</v>
      </c>
      <c r="O967">
        <f t="shared" si="398"/>
        <v>2</v>
      </c>
      <c r="P967" t="str">
        <f t="shared" si="399"/>
        <v>Mas de 3</v>
      </c>
      <c r="Q967">
        <v>1</v>
      </c>
      <c r="R967" t="str">
        <f t="shared" si="400"/>
        <v>A veces</v>
      </c>
      <c r="S967">
        <v>0</v>
      </c>
      <c r="T967" t="str">
        <f t="shared" si="401"/>
        <v>No fuma</v>
      </c>
      <c r="U967">
        <v>2</v>
      </c>
      <c r="V967">
        <f t="shared" si="402"/>
        <v>2</v>
      </c>
      <c r="W967" t="str">
        <f t="shared" si="403"/>
        <v>Siempre</v>
      </c>
      <c r="X967">
        <v>1</v>
      </c>
      <c r="Y967" t="str">
        <f t="shared" si="404"/>
        <v>Controla</v>
      </c>
      <c r="Z967">
        <v>0.54751499999999997</v>
      </c>
      <c r="AA967">
        <f t="shared" si="405"/>
        <v>0</v>
      </c>
      <c r="AB967" t="str">
        <f t="shared" si="406"/>
        <v>Nunca</v>
      </c>
      <c r="AC967">
        <v>1619473</v>
      </c>
      <c r="AD967">
        <f t="shared" si="407"/>
        <v>2</v>
      </c>
      <c r="AE967" t="str">
        <f t="shared" si="408"/>
        <v>Siempre</v>
      </c>
      <c r="AF967">
        <v>1</v>
      </c>
      <c r="AG967" t="str">
        <f t="shared" si="409"/>
        <v>A veces</v>
      </c>
      <c r="AH967">
        <v>0</v>
      </c>
      <c r="AI967" t="str">
        <f t="shared" si="410"/>
        <v>No usa</v>
      </c>
      <c r="AJ967">
        <v>0</v>
      </c>
      <c r="AK967" t="str">
        <f t="shared" si="411"/>
        <v>No usa</v>
      </c>
      <c r="AL967">
        <v>0</v>
      </c>
      <c r="AM967" t="str">
        <f t="shared" si="412"/>
        <v>No usa</v>
      </c>
      <c r="AN967">
        <v>1</v>
      </c>
      <c r="AO967" t="str">
        <f t="shared" si="413"/>
        <v>Usa Transporte</v>
      </c>
      <c r="AP967">
        <v>0</v>
      </c>
      <c r="AQ967" t="str">
        <f t="shared" si="414"/>
        <v>No camina</v>
      </c>
      <c r="AR967">
        <v>0</v>
      </c>
      <c r="AS967" t="str">
        <f t="shared" si="415"/>
        <v>No es obeso</v>
      </c>
    </row>
    <row r="968" spans="1:45" x14ac:dyDescent="0.25">
      <c r="A968">
        <v>1</v>
      </c>
      <c r="B968" t="str">
        <f t="shared" si="390"/>
        <v>M</v>
      </c>
      <c r="C968">
        <v>29153907</v>
      </c>
      <c r="D968">
        <f t="shared" si="391"/>
        <v>79</v>
      </c>
      <c r="E968">
        <f t="shared" si="392"/>
        <v>79</v>
      </c>
      <c r="F968" t="str">
        <f t="shared" si="393"/>
        <v>75-100</v>
      </c>
      <c r="G968">
        <v>0</v>
      </c>
      <c r="H968" t="str">
        <f t="shared" si="394"/>
        <v>Pariente normal</v>
      </c>
      <c r="I968">
        <v>1</v>
      </c>
      <c r="J968" t="str">
        <f t="shared" si="395"/>
        <v>Hipercaloricos</v>
      </c>
      <c r="K968">
        <v>1595746</v>
      </c>
      <c r="L968">
        <f t="shared" si="396"/>
        <v>1</v>
      </c>
      <c r="M968" t="str">
        <f t="shared" si="397"/>
        <v>Suele comer</v>
      </c>
      <c r="N968">
        <v>3618722</v>
      </c>
      <c r="O968">
        <f t="shared" si="398"/>
        <v>2</v>
      </c>
      <c r="P968" t="str">
        <f t="shared" si="399"/>
        <v>Mas de 3</v>
      </c>
      <c r="Q968">
        <v>1</v>
      </c>
      <c r="R968" t="str">
        <f t="shared" si="400"/>
        <v>A veces</v>
      </c>
      <c r="S968">
        <v>0</v>
      </c>
      <c r="T968" t="str">
        <f t="shared" si="401"/>
        <v>No fuma</v>
      </c>
      <c r="U968">
        <v>1274389</v>
      </c>
      <c r="V968">
        <f t="shared" si="402"/>
        <v>2</v>
      </c>
      <c r="W968" t="str">
        <f t="shared" si="403"/>
        <v>Siempre</v>
      </c>
      <c r="X968">
        <v>0</v>
      </c>
      <c r="Y968" t="str">
        <f t="shared" si="404"/>
        <v>No controla</v>
      </c>
      <c r="Z968">
        <v>1504003</v>
      </c>
      <c r="AA968">
        <f t="shared" si="405"/>
        <v>3</v>
      </c>
      <c r="AB968" t="str">
        <f t="shared" si="406"/>
        <v>Siempre</v>
      </c>
      <c r="AC968">
        <v>0.37006699999999998</v>
      </c>
      <c r="AD968">
        <f t="shared" si="407"/>
        <v>0</v>
      </c>
      <c r="AE968" t="str">
        <f t="shared" si="408"/>
        <v>Nunca</v>
      </c>
      <c r="AF968">
        <v>0</v>
      </c>
      <c r="AG968" t="str">
        <f t="shared" si="409"/>
        <v>Nunca</v>
      </c>
      <c r="AH968">
        <v>1</v>
      </c>
      <c r="AI968" t="str">
        <f t="shared" si="410"/>
        <v>Usa auto</v>
      </c>
      <c r="AJ968">
        <v>0</v>
      </c>
      <c r="AK968" t="str">
        <f t="shared" si="411"/>
        <v>No usa</v>
      </c>
      <c r="AL968">
        <v>0</v>
      </c>
      <c r="AM968" t="str">
        <f t="shared" si="412"/>
        <v>No usa</v>
      </c>
      <c r="AN968">
        <v>0</v>
      </c>
      <c r="AO968" t="str">
        <f t="shared" si="413"/>
        <v>No usa</v>
      </c>
      <c r="AP968">
        <v>0</v>
      </c>
      <c r="AQ968" t="str">
        <f t="shared" si="414"/>
        <v>No camina</v>
      </c>
      <c r="AR968">
        <v>0</v>
      </c>
      <c r="AS968" t="str">
        <f t="shared" si="415"/>
        <v>No es obeso</v>
      </c>
    </row>
    <row r="969" spans="1:45" x14ac:dyDescent="0.25">
      <c r="A969">
        <v>0</v>
      </c>
      <c r="B969" t="str">
        <f t="shared" si="390"/>
        <v>F</v>
      </c>
      <c r="C969">
        <v>32278869</v>
      </c>
      <c r="D969">
        <f t="shared" si="391"/>
        <v>88</v>
      </c>
      <c r="E969">
        <f t="shared" si="392"/>
        <v>88</v>
      </c>
      <c r="F969" t="str">
        <f t="shared" si="393"/>
        <v>75-100</v>
      </c>
      <c r="G969">
        <v>1</v>
      </c>
      <c r="H969" t="str">
        <f t="shared" si="394"/>
        <v>Pariente gordo</v>
      </c>
      <c r="I969">
        <v>1</v>
      </c>
      <c r="J969" t="str">
        <f t="shared" si="395"/>
        <v>Hipercaloricos</v>
      </c>
      <c r="K969">
        <v>2885178</v>
      </c>
      <c r="L969">
        <f t="shared" si="396"/>
        <v>1</v>
      </c>
      <c r="M969" t="str">
        <f t="shared" si="397"/>
        <v>Suele comer</v>
      </c>
      <c r="N969">
        <v>2562895</v>
      </c>
      <c r="O969">
        <f t="shared" si="398"/>
        <v>2</v>
      </c>
      <c r="P969" t="str">
        <f t="shared" si="399"/>
        <v>Mas de 3</v>
      </c>
      <c r="Q969">
        <v>1</v>
      </c>
      <c r="R969" t="str">
        <f t="shared" si="400"/>
        <v>A veces</v>
      </c>
      <c r="S969">
        <v>0</v>
      </c>
      <c r="T969" t="str">
        <f t="shared" si="401"/>
        <v>No fuma</v>
      </c>
      <c r="U969">
        <v>1017006</v>
      </c>
      <c r="V969">
        <f t="shared" si="402"/>
        <v>2</v>
      </c>
      <c r="W969" t="str">
        <f t="shared" si="403"/>
        <v>Siempre</v>
      </c>
      <c r="X969">
        <v>0</v>
      </c>
      <c r="Y969" t="str">
        <f t="shared" si="404"/>
        <v>No controla</v>
      </c>
      <c r="Z969">
        <v>0.588673</v>
      </c>
      <c r="AA969">
        <f t="shared" si="405"/>
        <v>0</v>
      </c>
      <c r="AB969" t="str">
        <f t="shared" si="406"/>
        <v>Nunca</v>
      </c>
      <c r="AC969">
        <v>0.91629099999999997</v>
      </c>
      <c r="AD969">
        <f t="shared" si="407"/>
        <v>0</v>
      </c>
      <c r="AE969" t="str">
        <f t="shared" si="408"/>
        <v>Nunca</v>
      </c>
      <c r="AF969">
        <v>1</v>
      </c>
      <c r="AG969" t="str">
        <f t="shared" si="409"/>
        <v>A veces</v>
      </c>
      <c r="AH969">
        <v>1</v>
      </c>
      <c r="AI969" t="str">
        <f t="shared" si="410"/>
        <v>Usa auto</v>
      </c>
      <c r="AJ969">
        <v>0</v>
      </c>
      <c r="AK969" t="str">
        <f t="shared" si="411"/>
        <v>No usa</v>
      </c>
      <c r="AL969">
        <v>0</v>
      </c>
      <c r="AM969" t="str">
        <f t="shared" si="412"/>
        <v>No usa</v>
      </c>
      <c r="AN969">
        <v>0</v>
      </c>
      <c r="AO969" t="str">
        <f t="shared" si="413"/>
        <v>No usa</v>
      </c>
      <c r="AP969">
        <v>0</v>
      </c>
      <c r="AQ969" t="str">
        <f t="shared" si="414"/>
        <v>No camina</v>
      </c>
      <c r="AR969">
        <v>0</v>
      </c>
      <c r="AS969" t="str">
        <f t="shared" si="415"/>
        <v>No es obeso</v>
      </c>
    </row>
    <row r="970" spans="1:45" x14ac:dyDescent="0.25">
      <c r="A970">
        <v>0</v>
      </c>
      <c r="B970" t="str">
        <f t="shared" si="390"/>
        <v>F</v>
      </c>
      <c r="C970">
        <v>31793937</v>
      </c>
      <c r="D970">
        <f t="shared" si="391"/>
        <v>87</v>
      </c>
      <c r="E970">
        <f t="shared" si="392"/>
        <v>87</v>
      </c>
      <c r="F970" t="str">
        <f t="shared" si="393"/>
        <v>75-100</v>
      </c>
      <c r="G970">
        <v>1</v>
      </c>
      <c r="H970" t="str">
        <f t="shared" si="394"/>
        <v>Pariente gordo</v>
      </c>
      <c r="I970">
        <v>1</v>
      </c>
      <c r="J970" t="str">
        <f t="shared" si="395"/>
        <v>Hipercaloricos</v>
      </c>
      <c r="K970">
        <v>2372494</v>
      </c>
      <c r="L970">
        <f t="shared" si="396"/>
        <v>1</v>
      </c>
      <c r="M970" t="str">
        <f t="shared" si="397"/>
        <v>Suele comer</v>
      </c>
      <c r="N970">
        <v>2849848</v>
      </c>
      <c r="O970">
        <f t="shared" si="398"/>
        <v>2</v>
      </c>
      <c r="P970" t="str">
        <f t="shared" si="399"/>
        <v>Mas de 3</v>
      </c>
      <c r="Q970">
        <v>1</v>
      </c>
      <c r="R970" t="str">
        <f t="shared" si="400"/>
        <v>A veces</v>
      </c>
      <c r="S970">
        <v>0</v>
      </c>
      <c r="T970" t="str">
        <f t="shared" si="401"/>
        <v>No fuma</v>
      </c>
      <c r="U970">
        <v>1028538</v>
      </c>
      <c r="V970">
        <f t="shared" si="402"/>
        <v>2</v>
      </c>
      <c r="W970" t="str">
        <f t="shared" si="403"/>
        <v>Siempre</v>
      </c>
      <c r="X970">
        <v>0</v>
      </c>
      <c r="Y970" t="str">
        <f t="shared" si="404"/>
        <v>No controla</v>
      </c>
      <c r="Z970">
        <v>0.675983</v>
      </c>
      <c r="AA970">
        <f t="shared" si="405"/>
        <v>0</v>
      </c>
      <c r="AB970" t="str">
        <f t="shared" si="406"/>
        <v>Nunca</v>
      </c>
      <c r="AC970">
        <v>0.30302499999999999</v>
      </c>
      <c r="AD970">
        <f t="shared" si="407"/>
        <v>0</v>
      </c>
      <c r="AE970" t="str">
        <f t="shared" si="408"/>
        <v>Nunca</v>
      </c>
      <c r="AF970">
        <v>1</v>
      </c>
      <c r="AG970" t="str">
        <f t="shared" si="409"/>
        <v>A veces</v>
      </c>
      <c r="AH970">
        <v>1</v>
      </c>
      <c r="AI970" t="str">
        <f t="shared" si="410"/>
        <v>Usa auto</v>
      </c>
      <c r="AJ970">
        <v>0</v>
      </c>
      <c r="AK970" t="str">
        <f t="shared" si="411"/>
        <v>No usa</v>
      </c>
      <c r="AL970">
        <v>0</v>
      </c>
      <c r="AM970" t="str">
        <f t="shared" si="412"/>
        <v>No usa</v>
      </c>
      <c r="AN970">
        <v>0</v>
      </c>
      <c r="AO970" t="str">
        <f t="shared" si="413"/>
        <v>No usa</v>
      </c>
      <c r="AP970">
        <v>0</v>
      </c>
      <c r="AQ970" t="str">
        <f t="shared" si="414"/>
        <v>No camina</v>
      </c>
      <c r="AR970">
        <v>0</v>
      </c>
      <c r="AS970" t="str">
        <f t="shared" si="415"/>
        <v>No es obeso</v>
      </c>
    </row>
    <row r="971" spans="1:45" x14ac:dyDescent="0.25">
      <c r="A971">
        <v>1</v>
      </c>
      <c r="B971" t="str">
        <f t="shared" si="390"/>
        <v>M</v>
      </c>
      <c r="C971">
        <v>18014333</v>
      </c>
      <c r="D971">
        <f t="shared" si="391"/>
        <v>49</v>
      </c>
      <c r="E971">
        <f t="shared" si="392"/>
        <v>49</v>
      </c>
      <c r="F971" t="str">
        <f t="shared" si="393"/>
        <v>25-50</v>
      </c>
      <c r="G971">
        <v>1</v>
      </c>
      <c r="H971" t="str">
        <f t="shared" si="394"/>
        <v>Pariente gordo</v>
      </c>
      <c r="I971">
        <v>1</v>
      </c>
      <c r="J971" t="str">
        <f t="shared" si="395"/>
        <v>Hipercaloricos</v>
      </c>
      <c r="K971">
        <v>2</v>
      </c>
      <c r="L971">
        <f t="shared" si="396"/>
        <v>1</v>
      </c>
      <c r="M971" t="str">
        <f t="shared" si="397"/>
        <v>Suele comer</v>
      </c>
      <c r="N971">
        <v>2805436</v>
      </c>
      <c r="O971">
        <f t="shared" si="398"/>
        <v>2</v>
      </c>
      <c r="P971" t="str">
        <f t="shared" si="399"/>
        <v>Mas de 3</v>
      </c>
      <c r="Q971">
        <v>1</v>
      </c>
      <c r="R971" t="str">
        <f t="shared" si="400"/>
        <v>A veces</v>
      </c>
      <c r="S971">
        <v>0</v>
      </c>
      <c r="T971" t="str">
        <f t="shared" si="401"/>
        <v>No fuma</v>
      </c>
      <c r="U971">
        <v>2122884</v>
      </c>
      <c r="V971">
        <f t="shared" si="402"/>
        <v>2</v>
      </c>
      <c r="W971" t="str">
        <f t="shared" si="403"/>
        <v>Siempre</v>
      </c>
      <c r="X971">
        <v>0</v>
      </c>
      <c r="Y971" t="str">
        <f t="shared" si="404"/>
        <v>No controla</v>
      </c>
      <c r="Z971">
        <v>4.5650999999999997E-2</v>
      </c>
      <c r="AA971">
        <f t="shared" si="405"/>
        <v>0</v>
      </c>
      <c r="AB971" t="str">
        <f t="shared" si="406"/>
        <v>Nunca</v>
      </c>
      <c r="AC971">
        <v>1.7225000000000001E-2</v>
      </c>
      <c r="AD971">
        <f t="shared" si="407"/>
        <v>0</v>
      </c>
      <c r="AE971" t="str">
        <f t="shared" si="408"/>
        <v>Nunca</v>
      </c>
      <c r="AF971">
        <v>2</v>
      </c>
      <c r="AG971" t="str">
        <f t="shared" si="409"/>
        <v>Usualmente</v>
      </c>
      <c r="AH971">
        <v>0</v>
      </c>
      <c r="AI971" t="str">
        <f t="shared" si="410"/>
        <v>No usa</v>
      </c>
      <c r="AJ971">
        <v>0</v>
      </c>
      <c r="AK971" t="str">
        <f t="shared" si="411"/>
        <v>No usa</v>
      </c>
      <c r="AL971">
        <v>0</v>
      </c>
      <c r="AM971" t="str">
        <f t="shared" si="412"/>
        <v>No usa</v>
      </c>
      <c r="AN971">
        <v>1</v>
      </c>
      <c r="AO971" t="str">
        <f t="shared" si="413"/>
        <v>Usa Transporte</v>
      </c>
      <c r="AP971">
        <v>0</v>
      </c>
      <c r="AQ971" t="str">
        <f t="shared" si="414"/>
        <v>No camina</v>
      </c>
      <c r="AR971">
        <v>0</v>
      </c>
      <c r="AS971" t="str">
        <f t="shared" si="415"/>
        <v>No es obeso</v>
      </c>
    </row>
    <row r="972" spans="1:45" x14ac:dyDescent="0.25">
      <c r="A972">
        <v>1</v>
      </c>
      <c r="B972" t="str">
        <f t="shared" si="390"/>
        <v>M</v>
      </c>
      <c r="C972">
        <v>19685</v>
      </c>
      <c r="D972">
        <f t="shared" si="391"/>
        <v>0</v>
      </c>
      <c r="E972">
        <f t="shared" si="392"/>
        <v>5</v>
      </c>
      <c r="F972" t="str">
        <f t="shared" si="393"/>
        <v>1-25</v>
      </c>
      <c r="G972">
        <v>1</v>
      </c>
      <c r="H972" t="str">
        <f t="shared" si="394"/>
        <v>Pariente gordo</v>
      </c>
      <c r="I972">
        <v>1</v>
      </c>
      <c r="J972" t="str">
        <f t="shared" si="395"/>
        <v>Hipercaloricos</v>
      </c>
      <c r="K972">
        <v>2153639</v>
      </c>
      <c r="L972">
        <f t="shared" si="396"/>
        <v>1</v>
      </c>
      <c r="M972" t="str">
        <f t="shared" si="397"/>
        <v>Suele comer</v>
      </c>
      <c r="N972">
        <v>3715148</v>
      </c>
      <c r="O972">
        <f t="shared" si="398"/>
        <v>2</v>
      </c>
      <c r="P972" t="str">
        <f t="shared" si="399"/>
        <v>Mas de 3</v>
      </c>
      <c r="Q972">
        <v>1</v>
      </c>
      <c r="R972" t="str">
        <f t="shared" si="400"/>
        <v>A veces</v>
      </c>
      <c r="S972">
        <v>0</v>
      </c>
      <c r="T972" t="str">
        <f t="shared" si="401"/>
        <v>No fuma</v>
      </c>
      <c r="U972">
        <v>2703337</v>
      </c>
      <c r="V972">
        <f t="shared" si="402"/>
        <v>2</v>
      </c>
      <c r="W972" t="str">
        <f t="shared" si="403"/>
        <v>Siempre</v>
      </c>
      <c r="X972">
        <v>0</v>
      </c>
      <c r="Y972" t="str">
        <f t="shared" si="404"/>
        <v>No controla</v>
      </c>
      <c r="Z972">
        <v>2</v>
      </c>
      <c r="AA972">
        <f t="shared" si="405"/>
        <v>2</v>
      </c>
      <c r="AB972" t="str">
        <f t="shared" si="406"/>
        <v>Usualmente</v>
      </c>
      <c r="AC972">
        <v>0.22609699999999999</v>
      </c>
      <c r="AD972">
        <f t="shared" si="407"/>
        <v>0</v>
      </c>
      <c r="AE972" t="str">
        <f t="shared" si="408"/>
        <v>Nunca</v>
      </c>
      <c r="AF972">
        <v>1</v>
      </c>
      <c r="AG972" t="str">
        <f t="shared" si="409"/>
        <v>A veces</v>
      </c>
      <c r="AH972">
        <v>0</v>
      </c>
      <c r="AI972" t="str">
        <f t="shared" si="410"/>
        <v>No usa</v>
      </c>
      <c r="AJ972">
        <v>0</v>
      </c>
      <c r="AK972" t="str">
        <f t="shared" si="411"/>
        <v>No usa</v>
      </c>
      <c r="AL972">
        <v>0</v>
      </c>
      <c r="AM972" t="str">
        <f t="shared" si="412"/>
        <v>No usa</v>
      </c>
      <c r="AN972">
        <v>1</v>
      </c>
      <c r="AO972" t="str">
        <f t="shared" si="413"/>
        <v>Usa Transporte</v>
      </c>
      <c r="AP972">
        <v>0</v>
      </c>
      <c r="AQ972" t="str">
        <f t="shared" si="414"/>
        <v>No camina</v>
      </c>
      <c r="AR972">
        <v>0</v>
      </c>
      <c r="AS972" t="str">
        <f t="shared" si="415"/>
        <v>No es obeso</v>
      </c>
    </row>
    <row r="973" spans="1:45" x14ac:dyDescent="0.25">
      <c r="A973">
        <v>1</v>
      </c>
      <c r="B973" t="str">
        <f t="shared" si="390"/>
        <v>M</v>
      </c>
      <c r="C973">
        <v>19506389</v>
      </c>
      <c r="D973">
        <f t="shared" si="391"/>
        <v>53</v>
      </c>
      <c r="E973">
        <f t="shared" si="392"/>
        <v>53</v>
      </c>
      <c r="F973" t="str">
        <f t="shared" si="393"/>
        <v>50-75</v>
      </c>
      <c r="G973">
        <v>1</v>
      </c>
      <c r="H973" t="str">
        <f t="shared" si="394"/>
        <v>Pariente gordo</v>
      </c>
      <c r="I973">
        <v>1</v>
      </c>
      <c r="J973" t="str">
        <f t="shared" si="395"/>
        <v>Hipercaloricos</v>
      </c>
      <c r="K973">
        <v>2793561</v>
      </c>
      <c r="L973">
        <f t="shared" si="396"/>
        <v>1</v>
      </c>
      <c r="M973" t="str">
        <f t="shared" si="397"/>
        <v>Suele comer</v>
      </c>
      <c r="N973">
        <v>3788602</v>
      </c>
      <c r="O973">
        <f t="shared" si="398"/>
        <v>2</v>
      </c>
      <c r="P973" t="str">
        <f t="shared" si="399"/>
        <v>Mas de 3</v>
      </c>
      <c r="Q973">
        <v>1</v>
      </c>
      <c r="R973" t="str">
        <f t="shared" si="400"/>
        <v>A veces</v>
      </c>
      <c r="S973">
        <v>0</v>
      </c>
      <c r="T973" t="str">
        <f t="shared" si="401"/>
        <v>No fuma</v>
      </c>
      <c r="U973">
        <v>2429059</v>
      </c>
      <c r="V973">
        <f t="shared" si="402"/>
        <v>2</v>
      </c>
      <c r="W973" t="str">
        <f t="shared" si="403"/>
        <v>Siempre</v>
      </c>
      <c r="X973">
        <v>0</v>
      </c>
      <c r="Y973" t="str">
        <f t="shared" si="404"/>
        <v>No controla</v>
      </c>
      <c r="Z973">
        <v>2094542</v>
      </c>
      <c r="AA973">
        <f t="shared" si="405"/>
        <v>3</v>
      </c>
      <c r="AB973" t="str">
        <f t="shared" si="406"/>
        <v>Siempre</v>
      </c>
      <c r="AC973">
        <v>0.39335799999999999</v>
      </c>
      <c r="AD973">
        <f t="shared" si="407"/>
        <v>0</v>
      </c>
      <c r="AE973" t="str">
        <f t="shared" si="408"/>
        <v>Nunca</v>
      </c>
      <c r="AF973">
        <v>1</v>
      </c>
      <c r="AG973" t="str">
        <f t="shared" si="409"/>
        <v>A veces</v>
      </c>
      <c r="AH973">
        <v>0</v>
      </c>
      <c r="AI973" t="str">
        <f t="shared" si="410"/>
        <v>No usa</v>
      </c>
      <c r="AJ973">
        <v>0</v>
      </c>
      <c r="AK973" t="str">
        <f t="shared" si="411"/>
        <v>No usa</v>
      </c>
      <c r="AL973">
        <v>0</v>
      </c>
      <c r="AM973" t="str">
        <f t="shared" si="412"/>
        <v>No usa</v>
      </c>
      <c r="AN973">
        <v>1</v>
      </c>
      <c r="AO973" t="str">
        <f t="shared" si="413"/>
        <v>Usa Transporte</v>
      </c>
      <c r="AP973">
        <v>0</v>
      </c>
      <c r="AQ973" t="str">
        <f t="shared" si="414"/>
        <v>No camina</v>
      </c>
      <c r="AR973">
        <v>0</v>
      </c>
      <c r="AS973" t="str">
        <f t="shared" si="415"/>
        <v>No es obeso</v>
      </c>
    </row>
    <row r="974" spans="1:45" x14ac:dyDescent="0.25">
      <c r="A974">
        <v>0</v>
      </c>
      <c r="B974" t="str">
        <f t="shared" si="390"/>
        <v>F</v>
      </c>
      <c r="C974">
        <v>19</v>
      </c>
      <c r="D974">
        <f t="shared" si="391"/>
        <v>19</v>
      </c>
      <c r="E974">
        <f t="shared" si="392"/>
        <v>19</v>
      </c>
      <c r="F974" t="str">
        <f t="shared" si="393"/>
        <v>1-25</v>
      </c>
      <c r="G974">
        <v>1</v>
      </c>
      <c r="H974" t="str">
        <f t="shared" si="394"/>
        <v>Pariente gordo</v>
      </c>
      <c r="I974">
        <v>1</v>
      </c>
      <c r="J974" t="str">
        <f t="shared" si="395"/>
        <v>Hipercaloricos</v>
      </c>
      <c r="K974">
        <v>2</v>
      </c>
      <c r="L974">
        <f t="shared" si="396"/>
        <v>1</v>
      </c>
      <c r="M974" t="str">
        <f t="shared" si="397"/>
        <v>Suele comer</v>
      </c>
      <c r="N974">
        <v>1893811</v>
      </c>
      <c r="O974">
        <f t="shared" si="398"/>
        <v>2</v>
      </c>
      <c r="P974" t="str">
        <f t="shared" si="399"/>
        <v>Mas de 3</v>
      </c>
      <c r="Q974">
        <v>1</v>
      </c>
      <c r="R974" t="str">
        <f t="shared" si="400"/>
        <v>A veces</v>
      </c>
      <c r="S974">
        <v>0</v>
      </c>
      <c r="T974" t="str">
        <f t="shared" si="401"/>
        <v>No fuma</v>
      </c>
      <c r="U974">
        <v>3</v>
      </c>
      <c r="V974">
        <f t="shared" si="402"/>
        <v>2</v>
      </c>
      <c r="W974" t="str">
        <f t="shared" si="403"/>
        <v>Siempre</v>
      </c>
      <c r="X974">
        <v>0</v>
      </c>
      <c r="Y974" t="str">
        <f t="shared" si="404"/>
        <v>No controla</v>
      </c>
      <c r="Z974">
        <v>1376229</v>
      </c>
      <c r="AA974">
        <f t="shared" si="405"/>
        <v>3</v>
      </c>
      <c r="AB974" t="str">
        <f t="shared" si="406"/>
        <v>Siempre</v>
      </c>
      <c r="AC974">
        <v>1801322</v>
      </c>
      <c r="AD974">
        <f t="shared" si="407"/>
        <v>2</v>
      </c>
      <c r="AE974" t="str">
        <f t="shared" si="408"/>
        <v>Siempre</v>
      </c>
      <c r="AF974">
        <v>0</v>
      </c>
      <c r="AG974" t="str">
        <f t="shared" si="409"/>
        <v>Nunca</v>
      </c>
      <c r="AH974">
        <v>0</v>
      </c>
      <c r="AI974" t="str">
        <f t="shared" si="410"/>
        <v>No usa</v>
      </c>
      <c r="AJ974">
        <v>0</v>
      </c>
      <c r="AK974" t="str">
        <f t="shared" si="411"/>
        <v>No usa</v>
      </c>
      <c r="AL974">
        <v>0</v>
      </c>
      <c r="AM974" t="str">
        <f t="shared" si="412"/>
        <v>No usa</v>
      </c>
      <c r="AN974">
        <v>1</v>
      </c>
      <c r="AO974" t="str">
        <f t="shared" si="413"/>
        <v>Usa Transporte</v>
      </c>
      <c r="AP974">
        <v>0</v>
      </c>
      <c r="AQ974" t="str">
        <f t="shared" si="414"/>
        <v>No camina</v>
      </c>
      <c r="AR974">
        <v>0</v>
      </c>
      <c r="AS974" t="str">
        <f t="shared" si="415"/>
        <v>No es obeso</v>
      </c>
    </row>
    <row r="975" spans="1:45" x14ac:dyDescent="0.25">
      <c r="A975">
        <v>0</v>
      </c>
      <c r="B975" t="str">
        <f t="shared" si="390"/>
        <v>F</v>
      </c>
      <c r="C975">
        <v>18</v>
      </c>
      <c r="D975">
        <f t="shared" si="391"/>
        <v>18</v>
      </c>
      <c r="E975">
        <f t="shared" si="392"/>
        <v>18</v>
      </c>
      <c r="F975" t="str">
        <f t="shared" si="393"/>
        <v>1-25</v>
      </c>
      <c r="G975">
        <v>1</v>
      </c>
      <c r="H975" t="str">
        <f t="shared" si="394"/>
        <v>Pariente gordo</v>
      </c>
      <c r="I975">
        <v>1</v>
      </c>
      <c r="J975" t="str">
        <f t="shared" si="395"/>
        <v>Hipercaloricos</v>
      </c>
      <c r="K975">
        <v>2</v>
      </c>
      <c r="L975">
        <f t="shared" si="396"/>
        <v>1</v>
      </c>
      <c r="M975" t="str">
        <f t="shared" si="397"/>
        <v>Suele comer</v>
      </c>
      <c r="N975">
        <v>1010319</v>
      </c>
      <c r="O975">
        <f t="shared" si="398"/>
        <v>2</v>
      </c>
      <c r="P975" t="str">
        <f t="shared" si="399"/>
        <v>Mas de 3</v>
      </c>
      <c r="Q975">
        <v>1</v>
      </c>
      <c r="R975" t="str">
        <f t="shared" si="400"/>
        <v>A veces</v>
      </c>
      <c r="S975">
        <v>0</v>
      </c>
      <c r="T975" t="str">
        <f t="shared" si="401"/>
        <v>No fuma</v>
      </c>
      <c r="U975">
        <v>1319437</v>
      </c>
      <c r="V975">
        <f t="shared" si="402"/>
        <v>2</v>
      </c>
      <c r="W975" t="str">
        <f t="shared" si="403"/>
        <v>Siempre</v>
      </c>
      <c r="X975">
        <v>0</v>
      </c>
      <c r="Y975" t="str">
        <f t="shared" si="404"/>
        <v>No controla</v>
      </c>
      <c r="Z975">
        <v>0</v>
      </c>
      <c r="AA975">
        <f t="shared" si="405"/>
        <v>0</v>
      </c>
      <c r="AB975" t="str">
        <f t="shared" si="406"/>
        <v>Nunca</v>
      </c>
      <c r="AC975">
        <v>1626456</v>
      </c>
      <c r="AD975">
        <f t="shared" si="407"/>
        <v>2</v>
      </c>
      <c r="AE975" t="str">
        <f t="shared" si="408"/>
        <v>Siempre</v>
      </c>
      <c r="AF975">
        <v>0</v>
      </c>
      <c r="AG975" t="str">
        <f t="shared" si="409"/>
        <v>Nunca</v>
      </c>
      <c r="AH975">
        <v>0</v>
      </c>
      <c r="AI975" t="str">
        <f t="shared" si="410"/>
        <v>No usa</v>
      </c>
      <c r="AJ975">
        <v>0</v>
      </c>
      <c r="AK975" t="str">
        <f t="shared" si="411"/>
        <v>No usa</v>
      </c>
      <c r="AL975">
        <v>0</v>
      </c>
      <c r="AM975" t="str">
        <f t="shared" si="412"/>
        <v>No usa</v>
      </c>
      <c r="AN975">
        <v>1</v>
      </c>
      <c r="AO975" t="str">
        <f t="shared" si="413"/>
        <v>Usa Transporte</v>
      </c>
      <c r="AP975">
        <v>0</v>
      </c>
      <c r="AQ975" t="str">
        <f t="shared" si="414"/>
        <v>No camina</v>
      </c>
      <c r="AR975">
        <v>0</v>
      </c>
      <c r="AS975" t="str">
        <f t="shared" si="415"/>
        <v>No es obeso</v>
      </c>
    </row>
    <row r="976" spans="1:45" x14ac:dyDescent="0.25">
      <c r="A976">
        <v>0</v>
      </c>
      <c r="B976" t="str">
        <f t="shared" si="390"/>
        <v>F</v>
      </c>
      <c r="C976">
        <v>18003153</v>
      </c>
      <c r="D976">
        <f t="shared" si="391"/>
        <v>49</v>
      </c>
      <c r="E976">
        <f t="shared" si="392"/>
        <v>49</v>
      </c>
      <c r="F976" t="str">
        <f t="shared" si="393"/>
        <v>25-50</v>
      </c>
      <c r="G976">
        <v>1</v>
      </c>
      <c r="H976" t="str">
        <f t="shared" si="394"/>
        <v>Pariente gordo</v>
      </c>
      <c r="I976">
        <v>1</v>
      </c>
      <c r="J976" t="str">
        <f t="shared" si="395"/>
        <v>Hipercaloricos</v>
      </c>
      <c r="K976">
        <v>2992329</v>
      </c>
      <c r="L976">
        <f t="shared" si="396"/>
        <v>1</v>
      </c>
      <c r="M976" t="str">
        <f t="shared" si="397"/>
        <v>Suele comer</v>
      </c>
      <c r="N976">
        <v>3</v>
      </c>
      <c r="O976">
        <f t="shared" si="398"/>
        <v>2</v>
      </c>
      <c r="P976" t="str">
        <f t="shared" si="399"/>
        <v>Mas de 3</v>
      </c>
      <c r="Q976">
        <v>1</v>
      </c>
      <c r="R976" t="str">
        <f t="shared" si="400"/>
        <v>A veces</v>
      </c>
      <c r="S976">
        <v>0</v>
      </c>
      <c r="T976" t="str">
        <f t="shared" si="401"/>
        <v>No fuma</v>
      </c>
      <c r="U976">
        <v>2004908</v>
      </c>
      <c r="V976">
        <f t="shared" si="402"/>
        <v>2</v>
      </c>
      <c r="W976" t="str">
        <f t="shared" si="403"/>
        <v>Siempre</v>
      </c>
      <c r="X976">
        <v>0</v>
      </c>
      <c r="Y976" t="str">
        <f t="shared" si="404"/>
        <v>No controla</v>
      </c>
      <c r="Z976">
        <v>1</v>
      </c>
      <c r="AA976">
        <f t="shared" si="405"/>
        <v>1</v>
      </c>
      <c r="AB976" t="str">
        <f t="shared" si="406"/>
        <v>A veces</v>
      </c>
      <c r="AC976">
        <v>1405086</v>
      </c>
      <c r="AD976">
        <f t="shared" si="407"/>
        <v>2</v>
      </c>
      <c r="AE976" t="str">
        <f t="shared" si="408"/>
        <v>Siempre</v>
      </c>
      <c r="AF976">
        <v>2</v>
      </c>
      <c r="AG976" t="str">
        <f t="shared" si="409"/>
        <v>Usualmente</v>
      </c>
      <c r="AH976">
        <v>0</v>
      </c>
      <c r="AI976" t="str">
        <f t="shared" si="410"/>
        <v>No usa</v>
      </c>
      <c r="AJ976">
        <v>0</v>
      </c>
      <c r="AK976" t="str">
        <f t="shared" si="411"/>
        <v>No usa</v>
      </c>
      <c r="AL976">
        <v>0</v>
      </c>
      <c r="AM976" t="str">
        <f t="shared" si="412"/>
        <v>No usa</v>
      </c>
      <c r="AN976">
        <v>1</v>
      </c>
      <c r="AO976" t="str">
        <f t="shared" si="413"/>
        <v>Usa Transporte</v>
      </c>
      <c r="AP976">
        <v>0</v>
      </c>
      <c r="AQ976" t="str">
        <f t="shared" si="414"/>
        <v>No camina</v>
      </c>
      <c r="AR976">
        <v>0</v>
      </c>
      <c r="AS976" t="str">
        <f t="shared" si="415"/>
        <v>No es obeso</v>
      </c>
    </row>
    <row r="977" spans="1:45" x14ac:dyDescent="0.25">
      <c r="A977">
        <v>0</v>
      </c>
      <c r="B977" t="str">
        <f t="shared" si="390"/>
        <v>F</v>
      </c>
      <c r="C977">
        <v>18052394</v>
      </c>
      <c r="D977">
        <f t="shared" si="391"/>
        <v>49</v>
      </c>
      <c r="E977">
        <f t="shared" si="392"/>
        <v>49</v>
      </c>
      <c r="F977" t="str">
        <f t="shared" si="393"/>
        <v>25-50</v>
      </c>
      <c r="G977">
        <v>1</v>
      </c>
      <c r="H977" t="str">
        <f t="shared" si="394"/>
        <v>Pariente gordo</v>
      </c>
      <c r="I977">
        <v>1</v>
      </c>
      <c r="J977" t="str">
        <f t="shared" si="395"/>
        <v>Hipercaloricos</v>
      </c>
      <c r="K977">
        <v>2927409</v>
      </c>
      <c r="L977">
        <f t="shared" si="396"/>
        <v>1</v>
      </c>
      <c r="M977" t="str">
        <f t="shared" si="397"/>
        <v>Suele comer</v>
      </c>
      <c r="N977">
        <v>3</v>
      </c>
      <c r="O977">
        <f t="shared" si="398"/>
        <v>2</v>
      </c>
      <c r="P977" t="str">
        <f t="shared" si="399"/>
        <v>Mas de 3</v>
      </c>
      <c r="Q977">
        <v>1</v>
      </c>
      <c r="R977" t="str">
        <f t="shared" si="400"/>
        <v>A veces</v>
      </c>
      <c r="S977">
        <v>0</v>
      </c>
      <c r="T977" t="str">
        <f t="shared" si="401"/>
        <v>No fuma</v>
      </c>
      <c r="U977">
        <v>2209991</v>
      </c>
      <c r="V977">
        <f t="shared" si="402"/>
        <v>2</v>
      </c>
      <c r="W977" t="str">
        <f t="shared" si="403"/>
        <v>Siempre</v>
      </c>
      <c r="X977">
        <v>0</v>
      </c>
      <c r="Y977" t="str">
        <f t="shared" si="404"/>
        <v>No controla</v>
      </c>
      <c r="Z977">
        <v>1</v>
      </c>
      <c r="AA977">
        <f t="shared" si="405"/>
        <v>1</v>
      </c>
      <c r="AB977" t="str">
        <f t="shared" si="406"/>
        <v>A veces</v>
      </c>
      <c r="AC977">
        <v>0.79721500000000001</v>
      </c>
      <c r="AD977">
        <f t="shared" si="407"/>
        <v>0</v>
      </c>
      <c r="AE977" t="str">
        <f t="shared" si="408"/>
        <v>Nunca</v>
      </c>
      <c r="AF977">
        <v>2</v>
      </c>
      <c r="AG977" t="str">
        <f t="shared" si="409"/>
        <v>Usualmente</v>
      </c>
      <c r="AH977">
        <v>0</v>
      </c>
      <c r="AI977" t="str">
        <f t="shared" si="410"/>
        <v>No usa</v>
      </c>
      <c r="AJ977">
        <v>0</v>
      </c>
      <c r="AK977" t="str">
        <f t="shared" si="411"/>
        <v>No usa</v>
      </c>
      <c r="AL977">
        <v>0</v>
      </c>
      <c r="AM977" t="str">
        <f t="shared" si="412"/>
        <v>No usa</v>
      </c>
      <c r="AN977">
        <v>1</v>
      </c>
      <c r="AO977" t="str">
        <f t="shared" si="413"/>
        <v>Usa Transporte</v>
      </c>
      <c r="AP977">
        <v>0</v>
      </c>
      <c r="AQ977" t="str">
        <f t="shared" si="414"/>
        <v>No camina</v>
      </c>
      <c r="AR977">
        <v>0</v>
      </c>
      <c r="AS977" t="str">
        <f t="shared" si="415"/>
        <v>No es obeso</v>
      </c>
    </row>
    <row r="978" spans="1:45" x14ac:dyDescent="0.25">
      <c r="A978">
        <v>0</v>
      </c>
      <c r="B978" t="str">
        <f t="shared" si="390"/>
        <v>F</v>
      </c>
      <c r="C978">
        <v>19774317</v>
      </c>
      <c r="D978">
        <f t="shared" si="391"/>
        <v>54</v>
      </c>
      <c r="E978">
        <f t="shared" si="392"/>
        <v>54</v>
      </c>
      <c r="F978" t="str">
        <f t="shared" si="393"/>
        <v>50-75</v>
      </c>
      <c r="G978">
        <v>0</v>
      </c>
      <c r="H978" t="str">
        <f t="shared" si="394"/>
        <v>Pariente normal</v>
      </c>
      <c r="I978">
        <v>1</v>
      </c>
      <c r="J978" t="str">
        <f t="shared" si="395"/>
        <v>Hipercaloricos</v>
      </c>
      <c r="K978">
        <v>2706134</v>
      </c>
      <c r="L978">
        <f t="shared" si="396"/>
        <v>1</v>
      </c>
      <c r="M978" t="str">
        <f t="shared" si="397"/>
        <v>Suele comer</v>
      </c>
      <c r="N978">
        <v>2669766</v>
      </c>
      <c r="O978">
        <f t="shared" si="398"/>
        <v>2</v>
      </c>
      <c r="P978" t="str">
        <f t="shared" si="399"/>
        <v>Mas de 3</v>
      </c>
      <c r="Q978">
        <v>1</v>
      </c>
      <c r="R978" t="str">
        <f t="shared" si="400"/>
        <v>A veces</v>
      </c>
      <c r="S978">
        <v>0</v>
      </c>
      <c r="T978" t="str">
        <f t="shared" si="401"/>
        <v>No fuma</v>
      </c>
      <c r="U978">
        <v>1979848</v>
      </c>
      <c r="V978">
        <f t="shared" si="402"/>
        <v>2</v>
      </c>
      <c r="W978" t="str">
        <f t="shared" si="403"/>
        <v>Siempre</v>
      </c>
      <c r="X978">
        <v>1</v>
      </c>
      <c r="Y978" t="str">
        <f t="shared" si="404"/>
        <v>Controla</v>
      </c>
      <c r="Z978">
        <v>0.44523800000000002</v>
      </c>
      <c r="AA978">
        <f t="shared" si="405"/>
        <v>0</v>
      </c>
      <c r="AB978" t="str">
        <f t="shared" si="406"/>
        <v>Nunca</v>
      </c>
      <c r="AC978">
        <v>0.90883599999999998</v>
      </c>
      <c r="AD978">
        <f t="shared" si="407"/>
        <v>0</v>
      </c>
      <c r="AE978" t="str">
        <f t="shared" si="408"/>
        <v>Nunca</v>
      </c>
      <c r="AF978">
        <v>1</v>
      </c>
      <c r="AG978" t="str">
        <f t="shared" si="409"/>
        <v>A veces</v>
      </c>
      <c r="AH978">
        <v>0</v>
      </c>
      <c r="AI978" t="str">
        <f t="shared" si="410"/>
        <v>No usa</v>
      </c>
      <c r="AJ978">
        <v>0</v>
      </c>
      <c r="AK978" t="str">
        <f t="shared" si="411"/>
        <v>No usa</v>
      </c>
      <c r="AL978">
        <v>0</v>
      </c>
      <c r="AM978" t="str">
        <f t="shared" si="412"/>
        <v>No usa</v>
      </c>
      <c r="AN978">
        <v>1</v>
      </c>
      <c r="AO978" t="str">
        <f t="shared" si="413"/>
        <v>Usa Transporte</v>
      </c>
      <c r="AP978">
        <v>0</v>
      </c>
      <c r="AQ978" t="str">
        <f t="shared" si="414"/>
        <v>No camina</v>
      </c>
      <c r="AR978">
        <v>0</v>
      </c>
      <c r="AS978" t="str">
        <f t="shared" si="415"/>
        <v>No es obeso</v>
      </c>
    </row>
    <row r="979" spans="1:45" x14ac:dyDescent="0.25">
      <c r="A979">
        <v>1</v>
      </c>
      <c r="B979" t="str">
        <f t="shared" si="390"/>
        <v>M</v>
      </c>
      <c r="C979">
        <v>21180346</v>
      </c>
      <c r="D979">
        <f t="shared" si="391"/>
        <v>58</v>
      </c>
      <c r="E979">
        <f t="shared" si="392"/>
        <v>58</v>
      </c>
      <c r="F979" t="str">
        <f t="shared" si="393"/>
        <v>50-75</v>
      </c>
      <c r="G979">
        <v>1</v>
      </c>
      <c r="H979" t="str">
        <f t="shared" si="394"/>
        <v>Pariente gordo</v>
      </c>
      <c r="I979">
        <v>1</v>
      </c>
      <c r="J979" t="str">
        <f t="shared" si="395"/>
        <v>Hipercaloricos</v>
      </c>
      <c r="K979">
        <v>2010684</v>
      </c>
      <c r="L979">
        <f t="shared" si="396"/>
        <v>1</v>
      </c>
      <c r="M979" t="str">
        <f t="shared" si="397"/>
        <v>Suele comer</v>
      </c>
      <c r="N979">
        <v>1322087</v>
      </c>
      <c r="O979">
        <f t="shared" si="398"/>
        <v>2</v>
      </c>
      <c r="P979" t="str">
        <f t="shared" si="399"/>
        <v>Mas de 3</v>
      </c>
      <c r="Q979">
        <v>1</v>
      </c>
      <c r="R979" t="str">
        <f t="shared" si="400"/>
        <v>A veces</v>
      </c>
      <c r="S979">
        <v>0</v>
      </c>
      <c r="T979" t="str">
        <f t="shared" si="401"/>
        <v>No fuma</v>
      </c>
      <c r="U979">
        <v>2</v>
      </c>
      <c r="V979">
        <f t="shared" si="402"/>
        <v>2</v>
      </c>
      <c r="W979" t="str">
        <f t="shared" si="403"/>
        <v>Siempre</v>
      </c>
      <c r="X979">
        <v>0</v>
      </c>
      <c r="Y979" t="str">
        <f t="shared" si="404"/>
        <v>No controla</v>
      </c>
      <c r="Z979">
        <v>0.54039700000000002</v>
      </c>
      <c r="AA979">
        <f t="shared" si="405"/>
        <v>0</v>
      </c>
      <c r="AB979" t="str">
        <f t="shared" si="406"/>
        <v>Nunca</v>
      </c>
      <c r="AC979">
        <v>0.97383399999999998</v>
      </c>
      <c r="AD979">
        <f t="shared" si="407"/>
        <v>0</v>
      </c>
      <c r="AE979" t="str">
        <f t="shared" si="408"/>
        <v>Nunca</v>
      </c>
      <c r="AF979">
        <v>1</v>
      </c>
      <c r="AG979" t="str">
        <f t="shared" si="409"/>
        <v>A veces</v>
      </c>
      <c r="AH979">
        <v>0</v>
      </c>
      <c r="AI979" t="str">
        <f t="shared" si="410"/>
        <v>No usa</v>
      </c>
      <c r="AJ979">
        <v>0</v>
      </c>
      <c r="AK979" t="str">
        <f t="shared" si="411"/>
        <v>No usa</v>
      </c>
      <c r="AL979">
        <v>0</v>
      </c>
      <c r="AM979" t="str">
        <f t="shared" si="412"/>
        <v>No usa</v>
      </c>
      <c r="AN979">
        <v>1</v>
      </c>
      <c r="AO979" t="str">
        <f t="shared" si="413"/>
        <v>Usa Transporte</v>
      </c>
      <c r="AP979">
        <v>0</v>
      </c>
      <c r="AQ979" t="str">
        <f t="shared" si="414"/>
        <v>No camina</v>
      </c>
      <c r="AR979">
        <v>0</v>
      </c>
      <c r="AS979" t="str">
        <f t="shared" si="415"/>
        <v>No es obeso</v>
      </c>
    </row>
    <row r="980" spans="1:45" x14ac:dyDescent="0.25">
      <c r="A980">
        <v>1</v>
      </c>
      <c r="B980" t="str">
        <f t="shared" si="390"/>
        <v>M</v>
      </c>
      <c r="C980">
        <v>21793724</v>
      </c>
      <c r="D980">
        <f t="shared" si="391"/>
        <v>59</v>
      </c>
      <c r="E980">
        <f t="shared" si="392"/>
        <v>59</v>
      </c>
      <c r="F980" t="str">
        <f t="shared" si="393"/>
        <v>50-75</v>
      </c>
      <c r="G980">
        <v>1</v>
      </c>
      <c r="H980" t="str">
        <f t="shared" si="394"/>
        <v>Pariente gordo</v>
      </c>
      <c r="I980">
        <v>1</v>
      </c>
      <c r="J980" t="str">
        <f t="shared" si="395"/>
        <v>Hipercaloricos</v>
      </c>
      <c r="K980">
        <v>2</v>
      </c>
      <c r="L980">
        <f t="shared" si="396"/>
        <v>1</v>
      </c>
      <c r="M980" t="str">
        <f t="shared" si="397"/>
        <v>Suele comer</v>
      </c>
      <c r="N980">
        <v>2041558</v>
      </c>
      <c r="O980">
        <f t="shared" si="398"/>
        <v>2</v>
      </c>
      <c r="P980" t="str">
        <f t="shared" si="399"/>
        <v>Mas de 3</v>
      </c>
      <c r="Q980">
        <v>1</v>
      </c>
      <c r="R980" t="str">
        <f t="shared" si="400"/>
        <v>A veces</v>
      </c>
      <c r="S980">
        <v>0</v>
      </c>
      <c r="T980" t="str">
        <f t="shared" si="401"/>
        <v>No fuma</v>
      </c>
      <c r="U980">
        <v>238725</v>
      </c>
      <c r="V980">
        <f t="shared" si="402"/>
        <v>2</v>
      </c>
      <c r="W980" t="str">
        <f t="shared" si="403"/>
        <v>Siempre</v>
      </c>
      <c r="X980">
        <v>0</v>
      </c>
      <c r="Y980" t="str">
        <f t="shared" si="404"/>
        <v>No controla</v>
      </c>
      <c r="Z980">
        <v>0.813917</v>
      </c>
      <c r="AA980">
        <f t="shared" si="405"/>
        <v>0</v>
      </c>
      <c r="AB980" t="str">
        <f t="shared" si="406"/>
        <v>Nunca</v>
      </c>
      <c r="AC980">
        <v>0</v>
      </c>
      <c r="AD980">
        <f t="shared" si="407"/>
        <v>0</v>
      </c>
      <c r="AE980" t="str">
        <f t="shared" si="408"/>
        <v>Nunca</v>
      </c>
      <c r="AF980">
        <v>1</v>
      </c>
      <c r="AG980" t="str">
        <f t="shared" si="409"/>
        <v>A veces</v>
      </c>
      <c r="AH980">
        <v>0</v>
      </c>
      <c r="AI980" t="str">
        <f t="shared" si="410"/>
        <v>No usa</v>
      </c>
      <c r="AJ980">
        <v>0</v>
      </c>
      <c r="AK980" t="str">
        <f t="shared" si="411"/>
        <v>No usa</v>
      </c>
      <c r="AL980">
        <v>0</v>
      </c>
      <c r="AM980" t="str">
        <f t="shared" si="412"/>
        <v>No usa</v>
      </c>
      <c r="AN980">
        <v>1</v>
      </c>
      <c r="AO980" t="str">
        <f t="shared" si="413"/>
        <v>Usa Transporte</v>
      </c>
      <c r="AP980">
        <v>0</v>
      </c>
      <c r="AQ980" t="str">
        <f t="shared" si="414"/>
        <v>No camina</v>
      </c>
      <c r="AR980">
        <v>0</v>
      </c>
      <c r="AS980" t="str">
        <f t="shared" si="415"/>
        <v>No es obeso</v>
      </c>
    </row>
    <row r="981" spans="1:45" x14ac:dyDescent="0.25">
      <c r="A981">
        <v>1</v>
      </c>
      <c r="B981" t="str">
        <f t="shared" si="390"/>
        <v>M</v>
      </c>
      <c r="C981">
        <v>20880161</v>
      </c>
      <c r="D981">
        <f t="shared" si="391"/>
        <v>57</v>
      </c>
      <c r="E981">
        <f t="shared" si="392"/>
        <v>57</v>
      </c>
      <c r="F981" t="str">
        <f t="shared" si="393"/>
        <v>50-75</v>
      </c>
      <c r="G981">
        <v>1</v>
      </c>
      <c r="H981" t="str">
        <f t="shared" si="394"/>
        <v>Pariente gordo</v>
      </c>
      <c r="I981">
        <v>1</v>
      </c>
      <c r="J981" t="str">
        <f t="shared" si="395"/>
        <v>Hipercaloricos</v>
      </c>
      <c r="K981">
        <v>2</v>
      </c>
      <c r="L981">
        <f t="shared" si="396"/>
        <v>1</v>
      </c>
      <c r="M981" t="str">
        <f t="shared" si="397"/>
        <v>Suele comer</v>
      </c>
      <c r="N981">
        <v>3</v>
      </c>
      <c r="O981">
        <f t="shared" si="398"/>
        <v>2</v>
      </c>
      <c r="P981" t="str">
        <f t="shared" si="399"/>
        <v>Mas de 3</v>
      </c>
      <c r="Q981">
        <v>1</v>
      </c>
      <c r="R981" t="str">
        <f t="shared" si="400"/>
        <v>A veces</v>
      </c>
      <c r="S981">
        <v>0</v>
      </c>
      <c r="T981" t="str">
        <f t="shared" si="401"/>
        <v>No fuma</v>
      </c>
      <c r="U981">
        <v>2</v>
      </c>
      <c r="V981">
        <f t="shared" si="402"/>
        <v>2</v>
      </c>
      <c r="W981" t="str">
        <f t="shared" si="403"/>
        <v>Siempre</v>
      </c>
      <c r="X981">
        <v>0</v>
      </c>
      <c r="Y981" t="str">
        <f t="shared" si="404"/>
        <v>No controla</v>
      </c>
      <c r="Z981">
        <v>166639</v>
      </c>
      <c r="AA981">
        <f t="shared" si="405"/>
        <v>2</v>
      </c>
      <c r="AB981" t="str">
        <f t="shared" si="406"/>
        <v>Usualmente</v>
      </c>
      <c r="AC981">
        <v>1443212</v>
      </c>
      <c r="AD981">
        <f t="shared" si="407"/>
        <v>2</v>
      </c>
      <c r="AE981" t="str">
        <f t="shared" si="408"/>
        <v>Siempre</v>
      </c>
      <c r="AF981">
        <v>0</v>
      </c>
      <c r="AG981" t="str">
        <f t="shared" si="409"/>
        <v>Nunca</v>
      </c>
      <c r="AH981">
        <v>0</v>
      </c>
      <c r="AI981" t="str">
        <f t="shared" si="410"/>
        <v>No usa</v>
      </c>
      <c r="AJ981">
        <v>0</v>
      </c>
      <c r="AK981" t="str">
        <f t="shared" si="411"/>
        <v>No usa</v>
      </c>
      <c r="AL981">
        <v>0</v>
      </c>
      <c r="AM981" t="str">
        <f t="shared" si="412"/>
        <v>No usa</v>
      </c>
      <c r="AN981">
        <v>1</v>
      </c>
      <c r="AO981" t="str">
        <f t="shared" si="413"/>
        <v>Usa Transporte</v>
      </c>
      <c r="AP981">
        <v>0</v>
      </c>
      <c r="AQ981" t="str">
        <f t="shared" si="414"/>
        <v>No camina</v>
      </c>
      <c r="AR981">
        <v>0</v>
      </c>
      <c r="AS981" t="str">
        <f t="shared" si="415"/>
        <v>No es obeso</v>
      </c>
    </row>
    <row r="982" spans="1:45" x14ac:dyDescent="0.25">
      <c r="A982">
        <v>1</v>
      </c>
      <c r="B982" t="str">
        <f t="shared" si="390"/>
        <v>M</v>
      </c>
      <c r="C982">
        <v>2118354</v>
      </c>
      <c r="D982">
        <f t="shared" si="391"/>
        <v>5</v>
      </c>
      <c r="E982">
        <f t="shared" si="392"/>
        <v>5</v>
      </c>
      <c r="F982" t="str">
        <f t="shared" si="393"/>
        <v>1-25</v>
      </c>
      <c r="G982">
        <v>1</v>
      </c>
      <c r="H982" t="str">
        <f t="shared" si="394"/>
        <v>Pariente gordo</v>
      </c>
      <c r="I982">
        <v>1</v>
      </c>
      <c r="J982" t="str">
        <f t="shared" si="395"/>
        <v>Hipercaloricos</v>
      </c>
      <c r="K982">
        <v>2</v>
      </c>
      <c r="L982">
        <f t="shared" si="396"/>
        <v>1</v>
      </c>
      <c r="M982" t="str">
        <f t="shared" si="397"/>
        <v>Suele comer</v>
      </c>
      <c r="N982">
        <v>2468421</v>
      </c>
      <c r="O982">
        <f t="shared" si="398"/>
        <v>2</v>
      </c>
      <c r="P982" t="str">
        <f t="shared" si="399"/>
        <v>Mas de 3</v>
      </c>
      <c r="Q982">
        <v>1</v>
      </c>
      <c r="R982" t="str">
        <f t="shared" si="400"/>
        <v>A veces</v>
      </c>
      <c r="S982">
        <v>0</v>
      </c>
      <c r="T982" t="str">
        <f t="shared" si="401"/>
        <v>No fuma</v>
      </c>
      <c r="U982">
        <v>2</v>
      </c>
      <c r="V982">
        <f t="shared" si="402"/>
        <v>2</v>
      </c>
      <c r="W982" t="str">
        <f t="shared" si="403"/>
        <v>Siempre</v>
      </c>
      <c r="X982">
        <v>0</v>
      </c>
      <c r="Y982" t="str">
        <f t="shared" si="404"/>
        <v>No controla</v>
      </c>
      <c r="Z982">
        <v>2</v>
      </c>
      <c r="AA982">
        <f t="shared" si="405"/>
        <v>2</v>
      </c>
      <c r="AB982" t="str">
        <f t="shared" si="406"/>
        <v>Usualmente</v>
      </c>
      <c r="AC982">
        <v>1</v>
      </c>
      <c r="AD982">
        <f t="shared" si="407"/>
        <v>1</v>
      </c>
      <c r="AE982" t="str">
        <f t="shared" si="408"/>
        <v>Usualmente</v>
      </c>
      <c r="AF982">
        <v>0</v>
      </c>
      <c r="AG982" t="str">
        <f t="shared" si="409"/>
        <v>Nunca</v>
      </c>
      <c r="AH982">
        <v>0</v>
      </c>
      <c r="AI982" t="str">
        <f t="shared" si="410"/>
        <v>No usa</v>
      </c>
      <c r="AJ982">
        <v>0</v>
      </c>
      <c r="AK982" t="str">
        <f t="shared" si="411"/>
        <v>No usa</v>
      </c>
      <c r="AL982">
        <v>0</v>
      </c>
      <c r="AM982" t="str">
        <f t="shared" si="412"/>
        <v>No usa</v>
      </c>
      <c r="AN982">
        <v>1</v>
      </c>
      <c r="AO982" t="str">
        <f t="shared" si="413"/>
        <v>Usa Transporte</v>
      </c>
      <c r="AP982">
        <v>0</v>
      </c>
      <c r="AQ982" t="str">
        <f t="shared" si="414"/>
        <v>No camina</v>
      </c>
      <c r="AR982">
        <v>0</v>
      </c>
      <c r="AS982" t="str">
        <f t="shared" si="415"/>
        <v>No es obeso</v>
      </c>
    </row>
    <row r="983" spans="1:45" x14ac:dyDescent="0.25">
      <c r="A983">
        <v>1</v>
      </c>
      <c r="B983" t="str">
        <f t="shared" si="390"/>
        <v>M</v>
      </c>
      <c r="C983">
        <v>32774488</v>
      </c>
      <c r="D983">
        <f t="shared" si="391"/>
        <v>89</v>
      </c>
      <c r="E983">
        <f t="shared" si="392"/>
        <v>89</v>
      </c>
      <c r="F983" t="str">
        <f t="shared" si="393"/>
        <v>75-100</v>
      </c>
      <c r="G983">
        <v>1</v>
      </c>
      <c r="H983" t="str">
        <f t="shared" si="394"/>
        <v>Pariente gordo</v>
      </c>
      <c r="I983">
        <v>1</v>
      </c>
      <c r="J983" t="str">
        <f t="shared" si="395"/>
        <v>Hipercaloricos</v>
      </c>
      <c r="K983">
        <v>2</v>
      </c>
      <c r="L983">
        <f t="shared" si="396"/>
        <v>1</v>
      </c>
      <c r="M983" t="str">
        <f t="shared" si="397"/>
        <v>Suele comer</v>
      </c>
      <c r="N983">
        <v>2110937</v>
      </c>
      <c r="O983">
        <f t="shared" si="398"/>
        <v>2</v>
      </c>
      <c r="P983" t="str">
        <f t="shared" si="399"/>
        <v>Mas de 3</v>
      </c>
      <c r="Q983">
        <v>1</v>
      </c>
      <c r="R983" t="str">
        <f t="shared" si="400"/>
        <v>A veces</v>
      </c>
      <c r="S983">
        <v>0</v>
      </c>
      <c r="T983" t="str">
        <f t="shared" si="401"/>
        <v>No fuma</v>
      </c>
      <c r="U983">
        <v>2175632</v>
      </c>
      <c r="V983">
        <f t="shared" si="402"/>
        <v>2</v>
      </c>
      <c r="W983" t="str">
        <f t="shared" si="403"/>
        <v>Siempre</v>
      </c>
      <c r="X983">
        <v>0</v>
      </c>
      <c r="Y983" t="str">
        <f t="shared" si="404"/>
        <v>No controla</v>
      </c>
      <c r="Z983">
        <v>1</v>
      </c>
      <c r="AA983">
        <f t="shared" si="405"/>
        <v>1</v>
      </c>
      <c r="AB983" t="str">
        <f t="shared" si="406"/>
        <v>A veces</v>
      </c>
      <c r="AC983">
        <v>0</v>
      </c>
      <c r="AD983">
        <f t="shared" si="407"/>
        <v>0</v>
      </c>
      <c r="AE983" t="str">
        <f t="shared" si="408"/>
        <v>Nunca</v>
      </c>
      <c r="AF983">
        <v>1</v>
      </c>
      <c r="AG983" t="str">
        <f t="shared" si="409"/>
        <v>A veces</v>
      </c>
      <c r="AH983">
        <v>0</v>
      </c>
      <c r="AI983" t="str">
        <f t="shared" si="410"/>
        <v>No usa</v>
      </c>
      <c r="AJ983">
        <v>0</v>
      </c>
      <c r="AK983" t="str">
        <f t="shared" si="411"/>
        <v>No usa</v>
      </c>
      <c r="AL983">
        <v>0</v>
      </c>
      <c r="AM983" t="str">
        <f t="shared" si="412"/>
        <v>No usa</v>
      </c>
      <c r="AN983">
        <v>0</v>
      </c>
      <c r="AO983" t="str">
        <f t="shared" si="413"/>
        <v>No usa</v>
      </c>
      <c r="AP983">
        <v>1</v>
      </c>
      <c r="AQ983" t="str">
        <f t="shared" si="414"/>
        <v>Camina</v>
      </c>
      <c r="AR983">
        <v>0</v>
      </c>
      <c r="AS983" t="str">
        <f t="shared" si="415"/>
        <v>No es obeso</v>
      </c>
    </row>
    <row r="984" spans="1:45" x14ac:dyDescent="0.25">
      <c r="A984">
        <v>1</v>
      </c>
      <c r="B984" t="str">
        <f t="shared" si="390"/>
        <v>M</v>
      </c>
      <c r="C984">
        <v>31327609</v>
      </c>
      <c r="D984">
        <f t="shared" si="391"/>
        <v>85</v>
      </c>
      <c r="E984">
        <f t="shared" si="392"/>
        <v>85</v>
      </c>
      <c r="F984" t="str">
        <f t="shared" si="393"/>
        <v>75-100</v>
      </c>
      <c r="G984">
        <v>1</v>
      </c>
      <c r="H984" t="str">
        <f t="shared" si="394"/>
        <v>Pariente gordo</v>
      </c>
      <c r="I984">
        <v>1</v>
      </c>
      <c r="J984" t="str">
        <f t="shared" si="395"/>
        <v>Hipercaloricos</v>
      </c>
      <c r="K984">
        <v>2300408</v>
      </c>
      <c r="L984">
        <f t="shared" si="396"/>
        <v>1</v>
      </c>
      <c r="M984" t="str">
        <f t="shared" si="397"/>
        <v>Suele comer</v>
      </c>
      <c r="N984">
        <v>3071028</v>
      </c>
      <c r="O984">
        <f t="shared" si="398"/>
        <v>2</v>
      </c>
      <c r="P984" t="str">
        <f t="shared" si="399"/>
        <v>Mas de 3</v>
      </c>
      <c r="Q984">
        <v>1</v>
      </c>
      <c r="R984" t="str">
        <f t="shared" si="400"/>
        <v>A veces</v>
      </c>
      <c r="S984">
        <v>0</v>
      </c>
      <c r="T984" t="str">
        <f t="shared" si="401"/>
        <v>No fuma</v>
      </c>
      <c r="U984">
        <v>1738959</v>
      </c>
      <c r="V984">
        <f t="shared" si="402"/>
        <v>2</v>
      </c>
      <c r="W984" t="str">
        <f t="shared" si="403"/>
        <v>Siempre</v>
      </c>
      <c r="X984">
        <v>0</v>
      </c>
      <c r="Y984" t="str">
        <f t="shared" si="404"/>
        <v>No controla</v>
      </c>
      <c r="Z984">
        <v>9.0147000000000005E-2</v>
      </c>
      <c r="AA984">
        <f t="shared" si="405"/>
        <v>0</v>
      </c>
      <c r="AB984" t="str">
        <f t="shared" si="406"/>
        <v>Nunca</v>
      </c>
      <c r="AC984">
        <v>0</v>
      </c>
      <c r="AD984">
        <f t="shared" si="407"/>
        <v>0</v>
      </c>
      <c r="AE984" t="str">
        <f t="shared" si="408"/>
        <v>Nunca</v>
      </c>
      <c r="AF984">
        <v>1</v>
      </c>
      <c r="AG984" t="str">
        <f t="shared" si="409"/>
        <v>A veces</v>
      </c>
      <c r="AH984">
        <v>1</v>
      </c>
      <c r="AI984" t="str">
        <f t="shared" si="410"/>
        <v>Usa auto</v>
      </c>
      <c r="AJ984">
        <v>0</v>
      </c>
      <c r="AK984" t="str">
        <f t="shared" si="411"/>
        <v>No usa</v>
      </c>
      <c r="AL984">
        <v>0</v>
      </c>
      <c r="AM984" t="str">
        <f t="shared" si="412"/>
        <v>No usa</v>
      </c>
      <c r="AN984">
        <v>0</v>
      </c>
      <c r="AO984" t="str">
        <f t="shared" si="413"/>
        <v>No usa</v>
      </c>
      <c r="AP984">
        <v>0</v>
      </c>
      <c r="AQ984" t="str">
        <f t="shared" si="414"/>
        <v>No camina</v>
      </c>
      <c r="AR984">
        <v>0</v>
      </c>
      <c r="AS984" t="str">
        <f t="shared" si="415"/>
        <v>No es obeso</v>
      </c>
    </row>
    <row r="985" spans="1:45" x14ac:dyDescent="0.25">
      <c r="A985">
        <v>1</v>
      </c>
      <c r="B985" t="str">
        <f t="shared" si="390"/>
        <v>M</v>
      </c>
      <c r="C985">
        <v>29956198</v>
      </c>
      <c r="D985">
        <f t="shared" si="391"/>
        <v>82</v>
      </c>
      <c r="E985">
        <f t="shared" si="392"/>
        <v>82</v>
      </c>
      <c r="F985" t="str">
        <f t="shared" si="393"/>
        <v>75-100</v>
      </c>
      <c r="G985">
        <v>1</v>
      </c>
      <c r="H985" t="str">
        <f t="shared" si="394"/>
        <v>Pariente gordo</v>
      </c>
      <c r="I985">
        <v>1</v>
      </c>
      <c r="J985" t="str">
        <f t="shared" si="395"/>
        <v>Hipercaloricos</v>
      </c>
      <c r="K985">
        <v>2119643</v>
      </c>
      <c r="L985">
        <f t="shared" si="396"/>
        <v>1</v>
      </c>
      <c r="M985" t="str">
        <f t="shared" si="397"/>
        <v>Suele comer</v>
      </c>
      <c r="N985">
        <v>3292956</v>
      </c>
      <c r="O985">
        <f t="shared" si="398"/>
        <v>2</v>
      </c>
      <c r="P985" t="str">
        <f t="shared" si="399"/>
        <v>Mas de 3</v>
      </c>
      <c r="Q985">
        <v>1</v>
      </c>
      <c r="R985" t="str">
        <f t="shared" si="400"/>
        <v>A veces</v>
      </c>
      <c r="S985">
        <v>0</v>
      </c>
      <c r="T985" t="str">
        <f t="shared" si="401"/>
        <v>No fuma</v>
      </c>
      <c r="U985">
        <v>1723372</v>
      </c>
      <c r="V985">
        <f t="shared" si="402"/>
        <v>2</v>
      </c>
      <c r="W985" t="str">
        <f t="shared" si="403"/>
        <v>Siempre</v>
      </c>
      <c r="X985">
        <v>0</v>
      </c>
      <c r="Y985" t="str">
        <f t="shared" si="404"/>
        <v>No controla</v>
      </c>
      <c r="Z985">
        <v>0</v>
      </c>
      <c r="AA985">
        <f t="shared" si="405"/>
        <v>0</v>
      </c>
      <c r="AB985" t="str">
        <f t="shared" si="406"/>
        <v>Nunca</v>
      </c>
      <c r="AC985">
        <v>0.98710200000000003</v>
      </c>
      <c r="AD985">
        <f t="shared" si="407"/>
        <v>0</v>
      </c>
      <c r="AE985" t="str">
        <f t="shared" si="408"/>
        <v>Nunca</v>
      </c>
      <c r="AF985">
        <v>1</v>
      </c>
      <c r="AG985" t="str">
        <f t="shared" si="409"/>
        <v>A veces</v>
      </c>
      <c r="AH985">
        <v>1</v>
      </c>
      <c r="AI985" t="str">
        <f t="shared" si="410"/>
        <v>Usa auto</v>
      </c>
      <c r="AJ985">
        <v>0</v>
      </c>
      <c r="AK985" t="str">
        <f t="shared" si="411"/>
        <v>No usa</v>
      </c>
      <c r="AL985">
        <v>0</v>
      </c>
      <c r="AM985" t="str">
        <f t="shared" si="412"/>
        <v>No usa</v>
      </c>
      <c r="AN985">
        <v>0</v>
      </c>
      <c r="AO985" t="str">
        <f t="shared" si="413"/>
        <v>No usa</v>
      </c>
      <c r="AP985">
        <v>0</v>
      </c>
      <c r="AQ985" t="str">
        <f t="shared" si="414"/>
        <v>No camina</v>
      </c>
      <c r="AR985">
        <v>0</v>
      </c>
      <c r="AS985" t="str">
        <f t="shared" si="415"/>
        <v>No es obeso</v>
      </c>
    </row>
    <row r="986" spans="1:45" x14ac:dyDescent="0.25">
      <c r="A986">
        <v>1</v>
      </c>
      <c r="B986" t="str">
        <f t="shared" si="390"/>
        <v>M</v>
      </c>
      <c r="C986">
        <v>21403421</v>
      </c>
      <c r="D986">
        <f t="shared" si="391"/>
        <v>58</v>
      </c>
      <c r="E986">
        <f t="shared" si="392"/>
        <v>58</v>
      </c>
      <c r="F986" t="str">
        <f t="shared" si="393"/>
        <v>50-75</v>
      </c>
      <c r="G986">
        <v>1</v>
      </c>
      <c r="H986" t="str">
        <f t="shared" si="394"/>
        <v>Pariente gordo</v>
      </c>
      <c r="I986">
        <v>1</v>
      </c>
      <c r="J986" t="str">
        <f t="shared" si="395"/>
        <v>Hipercaloricos</v>
      </c>
      <c r="K986">
        <v>2</v>
      </c>
      <c r="L986">
        <f t="shared" si="396"/>
        <v>1</v>
      </c>
      <c r="M986" t="str">
        <f t="shared" si="397"/>
        <v>Suele comer</v>
      </c>
      <c r="N986">
        <v>3</v>
      </c>
      <c r="O986">
        <f t="shared" si="398"/>
        <v>2</v>
      </c>
      <c r="P986" t="str">
        <f t="shared" si="399"/>
        <v>Mas de 3</v>
      </c>
      <c r="Q986">
        <v>1</v>
      </c>
      <c r="R986" t="str">
        <f t="shared" si="400"/>
        <v>A veces</v>
      </c>
      <c r="S986">
        <v>0</v>
      </c>
      <c r="T986" t="str">
        <f t="shared" si="401"/>
        <v>No fuma</v>
      </c>
      <c r="U986">
        <v>2</v>
      </c>
      <c r="V986">
        <f t="shared" si="402"/>
        <v>2</v>
      </c>
      <c r="W986" t="str">
        <f t="shared" si="403"/>
        <v>Siempre</v>
      </c>
      <c r="X986">
        <v>0</v>
      </c>
      <c r="Y986" t="str">
        <f t="shared" si="404"/>
        <v>No controla</v>
      </c>
      <c r="Z986">
        <v>2936551</v>
      </c>
      <c r="AA986">
        <f t="shared" si="405"/>
        <v>3</v>
      </c>
      <c r="AB986" t="str">
        <f t="shared" si="406"/>
        <v>Siempre</v>
      </c>
      <c r="AC986">
        <v>140913</v>
      </c>
      <c r="AD986">
        <f t="shared" si="407"/>
        <v>1</v>
      </c>
      <c r="AE986" t="str">
        <f t="shared" si="408"/>
        <v>Usualmente</v>
      </c>
      <c r="AF986">
        <v>0</v>
      </c>
      <c r="AG986" t="str">
        <f t="shared" si="409"/>
        <v>Nunca</v>
      </c>
      <c r="AH986">
        <v>0</v>
      </c>
      <c r="AI986" t="str">
        <f t="shared" si="410"/>
        <v>No usa</v>
      </c>
      <c r="AJ986">
        <v>0</v>
      </c>
      <c r="AK986" t="str">
        <f t="shared" si="411"/>
        <v>No usa</v>
      </c>
      <c r="AL986">
        <v>0</v>
      </c>
      <c r="AM986" t="str">
        <f t="shared" si="412"/>
        <v>No usa</v>
      </c>
      <c r="AN986">
        <v>1</v>
      </c>
      <c r="AO986" t="str">
        <f t="shared" si="413"/>
        <v>Usa Transporte</v>
      </c>
      <c r="AP986">
        <v>0</v>
      </c>
      <c r="AQ986" t="str">
        <f t="shared" si="414"/>
        <v>No camina</v>
      </c>
      <c r="AR986">
        <v>0</v>
      </c>
      <c r="AS986" t="str">
        <f t="shared" si="415"/>
        <v>No es obeso</v>
      </c>
    </row>
    <row r="987" spans="1:45" x14ac:dyDescent="0.25">
      <c r="A987">
        <v>1</v>
      </c>
      <c r="B987" t="str">
        <f t="shared" si="390"/>
        <v>M</v>
      </c>
      <c r="C987">
        <v>22591439</v>
      </c>
      <c r="D987">
        <f t="shared" si="391"/>
        <v>61</v>
      </c>
      <c r="E987">
        <f t="shared" si="392"/>
        <v>61</v>
      </c>
      <c r="F987" t="str">
        <f t="shared" si="393"/>
        <v>50-75</v>
      </c>
      <c r="G987">
        <v>1</v>
      </c>
      <c r="H987" t="str">
        <f t="shared" si="394"/>
        <v>Pariente gordo</v>
      </c>
      <c r="I987">
        <v>1</v>
      </c>
      <c r="J987" t="str">
        <f t="shared" si="395"/>
        <v>Hipercaloricos</v>
      </c>
      <c r="K987">
        <v>2</v>
      </c>
      <c r="L987">
        <f t="shared" si="396"/>
        <v>1</v>
      </c>
      <c r="M987" t="str">
        <f t="shared" si="397"/>
        <v>Suele comer</v>
      </c>
      <c r="N987">
        <v>3</v>
      </c>
      <c r="O987">
        <f t="shared" si="398"/>
        <v>2</v>
      </c>
      <c r="P987" t="str">
        <f t="shared" si="399"/>
        <v>Mas de 3</v>
      </c>
      <c r="Q987">
        <v>1</v>
      </c>
      <c r="R987" t="str">
        <f t="shared" si="400"/>
        <v>A veces</v>
      </c>
      <c r="S987">
        <v>0</v>
      </c>
      <c r="T987" t="str">
        <f t="shared" si="401"/>
        <v>No fuma</v>
      </c>
      <c r="U987">
        <v>2</v>
      </c>
      <c r="V987">
        <f t="shared" si="402"/>
        <v>2</v>
      </c>
      <c r="W987" t="str">
        <f t="shared" si="403"/>
        <v>Siempre</v>
      </c>
      <c r="X987">
        <v>0</v>
      </c>
      <c r="Y987" t="str">
        <f t="shared" si="404"/>
        <v>No controla</v>
      </c>
      <c r="Z987">
        <v>0.45107799999999998</v>
      </c>
      <c r="AA987">
        <f t="shared" si="405"/>
        <v>0</v>
      </c>
      <c r="AB987" t="str">
        <f t="shared" si="406"/>
        <v>Nunca</v>
      </c>
      <c r="AC987">
        <v>2</v>
      </c>
      <c r="AD987">
        <f t="shared" si="407"/>
        <v>2</v>
      </c>
      <c r="AE987" t="str">
        <f t="shared" si="408"/>
        <v>Siempre</v>
      </c>
      <c r="AF987">
        <v>0</v>
      </c>
      <c r="AG987" t="str">
        <f t="shared" si="409"/>
        <v>Nunca</v>
      </c>
      <c r="AH987">
        <v>0</v>
      </c>
      <c r="AI987" t="str">
        <f t="shared" si="410"/>
        <v>No usa</v>
      </c>
      <c r="AJ987">
        <v>0</v>
      </c>
      <c r="AK987" t="str">
        <f t="shared" si="411"/>
        <v>No usa</v>
      </c>
      <c r="AL987">
        <v>0</v>
      </c>
      <c r="AM987" t="str">
        <f t="shared" si="412"/>
        <v>No usa</v>
      </c>
      <c r="AN987">
        <v>1</v>
      </c>
      <c r="AO987" t="str">
        <f t="shared" si="413"/>
        <v>Usa Transporte</v>
      </c>
      <c r="AP987">
        <v>0</v>
      </c>
      <c r="AQ987" t="str">
        <f t="shared" si="414"/>
        <v>No camina</v>
      </c>
      <c r="AR987">
        <v>0</v>
      </c>
      <c r="AS987" t="str">
        <f t="shared" si="415"/>
        <v>No es obeso</v>
      </c>
    </row>
    <row r="988" spans="1:45" x14ac:dyDescent="0.25">
      <c r="A988">
        <v>0</v>
      </c>
      <c r="B988" t="str">
        <f t="shared" si="390"/>
        <v>F</v>
      </c>
      <c r="C988">
        <v>28583944</v>
      </c>
      <c r="D988">
        <f t="shared" si="391"/>
        <v>78</v>
      </c>
      <c r="E988">
        <f t="shared" si="392"/>
        <v>78</v>
      </c>
      <c r="F988" t="str">
        <f t="shared" si="393"/>
        <v>75-100</v>
      </c>
      <c r="G988">
        <v>1</v>
      </c>
      <c r="H988" t="str">
        <f t="shared" si="394"/>
        <v>Pariente gordo</v>
      </c>
      <c r="I988">
        <v>0</v>
      </c>
      <c r="J988" t="str">
        <f t="shared" si="395"/>
        <v>Saludables</v>
      </c>
      <c r="K988">
        <v>2</v>
      </c>
      <c r="L988">
        <f t="shared" si="396"/>
        <v>1</v>
      </c>
      <c r="M988" t="str">
        <f t="shared" si="397"/>
        <v>Suele comer</v>
      </c>
      <c r="N988">
        <v>2283673</v>
      </c>
      <c r="O988">
        <f t="shared" si="398"/>
        <v>2</v>
      </c>
      <c r="P988" t="str">
        <f t="shared" si="399"/>
        <v>Mas de 3</v>
      </c>
      <c r="Q988">
        <v>1</v>
      </c>
      <c r="R988" t="str">
        <f t="shared" si="400"/>
        <v>A veces</v>
      </c>
      <c r="S988">
        <v>0</v>
      </c>
      <c r="T988" t="str">
        <f t="shared" si="401"/>
        <v>No fuma</v>
      </c>
      <c r="U988">
        <v>1970622</v>
      </c>
      <c r="V988">
        <f t="shared" si="402"/>
        <v>2</v>
      </c>
      <c r="W988" t="str">
        <f t="shared" si="403"/>
        <v>Siempre</v>
      </c>
      <c r="X988">
        <v>0</v>
      </c>
      <c r="Y988" t="str">
        <f t="shared" si="404"/>
        <v>No controla</v>
      </c>
      <c r="Z988">
        <v>1863258</v>
      </c>
      <c r="AA988">
        <f t="shared" si="405"/>
        <v>3</v>
      </c>
      <c r="AB988" t="str">
        <f t="shared" si="406"/>
        <v>Siempre</v>
      </c>
      <c r="AC988">
        <v>1581703</v>
      </c>
      <c r="AD988">
        <f t="shared" si="407"/>
        <v>2</v>
      </c>
      <c r="AE988" t="str">
        <f t="shared" si="408"/>
        <v>Siempre</v>
      </c>
      <c r="AF988">
        <v>1</v>
      </c>
      <c r="AG988" t="str">
        <f t="shared" si="409"/>
        <v>A veces</v>
      </c>
      <c r="AH988">
        <v>0</v>
      </c>
      <c r="AI988" t="str">
        <f t="shared" si="410"/>
        <v>No usa</v>
      </c>
      <c r="AJ988">
        <v>0</v>
      </c>
      <c r="AK988" t="str">
        <f t="shared" si="411"/>
        <v>No usa</v>
      </c>
      <c r="AL988">
        <v>0</v>
      </c>
      <c r="AM988" t="str">
        <f t="shared" si="412"/>
        <v>No usa</v>
      </c>
      <c r="AN988">
        <v>1</v>
      </c>
      <c r="AO988" t="str">
        <f t="shared" si="413"/>
        <v>Usa Transporte</v>
      </c>
      <c r="AP988">
        <v>0</v>
      </c>
      <c r="AQ988" t="str">
        <f t="shared" si="414"/>
        <v>No camina</v>
      </c>
      <c r="AR988">
        <v>0</v>
      </c>
      <c r="AS988" t="str">
        <f t="shared" si="415"/>
        <v>No es obeso</v>
      </c>
    </row>
    <row r="989" spans="1:45" x14ac:dyDescent="0.25">
      <c r="A989">
        <v>1</v>
      </c>
      <c r="B989" t="str">
        <f t="shared" si="390"/>
        <v>M</v>
      </c>
      <c r="C989">
        <v>38825189</v>
      </c>
      <c r="D989">
        <f t="shared" si="391"/>
        <v>106</v>
      </c>
      <c r="E989">
        <f t="shared" si="392"/>
        <v>100</v>
      </c>
      <c r="F989" t="str">
        <f t="shared" si="393"/>
        <v>75-100</v>
      </c>
      <c r="G989">
        <v>1</v>
      </c>
      <c r="H989" t="str">
        <f t="shared" si="394"/>
        <v>Pariente gordo</v>
      </c>
      <c r="I989">
        <v>1</v>
      </c>
      <c r="J989" t="str">
        <f t="shared" si="395"/>
        <v>Hipercaloricos</v>
      </c>
      <c r="K989">
        <v>2901924</v>
      </c>
      <c r="L989">
        <f t="shared" si="396"/>
        <v>1</v>
      </c>
      <c r="M989" t="str">
        <f t="shared" si="397"/>
        <v>Suele comer</v>
      </c>
      <c r="N989">
        <v>1124977</v>
      </c>
      <c r="O989">
        <f t="shared" si="398"/>
        <v>2</v>
      </c>
      <c r="P989" t="str">
        <f t="shared" si="399"/>
        <v>Mas de 3</v>
      </c>
      <c r="Q989">
        <v>1</v>
      </c>
      <c r="R989" t="str">
        <f t="shared" si="400"/>
        <v>A veces</v>
      </c>
      <c r="S989">
        <v>0</v>
      </c>
      <c r="T989" t="str">
        <f t="shared" si="401"/>
        <v>No fuma</v>
      </c>
      <c r="U989">
        <v>276382</v>
      </c>
      <c r="V989">
        <f t="shared" si="402"/>
        <v>2</v>
      </c>
      <c r="W989" t="str">
        <f t="shared" si="403"/>
        <v>Siempre</v>
      </c>
      <c r="X989">
        <v>0</v>
      </c>
      <c r="Y989" t="str">
        <f t="shared" si="404"/>
        <v>No controla</v>
      </c>
      <c r="Z989">
        <v>0.85540000000000005</v>
      </c>
      <c r="AA989">
        <f t="shared" si="405"/>
        <v>0</v>
      </c>
      <c r="AB989" t="str">
        <f t="shared" si="406"/>
        <v>Nunca</v>
      </c>
      <c r="AC989">
        <v>0.99918300000000004</v>
      </c>
      <c r="AD989">
        <f t="shared" si="407"/>
        <v>0</v>
      </c>
      <c r="AE989" t="str">
        <f t="shared" si="408"/>
        <v>Nunca</v>
      </c>
      <c r="AF989">
        <v>1</v>
      </c>
      <c r="AG989" t="str">
        <f t="shared" si="409"/>
        <v>A veces</v>
      </c>
      <c r="AH989">
        <v>1</v>
      </c>
      <c r="AI989" t="str">
        <f t="shared" si="410"/>
        <v>Usa auto</v>
      </c>
      <c r="AJ989">
        <v>0</v>
      </c>
      <c r="AK989" t="str">
        <f t="shared" si="411"/>
        <v>No usa</v>
      </c>
      <c r="AL989">
        <v>0</v>
      </c>
      <c r="AM989" t="str">
        <f t="shared" si="412"/>
        <v>No usa</v>
      </c>
      <c r="AN989">
        <v>0</v>
      </c>
      <c r="AO989" t="str">
        <f t="shared" si="413"/>
        <v>No usa</v>
      </c>
      <c r="AP989">
        <v>0</v>
      </c>
      <c r="AQ989" t="str">
        <f t="shared" si="414"/>
        <v>No camina</v>
      </c>
      <c r="AR989">
        <v>0</v>
      </c>
      <c r="AS989" t="str">
        <f t="shared" si="415"/>
        <v>No es obeso</v>
      </c>
    </row>
    <row r="990" spans="1:45" x14ac:dyDescent="0.25">
      <c r="A990">
        <v>1</v>
      </c>
      <c r="B990" t="str">
        <f t="shared" si="390"/>
        <v>M</v>
      </c>
      <c r="C990">
        <v>35217173</v>
      </c>
      <c r="D990">
        <f t="shared" si="391"/>
        <v>96</v>
      </c>
      <c r="E990">
        <f t="shared" si="392"/>
        <v>96</v>
      </c>
      <c r="F990" t="str">
        <f t="shared" si="393"/>
        <v>75-100</v>
      </c>
      <c r="G990">
        <v>1</v>
      </c>
      <c r="H990" t="str">
        <f t="shared" si="394"/>
        <v>Pariente gordo</v>
      </c>
      <c r="I990">
        <v>1</v>
      </c>
      <c r="J990" t="str">
        <f t="shared" si="395"/>
        <v>Hipercaloricos</v>
      </c>
      <c r="K990">
        <v>2</v>
      </c>
      <c r="L990">
        <f t="shared" si="396"/>
        <v>1</v>
      </c>
      <c r="M990" t="str">
        <f t="shared" si="397"/>
        <v>Suele comer</v>
      </c>
      <c r="N990">
        <v>29948</v>
      </c>
      <c r="O990">
        <f t="shared" si="398"/>
        <v>2</v>
      </c>
      <c r="P990" t="str">
        <f t="shared" si="399"/>
        <v>Mas de 3</v>
      </c>
      <c r="Q990">
        <v>1</v>
      </c>
      <c r="R990" t="str">
        <f t="shared" si="400"/>
        <v>A veces</v>
      </c>
      <c r="S990">
        <v>0</v>
      </c>
      <c r="T990" t="str">
        <f t="shared" si="401"/>
        <v>No fuma</v>
      </c>
      <c r="U990">
        <v>1290979</v>
      </c>
      <c r="V990">
        <f t="shared" si="402"/>
        <v>2</v>
      </c>
      <c r="W990" t="str">
        <f t="shared" si="403"/>
        <v>Siempre</v>
      </c>
      <c r="X990">
        <v>0</v>
      </c>
      <c r="Y990" t="str">
        <f t="shared" si="404"/>
        <v>No controla</v>
      </c>
      <c r="Z990">
        <v>0.87599000000000005</v>
      </c>
      <c r="AA990">
        <f t="shared" si="405"/>
        <v>0</v>
      </c>
      <c r="AB990" t="str">
        <f t="shared" si="406"/>
        <v>Nunca</v>
      </c>
      <c r="AC990">
        <v>0.85404999999999998</v>
      </c>
      <c r="AD990">
        <f t="shared" si="407"/>
        <v>0</v>
      </c>
      <c r="AE990" t="str">
        <f t="shared" si="408"/>
        <v>Nunca</v>
      </c>
      <c r="AF990">
        <v>1</v>
      </c>
      <c r="AG990" t="str">
        <f t="shared" si="409"/>
        <v>A veces</v>
      </c>
      <c r="AH990">
        <v>1</v>
      </c>
      <c r="AI990" t="str">
        <f t="shared" si="410"/>
        <v>Usa auto</v>
      </c>
      <c r="AJ990">
        <v>0</v>
      </c>
      <c r="AK990" t="str">
        <f t="shared" si="411"/>
        <v>No usa</v>
      </c>
      <c r="AL990">
        <v>0</v>
      </c>
      <c r="AM990" t="str">
        <f t="shared" si="412"/>
        <v>No usa</v>
      </c>
      <c r="AN990">
        <v>0</v>
      </c>
      <c r="AO990" t="str">
        <f t="shared" si="413"/>
        <v>No usa</v>
      </c>
      <c r="AP990">
        <v>0</v>
      </c>
      <c r="AQ990" t="str">
        <f t="shared" si="414"/>
        <v>No camina</v>
      </c>
      <c r="AR990">
        <v>0</v>
      </c>
      <c r="AS990" t="str">
        <f t="shared" si="415"/>
        <v>No es obeso</v>
      </c>
    </row>
    <row r="991" spans="1:45" x14ac:dyDescent="0.25">
      <c r="A991">
        <v>0</v>
      </c>
      <c r="B991" t="str">
        <f t="shared" si="390"/>
        <v>F</v>
      </c>
      <c r="C991">
        <v>20392665</v>
      </c>
      <c r="D991">
        <f t="shared" si="391"/>
        <v>55</v>
      </c>
      <c r="E991">
        <f t="shared" si="392"/>
        <v>55</v>
      </c>
      <c r="F991" t="str">
        <f t="shared" si="393"/>
        <v>50-75</v>
      </c>
      <c r="G991">
        <v>1</v>
      </c>
      <c r="H991" t="str">
        <f t="shared" si="394"/>
        <v>Pariente gordo</v>
      </c>
      <c r="I991">
        <v>0</v>
      </c>
      <c r="J991" t="str">
        <f t="shared" si="395"/>
        <v>Saludables</v>
      </c>
      <c r="K991">
        <v>2451009</v>
      </c>
      <c r="L991">
        <f t="shared" si="396"/>
        <v>1</v>
      </c>
      <c r="M991" t="str">
        <f t="shared" si="397"/>
        <v>Suele comer</v>
      </c>
      <c r="N991">
        <v>3</v>
      </c>
      <c r="O991">
        <f t="shared" si="398"/>
        <v>2</v>
      </c>
      <c r="P991" t="str">
        <f t="shared" si="399"/>
        <v>Mas de 3</v>
      </c>
      <c r="Q991">
        <v>1</v>
      </c>
      <c r="R991" t="str">
        <f t="shared" si="400"/>
        <v>A veces</v>
      </c>
      <c r="S991">
        <v>0</v>
      </c>
      <c r="T991" t="str">
        <f t="shared" si="401"/>
        <v>No fuma</v>
      </c>
      <c r="U991">
        <v>2</v>
      </c>
      <c r="V991">
        <f t="shared" si="402"/>
        <v>2</v>
      </c>
      <c r="W991" t="str">
        <f t="shared" si="403"/>
        <v>Siempre</v>
      </c>
      <c r="X991">
        <v>0</v>
      </c>
      <c r="Y991" t="str">
        <f t="shared" si="404"/>
        <v>No controla</v>
      </c>
      <c r="Z991">
        <v>2177243</v>
      </c>
      <c r="AA991">
        <f t="shared" si="405"/>
        <v>3</v>
      </c>
      <c r="AB991" t="str">
        <f t="shared" si="406"/>
        <v>Siempre</v>
      </c>
      <c r="AC991">
        <v>1323877</v>
      </c>
      <c r="AD991">
        <f t="shared" si="407"/>
        <v>2</v>
      </c>
      <c r="AE991" t="str">
        <f t="shared" si="408"/>
        <v>Siempre</v>
      </c>
      <c r="AF991">
        <v>0</v>
      </c>
      <c r="AG991" t="str">
        <f t="shared" si="409"/>
        <v>Nunca</v>
      </c>
      <c r="AH991">
        <v>0</v>
      </c>
      <c r="AI991" t="str">
        <f t="shared" si="410"/>
        <v>No usa</v>
      </c>
      <c r="AJ991">
        <v>0</v>
      </c>
      <c r="AK991" t="str">
        <f t="shared" si="411"/>
        <v>No usa</v>
      </c>
      <c r="AL991">
        <v>0</v>
      </c>
      <c r="AM991" t="str">
        <f t="shared" si="412"/>
        <v>No usa</v>
      </c>
      <c r="AN991">
        <v>1</v>
      </c>
      <c r="AO991" t="str">
        <f t="shared" si="413"/>
        <v>Usa Transporte</v>
      </c>
      <c r="AP991">
        <v>0</v>
      </c>
      <c r="AQ991" t="str">
        <f t="shared" si="414"/>
        <v>No camina</v>
      </c>
      <c r="AR991">
        <v>0</v>
      </c>
      <c r="AS991" t="str">
        <f t="shared" si="415"/>
        <v>No es obeso</v>
      </c>
    </row>
    <row r="992" spans="1:45" x14ac:dyDescent="0.25">
      <c r="A992">
        <v>0</v>
      </c>
      <c r="B992" t="str">
        <f t="shared" si="390"/>
        <v>F</v>
      </c>
      <c r="C992">
        <v>22154854</v>
      </c>
      <c r="D992">
        <f t="shared" si="391"/>
        <v>60</v>
      </c>
      <c r="E992">
        <f t="shared" si="392"/>
        <v>60</v>
      </c>
      <c r="F992" t="str">
        <f t="shared" si="393"/>
        <v>50-75</v>
      </c>
      <c r="G992">
        <v>1</v>
      </c>
      <c r="H992" t="str">
        <f t="shared" si="394"/>
        <v>Pariente gordo</v>
      </c>
      <c r="I992">
        <v>0</v>
      </c>
      <c r="J992" t="str">
        <f t="shared" si="395"/>
        <v>Saludables</v>
      </c>
      <c r="K992">
        <v>2</v>
      </c>
      <c r="L992">
        <f t="shared" si="396"/>
        <v>1</v>
      </c>
      <c r="M992" t="str">
        <f t="shared" si="397"/>
        <v>Suele comer</v>
      </c>
      <c r="N992">
        <v>2983297</v>
      </c>
      <c r="O992">
        <f t="shared" si="398"/>
        <v>2</v>
      </c>
      <c r="P992" t="str">
        <f t="shared" si="399"/>
        <v>Mas de 3</v>
      </c>
      <c r="Q992">
        <v>1</v>
      </c>
      <c r="R992" t="str">
        <f t="shared" si="400"/>
        <v>A veces</v>
      </c>
      <c r="S992">
        <v>0</v>
      </c>
      <c r="T992" t="str">
        <f t="shared" si="401"/>
        <v>No fuma</v>
      </c>
      <c r="U992">
        <v>1453626</v>
      </c>
      <c r="V992">
        <f t="shared" si="402"/>
        <v>2</v>
      </c>
      <c r="W992" t="str">
        <f t="shared" si="403"/>
        <v>Siempre</v>
      </c>
      <c r="X992">
        <v>0</v>
      </c>
      <c r="Y992" t="str">
        <f t="shared" si="404"/>
        <v>No controla</v>
      </c>
      <c r="Z992">
        <v>0.32895999999999997</v>
      </c>
      <c r="AA992">
        <f t="shared" si="405"/>
        <v>0</v>
      </c>
      <c r="AB992" t="str">
        <f t="shared" si="406"/>
        <v>Nunca</v>
      </c>
      <c r="AC992">
        <v>0.50939599999999996</v>
      </c>
      <c r="AD992">
        <f t="shared" si="407"/>
        <v>0</v>
      </c>
      <c r="AE992" t="str">
        <f t="shared" si="408"/>
        <v>Nunca</v>
      </c>
      <c r="AF992">
        <v>0</v>
      </c>
      <c r="AG992" t="str">
        <f t="shared" si="409"/>
        <v>Nunca</v>
      </c>
      <c r="AH992">
        <v>0</v>
      </c>
      <c r="AI992" t="str">
        <f t="shared" si="410"/>
        <v>No usa</v>
      </c>
      <c r="AJ992">
        <v>0</v>
      </c>
      <c r="AK992" t="str">
        <f t="shared" si="411"/>
        <v>No usa</v>
      </c>
      <c r="AL992">
        <v>0</v>
      </c>
      <c r="AM992" t="str">
        <f t="shared" si="412"/>
        <v>No usa</v>
      </c>
      <c r="AN992">
        <v>1</v>
      </c>
      <c r="AO992" t="str">
        <f t="shared" si="413"/>
        <v>Usa Transporte</v>
      </c>
      <c r="AP992">
        <v>0</v>
      </c>
      <c r="AQ992" t="str">
        <f t="shared" si="414"/>
        <v>No camina</v>
      </c>
      <c r="AR992">
        <v>0</v>
      </c>
      <c r="AS992" t="str">
        <f t="shared" si="415"/>
        <v>No es obeso</v>
      </c>
    </row>
    <row r="993" spans="1:45" x14ac:dyDescent="0.25">
      <c r="A993">
        <v>1</v>
      </c>
      <c r="B993" t="str">
        <f t="shared" si="390"/>
        <v>M</v>
      </c>
      <c r="C993">
        <v>19108796</v>
      </c>
      <c r="D993">
        <f t="shared" si="391"/>
        <v>52</v>
      </c>
      <c r="E993">
        <f t="shared" si="392"/>
        <v>52</v>
      </c>
      <c r="F993" t="str">
        <f t="shared" si="393"/>
        <v>50-75</v>
      </c>
      <c r="G993">
        <v>1</v>
      </c>
      <c r="H993" t="str">
        <f t="shared" si="394"/>
        <v>Pariente gordo</v>
      </c>
      <c r="I993">
        <v>1</v>
      </c>
      <c r="J993" t="str">
        <f t="shared" si="395"/>
        <v>Hipercaloricos</v>
      </c>
      <c r="K993">
        <v>2754646</v>
      </c>
      <c r="L993">
        <f t="shared" si="396"/>
        <v>1</v>
      </c>
      <c r="M993" t="str">
        <f t="shared" si="397"/>
        <v>Suele comer</v>
      </c>
      <c r="N993">
        <v>3</v>
      </c>
      <c r="O993">
        <f t="shared" si="398"/>
        <v>2</v>
      </c>
      <c r="P993" t="str">
        <f t="shared" si="399"/>
        <v>Mas de 3</v>
      </c>
      <c r="Q993">
        <v>1</v>
      </c>
      <c r="R993" t="str">
        <f t="shared" si="400"/>
        <v>A veces</v>
      </c>
      <c r="S993">
        <v>0</v>
      </c>
      <c r="T993" t="str">
        <f t="shared" si="401"/>
        <v>No fuma</v>
      </c>
      <c r="U993">
        <v>2957821</v>
      </c>
      <c r="V993">
        <f t="shared" si="402"/>
        <v>2</v>
      </c>
      <c r="W993" t="str">
        <f t="shared" si="403"/>
        <v>Siempre</v>
      </c>
      <c r="X993">
        <v>0</v>
      </c>
      <c r="Y993" t="str">
        <f t="shared" si="404"/>
        <v>No controla</v>
      </c>
      <c r="Z993">
        <v>2242754</v>
      </c>
      <c r="AA993">
        <f t="shared" si="405"/>
        <v>3</v>
      </c>
      <c r="AB993" t="str">
        <f t="shared" si="406"/>
        <v>Siempre</v>
      </c>
      <c r="AC993">
        <v>0.786609</v>
      </c>
      <c r="AD993">
        <f t="shared" si="407"/>
        <v>0</v>
      </c>
      <c r="AE993" t="str">
        <f t="shared" si="408"/>
        <v>Nunca</v>
      </c>
      <c r="AF993">
        <v>1</v>
      </c>
      <c r="AG993" t="str">
        <f t="shared" si="409"/>
        <v>A veces</v>
      </c>
      <c r="AH993">
        <v>0</v>
      </c>
      <c r="AI993" t="str">
        <f t="shared" si="410"/>
        <v>No usa</v>
      </c>
      <c r="AJ993">
        <v>0</v>
      </c>
      <c r="AK993" t="str">
        <f t="shared" si="411"/>
        <v>No usa</v>
      </c>
      <c r="AL993">
        <v>0</v>
      </c>
      <c r="AM993" t="str">
        <f t="shared" si="412"/>
        <v>No usa</v>
      </c>
      <c r="AN993">
        <v>1</v>
      </c>
      <c r="AO993" t="str">
        <f t="shared" si="413"/>
        <v>Usa Transporte</v>
      </c>
      <c r="AP993">
        <v>0</v>
      </c>
      <c r="AQ993" t="str">
        <f t="shared" si="414"/>
        <v>No camina</v>
      </c>
      <c r="AR993">
        <v>0</v>
      </c>
      <c r="AS993" t="str">
        <f t="shared" si="415"/>
        <v>No es obeso</v>
      </c>
    </row>
    <row r="994" spans="1:45" x14ac:dyDescent="0.25">
      <c r="A994">
        <v>0</v>
      </c>
      <c r="B994" t="str">
        <f t="shared" si="390"/>
        <v>F</v>
      </c>
      <c r="C994">
        <v>2070768</v>
      </c>
      <c r="D994">
        <f t="shared" si="391"/>
        <v>5</v>
      </c>
      <c r="E994">
        <f t="shared" si="392"/>
        <v>5</v>
      </c>
      <c r="F994" t="str">
        <f t="shared" si="393"/>
        <v>1-25</v>
      </c>
      <c r="G994">
        <v>1</v>
      </c>
      <c r="H994" t="str">
        <f t="shared" si="394"/>
        <v>Pariente gordo</v>
      </c>
      <c r="I994">
        <v>0</v>
      </c>
      <c r="J994" t="str">
        <f t="shared" si="395"/>
        <v>Saludables</v>
      </c>
      <c r="K994">
        <v>2417635</v>
      </c>
      <c r="L994">
        <f t="shared" si="396"/>
        <v>1</v>
      </c>
      <c r="M994" t="str">
        <f t="shared" si="397"/>
        <v>Suele comer</v>
      </c>
      <c r="N994">
        <v>3</v>
      </c>
      <c r="O994">
        <f t="shared" si="398"/>
        <v>2</v>
      </c>
      <c r="P994" t="str">
        <f t="shared" si="399"/>
        <v>Mas de 3</v>
      </c>
      <c r="Q994">
        <v>1</v>
      </c>
      <c r="R994" t="str">
        <f t="shared" si="400"/>
        <v>A veces</v>
      </c>
      <c r="S994">
        <v>0</v>
      </c>
      <c r="T994" t="str">
        <f t="shared" si="401"/>
        <v>No fuma</v>
      </c>
      <c r="U994">
        <v>1937674</v>
      </c>
      <c r="V994">
        <f t="shared" si="402"/>
        <v>2</v>
      </c>
      <c r="W994" t="str">
        <f t="shared" si="403"/>
        <v>Siempre</v>
      </c>
      <c r="X994">
        <v>0</v>
      </c>
      <c r="Y994" t="str">
        <f t="shared" si="404"/>
        <v>No controla</v>
      </c>
      <c r="Z994">
        <v>1417035</v>
      </c>
      <c r="AA994">
        <f t="shared" si="405"/>
        <v>3</v>
      </c>
      <c r="AB994" t="str">
        <f t="shared" si="406"/>
        <v>Siempre</v>
      </c>
      <c r="AC994">
        <v>1</v>
      </c>
      <c r="AD994">
        <f t="shared" si="407"/>
        <v>1</v>
      </c>
      <c r="AE994" t="str">
        <f t="shared" si="408"/>
        <v>Usualmente</v>
      </c>
      <c r="AF994">
        <v>0</v>
      </c>
      <c r="AG994" t="str">
        <f t="shared" si="409"/>
        <v>Nunca</v>
      </c>
      <c r="AH994">
        <v>0</v>
      </c>
      <c r="AI994" t="str">
        <f t="shared" si="410"/>
        <v>No usa</v>
      </c>
      <c r="AJ994">
        <v>0</v>
      </c>
      <c r="AK994" t="str">
        <f t="shared" si="411"/>
        <v>No usa</v>
      </c>
      <c r="AL994">
        <v>0</v>
      </c>
      <c r="AM994" t="str">
        <f t="shared" si="412"/>
        <v>No usa</v>
      </c>
      <c r="AN994">
        <v>1</v>
      </c>
      <c r="AO994" t="str">
        <f t="shared" si="413"/>
        <v>Usa Transporte</v>
      </c>
      <c r="AP994">
        <v>0</v>
      </c>
      <c r="AQ994" t="str">
        <f t="shared" si="414"/>
        <v>No camina</v>
      </c>
      <c r="AR994">
        <v>0</v>
      </c>
      <c r="AS994" t="str">
        <f t="shared" si="415"/>
        <v>No es obeso</v>
      </c>
    </row>
    <row r="995" spans="1:45" x14ac:dyDescent="0.25">
      <c r="A995">
        <v>0</v>
      </c>
      <c r="B995" t="str">
        <f t="shared" si="390"/>
        <v>F</v>
      </c>
      <c r="C995">
        <v>20634694</v>
      </c>
      <c r="D995">
        <f t="shared" si="391"/>
        <v>56</v>
      </c>
      <c r="E995">
        <f t="shared" si="392"/>
        <v>56</v>
      </c>
      <c r="F995" t="str">
        <f t="shared" si="393"/>
        <v>50-75</v>
      </c>
      <c r="G995">
        <v>1</v>
      </c>
      <c r="H995" t="str">
        <f t="shared" si="394"/>
        <v>Pariente gordo</v>
      </c>
      <c r="I995">
        <v>0</v>
      </c>
      <c r="J995" t="str">
        <f t="shared" si="395"/>
        <v>Saludables</v>
      </c>
      <c r="K995">
        <v>2512719</v>
      </c>
      <c r="L995">
        <f t="shared" si="396"/>
        <v>1</v>
      </c>
      <c r="M995" t="str">
        <f t="shared" si="397"/>
        <v>Suele comer</v>
      </c>
      <c r="N995">
        <v>3</v>
      </c>
      <c r="O995">
        <f t="shared" si="398"/>
        <v>2</v>
      </c>
      <c r="P995" t="str">
        <f t="shared" si="399"/>
        <v>Mas de 3</v>
      </c>
      <c r="Q995">
        <v>1</v>
      </c>
      <c r="R995" t="str">
        <f t="shared" si="400"/>
        <v>A veces</v>
      </c>
      <c r="S995">
        <v>0</v>
      </c>
      <c r="T995" t="str">
        <f t="shared" si="401"/>
        <v>No fuma</v>
      </c>
      <c r="U995">
        <v>1131169</v>
      </c>
      <c r="V995">
        <f t="shared" si="402"/>
        <v>2</v>
      </c>
      <c r="W995" t="str">
        <f t="shared" si="403"/>
        <v>Siempre</v>
      </c>
      <c r="X995">
        <v>0</v>
      </c>
      <c r="Y995" t="str">
        <f t="shared" si="404"/>
        <v>No controla</v>
      </c>
      <c r="Z995">
        <v>9.5389000000000002E-2</v>
      </c>
      <c r="AA995">
        <f t="shared" si="405"/>
        <v>0</v>
      </c>
      <c r="AB995" t="str">
        <f t="shared" si="406"/>
        <v>Nunca</v>
      </c>
      <c r="AC995">
        <v>1</v>
      </c>
      <c r="AD995">
        <f t="shared" si="407"/>
        <v>1</v>
      </c>
      <c r="AE995" t="str">
        <f t="shared" si="408"/>
        <v>Usualmente</v>
      </c>
      <c r="AF995">
        <v>0</v>
      </c>
      <c r="AG995" t="str">
        <f t="shared" si="409"/>
        <v>Nunca</v>
      </c>
      <c r="AH995">
        <v>0</v>
      </c>
      <c r="AI995" t="str">
        <f t="shared" si="410"/>
        <v>No usa</v>
      </c>
      <c r="AJ995">
        <v>0</v>
      </c>
      <c r="AK995" t="str">
        <f t="shared" si="411"/>
        <v>No usa</v>
      </c>
      <c r="AL995">
        <v>0</v>
      </c>
      <c r="AM995" t="str">
        <f t="shared" si="412"/>
        <v>No usa</v>
      </c>
      <c r="AN995">
        <v>1</v>
      </c>
      <c r="AO995" t="str">
        <f t="shared" si="413"/>
        <v>Usa Transporte</v>
      </c>
      <c r="AP995">
        <v>0</v>
      </c>
      <c r="AQ995" t="str">
        <f t="shared" si="414"/>
        <v>No camina</v>
      </c>
      <c r="AR995">
        <v>0</v>
      </c>
      <c r="AS995" t="str">
        <f t="shared" si="415"/>
        <v>No es obeso</v>
      </c>
    </row>
    <row r="996" spans="1:45" x14ac:dyDescent="0.25">
      <c r="A996">
        <v>1</v>
      </c>
      <c r="B996" t="str">
        <f t="shared" si="390"/>
        <v>M</v>
      </c>
      <c r="C996">
        <v>22052152</v>
      </c>
      <c r="D996">
        <f t="shared" si="391"/>
        <v>60</v>
      </c>
      <c r="E996">
        <f t="shared" si="392"/>
        <v>60</v>
      </c>
      <c r="F996" t="str">
        <f t="shared" si="393"/>
        <v>50-75</v>
      </c>
      <c r="G996">
        <v>1</v>
      </c>
      <c r="H996" t="str">
        <f t="shared" si="394"/>
        <v>Pariente gordo</v>
      </c>
      <c r="I996">
        <v>1</v>
      </c>
      <c r="J996" t="str">
        <f t="shared" si="395"/>
        <v>Hipercaloricos</v>
      </c>
      <c r="K996">
        <v>1771693</v>
      </c>
      <c r="L996">
        <f t="shared" si="396"/>
        <v>1</v>
      </c>
      <c r="M996" t="str">
        <f t="shared" si="397"/>
        <v>Suele comer</v>
      </c>
      <c r="N996">
        <v>1890213</v>
      </c>
      <c r="O996">
        <f t="shared" si="398"/>
        <v>2</v>
      </c>
      <c r="P996" t="str">
        <f t="shared" si="399"/>
        <v>Mas de 3</v>
      </c>
      <c r="Q996">
        <v>1</v>
      </c>
      <c r="R996" t="str">
        <f t="shared" si="400"/>
        <v>A veces</v>
      </c>
      <c r="S996">
        <v>0</v>
      </c>
      <c r="T996" t="str">
        <f t="shared" si="401"/>
        <v>No fuma</v>
      </c>
      <c r="U996">
        <v>2</v>
      </c>
      <c r="V996">
        <f t="shared" si="402"/>
        <v>2</v>
      </c>
      <c r="W996" t="str">
        <f t="shared" si="403"/>
        <v>Siempre</v>
      </c>
      <c r="X996">
        <v>0</v>
      </c>
      <c r="Y996" t="str">
        <f t="shared" si="404"/>
        <v>No controla</v>
      </c>
      <c r="Z996">
        <v>0</v>
      </c>
      <c r="AA996">
        <f t="shared" si="405"/>
        <v>0</v>
      </c>
      <c r="AB996" t="str">
        <f t="shared" si="406"/>
        <v>Nunca</v>
      </c>
      <c r="AC996">
        <v>136595</v>
      </c>
      <c r="AD996">
        <f t="shared" si="407"/>
        <v>1</v>
      </c>
      <c r="AE996" t="str">
        <f t="shared" si="408"/>
        <v>Usualmente</v>
      </c>
      <c r="AF996">
        <v>1</v>
      </c>
      <c r="AG996" t="str">
        <f t="shared" si="409"/>
        <v>A veces</v>
      </c>
      <c r="AH996">
        <v>0</v>
      </c>
      <c r="AI996" t="str">
        <f t="shared" si="410"/>
        <v>No usa</v>
      </c>
      <c r="AJ996">
        <v>0</v>
      </c>
      <c r="AK996" t="str">
        <f t="shared" si="411"/>
        <v>No usa</v>
      </c>
      <c r="AL996">
        <v>0</v>
      </c>
      <c r="AM996" t="str">
        <f t="shared" si="412"/>
        <v>No usa</v>
      </c>
      <c r="AN996">
        <v>1</v>
      </c>
      <c r="AO996" t="str">
        <f t="shared" si="413"/>
        <v>Usa Transporte</v>
      </c>
      <c r="AP996">
        <v>0</v>
      </c>
      <c r="AQ996" t="str">
        <f t="shared" si="414"/>
        <v>No camina</v>
      </c>
      <c r="AR996">
        <v>0</v>
      </c>
      <c r="AS996" t="str">
        <f t="shared" si="415"/>
        <v>No es obeso</v>
      </c>
    </row>
    <row r="997" spans="1:45" x14ac:dyDescent="0.25">
      <c r="A997">
        <v>1</v>
      </c>
      <c r="B997" t="str">
        <f t="shared" si="390"/>
        <v>M</v>
      </c>
      <c r="C997">
        <v>22869778</v>
      </c>
      <c r="D997">
        <f t="shared" si="391"/>
        <v>62</v>
      </c>
      <c r="E997">
        <f t="shared" si="392"/>
        <v>62</v>
      </c>
      <c r="F997" t="str">
        <f t="shared" si="393"/>
        <v>50-75</v>
      </c>
      <c r="G997">
        <v>1</v>
      </c>
      <c r="H997" t="str">
        <f t="shared" si="394"/>
        <v>Pariente gordo</v>
      </c>
      <c r="I997">
        <v>1</v>
      </c>
      <c r="J997" t="str">
        <f t="shared" si="395"/>
        <v>Hipercaloricos</v>
      </c>
      <c r="K997">
        <v>157223</v>
      </c>
      <c r="L997">
        <f t="shared" si="396"/>
        <v>1</v>
      </c>
      <c r="M997" t="str">
        <f t="shared" si="397"/>
        <v>Suele comer</v>
      </c>
      <c r="N997">
        <v>1888067</v>
      </c>
      <c r="O997">
        <f t="shared" si="398"/>
        <v>2</v>
      </c>
      <c r="P997" t="str">
        <f t="shared" si="399"/>
        <v>Mas de 3</v>
      </c>
      <c r="Q997">
        <v>1</v>
      </c>
      <c r="R997" t="str">
        <f t="shared" si="400"/>
        <v>A veces</v>
      </c>
      <c r="S997">
        <v>0</v>
      </c>
      <c r="T997" t="str">
        <f t="shared" si="401"/>
        <v>No fuma</v>
      </c>
      <c r="U997">
        <v>2</v>
      </c>
      <c r="V997">
        <f t="shared" si="402"/>
        <v>2</v>
      </c>
      <c r="W997" t="str">
        <f t="shared" si="403"/>
        <v>Siempre</v>
      </c>
      <c r="X997">
        <v>0</v>
      </c>
      <c r="Y997" t="str">
        <f t="shared" si="404"/>
        <v>No controla</v>
      </c>
      <c r="Z997">
        <v>0</v>
      </c>
      <c r="AA997">
        <f t="shared" si="405"/>
        <v>0</v>
      </c>
      <c r="AB997" t="str">
        <f t="shared" si="406"/>
        <v>Nunca</v>
      </c>
      <c r="AC997">
        <v>0.55249800000000004</v>
      </c>
      <c r="AD997">
        <f t="shared" si="407"/>
        <v>0</v>
      </c>
      <c r="AE997" t="str">
        <f t="shared" si="408"/>
        <v>Nunca</v>
      </c>
      <c r="AF997">
        <v>1</v>
      </c>
      <c r="AG997" t="str">
        <f t="shared" si="409"/>
        <v>A veces</v>
      </c>
      <c r="AH997">
        <v>0</v>
      </c>
      <c r="AI997" t="str">
        <f t="shared" si="410"/>
        <v>No usa</v>
      </c>
      <c r="AJ997">
        <v>0</v>
      </c>
      <c r="AK997" t="str">
        <f t="shared" si="411"/>
        <v>No usa</v>
      </c>
      <c r="AL997">
        <v>0</v>
      </c>
      <c r="AM997" t="str">
        <f t="shared" si="412"/>
        <v>No usa</v>
      </c>
      <c r="AN997">
        <v>1</v>
      </c>
      <c r="AO997" t="str">
        <f t="shared" si="413"/>
        <v>Usa Transporte</v>
      </c>
      <c r="AP997">
        <v>0</v>
      </c>
      <c r="AQ997" t="str">
        <f t="shared" si="414"/>
        <v>No camina</v>
      </c>
      <c r="AR997">
        <v>0</v>
      </c>
      <c r="AS997" t="str">
        <f t="shared" si="415"/>
        <v>No es obeso</v>
      </c>
    </row>
    <row r="998" spans="1:45" x14ac:dyDescent="0.25">
      <c r="A998">
        <v>0</v>
      </c>
      <c r="B998" t="str">
        <f t="shared" si="390"/>
        <v>F</v>
      </c>
      <c r="C998">
        <v>22909992</v>
      </c>
      <c r="D998">
        <f t="shared" si="391"/>
        <v>62</v>
      </c>
      <c r="E998">
        <f t="shared" si="392"/>
        <v>62</v>
      </c>
      <c r="F998" t="str">
        <f t="shared" si="393"/>
        <v>50-75</v>
      </c>
      <c r="G998">
        <v>1</v>
      </c>
      <c r="H998" t="str">
        <f t="shared" si="394"/>
        <v>Pariente gordo</v>
      </c>
      <c r="I998">
        <v>1</v>
      </c>
      <c r="J998" t="str">
        <f t="shared" si="395"/>
        <v>Hipercaloricos</v>
      </c>
      <c r="K998">
        <v>2</v>
      </c>
      <c r="L998">
        <f t="shared" si="396"/>
        <v>1</v>
      </c>
      <c r="M998" t="str">
        <f t="shared" si="397"/>
        <v>Suele comer</v>
      </c>
      <c r="N998">
        <v>3</v>
      </c>
      <c r="O998">
        <f t="shared" si="398"/>
        <v>2</v>
      </c>
      <c r="P998" t="str">
        <f t="shared" si="399"/>
        <v>Mas de 3</v>
      </c>
      <c r="Q998">
        <v>1</v>
      </c>
      <c r="R998" t="str">
        <f t="shared" si="400"/>
        <v>A veces</v>
      </c>
      <c r="S998">
        <v>0</v>
      </c>
      <c r="T998" t="str">
        <f t="shared" si="401"/>
        <v>No fuma</v>
      </c>
      <c r="U998">
        <v>2</v>
      </c>
      <c r="V998">
        <f t="shared" si="402"/>
        <v>2</v>
      </c>
      <c r="W998" t="str">
        <f t="shared" si="403"/>
        <v>Siempre</v>
      </c>
      <c r="X998">
        <v>0</v>
      </c>
      <c r="Y998" t="str">
        <f t="shared" si="404"/>
        <v>No controla</v>
      </c>
      <c r="Z998">
        <v>0.97311400000000003</v>
      </c>
      <c r="AA998">
        <f t="shared" si="405"/>
        <v>0</v>
      </c>
      <c r="AB998" t="str">
        <f t="shared" si="406"/>
        <v>Nunca</v>
      </c>
      <c r="AC998">
        <v>1540298</v>
      </c>
      <c r="AD998">
        <f t="shared" si="407"/>
        <v>2</v>
      </c>
      <c r="AE998" t="str">
        <f t="shared" si="408"/>
        <v>Siempre</v>
      </c>
      <c r="AF998">
        <v>0</v>
      </c>
      <c r="AG998" t="str">
        <f t="shared" si="409"/>
        <v>Nunca</v>
      </c>
      <c r="AH998">
        <v>0</v>
      </c>
      <c r="AI998" t="str">
        <f t="shared" si="410"/>
        <v>No usa</v>
      </c>
      <c r="AJ998">
        <v>0</v>
      </c>
      <c r="AK998" t="str">
        <f t="shared" si="411"/>
        <v>No usa</v>
      </c>
      <c r="AL998">
        <v>0</v>
      </c>
      <c r="AM998" t="str">
        <f t="shared" si="412"/>
        <v>No usa</v>
      </c>
      <c r="AN998">
        <v>1</v>
      </c>
      <c r="AO998" t="str">
        <f t="shared" si="413"/>
        <v>Usa Transporte</v>
      </c>
      <c r="AP998">
        <v>0</v>
      </c>
      <c r="AQ998" t="str">
        <f t="shared" si="414"/>
        <v>No camina</v>
      </c>
      <c r="AR998">
        <v>0</v>
      </c>
      <c r="AS998" t="str">
        <f t="shared" si="415"/>
        <v>No es obeso</v>
      </c>
    </row>
    <row r="999" spans="1:45" x14ac:dyDescent="0.25">
      <c r="A999">
        <v>0</v>
      </c>
      <c r="B999" t="str">
        <f t="shared" si="390"/>
        <v>F</v>
      </c>
      <c r="C999">
        <v>23</v>
      </c>
      <c r="D999">
        <f t="shared" si="391"/>
        <v>23</v>
      </c>
      <c r="E999">
        <f t="shared" si="392"/>
        <v>23</v>
      </c>
      <c r="F999" t="str">
        <f t="shared" si="393"/>
        <v>1-25</v>
      </c>
      <c r="G999">
        <v>1</v>
      </c>
      <c r="H999" t="str">
        <f t="shared" si="394"/>
        <v>Pariente gordo</v>
      </c>
      <c r="I999">
        <v>1</v>
      </c>
      <c r="J999" t="str">
        <f t="shared" si="395"/>
        <v>Hipercaloricos</v>
      </c>
      <c r="K999">
        <v>2</v>
      </c>
      <c r="L999">
        <f t="shared" si="396"/>
        <v>1</v>
      </c>
      <c r="M999" t="str">
        <f t="shared" si="397"/>
        <v>Suele comer</v>
      </c>
      <c r="N999">
        <v>2256119</v>
      </c>
      <c r="O999">
        <f t="shared" si="398"/>
        <v>2</v>
      </c>
      <c r="P999" t="str">
        <f t="shared" si="399"/>
        <v>Mas de 3</v>
      </c>
      <c r="Q999">
        <v>1</v>
      </c>
      <c r="R999" t="str">
        <f t="shared" si="400"/>
        <v>A veces</v>
      </c>
      <c r="S999">
        <v>0</v>
      </c>
      <c r="T999" t="str">
        <f t="shared" si="401"/>
        <v>No fuma</v>
      </c>
      <c r="U999">
        <v>1142873</v>
      </c>
      <c r="V999">
        <f t="shared" si="402"/>
        <v>2</v>
      </c>
      <c r="W999" t="str">
        <f t="shared" si="403"/>
        <v>Siempre</v>
      </c>
      <c r="X999">
        <v>0</v>
      </c>
      <c r="Y999" t="str">
        <f t="shared" si="404"/>
        <v>No controla</v>
      </c>
      <c r="Z999">
        <v>0.80707600000000002</v>
      </c>
      <c r="AA999">
        <f t="shared" si="405"/>
        <v>0</v>
      </c>
      <c r="AB999" t="str">
        <f t="shared" si="406"/>
        <v>Nunca</v>
      </c>
      <c r="AC999">
        <v>1611271</v>
      </c>
      <c r="AD999">
        <f t="shared" si="407"/>
        <v>2</v>
      </c>
      <c r="AE999" t="str">
        <f t="shared" si="408"/>
        <v>Siempre</v>
      </c>
      <c r="AF999">
        <v>0</v>
      </c>
      <c r="AG999" t="str">
        <f t="shared" si="409"/>
        <v>Nunca</v>
      </c>
      <c r="AH999">
        <v>0</v>
      </c>
      <c r="AI999" t="str">
        <f t="shared" si="410"/>
        <v>No usa</v>
      </c>
      <c r="AJ999">
        <v>0</v>
      </c>
      <c r="AK999" t="str">
        <f t="shared" si="411"/>
        <v>No usa</v>
      </c>
      <c r="AL999">
        <v>0</v>
      </c>
      <c r="AM999" t="str">
        <f t="shared" si="412"/>
        <v>No usa</v>
      </c>
      <c r="AN999">
        <v>1</v>
      </c>
      <c r="AO999" t="str">
        <f t="shared" si="413"/>
        <v>Usa Transporte</v>
      </c>
      <c r="AP999">
        <v>0</v>
      </c>
      <c r="AQ999" t="str">
        <f t="shared" si="414"/>
        <v>No camina</v>
      </c>
      <c r="AR999">
        <v>0</v>
      </c>
      <c r="AS999" t="str">
        <f t="shared" si="415"/>
        <v>No es obeso</v>
      </c>
    </row>
    <row r="1000" spans="1:45" x14ac:dyDescent="0.25">
      <c r="A1000">
        <v>1</v>
      </c>
      <c r="B1000" t="str">
        <f t="shared" si="390"/>
        <v>M</v>
      </c>
      <c r="C1000">
        <v>24679807</v>
      </c>
      <c r="D1000">
        <f t="shared" si="391"/>
        <v>67</v>
      </c>
      <c r="E1000">
        <f t="shared" si="392"/>
        <v>67</v>
      </c>
      <c r="F1000" t="str">
        <f t="shared" si="393"/>
        <v>50-75</v>
      </c>
      <c r="G1000">
        <v>1</v>
      </c>
      <c r="H1000" t="str">
        <f t="shared" si="394"/>
        <v>Pariente gordo</v>
      </c>
      <c r="I1000">
        <v>1</v>
      </c>
      <c r="J1000" t="str">
        <f t="shared" si="395"/>
        <v>Hipercaloricos</v>
      </c>
      <c r="K1000">
        <v>2</v>
      </c>
      <c r="L1000">
        <f t="shared" si="396"/>
        <v>1</v>
      </c>
      <c r="M1000" t="str">
        <f t="shared" si="397"/>
        <v>Suele comer</v>
      </c>
      <c r="N1000">
        <v>3</v>
      </c>
      <c r="O1000">
        <f t="shared" si="398"/>
        <v>2</v>
      </c>
      <c r="P1000" t="str">
        <f t="shared" si="399"/>
        <v>Mas de 3</v>
      </c>
      <c r="Q1000">
        <v>1</v>
      </c>
      <c r="R1000" t="str">
        <f t="shared" si="400"/>
        <v>A veces</v>
      </c>
      <c r="S1000">
        <v>0</v>
      </c>
      <c r="T1000" t="str">
        <f t="shared" si="401"/>
        <v>No fuma</v>
      </c>
      <c r="U1000">
        <v>2020424</v>
      </c>
      <c r="V1000">
        <f t="shared" si="402"/>
        <v>2</v>
      </c>
      <c r="W1000" t="str">
        <f t="shared" si="403"/>
        <v>Siempre</v>
      </c>
      <c r="X1000">
        <v>0</v>
      </c>
      <c r="Y1000" t="str">
        <f t="shared" si="404"/>
        <v>No controla</v>
      </c>
      <c r="Z1000">
        <v>0</v>
      </c>
      <c r="AA1000">
        <f t="shared" si="405"/>
        <v>0</v>
      </c>
      <c r="AB1000" t="str">
        <f t="shared" si="406"/>
        <v>Nunca</v>
      </c>
      <c r="AC1000">
        <v>1</v>
      </c>
      <c r="AD1000">
        <f t="shared" si="407"/>
        <v>1</v>
      </c>
      <c r="AE1000" t="str">
        <f t="shared" si="408"/>
        <v>Usualmente</v>
      </c>
      <c r="AF1000">
        <v>1</v>
      </c>
      <c r="AG1000" t="str">
        <f t="shared" si="409"/>
        <v>A veces</v>
      </c>
      <c r="AH1000">
        <v>0</v>
      </c>
      <c r="AI1000" t="str">
        <f t="shared" si="410"/>
        <v>No usa</v>
      </c>
      <c r="AJ1000">
        <v>0</v>
      </c>
      <c r="AK1000" t="str">
        <f t="shared" si="411"/>
        <v>No usa</v>
      </c>
      <c r="AL1000">
        <v>0</v>
      </c>
      <c r="AM1000" t="str">
        <f t="shared" si="412"/>
        <v>No usa</v>
      </c>
      <c r="AN1000">
        <v>1</v>
      </c>
      <c r="AO1000" t="str">
        <f t="shared" si="413"/>
        <v>Usa Transporte</v>
      </c>
      <c r="AP1000">
        <v>0</v>
      </c>
      <c r="AQ1000" t="str">
        <f t="shared" si="414"/>
        <v>No camina</v>
      </c>
      <c r="AR1000">
        <v>0</v>
      </c>
      <c r="AS1000" t="str">
        <f t="shared" si="415"/>
        <v>No es obeso</v>
      </c>
    </row>
    <row r="1001" spans="1:45" x14ac:dyDescent="0.25">
      <c r="A1001">
        <v>1</v>
      </c>
      <c r="B1001" t="str">
        <f t="shared" si="390"/>
        <v>M</v>
      </c>
      <c r="C1001">
        <v>23884212</v>
      </c>
      <c r="D1001">
        <f t="shared" si="391"/>
        <v>65</v>
      </c>
      <c r="E1001">
        <f t="shared" si="392"/>
        <v>65</v>
      </c>
      <c r="F1001" t="str">
        <f t="shared" si="393"/>
        <v>50-75</v>
      </c>
      <c r="G1001">
        <v>1</v>
      </c>
      <c r="H1001" t="str">
        <f t="shared" si="394"/>
        <v>Pariente gordo</v>
      </c>
      <c r="I1001">
        <v>1</v>
      </c>
      <c r="J1001" t="str">
        <f t="shared" si="395"/>
        <v>Hipercaloricos</v>
      </c>
      <c r="K1001">
        <v>2</v>
      </c>
      <c r="L1001">
        <f t="shared" si="396"/>
        <v>1</v>
      </c>
      <c r="M1001" t="str">
        <f t="shared" si="397"/>
        <v>Suele comer</v>
      </c>
      <c r="N1001">
        <v>26648</v>
      </c>
      <c r="O1001">
        <f t="shared" si="398"/>
        <v>2</v>
      </c>
      <c r="P1001" t="str">
        <f t="shared" si="399"/>
        <v>Mas de 3</v>
      </c>
      <c r="Q1001">
        <v>1</v>
      </c>
      <c r="R1001" t="str">
        <f t="shared" si="400"/>
        <v>A veces</v>
      </c>
      <c r="S1001">
        <v>0</v>
      </c>
      <c r="T1001" t="str">
        <f t="shared" si="401"/>
        <v>No fuma</v>
      </c>
      <c r="U1001">
        <v>1810738</v>
      </c>
      <c r="V1001">
        <f t="shared" si="402"/>
        <v>2</v>
      </c>
      <c r="W1001" t="str">
        <f t="shared" si="403"/>
        <v>Siempre</v>
      </c>
      <c r="X1001">
        <v>0</v>
      </c>
      <c r="Y1001" t="str">
        <f t="shared" si="404"/>
        <v>No controla</v>
      </c>
      <c r="Z1001">
        <v>0.80989</v>
      </c>
      <c r="AA1001">
        <f t="shared" si="405"/>
        <v>0</v>
      </c>
      <c r="AB1001" t="str">
        <f t="shared" si="406"/>
        <v>Nunca</v>
      </c>
      <c r="AC1001">
        <v>1</v>
      </c>
      <c r="AD1001">
        <f t="shared" si="407"/>
        <v>1</v>
      </c>
      <c r="AE1001" t="str">
        <f t="shared" si="408"/>
        <v>Usualmente</v>
      </c>
      <c r="AF1001">
        <v>1</v>
      </c>
      <c r="AG1001" t="str">
        <f t="shared" si="409"/>
        <v>A veces</v>
      </c>
      <c r="AH1001">
        <v>0</v>
      </c>
      <c r="AI1001" t="str">
        <f t="shared" si="410"/>
        <v>No usa</v>
      </c>
      <c r="AJ1001">
        <v>0</v>
      </c>
      <c r="AK1001" t="str">
        <f t="shared" si="411"/>
        <v>No usa</v>
      </c>
      <c r="AL1001">
        <v>0</v>
      </c>
      <c r="AM1001" t="str">
        <f t="shared" si="412"/>
        <v>No usa</v>
      </c>
      <c r="AN1001">
        <v>1</v>
      </c>
      <c r="AO1001" t="str">
        <f t="shared" si="413"/>
        <v>Usa Transporte</v>
      </c>
      <c r="AP1001">
        <v>0</v>
      </c>
      <c r="AQ1001" t="str">
        <f t="shared" si="414"/>
        <v>No camina</v>
      </c>
      <c r="AR1001">
        <v>0</v>
      </c>
      <c r="AS1001" t="str">
        <f t="shared" si="415"/>
        <v>No es obeso</v>
      </c>
    </row>
    <row r="1002" spans="1:45" x14ac:dyDescent="0.25">
      <c r="A1002">
        <v>0</v>
      </c>
      <c r="B1002" t="str">
        <f t="shared" si="390"/>
        <v>F</v>
      </c>
      <c r="C1002">
        <v>25461411</v>
      </c>
      <c r="D1002">
        <f t="shared" si="391"/>
        <v>69</v>
      </c>
      <c r="E1002">
        <f t="shared" si="392"/>
        <v>69</v>
      </c>
      <c r="F1002" t="str">
        <f t="shared" si="393"/>
        <v>50-75</v>
      </c>
      <c r="G1002">
        <v>1</v>
      </c>
      <c r="H1002" t="str">
        <f t="shared" si="394"/>
        <v>Pariente gordo</v>
      </c>
      <c r="I1002">
        <v>1</v>
      </c>
      <c r="J1002" t="str">
        <f t="shared" si="395"/>
        <v>Hipercaloricos</v>
      </c>
      <c r="K1002">
        <v>2661556</v>
      </c>
      <c r="L1002">
        <f t="shared" si="396"/>
        <v>1</v>
      </c>
      <c r="M1002" t="str">
        <f t="shared" si="397"/>
        <v>Suele comer</v>
      </c>
      <c r="N1002">
        <v>3</v>
      </c>
      <c r="O1002">
        <f t="shared" si="398"/>
        <v>2</v>
      </c>
      <c r="P1002" t="str">
        <f t="shared" si="399"/>
        <v>Mas de 3</v>
      </c>
      <c r="Q1002">
        <v>1</v>
      </c>
      <c r="R1002" t="str">
        <f t="shared" si="400"/>
        <v>A veces</v>
      </c>
      <c r="S1002">
        <v>0</v>
      </c>
      <c r="T1002" t="str">
        <f t="shared" si="401"/>
        <v>No fuma</v>
      </c>
      <c r="U1002">
        <v>3</v>
      </c>
      <c r="V1002">
        <f t="shared" si="402"/>
        <v>2</v>
      </c>
      <c r="W1002" t="str">
        <f t="shared" si="403"/>
        <v>Siempre</v>
      </c>
      <c r="X1002">
        <v>0</v>
      </c>
      <c r="Y1002" t="str">
        <f t="shared" si="404"/>
        <v>No controla</v>
      </c>
      <c r="Z1002">
        <v>0.55181000000000002</v>
      </c>
      <c r="AA1002">
        <f t="shared" si="405"/>
        <v>0</v>
      </c>
      <c r="AB1002" t="str">
        <f t="shared" si="406"/>
        <v>Nunca</v>
      </c>
      <c r="AC1002">
        <v>0.65878300000000001</v>
      </c>
      <c r="AD1002">
        <f t="shared" si="407"/>
        <v>0</v>
      </c>
      <c r="AE1002" t="str">
        <f t="shared" si="408"/>
        <v>Nunca</v>
      </c>
      <c r="AF1002">
        <v>1</v>
      </c>
      <c r="AG1002" t="str">
        <f t="shared" si="409"/>
        <v>A veces</v>
      </c>
      <c r="AH1002">
        <v>0</v>
      </c>
      <c r="AI1002" t="str">
        <f t="shared" si="410"/>
        <v>No usa</v>
      </c>
      <c r="AJ1002">
        <v>0</v>
      </c>
      <c r="AK1002" t="str">
        <f t="shared" si="411"/>
        <v>No usa</v>
      </c>
      <c r="AL1002">
        <v>0</v>
      </c>
      <c r="AM1002" t="str">
        <f t="shared" si="412"/>
        <v>No usa</v>
      </c>
      <c r="AN1002">
        <v>1</v>
      </c>
      <c r="AO1002" t="str">
        <f t="shared" si="413"/>
        <v>Usa Transporte</v>
      </c>
      <c r="AP1002">
        <v>0</v>
      </c>
      <c r="AQ1002" t="str">
        <f t="shared" si="414"/>
        <v>No camina</v>
      </c>
      <c r="AR1002">
        <v>0</v>
      </c>
      <c r="AS1002" t="str">
        <f t="shared" si="415"/>
        <v>No es obeso</v>
      </c>
    </row>
    <row r="1003" spans="1:45" x14ac:dyDescent="0.25">
      <c r="A1003">
        <v>1</v>
      </c>
      <c r="B1003" t="str">
        <f t="shared" si="390"/>
        <v>M</v>
      </c>
      <c r="C1003">
        <v>31333798</v>
      </c>
      <c r="D1003">
        <f t="shared" si="391"/>
        <v>85</v>
      </c>
      <c r="E1003">
        <f t="shared" si="392"/>
        <v>85</v>
      </c>
      <c r="F1003" t="str">
        <f t="shared" si="393"/>
        <v>75-100</v>
      </c>
      <c r="G1003">
        <v>1</v>
      </c>
      <c r="H1003" t="str">
        <f t="shared" si="394"/>
        <v>Pariente gordo</v>
      </c>
      <c r="I1003">
        <v>1</v>
      </c>
      <c r="J1003" t="str">
        <f t="shared" si="395"/>
        <v>Hipercaloricos</v>
      </c>
      <c r="K1003">
        <v>2</v>
      </c>
      <c r="L1003">
        <f t="shared" si="396"/>
        <v>1</v>
      </c>
      <c r="M1003" t="str">
        <f t="shared" si="397"/>
        <v>Suele comer</v>
      </c>
      <c r="N1003">
        <v>3</v>
      </c>
      <c r="O1003">
        <f t="shared" si="398"/>
        <v>2</v>
      </c>
      <c r="P1003" t="str">
        <f t="shared" si="399"/>
        <v>Mas de 3</v>
      </c>
      <c r="Q1003">
        <v>1</v>
      </c>
      <c r="R1003" t="str">
        <f t="shared" si="400"/>
        <v>A veces</v>
      </c>
      <c r="S1003">
        <v>0</v>
      </c>
      <c r="T1003" t="str">
        <f t="shared" si="401"/>
        <v>No fuma</v>
      </c>
      <c r="U1003">
        <v>118423</v>
      </c>
      <c r="V1003">
        <f t="shared" si="402"/>
        <v>2</v>
      </c>
      <c r="W1003" t="str">
        <f t="shared" si="403"/>
        <v>Siempre</v>
      </c>
      <c r="X1003">
        <v>0</v>
      </c>
      <c r="Y1003" t="str">
        <f t="shared" si="404"/>
        <v>No controla</v>
      </c>
      <c r="Z1003">
        <v>0.155579</v>
      </c>
      <c r="AA1003">
        <f t="shared" si="405"/>
        <v>0</v>
      </c>
      <c r="AB1003" t="str">
        <f t="shared" si="406"/>
        <v>Nunca</v>
      </c>
      <c r="AC1003">
        <v>0.45340399999999997</v>
      </c>
      <c r="AD1003">
        <f t="shared" si="407"/>
        <v>0</v>
      </c>
      <c r="AE1003" t="str">
        <f t="shared" si="408"/>
        <v>Nunca</v>
      </c>
      <c r="AF1003">
        <v>1</v>
      </c>
      <c r="AG1003" t="str">
        <f t="shared" si="409"/>
        <v>A veces</v>
      </c>
      <c r="AH1003">
        <v>0</v>
      </c>
      <c r="AI1003" t="str">
        <f t="shared" si="410"/>
        <v>No usa</v>
      </c>
      <c r="AJ1003">
        <v>0</v>
      </c>
      <c r="AK1003" t="str">
        <f t="shared" si="411"/>
        <v>No usa</v>
      </c>
      <c r="AL1003">
        <v>0</v>
      </c>
      <c r="AM1003" t="str">
        <f t="shared" si="412"/>
        <v>No usa</v>
      </c>
      <c r="AN1003">
        <v>1</v>
      </c>
      <c r="AO1003" t="str">
        <f t="shared" si="413"/>
        <v>Usa Transporte</v>
      </c>
      <c r="AP1003">
        <v>0</v>
      </c>
      <c r="AQ1003" t="str">
        <f t="shared" si="414"/>
        <v>No camina</v>
      </c>
      <c r="AR1003">
        <v>0</v>
      </c>
      <c r="AS1003" t="str">
        <f t="shared" si="415"/>
        <v>No es obeso</v>
      </c>
    </row>
    <row r="1004" spans="1:45" x14ac:dyDescent="0.25">
      <c r="A1004">
        <v>1</v>
      </c>
      <c r="B1004" t="str">
        <f t="shared" si="390"/>
        <v>M</v>
      </c>
      <c r="C1004">
        <v>24108711</v>
      </c>
      <c r="D1004">
        <f t="shared" si="391"/>
        <v>66</v>
      </c>
      <c r="E1004">
        <f t="shared" si="392"/>
        <v>66</v>
      </c>
      <c r="F1004" t="str">
        <f t="shared" si="393"/>
        <v>50-75</v>
      </c>
      <c r="G1004">
        <v>1</v>
      </c>
      <c r="H1004" t="str">
        <f t="shared" si="394"/>
        <v>Pariente gordo</v>
      </c>
      <c r="I1004">
        <v>1</v>
      </c>
      <c r="J1004" t="str">
        <f t="shared" si="395"/>
        <v>Hipercaloricos</v>
      </c>
      <c r="K1004">
        <v>2</v>
      </c>
      <c r="L1004">
        <f t="shared" si="396"/>
        <v>1</v>
      </c>
      <c r="M1004" t="str">
        <f t="shared" si="397"/>
        <v>Suele comer</v>
      </c>
      <c r="N1004">
        <v>3</v>
      </c>
      <c r="O1004">
        <f t="shared" si="398"/>
        <v>2</v>
      </c>
      <c r="P1004" t="str">
        <f t="shared" si="399"/>
        <v>Mas de 3</v>
      </c>
      <c r="Q1004">
        <v>1</v>
      </c>
      <c r="R1004" t="str">
        <f t="shared" si="400"/>
        <v>A veces</v>
      </c>
      <c r="S1004">
        <v>0</v>
      </c>
      <c r="T1004" t="str">
        <f t="shared" si="401"/>
        <v>No fuma</v>
      </c>
      <c r="U1004">
        <v>2879402</v>
      </c>
      <c r="V1004">
        <f t="shared" si="402"/>
        <v>2</v>
      </c>
      <c r="W1004" t="str">
        <f t="shared" si="403"/>
        <v>Siempre</v>
      </c>
      <c r="X1004">
        <v>0</v>
      </c>
      <c r="Y1004" t="str">
        <f t="shared" si="404"/>
        <v>No controla</v>
      </c>
      <c r="Z1004">
        <v>0</v>
      </c>
      <c r="AA1004">
        <f t="shared" si="405"/>
        <v>0</v>
      </c>
      <c r="AB1004" t="str">
        <f t="shared" si="406"/>
        <v>Nunca</v>
      </c>
      <c r="AC1004">
        <v>0.322405</v>
      </c>
      <c r="AD1004">
        <f t="shared" si="407"/>
        <v>0</v>
      </c>
      <c r="AE1004" t="str">
        <f t="shared" si="408"/>
        <v>Nunca</v>
      </c>
      <c r="AF1004">
        <v>1</v>
      </c>
      <c r="AG1004" t="str">
        <f t="shared" si="409"/>
        <v>A veces</v>
      </c>
      <c r="AH1004">
        <v>0</v>
      </c>
      <c r="AI1004" t="str">
        <f t="shared" si="410"/>
        <v>No usa</v>
      </c>
      <c r="AJ1004">
        <v>0</v>
      </c>
      <c r="AK1004" t="str">
        <f t="shared" si="411"/>
        <v>No usa</v>
      </c>
      <c r="AL1004">
        <v>0</v>
      </c>
      <c r="AM1004" t="str">
        <f t="shared" si="412"/>
        <v>No usa</v>
      </c>
      <c r="AN1004">
        <v>1</v>
      </c>
      <c r="AO1004" t="str">
        <f t="shared" si="413"/>
        <v>Usa Transporte</v>
      </c>
      <c r="AP1004">
        <v>0</v>
      </c>
      <c r="AQ1004" t="str">
        <f t="shared" si="414"/>
        <v>No camina</v>
      </c>
      <c r="AR1004">
        <v>0</v>
      </c>
      <c r="AS1004" t="str">
        <f t="shared" si="415"/>
        <v>No es obeso</v>
      </c>
    </row>
    <row r="1005" spans="1:45" x14ac:dyDescent="0.25">
      <c r="A1005">
        <v>0</v>
      </c>
      <c r="B1005" t="str">
        <f t="shared" si="390"/>
        <v>F</v>
      </c>
      <c r="C1005">
        <v>28830558</v>
      </c>
      <c r="D1005">
        <f t="shared" si="391"/>
        <v>78</v>
      </c>
      <c r="E1005">
        <f t="shared" si="392"/>
        <v>78</v>
      </c>
      <c r="F1005" t="str">
        <f t="shared" si="393"/>
        <v>75-100</v>
      </c>
      <c r="G1005">
        <v>1</v>
      </c>
      <c r="H1005" t="str">
        <f t="shared" si="394"/>
        <v>Pariente gordo</v>
      </c>
      <c r="I1005">
        <v>1</v>
      </c>
      <c r="J1005" t="str">
        <f t="shared" si="395"/>
        <v>Hipercaloricos</v>
      </c>
      <c r="K1005">
        <v>3</v>
      </c>
      <c r="L1005">
        <f t="shared" si="396"/>
        <v>1</v>
      </c>
      <c r="M1005" t="str">
        <f t="shared" si="397"/>
        <v>Suele comer</v>
      </c>
      <c r="N1005">
        <v>3</v>
      </c>
      <c r="O1005">
        <f t="shared" si="398"/>
        <v>2</v>
      </c>
      <c r="P1005" t="str">
        <f t="shared" si="399"/>
        <v>Mas de 3</v>
      </c>
      <c r="Q1005">
        <v>1</v>
      </c>
      <c r="R1005" t="str">
        <f t="shared" si="400"/>
        <v>A veces</v>
      </c>
      <c r="S1005">
        <v>0</v>
      </c>
      <c r="T1005" t="str">
        <f t="shared" si="401"/>
        <v>No fuma</v>
      </c>
      <c r="U1005">
        <v>1699971</v>
      </c>
      <c r="V1005">
        <f t="shared" si="402"/>
        <v>2</v>
      </c>
      <c r="W1005" t="str">
        <f t="shared" si="403"/>
        <v>Siempre</v>
      </c>
      <c r="X1005">
        <v>0</v>
      </c>
      <c r="Y1005" t="str">
        <f t="shared" si="404"/>
        <v>No controla</v>
      </c>
      <c r="Z1005">
        <v>1727114</v>
      </c>
      <c r="AA1005">
        <f t="shared" si="405"/>
        <v>3</v>
      </c>
      <c r="AB1005" t="str">
        <f t="shared" si="406"/>
        <v>Siempre</v>
      </c>
      <c r="AC1005">
        <v>1</v>
      </c>
      <c r="AD1005">
        <f t="shared" si="407"/>
        <v>1</v>
      </c>
      <c r="AE1005" t="str">
        <f t="shared" si="408"/>
        <v>Usualmente</v>
      </c>
      <c r="AF1005">
        <v>2</v>
      </c>
      <c r="AG1005" t="str">
        <f t="shared" si="409"/>
        <v>Usualmente</v>
      </c>
      <c r="AH1005">
        <v>1</v>
      </c>
      <c r="AI1005" t="str">
        <f t="shared" si="410"/>
        <v>Usa auto</v>
      </c>
      <c r="AJ1005">
        <v>0</v>
      </c>
      <c r="AK1005" t="str">
        <f t="shared" si="411"/>
        <v>No usa</v>
      </c>
      <c r="AL1005">
        <v>0</v>
      </c>
      <c r="AM1005" t="str">
        <f t="shared" si="412"/>
        <v>No usa</v>
      </c>
      <c r="AN1005">
        <v>0</v>
      </c>
      <c r="AO1005" t="str">
        <f t="shared" si="413"/>
        <v>No usa</v>
      </c>
      <c r="AP1005">
        <v>0</v>
      </c>
      <c r="AQ1005" t="str">
        <f t="shared" si="414"/>
        <v>No camina</v>
      </c>
      <c r="AR1005">
        <v>0</v>
      </c>
      <c r="AS1005" t="str">
        <f t="shared" si="415"/>
        <v>No es obeso</v>
      </c>
    </row>
    <row r="1006" spans="1:45" x14ac:dyDescent="0.25">
      <c r="A1006">
        <v>1</v>
      </c>
      <c r="B1006" t="str">
        <f t="shared" si="390"/>
        <v>M</v>
      </c>
      <c r="C1006">
        <v>17570089</v>
      </c>
      <c r="D1006">
        <f t="shared" si="391"/>
        <v>48</v>
      </c>
      <c r="E1006">
        <f t="shared" si="392"/>
        <v>48</v>
      </c>
      <c r="F1006" t="str">
        <f t="shared" si="393"/>
        <v>25-50</v>
      </c>
      <c r="G1006">
        <v>1</v>
      </c>
      <c r="H1006" t="str">
        <f t="shared" si="394"/>
        <v>Pariente gordo</v>
      </c>
      <c r="I1006">
        <v>0</v>
      </c>
      <c r="J1006" t="str">
        <f t="shared" si="395"/>
        <v>Saludables</v>
      </c>
      <c r="K1006">
        <v>2097373</v>
      </c>
      <c r="L1006">
        <f t="shared" si="396"/>
        <v>1</v>
      </c>
      <c r="M1006" t="str">
        <f t="shared" si="397"/>
        <v>Suele comer</v>
      </c>
      <c r="N1006">
        <v>2547086</v>
      </c>
      <c r="O1006">
        <f t="shared" si="398"/>
        <v>2</v>
      </c>
      <c r="P1006" t="str">
        <f t="shared" si="399"/>
        <v>Mas de 3</v>
      </c>
      <c r="Q1006">
        <v>1</v>
      </c>
      <c r="R1006" t="str">
        <f t="shared" si="400"/>
        <v>A veces</v>
      </c>
      <c r="S1006">
        <v>0</v>
      </c>
      <c r="T1006" t="str">
        <f t="shared" si="401"/>
        <v>No fuma</v>
      </c>
      <c r="U1006">
        <v>1538626</v>
      </c>
      <c r="V1006">
        <f t="shared" si="402"/>
        <v>2</v>
      </c>
      <c r="W1006" t="str">
        <f t="shared" si="403"/>
        <v>Siempre</v>
      </c>
      <c r="X1006">
        <v>0</v>
      </c>
      <c r="Y1006" t="str">
        <f t="shared" si="404"/>
        <v>No controla</v>
      </c>
      <c r="Z1006">
        <v>1</v>
      </c>
      <c r="AA1006">
        <f t="shared" si="405"/>
        <v>1</v>
      </c>
      <c r="AB1006" t="str">
        <f t="shared" si="406"/>
        <v>A veces</v>
      </c>
      <c r="AC1006">
        <v>0.76189799999999996</v>
      </c>
      <c r="AD1006">
        <f t="shared" si="407"/>
        <v>0</v>
      </c>
      <c r="AE1006" t="str">
        <f t="shared" si="408"/>
        <v>Nunca</v>
      </c>
      <c r="AF1006">
        <v>0</v>
      </c>
      <c r="AG1006" t="str">
        <f t="shared" si="409"/>
        <v>Nunca</v>
      </c>
      <c r="AH1006">
        <v>0</v>
      </c>
      <c r="AI1006" t="str">
        <f t="shared" si="410"/>
        <v>No usa</v>
      </c>
      <c r="AJ1006">
        <v>0</v>
      </c>
      <c r="AK1006" t="str">
        <f t="shared" si="411"/>
        <v>No usa</v>
      </c>
      <c r="AL1006">
        <v>0</v>
      </c>
      <c r="AM1006" t="str">
        <f t="shared" si="412"/>
        <v>No usa</v>
      </c>
      <c r="AN1006">
        <v>1</v>
      </c>
      <c r="AO1006" t="str">
        <f t="shared" si="413"/>
        <v>Usa Transporte</v>
      </c>
      <c r="AP1006">
        <v>0</v>
      </c>
      <c r="AQ1006" t="str">
        <f t="shared" si="414"/>
        <v>No camina</v>
      </c>
      <c r="AR1006">
        <v>0</v>
      </c>
      <c r="AS1006" t="str">
        <f t="shared" si="415"/>
        <v>No es obeso</v>
      </c>
    </row>
    <row r="1007" spans="1:45" x14ac:dyDescent="0.25">
      <c r="A1007">
        <v>0</v>
      </c>
      <c r="B1007" t="str">
        <f t="shared" si="390"/>
        <v>F</v>
      </c>
      <c r="C1007">
        <v>19027574</v>
      </c>
      <c r="D1007">
        <f t="shared" si="391"/>
        <v>52</v>
      </c>
      <c r="E1007">
        <f t="shared" si="392"/>
        <v>52</v>
      </c>
      <c r="F1007" t="str">
        <f t="shared" si="393"/>
        <v>50-75</v>
      </c>
      <c r="G1007">
        <v>1</v>
      </c>
      <c r="H1007" t="str">
        <f t="shared" si="394"/>
        <v>Pariente gordo</v>
      </c>
      <c r="I1007">
        <v>1</v>
      </c>
      <c r="J1007" t="str">
        <f t="shared" si="395"/>
        <v>Hipercaloricos</v>
      </c>
      <c r="K1007">
        <v>2061461</v>
      </c>
      <c r="L1007">
        <f t="shared" si="396"/>
        <v>1</v>
      </c>
      <c r="M1007" t="str">
        <f t="shared" si="397"/>
        <v>Suele comer</v>
      </c>
      <c r="N1007">
        <v>2812283</v>
      </c>
      <c r="O1007">
        <f t="shared" si="398"/>
        <v>2</v>
      </c>
      <c r="P1007" t="str">
        <f t="shared" si="399"/>
        <v>Mas de 3</v>
      </c>
      <c r="Q1007">
        <v>1</v>
      </c>
      <c r="R1007" t="str">
        <f t="shared" si="400"/>
        <v>A veces</v>
      </c>
      <c r="S1007">
        <v>0</v>
      </c>
      <c r="T1007" t="str">
        <f t="shared" si="401"/>
        <v>No fuma</v>
      </c>
      <c r="U1007">
        <v>3</v>
      </c>
      <c r="V1007">
        <f t="shared" si="402"/>
        <v>2</v>
      </c>
      <c r="W1007" t="str">
        <f t="shared" si="403"/>
        <v>Siempre</v>
      </c>
      <c r="X1007">
        <v>0</v>
      </c>
      <c r="Y1007" t="str">
        <f t="shared" si="404"/>
        <v>No controla</v>
      </c>
      <c r="Z1007">
        <v>0.36244100000000001</v>
      </c>
      <c r="AA1007">
        <f t="shared" si="405"/>
        <v>0</v>
      </c>
      <c r="AB1007" t="str">
        <f t="shared" si="406"/>
        <v>Nunca</v>
      </c>
      <c r="AC1007">
        <v>0.78519000000000005</v>
      </c>
      <c r="AD1007">
        <f t="shared" si="407"/>
        <v>0</v>
      </c>
      <c r="AE1007" t="str">
        <f t="shared" si="408"/>
        <v>Nunca</v>
      </c>
      <c r="AF1007">
        <v>1</v>
      </c>
      <c r="AG1007" t="str">
        <f t="shared" si="409"/>
        <v>A veces</v>
      </c>
      <c r="AH1007">
        <v>0</v>
      </c>
      <c r="AI1007" t="str">
        <f t="shared" si="410"/>
        <v>No usa</v>
      </c>
      <c r="AJ1007">
        <v>0</v>
      </c>
      <c r="AK1007" t="str">
        <f t="shared" si="411"/>
        <v>No usa</v>
      </c>
      <c r="AL1007">
        <v>0</v>
      </c>
      <c r="AM1007" t="str">
        <f t="shared" si="412"/>
        <v>No usa</v>
      </c>
      <c r="AN1007">
        <v>1</v>
      </c>
      <c r="AO1007" t="str">
        <f t="shared" si="413"/>
        <v>Usa Transporte</v>
      </c>
      <c r="AP1007">
        <v>0</v>
      </c>
      <c r="AQ1007" t="str">
        <f t="shared" si="414"/>
        <v>No camina</v>
      </c>
      <c r="AR1007">
        <v>0</v>
      </c>
      <c r="AS1007" t="str">
        <f t="shared" si="415"/>
        <v>No es obeso</v>
      </c>
    </row>
    <row r="1008" spans="1:45" x14ac:dyDescent="0.25">
      <c r="A1008">
        <v>1</v>
      </c>
      <c r="B1008" t="str">
        <f t="shared" si="390"/>
        <v>M</v>
      </c>
      <c r="C1008">
        <v>25632447</v>
      </c>
      <c r="D1008">
        <f t="shared" si="391"/>
        <v>70</v>
      </c>
      <c r="E1008">
        <f t="shared" si="392"/>
        <v>70</v>
      </c>
      <c r="F1008" t="str">
        <f t="shared" si="393"/>
        <v>50-75</v>
      </c>
      <c r="G1008">
        <v>1</v>
      </c>
      <c r="H1008" t="str">
        <f t="shared" si="394"/>
        <v>Pariente gordo</v>
      </c>
      <c r="I1008">
        <v>1</v>
      </c>
      <c r="J1008" t="str">
        <f t="shared" si="395"/>
        <v>Hipercaloricos</v>
      </c>
      <c r="K1008">
        <v>1317729</v>
      </c>
      <c r="L1008">
        <f t="shared" si="396"/>
        <v>1</v>
      </c>
      <c r="M1008" t="str">
        <f t="shared" si="397"/>
        <v>Suele comer</v>
      </c>
      <c r="N1008">
        <v>2278652</v>
      </c>
      <c r="O1008">
        <f t="shared" si="398"/>
        <v>2</v>
      </c>
      <c r="P1008" t="str">
        <f t="shared" si="399"/>
        <v>Mas de 3</v>
      </c>
      <c r="Q1008">
        <v>1</v>
      </c>
      <c r="R1008" t="str">
        <f t="shared" si="400"/>
        <v>A veces</v>
      </c>
      <c r="S1008">
        <v>0</v>
      </c>
      <c r="T1008" t="str">
        <f t="shared" si="401"/>
        <v>No fuma</v>
      </c>
      <c r="U1008">
        <v>2</v>
      </c>
      <c r="V1008">
        <f t="shared" si="402"/>
        <v>2</v>
      </c>
      <c r="W1008" t="str">
        <f t="shared" si="403"/>
        <v>Siempre</v>
      </c>
      <c r="X1008">
        <v>0</v>
      </c>
      <c r="Y1008" t="str">
        <f t="shared" si="404"/>
        <v>No controla</v>
      </c>
      <c r="Z1008">
        <v>180674</v>
      </c>
      <c r="AA1008">
        <f t="shared" si="405"/>
        <v>2</v>
      </c>
      <c r="AB1008" t="str">
        <f t="shared" si="406"/>
        <v>Usualmente</v>
      </c>
      <c r="AC1008">
        <v>193977</v>
      </c>
      <c r="AD1008">
        <f t="shared" si="407"/>
        <v>1</v>
      </c>
      <c r="AE1008" t="str">
        <f t="shared" si="408"/>
        <v>Usualmente</v>
      </c>
      <c r="AF1008">
        <v>1</v>
      </c>
      <c r="AG1008" t="str">
        <f t="shared" si="409"/>
        <v>A veces</v>
      </c>
      <c r="AH1008">
        <v>0</v>
      </c>
      <c r="AI1008" t="str">
        <f t="shared" si="410"/>
        <v>No usa</v>
      </c>
      <c r="AJ1008">
        <v>0</v>
      </c>
      <c r="AK1008" t="str">
        <f t="shared" si="411"/>
        <v>No usa</v>
      </c>
      <c r="AL1008">
        <v>0</v>
      </c>
      <c r="AM1008" t="str">
        <f t="shared" si="412"/>
        <v>No usa</v>
      </c>
      <c r="AN1008">
        <v>1</v>
      </c>
      <c r="AO1008" t="str">
        <f t="shared" si="413"/>
        <v>Usa Transporte</v>
      </c>
      <c r="AP1008">
        <v>0</v>
      </c>
      <c r="AQ1008" t="str">
        <f t="shared" si="414"/>
        <v>No camina</v>
      </c>
      <c r="AR1008">
        <v>0</v>
      </c>
      <c r="AS1008" t="str">
        <f t="shared" si="415"/>
        <v>No es obeso</v>
      </c>
    </row>
    <row r="1009" spans="1:45" x14ac:dyDescent="0.25">
      <c r="A1009">
        <v>1</v>
      </c>
      <c r="B1009" t="str">
        <f t="shared" si="390"/>
        <v>M</v>
      </c>
      <c r="C1009">
        <v>2294313</v>
      </c>
      <c r="D1009">
        <f t="shared" si="391"/>
        <v>6</v>
      </c>
      <c r="E1009">
        <f t="shared" si="392"/>
        <v>6</v>
      </c>
      <c r="F1009" t="str">
        <f t="shared" si="393"/>
        <v>1-25</v>
      </c>
      <c r="G1009">
        <v>1</v>
      </c>
      <c r="H1009" t="str">
        <f t="shared" si="394"/>
        <v>Pariente gordo</v>
      </c>
      <c r="I1009">
        <v>1</v>
      </c>
      <c r="J1009" t="str">
        <f t="shared" si="395"/>
        <v>Hipercaloricos</v>
      </c>
      <c r="K1009">
        <v>1882235</v>
      </c>
      <c r="L1009">
        <f t="shared" si="396"/>
        <v>1</v>
      </c>
      <c r="M1009" t="str">
        <f t="shared" si="397"/>
        <v>Suele comer</v>
      </c>
      <c r="N1009">
        <v>1240046</v>
      </c>
      <c r="O1009">
        <f t="shared" si="398"/>
        <v>2</v>
      </c>
      <c r="P1009" t="str">
        <f t="shared" si="399"/>
        <v>Mas de 3</v>
      </c>
      <c r="Q1009">
        <v>1</v>
      </c>
      <c r="R1009" t="str">
        <f t="shared" si="400"/>
        <v>A veces</v>
      </c>
      <c r="S1009">
        <v>0</v>
      </c>
      <c r="T1009" t="str">
        <f t="shared" si="401"/>
        <v>No fuma</v>
      </c>
      <c r="U1009">
        <v>2</v>
      </c>
      <c r="V1009">
        <f t="shared" si="402"/>
        <v>2</v>
      </c>
      <c r="W1009" t="str">
        <f t="shared" si="403"/>
        <v>Siempre</v>
      </c>
      <c r="X1009">
        <v>0</v>
      </c>
      <c r="Y1009" t="str">
        <f t="shared" si="404"/>
        <v>No controla</v>
      </c>
      <c r="Z1009">
        <v>0</v>
      </c>
      <c r="AA1009">
        <f t="shared" si="405"/>
        <v>0</v>
      </c>
      <c r="AB1009" t="str">
        <f t="shared" si="406"/>
        <v>Nunca</v>
      </c>
      <c r="AC1009">
        <v>1541493</v>
      </c>
      <c r="AD1009">
        <f t="shared" si="407"/>
        <v>2</v>
      </c>
      <c r="AE1009" t="str">
        <f t="shared" si="408"/>
        <v>Siempre</v>
      </c>
      <c r="AF1009">
        <v>1</v>
      </c>
      <c r="AG1009" t="str">
        <f t="shared" si="409"/>
        <v>A veces</v>
      </c>
      <c r="AH1009">
        <v>0</v>
      </c>
      <c r="AI1009" t="str">
        <f t="shared" si="410"/>
        <v>No usa</v>
      </c>
      <c r="AJ1009">
        <v>0</v>
      </c>
      <c r="AK1009" t="str">
        <f t="shared" si="411"/>
        <v>No usa</v>
      </c>
      <c r="AL1009">
        <v>0</v>
      </c>
      <c r="AM1009" t="str">
        <f t="shared" si="412"/>
        <v>No usa</v>
      </c>
      <c r="AN1009">
        <v>1</v>
      </c>
      <c r="AO1009" t="str">
        <f t="shared" si="413"/>
        <v>Usa Transporte</v>
      </c>
      <c r="AP1009">
        <v>0</v>
      </c>
      <c r="AQ1009" t="str">
        <f t="shared" si="414"/>
        <v>No camina</v>
      </c>
      <c r="AR1009">
        <v>0</v>
      </c>
      <c r="AS1009" t="str">
        <f t="shared" si="415"/>
        <v>No es obeso</v>
      </c>
    </row>
    <row r="1010" spans="1:45" x14ac:dyDescent="0.25">
      <c r="A1010">
        <v>1</v>
      </c>
      <c r="B1010" t="str">
        <f t="shared" si="390"/>
        <v>M</v>
      </c>
      <c r="C1010">
        <v>23285553</v>
      </c>
      <c r="D1010">
        <f t="shared" si="391"/>
        <v>63</v>
      </c>
      <c r="E1010">
        <f t="shared" si="392"/>
        <v>63</v>
      </c>
      <c r="F1010" t="str">
        <f t="shared" si="393"/>
        <v>50-75</v>
      </c>
      <c r="G1010">
        <v>1</v>
      </c>
      <c r="H1010" t="str">
        <f t="shared" si="394"/>
        <v>Pariente gordo</v>
      </c>
      <c r="I1010">
        <v>1</v>
      </c>
      <c r="J1010" t="str">
        <f t="shared" si="395"/>
        <v>Hipercaloricos</v>
      </c>
      <c r="K1010">
        <v>2951591</v>
      </c>
      <c r="L1010">
        <f t="shared" si="396"/>
        <v>1</v>
      </c>
      <c r="M1010" t="str">
        <f t="shared" si="397"/>
        <v>Suele comer</v>
      </c>
      <c r="N1010">
        <v>3</v>
      </c>
      <c r="O1010">
        <f t="shared" si="398"/>
        <v>2</v>
      </c>
      <c r="P1010" t="str">
        <f t="shared" si="399"/>
        <v>Mas de 3</v>
      </c>
      <c r="Q1010">
        <v>1</v>
      </c>
      <c r="R1010" t="str">
        <f t="shared" si="400"/>
        <v>A veces</v>
      </c>
      <c r="S1010">
        <v>0</v>
      </c>
      <c r="T1010" t="str">
        <f t="shared" si="401"/>
        <v>No fuma</v>
      </c>
      <c r="U1010">
        <v>2971557</v>
      </c>
      <c r="V1010">
        <f t="shared" si="402"/>
        <v>2</v>
      </c>
      <c r="W1010" t="str">
        <f t="shared" si="403"/>
        <v>Siempre</v>
      </c>
      <c r="X1010">
        <v>0</v>
      </c>
      <c r="Y1010" t="str">
        <f t="shared" si="404"/>
        <v>No controla</v>
      </c>
      <c r="Z1010">
        <v>0</v>
      </c>
      <c r="AA1010">
        <f t="shared" si="405"/>
        <v>0</v>
      </c>
      <c r="AB1010" t="str">
        <f t="shared" si="406"/>
        <v>Nunca</v>
      </c>
      <c r="AC1010">
        <v>0.94719200000000003</v>
      </c>
      <c r="AD1010">
        <f t="shared" si="407"/>
        <v>0</v>
      </c>
      <c r="AE1010" t="str">
        <f t="shared" si="408"/>
        <v>Nunca</v>
      </c>
      <c r="AF1010">
        <v>1</v>
      </c>
      <c r="AG1010" t="str">
        <f t="shared" si="409"/>
        <v>A veces</v>
      </c>
      <c r="AH1010">
        <v>0</v>
      </c>
      <c r="AI1010" t="str">
        <f t="shared" si="410"/>
        <v>No usa</v>
      </c>
      <c r="AJ1010">
        <v>0</v>
      </c>
      <c r="AK1010" t="str">
        <f t="shared" si="411"/>
        <v>No usa</v>
      </c>
      <c r="AL1010">
        <v>0</v>
      </c>
      <c r="AM1010" t="str">
        <f t="shared" si="412"/>
        <v>No usa</v>
      </c>
      <c r="AN1010">
        <v>1</v>
      </c>
      <c r="AO1010" t="str">
        <f t="shared" si="413"/>
        <v>Usa Transporte</v>
      </c>
      <c r="AP1010">
        <v>0</v>
      </c>
      <c r="AQ1010" t="str">
        <f t="shared" si="414"/>
        <v>No camina</v>
      </c>
      <c r="AR1010">
        <v>0</v>
      </c>
      <c r="AS1010" t="str">
        <f t="shared" si="415"/>
        <v>No es obeso</v>
      </c>
    </row>
    <row r="1011" spans="1:45" x14ac:dyDescent="0.25">
      <c r="A1011">
        <v>1</v>
      </c>
      <c r="B1011" t="str">
        <f t="shared" si="390"/>
        <v>M</v>
      </c>
      <c r="C1011">
        <v>23</v>
      </c>
      <c r="D1011">
        <f t="shared" si="391"/>
        <v>23</v>
      </c>
      <c r="E1011">
        <f t="shared" si="392"/>
        <v>23</v>
      </c>
      <c r="F1011" t="str">
        <f t="shared" si="393"/>
        <v>1-25</v>
      </c>
      <c r="G1011">
        <v>1</v>
      </c>
      <c r="H1011" t="str">
        <f t="shared" si="394"/>
        <v>Pariente gordo</v>
      </c>
      <c r="I1011">
        <v>1</v>
      </c>
      <c r="J1011" t="str">
        <f t="shared" si="395"/>
        <v>Hipercaloricos</v>
      </c>
      <c r="K1011">
        <v>2067817</v>
      </c>
      <c r="L1011">
        <f t="shared" si="396"/>
        <v>1</v>
      </c>
      <c r="M1011" t="str">
        <f t="shared" si="397"/>
        <v>Suele comer</v>
      </c>
      <c r="N1011">
        <v>3</v>
      </c>
      <c r="O1011">
        <f t="shared" si="398"/>
        <v>2</v>
      </c>
      <c r="P1011" t="str">
        <f t="shared" si="399"/>
        <v>Mas de 3</v>
      </c>
      <c r="Q1011">
        <v>1</v>
      </c>
      <c r="R1011" t="str">
        <f t="shared" si="400"/>
        <v>A veces</v>
      </c>
      <c r="S1011">
        <v>0</v>
      </c>
      <c r="T1011" t="str">
        <f t="shared" si="401"/>
        <v>No fuma</v>
      </c>
      <c r="U1011">
        <v>1082084</v>
      </c>
      <c r="V1011">
        <f t="shared" si="402"/>
        <v>2</v>
      </c>
      <c r="W1011" t="str">
        <f t="shared" si="403"/>
        <v>Siempre</v>
      </c>
      <c r="X1011">
        <v>0</v>
      </c>
      <c r="Y1011" t="str">
        <f t="shared" si="404"/>
        <v>No controla</v>
      </c>
      <c r="Z1011">
        <v>0</v>
      </c>
      <c r="AA1011">
        <f t="shared" si="405"/>
        <v>0</v>
      </c>
      <c r="AB1011" t="str">
        <f t="shared" si="406"/>
        <v>Nunca</v>
      </c>
      <c r="AC1011">
        <v>1922364</v>
      </c>
      <c r="AD1011">
        <f t="shared" si="407"/>
        <v>2</v>
      </c>
      <c r="AE1011" t="str">
        <f t="shared" si="408"/>
        <v>Siempre</v>
      </c>
      <c r="AF1011">
        <v>1</v>
      </c>
      <c r="AG1011" t="str">
        <f t="shared" si="409"/>
        <v>A veces</v>
      </c>
      <c r="AH1011">
        <v>0</v>
      </c>
      <c r="AI1011" t="str">
        <f t="shared" si="410"/>
        <v>No usa</v>
      </c>
      <c r="AJ1011">
        <v>0</v>
      </c>
      <c r="AK1011" t="str">
        <f t="shared" si="411"/>
        <v>No usa</v>
      </c>
      <c r="AL1011">
        <v>0</v>
      </c>
      <c r="AM1011" t="str">
        <f t="shared" si="412"/>
        <v>No usa</v>
      </c>
      <c r="AN1011">
        <v>1</v>
      </c>
      <c r="AO1011" t="str">
        <f t="shared" si="413"/>
        <v>Usa Transporte</v>
      </c>
      <c r="AP1011">
        <v>0</v>
      </c>
      <c r="AQ1011" t="str">
        <f t="shared" si="414"/>
        <v>No camina</v>
      </c>
      <c r="AR1011">
        <v>0</v>
      </c>
      <c r="AS1011" t="str">
        <f t="shared" si="415"/>
        <v>No es obeso</v>
      </c>
    </row>
    <row r="1012" spans="1:45" x14ac:dyDescent="0.25">
      <c r="A1012">
        <v>0</v>
      </c>
      <c r="B1012" t="str">
        <f t="shared" si="390"/>
        <v>F</v>
      </c>
      <c r="C1012">
        <v>2519291</v>
      </c>
      <c r="D1012">
        <f t="shared" si="391"/>
        <v>6</v>
      </c>
      <c r="E1012">
        <f t="shared" si="392"/>
        <v>6</v>
      </c>
      <c r="F1012" t="str">
        <f t="shared" si="393"/>
        <v>1-25</v>
      </c>
      <c r="G1012">
        <v>1</v>
      </c>
      <c r="H1012" t="str">
        <f t="shared" si="394"/>
        <v>Pariente gordo</v>
      </c>
      <c r="I1012">
        <v>1</v>
      </c>
      <c r="J1012" t="str">
        <f t="shared" si="395"/>
        <v>Hipercaloricos</v>
      </c>
      <c r="K1012">
        <v>254527</v>
      </c>
      <c r="L1012">
        <f t="shared" si="396"/>
        <v>1</v>
      </c>
      <c r="M1012" t="str">
        <f t="shared" si="397"/>
        <v>Suele comer</v>
      </c>
      <c r="N1012">
        <v>3</v>
      </c>
      <c r="O1012">
        <f t="shared" si="398"/>
        <v>2</v>
      </c>
      <c r="P1012" t="str">
        <f t="shared" si="399"/>
        <v>Mas de 3</v>
      </c>
      <c r="Q1012">
        <v>1</v>
      </c>
      <c r="R1012" t="str">
        <f t="shared" si="400"/>
        <v>A veces</v>
      </c>
      <c r="S1012">
        <v>0</v>
      </c>
      <c r="T1012" t="str">
        <f t="shared" si="401"/>
        <v>No fuma</v>
      </c>
      <c r="U1012">
        <v>2269564</v>
      </c>
      <c r="V1012">
        <f t="shared" si="402"/>
        <v>2</v>
      </c>
      <c r="W1012" t="str">
        <f t="shared" si="403"/>
        <v>Siempre</v>
      </c>
      <c r="X1012">
        <v>0</v>
      </c>
      <c r="Y1012" t="str">
        <f t="shared" si="404"/>
        <v>No controla</v>
      </c>
      <c r="Z1012">
        <v>0.50312199999999996</v>
      </c>
      <c r="AA1012">
        <f t="shared" si="405"/>
        <v>0</v>
      </c>
      <c r="AB1012" t="str">
        <f t="shared" si="406"/>
        <v>Nunca</v>
      </c>
      <c r="AC1012">
        <v>1</v>
      </c>
      <c r="AD1012">
        <f t="shared" si="407"/>
        <v>1</v>
      </c>
      <c r="AE1012" t="str">
        <f t="shared" si="408"/>
        <v>Usualmente</v>
      </c>
      <c r="AF1012">
        <v>2</v>
      </c>
      <c r="AG1012" t="str">
        <f t="shared" si="409"/>
        <v>Usualmente</v>
      </c>
      <c r="AH1012">
        <v>0</v>
      </c>
      <c r="AI1012" t="str">
        <f t="shared" si="410"/>
        <v>No usa</v>
      </c>
      <c r="AJ1012">
        <v>0</v>
      </c>
      <c r="AK1012" t="str">
        <f t="shared" si="411"/>
        <v>No usa</v>
      </c>
      <c r="AL1012">
        <v>0</v>
      </c>
      <c r="AM1012" t="str">
        <f t="shared" si="412"/>
        <v>No usa</v>
      </c>
      <c r="AN1012">
        <v>1</v>
      </c>
      <c r="AO1012" t="str">
        <f t="shared" si="413"/>
        <v>Usa Transporte</v>
      </c>
      <c r="AP1012">
        <v>0</v>
      </c>
      <c r="AQ1012" t="str">
        <f t="shared" si="414"/>
        <v>No camina</v>
      </c>
      <c r="AR1012">
        <v>0</v>
      </c>
      <c r="AS1012" t="str">
        <f t="shared" si="415"/>
        <v>No es obeso</v>
      </c>
    </row>
    <row r="1013" spans="1:45" x14ac:dyDescent="0.25">
      <c r="A1013">
        <v>1</v>
      </c>
      <c r="B1013" t="str">
        <f t="shared" si="390"/>
        <v>M</v>
      </c>
      <c r="C1013">
        <v>34389906</v>
      </c>
      <c r="D1013">
        <f t="shared" si="391"/>
        <v>94</v>
      </c>
      <c r="E1013">
        <f t="shared" si="392"/>
        <v>94</v>
      </c>
      <c r="F1013" t="str">
        <f t="shared" si="393"/>
        <v>75-100</v>
      </c>
      <c r="G1013">
        <v>1</v>
      </c>
      <c r="H1013" t="str">
        <f t="shared" si="394"/>
        <v>Pariente gordo</v>
      </c>
      <c r="I1013">
        <v>1</v>
      </c>
      <c r="J1013" t="str">
        <f t="shared" si="395"/>
        <v>Hipercaloricos</v>
      </c>
      <c r="K1013">
        <v>2</v>
      </c>
      <c r="L1013">
        <f t="shared" si="396"/>
        <v>1</v>
      </c>
      <c r="M1013" t="str">
        <f t="shared" si="397"/>
        <v>Suele comer</v>
      </c>
      <c r="N1013">
        <v>1660768</v>
      </c>
      <c r="O1013">
        <f t="shared" si="398"/>
        <v>2</v>
      </c>
      <c r="P1013" t="str">
        <f t="shared" si="399"/>
        <v>Mas de 3</v>
      </c>
      <c r="Q1013">
        <v>1</v>
      </c>
      <c r="R1013" t="str">
        <f t="shared" si="400"/>
        <v>A veces</v>
      </c>
      <c r="S1013">
        <v>0</v>
      </c>
      <c r="T1013" t="str">
        <f t="shared" si="401"/>
        <v>No fuma</v>
      </c>
      <c r="U1013">
        <v>2482294</v>
      </c>
      <c r="V1013">
        <f t="shared" si="402"/>
        <v>2</v>
      </c>
      <c r="W1013" t="str">
        <f t="shared" si="403"/>
        <v>Siempre</v>
      </c>
      <c r="X1013">
        <v>0</v>
      </c>
      <c r="Y1013" t="str">
        <f t="shared" si="404"/>
        <v>No controla</v>
      </c>
      <c r="Z1013">
        <v>0.89120500000000002</v>
      </c>
      <c r="AA1013">
        <f t="shared" si="405"/>
        <v>0</v>
      </c>
      <c r="AB1013" t="str">
        <f t="shared" si="406"/>
        <v>Nunca</v>
      </c>
      <c r="AC1013">
        <v>0</v>
      </c>
      <c r="AD1013">
        <f t="shared" si="407"/>
        <v>0</v>
      </c>
      <c r="AE1013" t="str">
        <f t="shared" si="408"/>
        <v>Nunca</v>
      </c>
      <c r="AF1013">
        <v>0</v>
      </c>
      <c r="AG1013" t="str">
        <f t="shared" si="409"/>
        <v>Nunca</v>
      </c>
      <c r="AH1013">
        <v>1</v>
      </c>
      <c r="AI1013" t="str">
        <f t="shared" si="410"/>
        <v>Usa auto</v>
      </c>
      <c r="AJ1013">
        <v>0</v>
      </c>
      <c r="AK1013" t="str">
        <f t="shared" si="411"/>
        <v>No usa</v>
      </c>
      <c r="AL1013">
        <v>0</v>
      </c>
      <c r="AM1013" t="str">
        <f t="shared" si="412"/>
        <v>No usa</v>
      </c>
      <c r="AN1013">
        <v>0</v>
      </c>
      <c r="AO1013" t="str">
        <f t="shared" si="413"/>
        <v>No usa</v>
      </c>
      <c r="AP1013">
        <v>0</v>
      </c>
      <c r="AQ1013" t="str">
        <f t="shared" si="414"/>
        <v>No camina</v>
      </c>
      <c r="AR1013">
        <v>0</v>
      </c>
      <c r="AS1013" t="str">
        <f t="shared" si="415"/>
        <v>No es obeso</v>
      </c>
    </row>
    <row r="1014" spans="1:45" x14ac:dyDescent="0.25">
      <c r="A1014">
        <v>0</v>
      </c>
      <c r="B1014" t="str">
        <f t="shared" si="390"/>
        <v>F</v>
      </c>
      <c r="C1014">
        <v>26595893</v>
      </c>
      <c r="D1014">
        <f t="shared" si="391"/>
        <v>72</v>
      </c>
      <c r="E1014">
        <f t="shared" si="392"/>
        <v>72</v>
      </c>
      <c r="F1014" t="str">
        <f t="shared" si="393"/>
        <v>50-75</v>
      </c>
      <c r="G1014">
        <v>1</v>
      </c>
      <c r="H1014" t="str">
        <f t="shared" si="394"/>
        <v>Pariente gordo</v>
      </c>
      <c r="I1014">
        <v>1</v>
      </c>
      <c r="J1014" t="str">
        <f t="shared" si="395"/>
        <v>Hipercaloricos</v>
      </c>
      <c r="K1014">
        <v>2</v>
      </c>
      <c r="L1014">
        <f t="shared" si="396"/>
        <v>1</v>
      </c>
      <c r="M1014" t="str">
        <f t="shared" si="397"/>
        <v>Suele comer</v>
      </c>
      <c r="N1014">
        <v>2597608</v>
      </c>
      <c r="O1014">
        <f t="shared" si="398"/>
        <v>2</v>
      </c>
      <c r="P1014" t="str">
        <f t="shared" si="399"/>
        <v>Mas de 3</v>
      </c>
      <c r="Q1014">
        <v>1</v>
      </c>
      <c r="R1014" t="str">
        <f t="shared" si="400"/>
        <v>A veces</v>
      </c>
      <c r="S1014">
        <v>0</v>
      </c>
      <c r="T1014" t="str">
        <f t="shared" si="401"/>
        <v>No fuma</v>
      </c>
      <c r="U1014">
        <v>2</v>
      </c>
      <c r="V1014">
        <f t="shared" si="402"/>
        <v>2</v>
      </c>
      <c r="W1014" t="str">
        <f t="shared" si="403"/>
        <v>Siempre</v>
      </c>
      <c r="X1014">
        <v>0</v>
      </c>
      <c r="Y1014" t="str">
        <f t="shared" si="404"/>
        <v>No controla</v>
      </c>
      <c r="Z1014">
        <v>0</v>
      </c>
      <c r="AA1014">
        <f t="shared" si="405"/>
        <v>0</v>
      </c>
      <c r="AB1014" t="str">
        <f t="shared" si="406"/>
        <v>Nunca</v>
      </c>
      <c r="AC1014">
        <v>0.43419799999999997</v>
      </c>
      <c r="AD1014">
        <f t="shared" si="407"/>
        <v>0</v>
      </c>
      <c r="AE1014" t="str">
        <f t="shared" si="408"/>
        <v>Nunca</v>
      </c>
      <c r="AF1014">
        <v>2</v>
      </c>
      <c r="AG1014" t="str">
        <f t="shared" si="409"/>
        <v>Usualmente</v>
      </c>
      <c r="AH1014">
        <v>0</v>
      </c>
      <c r="AI1014" t="str">
        <f t="shared" si="410"/>
        <v>No usa</v>
      </c>
      <c r="AJ1014">
        <v>0</v>
      </c>
      <c r="AK1014" t="str">
        <f t="shared" si="411"/>
        <v>No usa</v>
      </c>
      <c r="AL1014">
        <v>0</v>
      </c>
      <c r="AM1014" t="str">
        <f t="shared" si="412"/>
        <v>No usa</v>
      </c>
      <c r="AN1014">
        <v>1</v>
      </c>
      <c r="AO1014" t="str">
        <f t="shared" si="413"/>
        <v>Usa Transporte</v>
      </c>
      <c r="AP1014">
        <v>0</v>
      </c>
      <c r="AQ1014" t="str">
        <f t="shared" si="414"/>
        <v>No camina</v>
      </c>
      <c r="AR1014">
        <v>0</v>
      </c>
      <c r="AS1014" t="str">
        <f t="shared" si="415"/>
        <v>No es obeso</v>
      </c>
    </row>
    <row r="1015" spans="1:45" x14ac:dyDescent="0.25">
      <c r="A1015">
        <v>1</v>
      </c>
      <c r="B1015" t="str">
        <f t="shared" si="390"/>
        <v>M</v>
      </c>
      <c r="C1015">
        <v>5524625</v>
      </c>
      <c r="D1015">
        <f t="shared" si="391"/>
        <v>15</v>
      </c>
      <c r="E1015">
        <f t="shared" si="392"/>
        <v>15</v>
      </c>
      <c r="F1015" t="str">
        <f t="shared" si="393"/>
        <v>1-25</v>
      </c>
      <c r="G1015">
        <v>0</v>
      </c>
      <c r="H1015" t="str">
        <f t="shared" si="394"/>
        <v>Pariente normal</v>
      </c>
      <c r="I1015">
        <v>1</v>
      </c>
      <c r="J1015" t="str">
        <f t="shared" si="395"/>
        <v>Hipercaloricos</v>
      </c>
      <c r="K1015">
        <v>2</v>
      </c>
      <c r="L1015">
        <f t="shared" si="396"/>
        <v>1</v>
      </c>
      <c r="M1015" t="str">
        <f t="shared" si="397"/>
        <v>Suele comer</v>
      </c>
      <c r="N1015">
        <v>3</v>
      </c>
      <c r="O1015">
        <f t="shared" si="398"/>
        <v>2</v>
      </c>
      <c r="P1015" t="str">
        <f t="shared" si="399"/>
        <v>Mas de 3</v>
      </c>
      <c r="Q1015">
        <v>1</v>
      </c>
      <c r="R1015" t="str">
        <f t="shared" si="400"/>
        <v>A veces</v>
      </c>
      <c r="S1015">
        <v>0</v>
      </c>
      <c r="T1015" t="str">
        <f t="shared" si="401"/>
        <v>No fuma</v>
      </c>
      <c r="U1015">
        <v>2</v>
      </c>
      <c r="V1015">
        <f t="shared" si="402"/>
        <v>2</v>
      </c>
      <c r="W1015" t="str">
        <f t="shared" si="403"/>
        <v>Siempre</v>
      </c>
      <c r="X1015">
        <v>0</v>
      </c>
      <c r="Y1015" t="str">
        <f t="shared" si="404"/>
        <v>No controla</v>
      </c>
      <c r="Z1015">
        <v>1</v>
      </c>
      <c r="AA1015">
        <f t="shared" si="405"/>
        <v>1</v>
      </c>
      <c r="AB1015" t="str">
        <f t="shared" si="406"/>
        <v>A veces</v>
      </c>
      <c r="AC1015">
        <v>0</v>
      </c>
      <c r="AD1015">
        <f t="shared" si="407"/>
        <v>0</v>
      </c>
      <c r="AE1015" t="str">
        <f t="shared" si="408"/>
        <v>Nunca</v>
      </c>
      <c r="AF1015">
        <v>0</v>
      </c>
      <c r="AG1015" t="str">
        <f t="shared" si="409"/>
        <v>Nunca</v>
      </c>
      <c r="AH1015">
        <v>1</v>
      </c>
      <c r="AI1015" t="str">
        <f t="shared" si="410"/>
        <v>Usa auto</v>
      </c>
      <c r="AJ1015">
        <v>0</v>
      </c>
      <c r="AK1015" t="str">
        <f t="shared" si="411"/>
        <v>No usa</v>
      </c>
      <c r="AL1015">
        <v>0</v>
      </c>
      <c r="AM1015" t="str">
        <f t="shared" si="412"/>
        <v>No usa</v>
      </c>
      <c r="AN1015">
        <v>0</v>
      </c>
      <c r="AO1015" t="str">
        <f t="shared" si="413"/>
        <v>No usa</v>
      </c>
      <c r="AP1015">
        <v>0</v>
      </c>
      <c r="AQ1015" t="str">
        <f t="shared" si="414"/>
        <v>No camina</v>
      </c>
      <c r="AR1015">
        <v>0</v>
      </c>
      <c r="AS1015" t="str">
        <f t="shared" si="415"/>
        <v>No es obeso</v>
      </c>
    </row>
    <row r="1016" spans="1:45" x14ac:dyDescent="0.25">
      <c r="A1016">
        <v>1</v>
      </c>
      <c r="B1016" t="str">
        <f t="shared" si="390"/>
        <v>M</v>
      </c>
      <c r="C1016">
        <v>34543563</v>
      </c>
      <c r="D1016">
        <f t="shared" si="391"/>
        <v>94</v>
      </c>
      <c r="E1016">
        <f t="shared" si="392"/>
        <v>94</v>
      </c>
      <c r="F1016" t="str">
        <f t="shared" si="393"/>
        <v>75-100</v>
      </c>
      <c r="G1016">
        <v>1</v>
      </c>
      <c r="H1016" t="str">
        <f t="shared" si="394"/>
        <v>Pariente gordo</v>
      </c>
      <c r="I1016">
        <v>1</v>
      </c>
      <c r="J1016" t="str">
        <f t="shared" si="395"/>
        <v>Hipercaloricos</v>
      </c>
      <c r="K1016">
        <v>2694281</v>
      </c>
      <c r="L1016">
        <f t="shared" si="396"/>
        <v>1</v>
      </c>
      <c r="M1016" t="str">
        <f t="shared" si="397"/>
        <v>Suele comer</v>
      </c>
      <c r="N1016">
        <v>3</v>
      </c>
      <c r="O1016">
        <f t="shared" si="398"/>
        <v>2</v>
      </c>
      <c r="P1016" t="str">
        <f t="shared" si="399"/>
        <v>Mas de 3</v>
      </c>
      <c r="Q1016">
        <v>1</v>
      </c>
      <c r="R1016" t="str">
        <f t="shared" si="400"/>
        <v>A veces</v>
      </c>
      <c r="S1016">
        <v>0</v>
      </c>
      <c r="T1016" t="str">
        <f t="shared" si="401"/>
        <v>No fuma</v>
      </c>
      <c r="U1016">
        <v>2653831</v>
      </c>
      <c r="V1016">
        <f t="shared" si="402"/>
        <v>2</v>
      </c>
      <c r="W1016" t="str">
        <f t="shared" si="403"/>
        <v>Siempre</v>
      </c>
      <c r="X1016">
        <v>0</v>
      </c>
      <c r="Y1016" t="str">
        <f t="shared" si="404"/>
        <v>No controla</v>
      </c>
      <c r="Z1016">
        <v>196582</v>
      </c>
      <c r="AA1016">
        <f t="shared" si="405"/>
        <v>2</v>
      </c>
      <c r="AB1016" t="str">
        <f t="shared" si="406"/>
        <v>Usualmente</v>
      </c>
      <c r="AC1016">
        <v>0.89118900000000001</v>
      </c>
      <c r="AD1016">
        <f t="shared" si="407"/>
        <v>0</v>
      </c>
      <c r="AE1016" t="str">
        <f t="shared" si="408"/>
        <v>Nunca</v>
      </c>
      <c r="AF1016">
        <v>0</v>
      </c>
      <c r="AG1016" t="str">
        <f t="shared" si="409"/>
        <v>Nunca</v>
      </c>
      <c r="AH1016">
        <v>1</v>
      </c>
      <c r="AI1016" t="str">
        <f t="shared" si="410"/>
        <v>Usa auto</v>
      </c>
      <c r="AJ1016">
        <v>0</v>
      </c>
      <c r="AK1016" t="str">
        <f t="shared" si="411"/>
        <v>No usa</v>
      </c>
      <c r="AL1016">
        <v>0</v>
      </c>
      <c r="AM1016" t="str">
        <f t="shared" si="412"/>
        <v>No usa</v>
      </c>
      <c r="AN1016">
        <v>0</v>
      </c>
      <c r="AO1016" t="str">
        <f t="shared" si="413"/>
        <v>No usa</v>
      </c>
      <c r="AP1016">
        <v>0</v>
      </c>
      <c r="AQ1016" t="str">
        <f t="shared" si="414"/>
        <v>No camina</v>
      </c>
      <c r="AR1016">
        <v>0</v>
      </c>
      <c r="AS1016" t="str">
        <f t="shared" si="415"/>
        <v>No es obeso</v>
      </c>
    </row>
    <row r="1017" spans="1:45" x14ac:dyDescent="0.25">
      <c r="A1017">
        <v>1</v>
      </c>
      <c r="B1017" t="str">
        <f t="shared" si="390"/>
        <v>M</v>
      </c>
      <c r="C1017">
        <v>21808159</v>
      </c>
      <c r="D1017">
        <f t="shared" si="391"/>
        <v>59</v>
      </c>
      <c r="E1017">
        <f t="shared" si="392"/>
        <v>59</v>
      </c>
      <c r="F1017" t="str">
        <f t="shared" si="393"/>
        <v>50-75</v>
      </c>
      <c r="G1017">
        <v>1</v>
      </c>
      <c r="H1017" t="str">
        <f t="shared" si="394"/>
        <v>Pariente gordo</v>
      </c>
      <c r="I1017">
        <v>1</v>
      </c>
      <c r="J1017" t="str">
        <f t="shared" si="395"/>
        <v>Hipercaloricos</v>
      </c>
      <c r="K1017">
        <v>2</v>
      </c>
      <c r="L1017">
        <f t="shared" si="396"/>
        <v>1</v>
      </c>
      <c r="M1017" t="str">
        <f t="shared" si="397"/>
        <v>Suele comer</v>
      </c>
      <c r="N1017">
        <v>3</v>
      </c>
      <c r="O1017">
        <f t="shared" si="398"/>
        <v>2</v>
      </c>
      <c r="P1017" t="str">
        <f t="shared" si="399"/>
        <v>Mas de 3</v>
      </c>
      <c r="Q1017">
        <v>1</v>
      </c>
      <c r="R1017" t="str">
        <f t="shared" si="400"/>
        <v>A veces</v>
      </c>
      <c r="S1017">
        <v>0</v>
      </c>
      <c r="T1017" t="str">
        <f t="shared" si="401"/>
        <v>No fuma</v>
      </c>
      <c r="U1017">
        <v>2</v>
      </c>
      <c r="V1017">
        <f t="shared" si="402"/>
        <v>2</v>
      </c>
      <c r="W1017" t="str">
        <f t="shared" si="403"/>
        <v>Siempre</v>
      </c>
      <c r="X1017">
        <v>0</v>
      </c>
      <c r="Y1017" t="str">
        <f t="shared" si="404"/>
        <v>No controla</v>
      </c>
      <c r="Z1017">
        <v>0.82660900000000004</v>
      </c>
      <c r="AA1017">
        <f t="shared" si="405"/>
        <v>0</v>
      </c>
      <c r="AB1017" t="str">
        <f t="shared" si="406"/>
        <v>Nunca</v>
      </c>
      <c r="AC1017">
        <v>2</v>
      </c>
      <c r="AD1017">
        <f t="shared" si="407"/>
        <v>2</v>
      </c>
      <c r="AE1017" t="str">
        <f t="shared" si="408"/>
        <v>Siempre</v>
      </c>
      <c r="AF1017">
        <v>0</v>
      </c>
      <c r="AG1017" t="str">
        <f t="shared" si="409"/>
        <v>Nunca</v>
      </c>
      <c r="AH1017">
        <v>0</v>
      </c>
      <c r="AI1017" t="str">
        <f t="shared" si="410"/>
        <v>No usa</v>
      </c>
      <c r="AJ1017">
        <v>0</v>
      </c>
      <c r="AK1017" t="str">
        <f t="shared" si="411"/>
        <v>No usa</v>
      </c>
      <c r="AL1017">
        <v>0</v>
      </c>
      <c r="AM1017" t="str">
        <f t="shared" si="412"/>
        <v>No usa</v>
      </c>
      <c r="AN1017">
        <v>1</v>
      </c>
      <c r="AO1017" t="str">
        <f t="shared" si="413"/>
        <v>Usa Transporte</v>
      </c>
      <c r="AP1017">
        <v>0</v>
      </c>
      <c r="AQ1017" t="str">
        <f t="shared" si="414"/>
        <v>No camina</v>
      </c>
      <c r="AR1017">
        <v>0</v>
      </c>
      <c r="AS1017" t="str">
        <f t="shared" si="415"/>
        <v>No es obeso</v>
      </c>
    </row>
    <row r="1018" spans="1:45" x14ac:dyDescent="0.25">
      <c r="A1018">
        <v>1</v>
      </c>
      <c r="B1018" t="str">
        <f t="shared" si="390"/>
        <v>M</v>
      </c>
      <c r="C1018">
        <v>18118277</v>
      </c>
      <c r="D1018">
        <f t="shared" si="391"/>
        <v>49</v>
      </c>
      <c r="E1018">
        <f t="shared" si="392"/>
        <v>49</v>
      </c>
      <c r="F1018" t="str">
        <f t="shared" si="393"/>
        <v>25-50</v>
      </c>
      <c r="G1018">
        <v>1</v>
      </c>
      <c r="H1018" t="str">
        <f t="shared" si="394"/>
        <v>Pariente gordo</v>
      </c>
      <c r="I1018">
        <v>1</v>
      </c>
      <c r="J1018" t="str">
        <f t="shared" si="395"/>
        <v>Hipercaloricos</v>
      </c>
      <c r="K1018">
        <v>2821977</v>
      </c>
      <c r="L1018">
        <f t="shared" si="396"/>
        <v>1</v>
      </c>
      <c r="M1018" t="str">
        <f t="shared" si="397"/>
        <v>Suele comer</v>
      </c>
      <c r="N1018">
        <v>2044035</v>
      </c>
      <c r="O1018">
        <f t="shared" si="398"/>
        <v>2</v>
      </c>
      <c r="P1018" t="str">
        <f t="shared" si="399"/>
        <v>Mas de 3</v>
      </c>
      <c r="Q1018">
        <v>1</v>
      </c>
      <c r="R1018" t="str">
        <f t="shared" si="400"/>
        <v>A veces</v>
      </c>
      <c r="S1018">
        <v>0</v>
      </c>
      <c r="T1018" t="str">
        <f t="shared" si="401"/>
        <v>No fuma</v>
      </c>
      <c r="U1018">
        <v>1954968</v>
      </c>
      <c r="V1018">
        <f t="shared" si="402"/>
        <v>2</v>
      </c>
      <c r="W1018" t="str">
        <f t="shared" si="403"/>
        <v>Siempre</v>
      </c>
      <c r="X1018">
        <v>0</v>
      </c>
      <c r="Y1018" t="str">
        <f t="shared" si="404"/>
        <v>No controla</v>
      </c>
      <c r="Z1018">
        <v>1</v>
      </c>
      <c r="AA1018">
        <f t="shared" si="405"/>
        <v>1</v>
      </c>
      <c r="AB1018" t="str">
        <f t="shared" si="406"/>
        <v>A veces</v>
      </c>
      <c r="AC1018">
        <v>0.85453599999999996</v>
      </c>
      <c r="AD1018">
        <f t="shared" si="407"/>
        <v>0</v>
      </c>
      <c r="AE1018" t="str">
        <f t="shared" si="408"/>
        <v>Nunca</v>
      </c>
      <c r="AF1018">
        <v>0</v>
      </c>
      <c r="AG1018" t="str">
        <f t="shared" si="409"/>
        <v>Nunca</v>
      </c>
      <c r="AH1018">
        <v>0</v>
      </c>
      <c r="AI1018" t="str">
        <f t="shared" si="410"/>
        <v>No usa</v>
      </c>
      <c r="AJ1018">
        <v>0</v>
      </c>
      <c r="AK1018" t="str">
        <f t="shared" si="411"/>
        <v>No usa</v>
      </c>
      <c r="AL1018">
        <v>0</v>
      </c>
      <c r="AM1018" t="str">
        <f t="shared" si="412"/>
        <v>No usa</v>
      </c>
      <c r="AN1018">
        <v>1</v>
      </c>
      <c r="AO1018" t="str">
        <f t="shared" si="413"/>
        <v>Usa Transporte</v>
      </c>
      <c r="AP1018">
        <v>0</v>
      </c>
      <c r="AQ1018" t="str">
        <f t="shared" si="414"/>
        <v>No camina</v>
      </c>
      <c r="AR1018">
        <v>0</v>
      </c>
      <c r="AS1018" t="str">
        <f t="shared" si="415"/>
        <v>No es obeso</v>
      </c>
    </row>
    <row r="1019" spans="1:45" x14ac:dyDescent="0.25">
      <c r="A1019">
        <v>0</v>
      </c>
      <c r="B1019" t="str">
        <f t="shared" si="390"/>
        <v>F</v>
      </c>
      <c r="C1019">
        <v>42189023</v>
      </c>
      <c r="D1019">
        <f t="shared" si="391"/>
        <v>115</v>
      </c>
      <c r="E1019">
        <f t="shared" si="392"/>
        <v>100</v>
      </c>
      <c r="F1019" t="str">
        <f t="shared" si="393"/>
        <v>75-100</v>
      </c>
      <c r="G1019">
        <v>1</v>
      </c>
      <c r="H1019" t="str">
        <f t="shared" si="394"/>
        <v>Pariente gordo</v>
      </c>
      <c r="I1019">
        <v>1</v>
      </c>
      <c r="J1019" t="str">
        <f t="shared" si="395"/>
        <v>Hipercaloricos</v>
      </c>
      <c r="K1019">
        <v>2</v>
      </c>
      <c r="L1019">
        <f t="shared" si="396"/>
        <v>1</v>
      </c>
      <c r="M1019" t="str">
        <f t="shared" si="397"/>
        <v>Suele comer</v>
      </c>
      <c r="N1019">
        <v>3</v>
      </c>
      <c r="O1019">
        <f t="shared" si="398"/>
        <v>2</v>
      </c>
      <c r="P1019" t="str">
        <f t="shared" si="399"/>
        <v>Mas de 3</v>
      </c>
      <c r="Q1019">
        <v>1</v>
      </c>
      <c r="R1019" t="str">
        <f t="shared" si="400"/>
        <v>A veces</v>
      </c>
      <c r="S1019">
        <v>0</v>
      </c>
      <c r="T1019" t="str">
        <f t="shared" si="401"/>
        <v>No fuma</v>
      </c>
      <c r="U1019">
        <v>1</v>
      </c>
      <c r="V1019">
        <f t="shared" si="402"/>
        <v>1</v>
      </c>
      <c r="W1019" t="str">
        <f t="shared" si="403"/>
        <v>Usualmente</v>
      </c>
      <c r="X1019">
        <v>0</v>
      </c>
      <c r="Y1019" t="str">
        <f t="shared" si="404"/>
        <v>No controla</v>
      </c>
      <c r="Z1019">
        <v>0</v>
      </c>
      <c r="AA1019">
        <f t="shared" si="405"/>
        <v>0</v>
      </c>
      <c r="AB1019" t="str">
        <f t="shared" si="406"/>
        <v>Nunca</v>
      </c>
      <c r="AC1019">
        <v>148189</v>
      </c>
      <c r="AD1019">
        <f t="shared" si="407"/>
        <v>1</v>
      </c>
      <c r="AE1019" t="str">
        <f t="shared" si="408"/>
        <v>Usualmente</v>
      </c>
      <c r="AF1019">
        <v>0</v>
      </c>
      <c r="AG1019" t="str">
        <f t="shared" si="409"/>
        <v>Nunca</v>
      </c>
      <c r="AH1019">
        <v>1</v>
      </c>
      <c r="AI1019" t="str">
        <f t="shared" si="410"/>
        <v>Usa auto</v>
      </c>
      <c r="AJ1019">
        <v>0</v>
      </c>
      <c r="AK1019" t="str">
        <f t="shared" si="411"/>
        <v>No usa</v>
      </c>
      <c r="AL1019">
        <v>0</v>
      </c>
      <c r="AM1019" t="str">
        <f t="shared" si="412"/>
        <v>No usa</v>
      </c>
      <c r="AN1019">
        <v>0</v>
      </c>
      <c r="AO1019" t="str">
        <f t="shared" si="413"/>
        <v>No usa</v>
      </c>
      <c r="AP1019">
        <v>0</v>
      </c>
      <c r="AQ1019" t="str">
        <f t="shared" si="414"/>
        <v>No camina</v>
      </c>
      <c r="AR1019">
        <v>0</v>
      </c>
      <c r="AS1019" t="str">
        <f t="shared" si="415"/>
        <v>No es obeso</v>
      </c>
    </row>
    <row r="1020" spans="1:45" x14ac:dyDescent="0.25">
      <c r="A1020">
        <v>1</v>
      </c>
      <c r="B1020" t="str">
        <f t="shared" si="390"/>
        <v>M</v>
      </c>
      <c r="C1020">
        <v>22</v>
      </c>
      <c r="D1020">
        <f t="shared" si="391"/>
        <v>22</v>
      </c>
      <c r="E1020">
        <f t="shared" si="392"/>
        <v>22</v>
      </c>
      <c r="F1020" t="str">
        <f t="shared" si="393"/>
        <v>1-25</v>
      </c>
      <c r="G1020">
        <v>1</v>
      </c>
      <c r="H1020" t="str">
        <f t="shared" si="394"/>
        <v>Pariente gordo</v>
      </c>
      <c r="I1020">
        <v>1</v>
      </c>
      <c r="J1020" t="str">
        <f t="shared" si="395"/>
        <v>Hipercaloricos</v>
      </c>
      <c r="K1020">
        <v>2</v>
      </c>
      <c r="L1020">
        <f t="shared" si="396"/>
        <v>1</v>
      </c>
      <c r="M1020" t="str">
        <f t="shared" si="397"/>
        <v>Suele comer</v>
      </c>
      <c r="N1020">
        <v>2038373</v>
      </c>
      <c r="O1020">
        <f t="shared" si="398"/>
        <v>2</v>
      </c>
      <c r="P1020" t="str">
        <f t="shared" si="399"/>
        <v>Mas de 3</v>
      </c>
      <c r="Q1020">
        <v>1</v>
      </c>
      <c r="R1020" t="str">
        <f t="shared" si="400"/>
        <v>A veces</v>
      </c>
      <c r="S1020">
        <v>0</v>
      </c>
      <c r="T1020" t="str">
        <f t="shared" si="401"/>
        <v>No fuma</v>
      </c>
      <c r="U1020">
        <v>2</v>
      </c>
      <c r="V1020">
        <f t="shared" si="402"/>
        <v>2</v>
      </c>
      <c r="W1020" t="str">
        <f t="shared" si="403"/>
        <v>Siempre</v>
      </c>
      <c r="X1020">
        <v>0</v>
      </c>
      <c r="Y1020" t="str">
        <f t="shared" si="404"/>
        <v>No controla</v>
      </c>
      <c r="Z1020">
        <v>270825</v>
      </c>
      <c r="AA1020">
        <f t="shared" si="405"/>
        <v>2</v>
      </c>
      <c r="AB1020" t="str">
        <f t="shared" si="406"/>
        <v>Usualmente</v>
      </c>
      <c r="AC1020">
        <v>1506576</v>
      </c>
      <c r="AD1020">
        <f t="shared" si="407"/>
        <v>2</v>
      </c>
      <c r="AE1020" t="str">
        <f t="shared" si="408"/>
        <v>Siempre</v>
      </c>
      <c r="AF1020">
        <v>1</v>
      </c>
      <c r="AG1020" t="str">
        <f t="shared" si="409"/>
        <v>A veces</v>
      </c>
      <c r="AH1020">
        <v>0</v>
      </c>
      <c r="AI1020" t="str">
        <f t="shared" si="410"/>
        <v>No usa</v>
      </c>
      <c r="AJ1020">
        <v>0</v>
      </c>
      <c r="AK1020" t="str">
        <f t="shared" si="411"/>
        <v>No usa</v>
      </c>
      <c r="AL1020">
        <v>0</v>
      </c>
      <c r="AM1020" t="str">
        <f t="shared" si="412"/>
        <v>No usa</v>
      </c>
      <c r="AN1020">
        <v>1</v>
      </c>
      <c r="AO1020" t="str">
        <f t="shared" si="413"/>
        <v>Usa Transporte</v>
      </c>
      <c r="AP1020">
        <v>0</v>
      </c>
      <c r="AQ1020" t="str">
        <f t="shared" si="414"/>
        <v>No camina</v>
      </c>
      <c r="AR1020">
        <v>0</v>
      </c>
      <c r="AS1020" t="str">
        <f t="shared" si="415"/>
        <v>No es obeso</v>
      </c>
    </row>
    <row r="1021" spans="1:45" x14ac:dyDescent="0.25">
      <c r="A1021">
        <v>0</v>
      </c>
      <c r="B1021" t="str">
        <f t="shared" si="390"/>
        <v>F</v>
      </c>
      <c r="C1021">
        <v>28770852</v>
      </c>
      <c r="D1021">
        <f t="shared" si="391"/>
        <v>78</v>
      </c>
      <c r="E1021">
        <f t="shared" si="392"/>
        <v>78</v>
      </c>
      <c r="F1021" t="str">
        <f t="shared" si="393"/>
        <v>75-100</v>
      </c>
      <c r="G1021">
        <v>1</v>
      </c>
      <c r="H1021" t="str">
        <f t="shared" si="394"/>
        <v>Pariente gordo</v>
      </c>
      <c r="I1021">
        <v>0</v>
      </c>
      <c r="J1021" t="str">
        <f t="shared" si="395"/>
        <v>Saludables</v>
      </c>
      <c r="K1021">
        <v>2</v>
      </c>
      <c r="L1021">
        <f t="shared" si="396"/>
        <v>1</v>
      </c>
      <c r="M1021" t="str">
        <f t="shared" si="397"/>
        <v>Suele comer</v>
      </c>
      <c r="N1021">
        <v>1</v>
      </c>
      <c r="O1021">
        <f t="shared" si="398"/>
        <v>1</v>
      </c>
      <c r="P1021">
        <f t="shared" si="399"/>
        <v>3</v>
      </c>
      <c r="Q1021">
        <v>1</v>
      </c>
      <c r="R1021" t="str">
        <f t="shared" si="400"/>
        <v>A veces</v>
      </c>
      <c r="S1021">
        <v>0</v>
      </c>
      <c r="T1021" t="str">
        <f t="shared" si="401"/>
        <v>No fuma</v>
      </c>
      <c r="U1021">
        <v>1</v>
      </c>
      <c r="V1021">
        <f t="shared" si="402"/>
        <v>1</v>
      </c>
      <c r="W1021" t="str">
        <f t="shared" si="403"/>
        <v>Usualmente</v>
      </c>
      <c r="X1021">
        <v>0</v>
      </c>
      <c r="Y1021" t="str">
        <f t="shared" si="404"/>
        <v>No controla</v>
      </c>
      <c r="Z1021">
        <v>0.26217099999999999</v>
      </c>
      <c r="AA1021">
        <f t="shared" si="405"/>
        <v>0</v>
      </c>
      <c r="AB1021" t="str">
        <f t="shared" si="406"/>
        <v>Nunca</v>
      </c>
      <c r="AC1021">
        <v>0</v>
      </c>
      <c r="AD1021">
        <f t="shared" si="407"/>
        <v>0</v>
      </c>
      <c r="AE1021" t="str">
        <f t="shared" si="408"/>
        <v>Nunca</v>
      </c>
      <c r="AF1021">
        <v>0</v>
      </c>
      <c r="AG1021" t="str">
        <f t="shared" si="409"/>
        <v>Nunca</v>
      </c>
      <c r="AH1021">
        <v>0</v>
      </c>
      <c r="AI1021" t="str">
        <f t="shared" si="410"/>
        <v>No usa</v>
      </c>
      <c r="AJ1021">
        <v>0</v>
      </c>
      <c r="AK1021" t="str">
        <f t="shared" si="411"/>
        <v>No usa</v>
      </c>
      <c r="AL1021">
        <v>0</v>
      </c>
      <c r="AM1021" t="str">
        <f t="shared" si="412"/>
        <v>No usa</v>
      </c>
      <c r="AN1021">
        <v>1</v>
      </c>
      <c r="AO1021" t="str">
        <f t="shared" si="413"/>
        <v>Usa Transporte</v>
      </c>
      <c r="AP1021">
        <v>0</v>
      </c>
      <c r="AQ1021" t="str">
        <f t="shared" si="414"/>
        <v>No camina</v>
      </c>
      <c r="AR1021">
        <v>0</v>
      </c>
      <c r="AS1021" t="str">
        <f t="shared" si="415"/>
        <v>No es obeso</v>
      </c>
    </row>
    <row r="1022" spans="1:45" x14ac:dyDescent="0.25">
      <c r="A1022">
        <v>0</v>
      </c>
      <c r="B1022" t="str">
        <f t="shared" si="390"/>
        <v>F</v>
      </c>
      <c r="C1022">
        <v>25483381</v>
      </c>
      <c r="D1022">
        <f t="shared" si="391"/>
        <v>69</v>
      </c>
      <c r="E1022">
        <f t="shared" si="392"/>
        <v>69</v>
      </c>
      <c r="F1022" t="str">
        <f t="shared" si="393"/>
        <v>50-75</v>
      </c>
      <c r="G1022">
        <v>1</v>
      </c>
      <c r="H1022" t="str">
        <f t="shared" si="394"/>
        <v>Pariente gordo</v>
      </c>
      <c r="I1022">
        <v>0</v>
      </c>
      <c r="J1022" t="str">
        <f t="shared" si="395"/>
        <v>Saludables</v>
      </c>
      <c r="K1022">
        <v>2</v>
      </c>
      <c r="L1022">
        <f t="shared" si="396"/>
        <v>1</v>
      </c>
      <c r="M1022" t="str">
        <f t="shared" si="397"/>
        <v>Suele comer</v>
      </c>
      <c r="N1022">
        <v>1</v>
      </c>
      <c r="O1022">
        <f t="shared" si="398"/>
        <v>1</v>
      </c>
      <c r="P1022">
        <f t="shared" si="399"/>
        <v>3</v>
      </c>
      <c r="Q1022">
        <v>1</v>
      </c>
      <c r="R1022" t="str">
        <f t="shared" si="400"/>
        <v>A veces</v>
      </c>
      <c r="S1022">
        <v>0</v>
      </c>
      <c r="T1022" t="str">
        <f t="shared" si="401"/>
        <v>No fuma</v>
      </c>
      <c r="U1022">
        <v>1</v>
      </c>
      <c r="V1022">
        <f t="shared" si="402"/>
        <v>1</v>
      </c>
      <c r="W1022" t="str">
        <f t="shared" si="403"/>
        <v>Usualmente</v>
      </c>
      <c r="X1022">
        <v>0</v>
      </c>
      <c r="Y1022" t="str">
        <f t="shared" si="404"/>
        <v>No controla</v>
      </c>
      <c r="Z1022">
        <v>0.74063299999999999</v>
      </c>
      <c r="AA1022">
        <f t="shared" si="405"/>
        <v>0</v>
      </c>
      <c r="AB1022" t="str">
        <f t="shared" si="406"/>
        <v>Nunca</v>
      </c>
      <c r="AC1022">
        <v>0</v>
      </c>
      <c r="AD1022">
        <f t="shared" si="407"/>
        <v>0</v>
      </c>
      <c r="AE1022" t="str">
        <f t="shared" si="408"/>
        <v>Nunca</v>
      </c>
      <c r="AF1022">
        <v>0</v>
      </c>
      <c r="AG1022" t="str">
        <f t="shared" si="409"/>
        <v>Nunca</v>
      </c>
      <c r="AH1022">
        <v>0</v>
      </c>
      <c r="AI1022" t="str">
        <f t="shared" si="410"/>
        <v>No usa</v>
      </c>
      <c r="AJ1022">
        <v>0</v>
      </c>
      <c r="AK1022" t="str">
        <f t="shared" si="411"/>
        <v>No usa</v>
      </c>
      <c r="AL1022">
        <v>0</v>
      </c>
      <c r="AM1022" t="str">
        <f t="shared" si="412"/>
        <v>No usa</v>
      </c>
      <c r="AN1022">
        <v>1</v>
      </c>
      <c r="AO1022" t="str">
        <f t="shared" si="413"/>
        <v>Usa Transporte</v>
      </c>
      <c r="AP1022">
        <v>0</v>
      </c>
      <c r="AQ1022" t="str">
        <f t="shared" si="414"/>
        <v>No camina</v>
      </c>
      <c r="AR1022">
        <v>0</v>
      </c>
      <c r="AS1022" t="str">
        <f t="shared" si="415"/>
        <v>No es obeso</v>
      </c>
    </row>
    <row r="1023" spans="1:45" x14ac:dyDescent="0.25">
      <c r="A1023">
        <v>0</v>
      </c>
      <c r="B1023" t="str">
        <f t="shared" si="390"/>
        <v>F</v>
      </c>
      <c r="C1023">
        <v>2167315</v>
      </c>
      <c r="D1023">
        <f t="shared" si="391"/>
        <v>5</v>
      </c>
      <c r="E1023">
        <f t="shared" si="392"/>
        <v>5</v>
      </c>
      <c r="F1023" t="str">
        <f t="shared" si="393"/>
        <v>1-25</v>
      </c>
      <c r="G1023">
        <v>1</v>
      </c>
      <c r="H1023" t="str">
        <f t="shared" si="394"/>
        <v>Pariente gordo</v>
      </c>
      <c r="I1023">
        <v>0</v>
      </c>
      <c r="J1023" t="str">
        <f t="shared" si="395"/>
        <v>Saludables</v>
      </c>
      <c r="K1023">
        <v>2</v>
      </c>
      <c r="L1023">
        <f t="shared" si="396"/>
        <v>1</v>
      </c>
      <c r="M1023" t="str">
        <f t="shared" si="397"/>
        <v>Suele comer</v>
      </c>
      <c r="N1023">
        <v>1474836</v>
      </c>
      <c r="O1023">
        <f t="shared" si="398"/>
        <v>2</v>
      </c>
      <c r="P1023" t="str">
        <f t="shared" si="399"/>
        <v>Mas de 3</v>
      </c>
      <c r="Q1023">
        <v>1</v>
      </c>
      <c r="R1023" t="str">
        <f t="shared" si="400"/>
        <v>A veces</v>
      </c>
      <c r="S1023">
        <v>0</v>
      </c>
      <c r="T1023" t="str">
        <f t="shared" si="401"/>
        <v>No fuma</v>
      </c>
      <c r="U1023">
        <v>2</v>
      </c>
      <c r="V1023">
        <f t="shared" si="402"/>
        <v>2</v>
      </c>
      <c r="W1023" t="str">
        <f t="shared" si="403"/>
        <v>Siempre</v>
      </c>
      <c r="X1023">
        <v>0</v>
      </c>
      <c r="Y1023" t="str">
        <f t="shared" si="404"/>
        <v>No controla</v>
      </c>
      <c r="Z1023">
        <v>0.27483800000000003</v>
      </c>
      <c r="AA1023">
        <f t="shared" si="405"/>
        <v>0</v>
      </c>
      <c r="AB1023" t="str">
        <f t="shared" si="406"/>
        <v>Nunca</v>
      </c>
      <c r="AC1023">
        <v>0.61390199999999995</v>
      </c>
      <c r="AD1023">
        <f t="shared" si="407"/>
        <v>0</v>
      </c>
      <c r="AE1023" t="str">
        <f t="shared" si="408"/>
        <v>Nunca</v>
      </c>
      <c r="AF1023">
        <v>0</v>
      </c>
      <c r="AG1023" t="str">
        <f t="shared" si="409"/>
        <v>Nunca</v>
      </c>
      <c r="AH1023">
        <v>0</v>
      </c>
      <c r="AI1023" t="str">
        <f t="shared" si="410"/>
        <v>No usa</v>
      </c>
      <c r="AJ1023">
        <v>0</v>
      </c>
      <c r="AK1023" t="str">
        <f t="shared" si="411"/>
        <v>No usa</v>
      </c>
      <c r="AL1023">
        <v>0</v>
      </c>
      <c r="AM1023" t="str">
        <f t="shared" si="412"/>
        <v>No usa</v>
      </c>
      <c r="AN1023">
        <v>1</v>
      </c>
      <c r="AO1023" t="str">
        <f t="shared" si="413"/>
        <v>Usa Transporte</v>
      </c>
      <c r="AP1023">
        <v>0</v>
      </c>
      <c r="AQ1023" t="str">
        <f t="shared" si="414"/>
        <v>No camina</v>
      </c>
      <c r="AR1023">
        <v>0</v>
      </c>
      <c r="AS1023" t="str">
        <f t="shared" si="415"/>
        <v>No es obeso</v>
      </c>
    </row>
    <row r="1024" spans="1:45" x14ac:dyDescent="0.25">
      <c r="A1024">
        <v>0</v>
      </c>
      <c r="B1024" t="str">
        <f t="shared" si="390"/>
        <v>F</v>
      </c>
      <c r="C1024">
        <v>23469538</v>
      </c>
      <c r="D1024">
        <f t="shared" si="391"/>
        <v>64</v>
      </c>
      <c r="E1024">
        <f t="shared" si="392"/>
        <v>64</v>
      </c>
      <c r="F1024" t="str">
        <f t="shared" si="393"/>
        <v>50-75</v>
      </c>
      <c r="G1024">
        <v>1</v>
      </c>
      <c r="H1024" t="str">
        <f t="shared" si="394"/>
        <v>Pariente gordo</v>
      </c>
      <c r="I1024">
        <v>0</v>
      </c>
      <c r="J1024" t="str">
        <f t="shared" si="395"/>
        <v>Saludables</v>
      </c>
      <c r="K1024">
        <v>2252472</v>
      </c>
      <c r="L1024">
        <f t="shared" si="396"/>
        <v>1</v>
      </c>
      <c r="M1024" t="str">
        <f t="shared" si="397"/>
        <v>Suele comer</v>
      </c>
      <c r="N1024">
        <v>3986652</v>
      </c>
      <c r="O1024">
        <f t="shared" si="398"/>
        <v>2</v>
      </c>
      <c r="P1024" t="str">
        <f t="shared" si="399"/>
        <v>Mas de 3</v>
      </c>
      <c r="Q1024">
        <v>1</v>
      </c>
      <c r="R1024" t="str">
        <f t="shared" si="400"/>
        <v>A veces</v>
      </c>
      <c r="S1024">
        <v>0</v>
      </c>
      <c r="T1024" t="str">
        <f t="shared" si="401"/>
        <v>No fuma</v>
      </c>
      <c r="U1024">
        <v>2</v>
      </c>
      <c r="V1024">
        <f t="shared" si="402"/>
        <v>2</v>
      </c>
      <c r="W1024" t="str">
        <f t="shared" si="403"/>
        <v>Siempre</v>
      </c>
      <c r="X1024">
        <v>0</v>
      </c>
      <c r="Y1024" t="str">
        <f t="shared" si="404"/>
        <v>No controla</v>
      </c>
      <c r="Z1024">
        <v>0.93428599999999995</v>
      </c>
      <c r="AA1024">
        <f t="shared" si="405"/>
        <v>0</v>
      </c>
      <c r="AB1024" t="str">
        <f t="shared" si="406"/>
        <v>Nunca</v>
      </c>
      <c r="AC1024">
        <v>0.89062600000000003</v>
      </c>
      <c r="AD1024">
        <f t="shared" si="407"/>
        <v>0</v>
      </c>
      <c r="AE1024" t="str">
        <f t="shared" si="408"/>
        <v>Nunca</v>
      </c>
      <c r="AF1024">
        <v>0</v>
      </c>
      <c r="AG1024" t="str">
        <f t="shared" si="409"/>
        <v>Nunca</v>
      </c>
      <c r="AH1024">
        <v>0</v>
      </c>
      <c r="AI1024" t="str">
        <f t="shared" si="410"/>
        <v>No usa</v>
      </c>
      <c r="AJ1024">
        <v>0</v>
      </c>
      <c r="AK1024" t="str">
        <f t="shared" si="411"/>
        <v>No usa</v>
      </c>
      <c r="AL1024">
        <v>0</v>
      </c>
      <c r="AM1024" t="str">
        <f t="shared" si="412"/>
        <v>No usa</v>
      </c>
      <c r="AN1024">
        <v>1</v>
      </c>
      <c r="AO1024" t="str">
        <f t="shared" si="413"/>
        <v>Usa Transporte</v>
      </c>
      <c r="AP1024">
        <v>0</v>
      </c>
      <c r="AQ1024" t="str">
        <f t="shared" si="414"/>
        <v>No camina</v>
      </c>
      <c r="AR1024">
        <v>0</v>
      </c>
      <c r="AS1024" t="str">
        <f t="shared" si="415"/>
        <v>No es obeso</v>
      </c>
    </row>
    <row r="1025" spans="1:45" x14ac:dyDescent="0.25">
      <c r="A1025">
        <v>1</v>
      </c>
      <c r="B1025" t="str">
        <f t="shared" si="390"/>
        <v>M</v>
      </c>
      <c r="C1025">
        <v>23</v>
      </c>
      <c r="D1025">
        <f t="shared" si="391"/>
        <v>23</v>
      </c>
      <c r="E1025">
        <f t="shared" si="392"/>
        <v>23</v>
      </c>
      <c r="F1025" t="str">
        <f t="shared" si="393"/>
        <v>1-25</v>
      </c>
      <c r="G1025">
        <v>1</v>
      </c>
      <c r="H1025" t="str">
        <f t="shared" si="394"/>
        <v>Pariente gordo</v>
      </c>
      <c r="I1025">
        <v>1</v>
      </c>
      <c r="J1025" t="str">
        <f t="shared" si="395"/>
        <v>Hipercaloricos</v>
      </c>
      <c r="K1025">
        <v>2</v>
      </c>
      <c r="L1025">
        <f t="shared" si="396"/>
        <v>1</v>
      </c>
      <c r="M1025" t="str">
        <f t="shared" si="397"/>
        <v>Suele comer</v>
      </c>
      <c r="N1025">
        <v>2720642</v>
      </c>
      <c r="O1025">
        <f t="shared" si="398"/>
        <v>2</v>
      </c>
      <c r="P1025" t="str">
        <f t="shared" si="399"/>
        <v>Mas de 3</v>
      </c>
      <c r="Q1025">
        <v>1</v>
      </c>
      <c r="R1025" t="str">
        <f t="shared" si="400"/>
        <v>A veces</v>
      </c>
      <c r="S1025">
        <v>0</v>
      </c>
      <c r="T1025" t="str">
        <f t="shared" si="401"/>
        <v>No fuma</v>
      </c>
      <c r="U1025">
        <v>15197</v>
      </c>
      <c r="V1025">
        <f t="shared" si="402"/>
        <v>2</v>
      </c>
      <c r="W1025" t="str">
        <f t="shared" si="403"/>
        <v>Siempre</v>
      </c>
      <c r="X1025">
        <v>0</v>
      </c>
      <c r="Y1025" t="str">
        <f t="shared" si="404"/>
        <v>No controla</v>
      </c>
      <c r="Z1025">
        <v>0.27937499999999998</v>
      </c>
      <c r="AA1025">
        <f t="shared" si="405"/>
        <v>0</v>
      </c>
      <c r="AB1025" t="str">
        <f t="shared" si="406"/>
        <v>Nunca</v>
      </c>
      <c r="AC1025">
        <v>1043435</v>
      </c>
      <c r="AD1025">
        <f t="shared" si="407"/>
        <v>2</v>
      </c>
      <c r="AE1025" t="str">
        <f t="shared" si="408"/>
        <v>Siempre</v>
      </c>
      <c r="AF1025">
        <v>1</v>
      </c>
      <c r="AG1025" t="str">
        <f t="shared" si="409"/>
        <v>A veces</v>
      </c>
      <c r="AH1025">
        <v>0</v>
      </c>
      <c r="AI1025" t="str">
        <f t="shared" si="410"/>
        <v>No usa</v>
      </c>
      <c r="AJ1025">
        <v>0</v>
      </c>
      <c r="AK1025" t="str">
        <f t="shared" si="411"/>
        <v>No usa</v>
      </c>
      <c r="AL1025">
        <v>0</v>
      </c>
      <c r="AM1025" t="str">
        <f t="shared" si="412"/>
        <v>No usa</v>
      </c>
      <c r="AN1025">
        <v>1</v>
      </c>
      <c r="AO1025" t="str">
        <f t="shared" si="413"/>
        <v>Usa Transporte</v>
      </c>
      <c r="AP1025">
        <v>0</v>
      </c>
      <c r="AQ1025" t="str">
        <f t="shared" si="414"/>
        <v>No camina</v>
      </c>
      <c r="AR1025">
        <v>0</v>
      </c>
      <c r="AS1025" t="str">
        <f t="shared" si="415"/>
        <v>No es obeso</v>
      </c>
    </row>
    <row r="1026" spans="1:45" x14ac:dyDescent="0.25">
      <c r="A1026">
        <v>1</v>
      </c>
      <c r="B1026" t="str">
        <f t="shared" si="390"/>
        <v>M</v>
      </c>
      <c r="C1026">
        <v>23</v>
      </c>
      <c r="D1026">
        <f t="shared" si="391"/>
        <v>23</v>
      </c>
      <c r="E1026">
        <f t="shared" si="392"/>
        <v>23</v>
      </c>
      <c r="F1026" t="str">
        <f t="shared" si="393"/>
        <v>1-25</v>
      </c>
      <c r="G1026">
        <v>1</v>
      </c>
      <c r="H1026" t="str">
        <f t="shared" si="394"/>
        <v>Pariente gordo</v>
      </c>
      <c r="I1026">
        <v>1</v>
      </c>
      <c r="J1026" t="str">
        <f t="shared" si="395"/>
        <v>Hipercaloricos</v>
      </c>
      <c r="K1026">
        <v>2</v>
      </c>
      <c r="L1026">
        <f t="shared" si="396"/>
        <v>1</v>
      </c>
      <c r="M1026" t="str">
        <f t="shared" si="397"/>
        <v>Suele comer</v>
      </c>
      <c r="N1026">
        <v>1976744</v>
      </c>
      <c r="O1026">
        <f t="shared" si="398"/>
        <v>2</v>
      </c>
      <c r="P1026" t="str">
        <f t="shared" si="399"/>
        <v>Mas de 3</v>
      </c>
      <c r="Q1026">
        <v>1</v>
      </c>
      <c r="R1026" t="str">
        <f t="shared" si="400"/>
        <v>A veces</v>
      </c>
      <c r="S1026">
        <v>0</v>
      </c>
      <c r="T1026" t="str">
        <f t="shared" si="401"/>
        <v>No fuma</v>
      </c>
      <c r="U1026">
        <v>1628997</v>
      </c>
      <c r="V1026">
        <f t="shared" si="402"/>
        <v>2</v>
      </c>
      <c r="W1026" t="str">
        <f t="shared" si="403"/>
        <v>Siempre</v>
      </c>
      <c r="X1026">
        <v>0</v>
      </c>
      <c r="Y1026" t="str">
        <f t="shared" si="404"/>
        <v>No controla</v>
      </c>
      <c r="Z1026">
        <v>0.88058400000000003</v>
      </c>
      <c r="AA1026">
        <f t="shared" si="405"/>
        <v>0</v>
      </c>
      <c r="AB1026" t="str">
        <f t="shared" si="406"/>
        <v>Nunca</v>
      </c>
      <c r="AC1026">
        <v>1127675</v>
      </c>
      <c r="AD1026">
        <f t="shared" si="407"/>
        <v>2</v>
      </c>
      <c r="AE1026" t="str">
        <f t="shared" si="408"/>
        <v>Siempre</v>
      </c>
      <c r="AF1026">
        <v>1</v>
      </c>
      <c r="AG1026" t="str">
        <f t="shared" si="409"/>
        <v>A veces</v>
      </c>
      <c r="AH1026">
        <v>0</v>
      </c>
      <c r="AI1026" t="str">
        <f t="shared" si="410"/>
        <v>No usa</v>
      </c>
      <c r="AJ1026">
        <v>0</v>
      </c>
      <c r="AK1026" t="str">
        <f t="shared" si="411"/>
        <v>No usa</v>
      </c>
      <c r="AL1026">
        <v>0</v>
      </c>
      <c r="AM1026" t="str">
        <f t="shared" si="412"/>
        <v>No usa</v>
      </c>
      <c r="AN1026">
        <v>1</v>
      </c>
      <c r="AO1026" t="str">
        <f t="shared" si="413"/>
        <v>Usa Transporte</v>
      </c>
      <c r="AP1026">
        <v>0</v>
      </c>
      <c r="AQ1026" t="str">
        <f t="shared" si="414"/>
        <v>No camina</v>
      </c>
      <c r="AR1026">
        <v>0</v>
      </c>
      <c r="AS1026" t="str">
        <f t="shared" si="415"/>
        <v>No es obeso</v>
      </c>
    </row>
    <row r="1027" spans="1:45" x14ac:dyDescent="0.25">
      <c r="A1027">
        <v>0</v>
      </c>
      <c r="B1027" t="str">
        <f t="shared" ref="B1027:B1090" si="416">IF(A1027=1,"M","F")</f>
        <v>F</v>
      </c>
      <c r="C1027">
        <v>38464538</v>
      </c>
      <c r="D1027">
        <f t="shared" ref="D1027:D1090" si="417">IF(C1027&lt;100,C1027,ROUNDDOWN((C1027/1000)/365,0))</f>
        <v>105</v>
      </c>
      <c r="E1027">
        <f t="shared" ref="E1027:E1090" si="418">IF(AND(D1027&gt;1,D1027&lt;=100),D1027,IF(D1027&gt;100,100,5))</f>
        <v>100</v>
      </c>
      <c r="F1027" t="str">
        <f t="shared" ref="F1027:F1090" si="419">IF(AND(E1027&gt;=1,E1027&lt;=25),"1-25",IF(AND(E1027&gt;25,E1027&lt;=50),"25-50",IF(AND(E1027&gt;50,E1027&lt;=75),"50-75","75-100")))</f>
        <v>75-100</v>
      </c>
      <c r="G1027">
        <v>1</v>
      </c>
      <c r="H1027" t="str">
        <f t="shared" ref="H1027:H1090" si="420">IF(G1027=1,"Pariente gordo","Pariente normal")</f>
        <v>Pariente gordo</v>
      </c>
      <c r="I1027">
        <v>1</v>
      </c>
      <c r="J1027" t="str">
        <f t="shared" ref="J1027:J1090" si="421">IF(I1027=1,"Hipercaloricos","Saludables")</f>
        <v>Hipercaloricos</v>
      </c>
      <c r="K1027">
        <v>3</v>
      </c>
      <c r="L1027">
        <f t="shared" ref="L1027:L1090" si="422">IF(AND(K1027&gt;=1,K1027&lt;=3),1,IF(AND(K1027&gt;3,K1027&lt;3000000),1))</f>
        <v>1</v>
      </c>
      <c r="M1027" t="str">
        <f t="shared" ref="M1027:M1090" si="423">IF(L1027=1,"Suele comer","No come")</f>
        <v>Suele comer</v>
      </c>
      <c r="N1027">
        <v>3</v>
      </c>
      <c r="O1027">
        <f t="shared" ref="O1027:O1090" si="424">IF(N1027=1,N1027,IF(AND(N1027&gt;=2,N1027&lt;4000000),2))</f>
        <v>2</v>
      </c>
      <c r="P1027" t="str">
        <f t="shared" ref="P1027:P1090" si="425">IF(O1027=0,"1-2",IF(O1027=1,3,"Mas de 3"))</f>
        <v>Mas de 3</v>
      </c>
      <c r="Q1027">
        <v>1</v>
      </c>
      <c r="R1027" t="str">
        <f t="shared" ref="R1027:R1090" si="426">IF(Q1027=0,"Nunca",IF(Q1027=1,"A veces",IF(Q1027=2,"Usualmente","Siempre")))</f>
        <v>A veces</v>
      </c>
      <c r="S1027">
        <v>0</v>
      </c>
      <c r="T1027" t="str">
        <f t="shared" ref="T1027:T1090" si="427">IF(S1027=1,"Fuma","No fuma")</f>
        <v>No fuma</v>
      </c>
      <c r="U1027">
        <v>2981604</v>
      </c>
      <c r="V1027">
        <f t="shared" ref="V1027:V1090" si="428">IF(U1027=1,U1027,IF(U1027=2,U1027,IF(AND(U1027&gt;=3,U1027&lt;3000000),2)))</f>
        <v>2</v>
      </c>
      <c r="W1027" t="str">
        <f t="shared" ref="W1027:W1090" si="429">IF(V1027=0,"Nunca",IF(V1027=1,"Usualmente","Siempre"))</f>
        <v>Siempre</v>
      </c>
      <c r="X1027">
        <v>0</v>
      </c>
      <c r="Y1027" t="str">
        <f t="shared" ref="Y1027:Y1090" si="430">IF(X1027=1,"Controla","No controla")</f>
        <v>No controla</v>
      </c>
      <c r="Z1027">
        <v>0</v>
      </c>
      <c r="AA1027">
        <f t="shared" ref="AA1027:AA1090" si="431">IF(Z1027=0,Z1027,IF(Z1027=1,Z1027,IF(Z1027=2,Z1027,IF(Z1027=3,Z1027,IF(AND(Z1027&gt;3,Z1027&lt;300000),2,IF(AND(Z1027&gt;300000,Z1027&lt;3000000),3,IF(AND(Z1027&gt;0,Z1027&lt;1),0)))))))</f>
        <v>0</v>
      </c>
      <c r="AB1027" t="str">
        <f t="shared" ref="AB1027:AB1090" si="432">IF(AA1027=0,"Nunca",IF(AA1027=1,"A veces",IF(AA1027=2,"Usualmente","Siempre")))</f>
        <v>Nunca</v>
      </c>
      <c r="AC1027">
        <v>0</v>
      </c>
      <c r="AD1027">
        <f t="shared" ref="AD1027:AD1090" si="433">IF(AC1027= 0,AC1027,IF(AC1027=1,AC1027,IF(AC1027=2,AC1027,IF(AND(AC1027&gt;2,AC1027&lt;200000),1,IF(AND(AC1027&gt;200000,AC1027&lt;2000000),2,IF(AND(AC1027&gt;0,AC1027&lt;1),0))))))</f>
        <v>0</v>
      </c>
      <c r="AE1027" t="str">
        <f t="shared" ref="AE1027:AE1090" si="434">IF(AD1027=0,"Nunca",IF(AD1027=1,"Usualmente","Siempre"))</f>
        <v>Nunca</v>
      </c>
      <c r="AF1027">
        <v>0</v>
      </c>
      <c r="AG1027" t="str">
        <f t="shared" ref="AG1027:AG1090" si="435">IF(AF1027=0,"Nunca",IF(AF1027=1,"A veces",IF(AF1027=2,"Usualmente","Siempre")))</f>
        <v>Nunca</v>
      </c>
      <c r="AH1027">
        <v>1</v>
      </c>
      <c r="AI1027" t="str">
        <f t="shared" ref="AI1027:AI1090" si="436">IF(AH1027=1,"Usa auto","No usa")</f>
        <v>Usa auto</v>
      </c>
      <c r="AJ1027">
        <v>0</v>
      </c>
      <c r="AK1027" t="str">
        <f t="shared" ref="AK1027:AK1090" si="437">IF(AJ1027=1,"Usa Bici","No usa")</f>
        <v>No usa</v>
      </c>
      <c r="AL1027">
        <v>0</v>
      </c>
      <c r="AM1027" t="str">
        <f t="shared" ref="AM1027:AM1090" si="438">IF(AL1027=1,"Usa Moto","No usa")</f>
        <v>No usa</v>
      </c>
      <c r="AN1027">
        <v>0</v>
      </c>
      <c r="AO1027" t="str">
        <f t="shared" ref="AO1027:AO1090" si="439">IF(AN1027=1,"Usa Transporte","No usa")</f>
        <v>No usa</v>
      </c>
      <c r="AP1027">
        <v>0</v>
      </c>
      <c r="AQ1027" t="str">
        <f t="shared" ref="AQ1027:AQ1090" si="440">IF(AP1027=1,"Camina","No camina")</f>
        <v>No camina</v>
      </c>
      <c r="AR1027">
        <v>0</v>
      </c>
      <c r="AS1027" t="str">
        <f t="shared" ref="AS1027:AS1090" si="441">IF(AR1027=1,"Es Obeso","No es obeso")</f>
        <v>No es obeso</v>
      </c>
    </row>
    <row r="1028" spans="1:45" x14ac:dyDescent="0.25">
      <c r="A1028">
        <v>0</v>
      </c>
      <c r="B1028" t="str">
        <f t="shared" si="416"/>
        <v>F</v>
      </c>
      <c r="C1028">
        <v>37496175</v>
      </c>
      <c r="D1028">
        <f t="shared" si="417"/>
        <v>102</v>
      </c>
      <c r="E1028">
        <f t="shared" si="418"/>
        <v>100</v>
      </c>
      <c r="F1028" t="str">
        <f t="shared" si="419"/>
        <v>75-100</v>
      </c>
      <c r="G1028">
        <v>1</v>
      </c>
      <c r="H1028" t="str">
        <f t="shared" si="420"/>
        <v>Pariente gordo</v>
      </c>
      <c r="I1028">
        <v>1</v>
      </c>
      <c r="J1028" t="str">
        <f t="shared" si="421"/>
        <v>Hipercaloricos</v>
      </c>
      <c r="K1028">
        <v>2033745</v>
      </c>
      <c r="L1028">
        <f t="shared" si="422"/>
        <v>1</v>
      </c>
      <c r="M1028" t="str">
        <f t="shared" si="423"/>
        <v>Suele comer</v>
      </c>
      <c r="N1028">
        <v>3</v>
      </c>
      <c r="O1028">
        <f t="shared" si="424"/>
        <v>2</v>
      </c>
      <c r="P1028" t="str">
        <f t="shared" si="425"/>
        <v>Mas de 3</v>
      </c>
      <c r="Q1028">
        <v>1</v>
      </c>
      <c r="R1028" t="str">
        <f t="shared" si="426"/>
        <v>A veces</v>
      </c>
      <c r="S1028">
        <v>0</v>
      </c>
      <c r="T1028" t="str">
        <f t="shared" si="427"/>
        <v>No fuma</v>
      </c>
      <c r="U1028">
        <v>1517225</v>
      </c>
      <c r="V1028">
        <f t="shared" si="428"/>
        <v>2</v>
      </c>
      <c r="W1028" t="str">
        <f t="shared" si="429"/>
        <v>Siempre</v>
      </c>
      <c r="X1028">
        <v>0</v>
      </c>
      <c r="Y1028" t="str">
        <f t="shared" si="430"/>
        <v>No controla</v>
      </c>
      <c r="Z1028">
        <v>0</v>
      </c>
      <c r="AA1028">
        <f t="shared" si="431"/>
        <v>0</v>
      </c>
      <c r="AB1028" t="str">
        <f t="shared" si="432"/>
        <v>Nunca</v>
      </c>
      <c r="AC1028">
        <v>1517897</v>
      </c>
      <c r="AD1028">
        <f t="shared" si="433"/>
        <v>2</v>
      </c>
      <c r="AE1028" t="str">
        <f t="shared" si="434"/>
        <v>Siempre</v>
      </c>
      <c r="AF1028">
        <v>0</v>
      </c>
      <c r="AG1028" t="str">
        <f t="shared" si="435"/>
        <v>Nunca</v>
      </c>
      <c r="AH1028">
        <v>1</v>
      </c>
      <c r="AI1028" t="str">
        <f t="shared" si="436"/>
        <v>Usa auto</v>
      </c>
      <c r="AJ1028">
        <v>0</v>
      </c>
      <c r="AK1028" t="str">
        <f t="shared" si="437"/>
        <v>No usa</v>
      </c>
      <c r="AL1028">
        <v>0</v>
      </c>
      <c r="AM1028" t="str">
        <f t="shared" si="438"/>
        <v>No usa</v>
      </c>
      <c r="AN1028">
        <v>0</v>
      </c>
      <c r="AO1028" t="str">
        <f t="shared" si="439"/>
        <v>No usa</v>
      </c>
      <c r="AP1028">
        <v>0</v>
      </c>
      <c r="AQ1028" t="str">
        <f t="shared" si="440"/>
        <v>No camina</v>
      </c>
      <c r="AR1028">
        <v>0</v>
      </c>
      <c r="AS1028" t="str">
        <f t="shared" si="441"/>
        <v>No es obeso</v>
      </c>
    </row>
    <row r="1029" spans="1:45" x14ac:dyDescent="0.25">
      <c r="A1029">
        <v>0</v>
      </c>
      <c r="B1029" t="str">
        <f t="shared" si="416"/>
        <v>F</v>
      </c>
      <c r="C1029">
        <v>33690239</v>
      </c>
      <c r="D1029">
        <f t="shared" si="417"/>
        <v>92</v>
      </c>
      <c r="E1029">
        <f t="shared" si="418"/>
        <v>92</v>
      </c>
      <c r="F1029" t="str">
        <f t="shared" si="419"/>
        <v>75-100</v>
      </c>
      <c r="G1029">
        <v>1</v>
      </c>
      <c r="H1029" t="str">
        <f t="shared" si="420"/>
        <v>Pariente gordo</v>
      </c>
      <c r="I1029">
        <v>1</v>
      </c>
      <c r="J1029" t="str">
        <f t="shared" si="421"/>
        <v>Hipercaloricos</v>
      </c>
      <c r="K1029">
        <v>3</v>
      </c>
      <c r="L1029">
        <f t="shared" si="422"/>
        <v>1</v>
      </c>
      <c r="M1029" t="str">
        <f t="shared" si="423"/>
        <v>Suele comer</v>
      </c>
      <c r="N1029">
        <v>2679724</v>
      </c>
      <c r="O1029">
        <f t="shared" si="424"/>
        <v>2</v>
      </c>
      <c r="P1029" t="str">
        <f t="shared" si="425"/>
        <v>Mas de 3</v>
      </c>
      <c r="Q1029">
        <v>1</v>
      </c>
      <c r="R1029" t="str">
        <f t="shared" si="426"/>
        <v>A veces</v>
      </c>
      <c r="S1029">
        <v>0</v>
      </c>
      <c r="T1029" t="str">
        <f t="shared" si="427"/>
        <v>No fuma</v>
      </c>
      <c r="U1029">
        <v>1999737</v>
      </c>
      <c r="V1029">
        <f t="shared" si="428"/>
        <v>2</v>
      </c>
      <c r="W1029" t="str">
        <f t="shared" si="429"/>
        <v>Siempre</v>
      </c>
      <c r="X1029">
        <v>0</v>
      </c>
      <c r="Y1029" t="str">
        <f t="shared" si="430"/>
        <v>No controla</v>
      </c>
      <c r="Z1029">
        <v>1747347</v>
      </c>
      <c r="AA1029">
        <f t="shared" si="431"/>
        <v>3</v>
      </c>
      <c r="AB1029" t="str">
        <f t="shared" si="432"/>
        <v>Siempre</v>
      </c>
      <c r="AC1029">
        <v>0.68177299999999996</v>
      </c>
      <c r="AD1029">
        <f t="shared" si="433"/>
        <v>0</v>
      </c>
      <c r="AE1029" t="str">
        <f t="shared" si="434"/>
        <v>Nunca</v>
      </c>
      <c r="AF1029">
        <v>0</v>
      </c>
      <c r="AG1029" t="str">
        <f t="shared" si="435"/>
        <v>Nunca</v>
      </c>
      <c r="AH1029">
        <v>1</v>
      </c>
      <c r="AI1029" t="str">
        <f t="shared" si="436"/>
        <v>Usa auto</v>
      </c>
      <c r="AJ1029">
        <v>0</v>
      </c>
      <c r="AK1029" t="str">
        <f t="shared" si="437"/>
        <v>No usa</v>
      </c>
      <c r="AL1029">
        <v>0</v>
      </c>
      <c r="AM1029" t="str">
        <f t="shared" si="438"/>
        <v>No usa</v>
      </c>
      <c r="AN1029">
        <v>0</v>
      </c>
      <c r="AO1029" t="str">
        <f t="shared" si="439"/>
        <v>No usa</v>
      </c>
      <c r="AP1029">
        <v>0</v>
      </c>
      <c r="AQ1029" t="str">
        <f t="shared" si="440"/>
        <v>No camina</v>
      </c>
      <c r="AR1029">
        <v>0</v>
      </c>
      <c r="AS1029" t="str">
        <f t="shared" si="441"/>
        <v>No es obeso</v>
      </c>
    </row>
    <row r="1030" spans="1:45" x14ac:dyDescent="0.25">
      <c r="A1030">
        <v>0</v>
      </c>
      <c r="B1030" t="str">
        <f t="shared" si="416"/>
        <v>F</v>
      </c>
      <c r="C1030">
        <v>34369686</v>
      </c>
      <c r="D1030">
        <f t="shared" si="417"/>
        <v>94</v>
      </c>
      <c r="E1030">
        <f t="shared" si="418"/>
        <v>94</v>
      </c>
      <c r="F1030" t="str">
        <f t="shared" si="419"/>
        <v>75-100</v>
      </c>
      <c r="G1030">
        <v>1</v>
      </c>
      <c r="H1030" t="str">
        <f t="shared" si="420"/>
        <v>Pariente gordo</v>
      </c>
      <c r="I1030">
        <v>1</v>
      </c>
      <c r="J1030" t="str">
        <f t="shared" si="421"/>
        <v>Hipercaloricos</v>
      </c>
      <c r="K1030">
        <v>2595128</v>
      </c>
      <c r="L1030">
        <f t="shared" si="422"/>
        <v>1</v>
      </c>
      <c r="M1030" t="str">
        <f t="shared" si="423"/>
        <v>Suele comer</v>
      </c>
      <c r="N1030">
        <v>1619796</v>
      </c>
      <c r="O1030">
        <f t="shared" si="424"/>
        <v>2</v>
      </c>
      <c r="P1030" t="str">
        <f t="shared" si="425"/>
        <v>Mas de 3</v>
      </c>
      <c r="Q1030">
        <v>1</v>
      </c>
      <c r="R1030" t="str">
        <f t="shared" si="426"/>
        <v>A veces</v>
      </c>
      <c r="S1030">
        <v>0</v>
      </c>
      <c r="T1030" t="str">
        <f t="shared" si="427"/>
        <v>No fuma</v>
      </c>
      <c r="U1030">
        <v>1642251</v>
      </c>
      <c r="V1030">
        <f t="shared" si="428"/>
        <v>2</v>
      </c>
      <c r="W1030" t="str">
        <f t="shared" si="429"/>
        <v>Siempre</v>
      </c>
      <c r="X1030">
        <v>0</v>
      </c>
      <c r="Y1030" t="str">
        <f t="shared" si="430"/>
        <v>No controla</v>
      </c>
      <c r="Z1030">
        <v>0.66283099999999995</v>
      </c>
      <c r="AA1030">
        <f t="shared" si="431"/>
        <v>0</v>
      </c>
      <c r="AB1030" t="str">
        <f t="shared" si="432"/>
        <v>Nunca</v>
      </c>
      <c r="AC1030">
        <v>0.99926800000000005</v>
      </c>
      <c r="AD1030">
        <f t="shared" si="433"/>
        <v>0</v>
      </c>
      <c r="AE1030" t="str">
        <f t="shared" si="434"/>
        <v>Nunca</v>
      </c>
      <c r="AF1030">
        <v>0</v>
      </c>
      <c r="AG1030" t="str">
        <f t="shared" si="435"/>
        <v>Nunca</v>
      </c>
      <c r="AH1030">
        <v>1</v>
      </c>
      <c r="AI1030" t="str">
        <f t="shared" si="436"/>
        <v>Usa auto</v>
      </c>
      <c r="AJ1030">
        <v>0</v>
      </c>
      <c r="AK1030" t="str">
        <f t="shared" si="437"/>
        <v>No usa</v>
      </c>
      <c r="AL1030">
        <v>0</v>
      </c>
      <c r="AM1030" t="str">
        <f t="shared" si="438"/>
        <v>No usa</v>
      </c>
      <c r="AN1030">
        <v>0</v>
      </c>
      <c r="AO1030" t="str">
        <f t="shared" si="439"/>
        <v>No usa</v>
      </c>
      <c r="AP1030">
        <v>0</v>
      </c>
      <c r="AQ1030" t="str">
        <f t="shared" si="440"/>
        <v>No camina</v>
      </c>
      <c r="AR1030">
        <v>0</v>
      </c>
      <c r="AS1030" t="str">
        <f t="shared" si="441"/>
        <v>No es obeso</v>
      </c>
    </row>
    <row r="1031" spans="1:45" x14ac:dyDescent="0.25">
      <c r="A1031">
        <v>1</v>
      </c>
      <c r="B1031" t="str">
        <f t="shared" si="416"/>
        <v>M</v>
      </c>
      <c r="C1031">
        <v>31426573</v>
      </c>
      <c r="D1031">
        <f t="shared" si="417"/>
        <v>86</v>
      </c>
      <c r="E1031">
        <f t="shared" si="418"/>
        <v>86</v>
      </c>
      <c r="F1031" t="str">
        <f t="shared" si="419"/>
        <v>75-100</v>
      </c>
      <c r="G1031">
        <v>1</v>
      </c>
      <c r="H1031" t="str">
        <f t="shared" si="420"/>
        <v>Pariente gordo</v>
      </c>
      <c r="I1031">
        <v>1</v>
      </c>
      <c r="J1031" t="str">
        <f t="shared" si="421"/>
        <v>Hipercaloricos</v>
      </c>
      <c r="K1031">
        <v>2759286</v>
      </c>
      <c r="L1031">
        <f t="shared" si="422"/>
        <v>1</v>
      </c>
      <c r="M1031" t="str">
        <f t="shared" si="423"/>
        <v>Suele comer</v>
      </c>
      <c r="N1031">
        <v>259257</v>
      </c>
      <c r="O1031">
        <f t="shared" si="424"/>
        <v>2</v>
      </c>
      <c r="P1031" t="str">
        <f t="shared" si="425"/>
        <v>Mas de 3</v>
      </c>
      <c r="Q1031">
        <v>1</v>
      </c>
      <c r="R1031" t="str">
        <f t="shared" si="426"/>
        <v>A veces</v>
      </c>
      <c r="S1031">
        <v>0</v>
      </c>
      <c r="T1031" t="str">
        <f t="shared" si="427"/>
        <v>No fuma</v>
      </c>
      <c r="U1031">
        <v>2549617</v>
      </c>
      <c r="V1031">
        <f t="shared" si="428"/>
        <v>2</v>
      </c>
      <c r="W1031" t="str">
        <f t="shared" si="429"/>
        <v>Siempre</v>
      </c>
      <c r="X1031">
        <v>0</v>
      </c>
      <c r="Y1031" t="str">
        <f t="shared" si="430"/>
        <v>No controla</v>
      </c>
      <c r="Z1031">
        <v>1427233</v>
      </c>
      <c r="AA1031">
        <f t="shared" si="431"/>
        <v>3</v>
      </c>
      <c r="AB1031" t="str">
        <f t="shared" si="432"/>
        <v>Siempre</v>
      </c>
      <c r="AC1031">
        <v>0.51939500000000005</v>
      </c>
      <c r="AD1031">
        <f t="shared" si="433"/>
        <v>0</v>
      </c>
      <c r="AE1031" t="str">
        <f t="shared" si="434"/>
        <v>Nunca</v>
      </c>
      <c r="AF1031">
        <v>1</v>
      </c>
      <c r="AG1031" t="str">
        <f t="shared" si="435"/>
        <v>A veces</v>
      </c>
      <c r="AH1031">
        <v>1</v>
      </c>
      <c r="AI1031" t="str">
        <f t="shared" si="436"/>
        <v>Usa auto</v>
      </c>
      <c r="AJ1031">
        <v>0</v>
      </c>
      <c r="AK1031" t="str">
        <f t="shared" si="437"/>
        <v>No usa</v>
      </c>
      <c r="AL1031">
        <v>0</v>
      </c>
      <c r="AM1031" t="str">
        <f t="shared" si="438"/>
        <v>No usa</v>
      </c>
      <c r="AN1031">
        <v>0</v>
      </c>
      <c r="AO1031" t="str">
        <f t="shared" si="439"/>
        <v>No usa</v>
      </c>
      <c r="AP1031">
        <v>0</v>
      </c>
      <c r="AQ1031" t="str">
        <f t="shared" si="440"/>
        <v>No camina</v>
      </c>
      <c r="AR1031">
        <v>0</v>
      </c>
      <c r="AS1031" t="str">
        <f t="shared" si="441"/>
        <v>No es obeso</v>
      </c>
    </row>
    <row r="1032" spans="1:45" x14ac:dyDescent="0.25">
      <c r="A1032">
        <v>1</v>
      </c>
      <c r="B1032" t="str">
        <f t="shared" si="416"/>
        <v>M</v>
      </c>
      <c r="C1032">
        <v>34288249</v>
      </c>
      <c r="D1032">
        <f t="shared" si="417"/>
        <v>93</v>
      </c>
      <c r="E1032">
        <f t="shared" si="418"/>
        <v>93</v>
      </c>
      <c r="F1032" t="str">
        <f t="shared" si="419"/>
        <v>75-100</v>
      </c>
      <c r="G1032">
        <v>1</v>
      </c>
      <c r="H1032" t="str">
        <f t="shared" si="420"/>
        <v>Pariente gordo</v>
      </c>
      <c r="I1032">
        <v>1</v>
      </c>
      <c r="J1032" t="str">
        <f t="shared" si="421"/>
        <v>Hipercaloricos</v>
      </c>
      <c r="K1032">
        <v>2</v>
      </c>
      <c r="L1032">
        <f t="shared" si="422"/>
        <v>1</v>
      </c>
      <c r="M1032" t="str">
        <f t="shared" si="423"/>
        <v>Suele comer</v>
      </c>
      <c r="N1032">
        <v>1546665</v>
      </c>
      <c r="O1032">
        <f t="shared" si="424"/>
        <v>2</v>
      </c>
      <c r="P1032" t="str">
        <f t="shared" si="425"/>
        <v>Mas de 3</v>
      </c>
      <c r="Q1032">
        <v>1</v>
      </c>
      <c r="R1032" t="str">
        <f t="shared" si="426"/>
        <v>A veces</v>
      </c>
      <c r="S1032">
        <v>0</v>
      </c>
      <c r="T1032" t="str">
        <f t="shared" si="427"/>
        <v>No fuma</v>
      </c>
      <c r="U1032">
        <v>3</v>
      </c>
      <c r="V1032">
        <f t="shared" si="428"/>
        <v>2</v>
      </c>
      <c r="W1032" t="str">
        <f t="shared" si="429"/>
        <v>Siempre</v>
      </c>
      <c r="X1032">
        <v>0</v>
      </c>
      <c r="Y1032" t="str">
        <f t="shared" si="430"/>
        <v>No controla</v>
      </c>
      <c r="Z1032">
        <v>1</v>
      </c>
      <c r="AA1032">
        <f t="shared" si="431"/>
        <v>1</v>
      </c>
      <c r="AB1032" t="str">
        <f t="shared" si="432"/>
        <v>A veces</v>
      </c>
      <c r="AC1032">
        <v>0</v>
      </c>
      <c r="AD1032">
        <f t="shared" si="433"/>
        <v>0</v>
      </c>
      <c r="AE1032" t="str">
        <f t="shared" si="434"/>
        <v>Nunca</v>
      </c>
      <c r="AF1032">
        <v>1</v>
      </c>
      <c r="AG1032" t="str">
        <f t="shared" si="435"/>
        <v>A veces</v>
      </c>
      <c r="AH1032">
        <v>1</v>
      </c>
      <c r="AI1032" t="str">
        <f t="shared" si="436"/>
        <v>Usa auto</v>
      </c>
      <c r="AJ1032">
        <v>0</v>
      </c>
      <c r="AK1032" t="str">
        <f t="shared" si="437"/>
        <v>No usa</v>
      </c>
      <c r="AL1032">
        <v>0</v>
      </c>
      <c r="AM1032" t="str">
        <f t="shared" si="438"/>
        <v>No usa</v>
      </c>
      <c r="AN1032">
        <v>0</v>
      </c>
      <c r="AO1032" t="str">
        <f t="shared" si="439"/>
        <v>No usa</v>
      </c>
      <c r="AP1032">
        <v>0</v>
      </c>
      <c r="AQ1032" t="str">
        <f t="shared" si="440"/>
        <v>No camina</v>
      </c>
      <c r="AR1032">
        <v>0</v>
      </c>
      <c r="AS1032" t="str">
        <f t="shared" si="441"/>
        <v>No es obeso</v>
      </c>
    </row>
    <row r="1033" spans="1:45" x14ac:dyDescent="0.25">
      <c r="A1033">
        <v>0</v>
      </c>
      <c r="B1033" t="str">
        <f t="shared" si="416"/>
        <v>F</v>
      </c>
      <c r="C1033">
        <v>18863875</v>
      </c>
      <c r="D1033">
        <f t="shared" si="417"/>
        <v>51</v>
      </c>
      <c r="E1033">
        <f t="shared" si="418"/>
        <v>51</v>
      </c>
      <c r="F1033" t="str">
        <f t="shared" si="419"/>
        <v>50-75</v>
      </c>
      <c r="G1033">
        <v>1</v>
      </c>
      <c r="H1033" t="str">
        <f t="shared" si="420"/>
        <v>Pariente gordo</v>
      </c>
      <c r="I1033">
        <v>0</v>
      </c>
      <c r="J1033" t="str">
        <f t="shared" si="421"/>
        <v>Saludables</v>
      </c>
      <c r="K1033">
        <v>3</v>
      </c>
      <c r="L1033">
        <f t="shared" si="422"/>
        <v>1</v>
      </c>
      <c r="M1033" t="str">
        <f t="shared" si="423"/>
        <v>Suele comer</v>
      </c>
      <c r="N1033">
        <v>3339914</v>
      </c>
      <c r="O1033">
        <f t="shared" si="424"/>
        <v>2</v>
      </c>
      <c r="P1033" t="str">
        <f t="shared" si="425"/>
        <v>Mas de 3</v>
      </c>
      <c r="Q1033">
        <v>1</v>
      </c>
      <c r="R1033" t="str">
        <f t="shared" si="426"/>
        <v>A veces</v>
      </c>
      <c r="S1033">
        <v>0</v>
      </c>
      <c r="T1033" t="str">
        <f t="shared" si="427"/>
        <v>No fuma</v>
      </c>
      <c r="U1033">
        <v>2</v>
      </c>
      <c r="V1033">
        <f t="shared" si="428"/>
        <v>2</v>
      </c>
      <c r="W1033" t="str">
        <f t="shared" si="429"/>
        <v>Siempre</v>
      </c>
      <c r="X1033">
        <v>0</v>
      </c>
      <c r="Y1033" t="str">
        <f t="shared" si="430"/>
        <v>No controla</v>
      </c>
      <c r="Z1033">
        <v>1</v>
      </c>
      <c r="AA1033">
        <f t="shared" si="431"/>
        <v>1</v>
      </c>
      <c r="AB1033" t="str">
        <f t="shared" si="432"/>
        <v>A veces</v>
      </c>
      <c r="AC1033">
        <v>1</v>
      </c>
      <c r="AD1033">
        <f t="shared" si="433"/>
        <v>1</v>
      </c>
      <c r="AE1033" t="str">
        <f t="shared" si="434"/>
        <v>Usualmente</v>
      </c>
      <c r="AF1033">
        <v>1</v>
      </c>
      <c r="AG1033" t="str">
        <f t="shared" si="435"/>
        <v>A veces</v>
      </c>
      <c r="AH1033">
        <v>0</v>
      </c>
      <c r="AI1033" t="str">
        <f t="shared" si="436"/>
        <v>No usa</v>
      </c>
      <c r="AJ1033">
        <v>0</v>
      </c>
      <c r="AK1033" t="str">
        <f t="shared" si="437"/>
        <v>No usa</v>
      </c>
      <c r="AL1033">
        <v>0</v>
      </c>
      <c r="AM1033" t="str">
        <f t="shared" si="438"/>
        <v>No usa</v>
      </c>
      <c r="AN1033">
        <v>1</v>
      </c>
      <c r="AO1033" t="str">
        <f t="shared" si="439"/>
        <v>Usa Transporte</v>
      </c>
      <c r="AP1033">
        <v>0</v>
      </c>
      <c r="AQ1033" t="str">
        <f t="shared" si="440"/>
        <v>No camina</v>
      </c>
      <c r="AR1033">
        <v>0</v>
      </c>
      <c r="AS1033" t="str">
        <f t="shared" si="441"/>
        <v>No es obeso</v>
      </c>
    </row>
    <row r="1034" spans="1:45" x14ac:dyDescent="0.25">
      <c r="A1034">
        <v>0</v>
      </c>
      <c r="B1034" t="str">
        <f t="shared" si="416"/>
        <v>F</v>
      </c>
      <c r="C1034">
        <v>18951144</v>
      </c>
      <c r="D1034">
        <f t="shared" si="417"/>
        <v>51</v>
      </c>
      <c r="E1034">
        <f t="shared" si="418"/>
        <v>51</v>
      </c>
      <c r="F1034" t="str">
        <f t="shared" si="419"/>
        <v>50-75</v>
      </c>
      <c r="G1034">
        <v>1</v>
      </c>
      <c r="H1034" t="str">
        <f t="shared" si="420"/>
        <v>Pariente gordo</v>
      </c>
      <c r="I1034">
        <v>0</v>
      </c>
      <c r="J1034" t="str">
        <f t="shared" si="421"/>
        <v>Saludables</v>
      </c>
      <c r="K1034">
        <v>3</v>
      </c>
      <c r="L1034">
        <f t="shared" si="422"/>
        <v>1</v>
      </c>
      <c r="M1034" t="str">
        <f t="shared" si="423"/>
        <v>Suele comer</v>
      </c>
      <c r="N1034">
        <v>3884861</v>
      </c>
      <c r="O1034">
        <f t="shared" si="424"/>
        <v>2</v>
      </c>
      <c r="P1034" t="str">
        <f t="shared" si="425"/>
        <v>Mas de 3</v>
      </c>
      <c r="Q1034">
        <v>1</v>
      </c>
      <c r="R1034" t="str">
        <f t="shared" si="426"/>
        <v>A veces</v>
      </c>
      <c r="S1034">
        <v>0</v>
      </c>
      <c r="T1034" t="str">
        <f t="shared" si="427"/>
        <v>No fuma</v>
      </c>
      <c r="U1034">
        <v>2</v>
      </c>
      <c r="V1034">
        <f t="shared" si="428"/>
        <v>2</v>
      </c>
      <c r="W1034" t="str">
        <f t="shared" si="429"/>
        <v>Siempre</v>
      </c>
      <c r="X1034">
        <v>0</v>
      </c>
      <c r="Y1034" t="str">
        <f t="shared" si="430"/>
        <v>No controla</v>
      </c>
      <c r="Z1034">
        <v>1</v>
      </c>
      <c r="AA1034">
        <f t="shared" si="431"/>
        <v>1</v>
      </c>
      <c r="AB1034" t="str">
        <f t="shared" si="432"/>
        <v>A veces</v>
      </c>
      <c r="AC1034">
        <v>1</v>
      </c>
      <c r="AD1034">
        <f t="shared" si="433"/>
        <v>1</v>
      </c>
      <c r="AE1034" t="str">
        <f t="shared" si="434"/>
        <v>Usualmente</v>
      </c>
      <c r="AF1034">
        <v>1</v>
      </c>
      <c r="AG1034" t="str">
        <f t="shared" si="435"/>
        <v>A veces</v>
      </c>
      <c r="AH1034">
        <v>0</v>
      </c>
      <c r="AI1034" t="str">
        <f t="shared" si="436"/>
        <v>No usa</v>
      </c>
      <c r="AJ1034">
        <v>0</v>
      </c>
      <c r="AK1034" t="str">
        <f t="shared" si="437"/>
        <v>No usa</v>
      </c>
      <c r="AL1034">
        <v>0</v>
      </c>
      <c r="AM1034" t="str">
        <f t="shared" si="438"/>
        <v>No usa</v>
      </c>
      <c r="AN1034">
        <v>1</v>
      </c>
      <c r="AO1034" t="str">
        <f t="shared" si="439"/>
        <v>Usa Transporte</v>
      </c>
      <c r="AP1034">
        <v>0</v>
      </c>
      <c r="AQ1034" t="str">
        <f t="shared" si="440"/>
        <v>No camina</v>
      </c>
      <c r="AR1034">
        <v>0</v>
      </c>
      <c r="AS1034" t="str">
        <f t="shared" si="441"/>
        <v>No es obeso</v>
      </c>
    </row>
    <row r="1035" spans="1:45" x14ac:dyDescent="0.25">
      <c r="A1035">
        <v>1</v>
      </c>
      <c r="B1035" t="str">
        <f t="shared" si="416"/>
        <v>M</v>
      </c>
      <c r="C1035">
        <v>19671876</v>
      </c>
      <c r="D1035">
        <f t="shared" si="417"/>
        <v>53</v>
      </c>
      <c r="E1035">
        <f t="shared" si="418"/>
        <v>53</v>
      </c>
      <c r="F1035" t="str">
        <f t="shared" si="419"/>
        <v>50-75</v>
      </c>
      <c r="G1035">
        <v>1</v>
      </c>
      <c r="H1035" t="str">
        <f t="shared" si="420"/>
        <v>Pariente gordo</v>
      </c>
      <c r="I1035">
        <v>0</v>
      </c>
      <c r="J1035" t="str">
        <f t="shared" si="421"/>
        <v>Saludables</v>
      </c>
      <c r="K1035">
        <v>1925064</v>
      </c>
      <c r="L1035">
        <f t="shared" si="422"/>
        <v>1</v>
      </c>
      <c r="M1035" t="str">
        <f t="shared" si="423"/>
        <v>Suele comer</v>
      </c>
      <c r="N1035">
        <v>2358298</v>
      </c>
      <c r="O1035">
        <f t="shared" si="424"/>
        <v>2</v>
      </c>
      <c r="P1035" t="str">
        <f t="shared" si="425"/>
        <v>Mas de 3</v>
      </c>
      <c r="Q1035">
        <v>1</v>
      </c>
      <c r="R1035" t="str">
        <f t="shared" si="426"/>
        <v>A veces</v>
      </c>
      <c r="S1035">
        <v>0</v>
      </c>
      <c r="T1035" t="str">
        <f t="shared" si="427"/>
        <v>No fuma</v>
      </c>
      <c r="U1035">
        <v>2774043</v>
      </c>
      <c r="V1035">
        <f t="shared" si="428"/>
        <v>2</v>
      </c>
      <c r="W1035" t="str">
        <f t="shared" si="429"/>
        <v>Siempre</v>
      </c>
      <c r="X1035">
        <v>0</v>
      </c>
      <c r="Y1035" t="str">
        <f t="shared" si="430"/>
        <v>No controla</v>
      </c>
      <c r="Z1035">
        <v>0</v>
      </c>
      <c r="AA1035">
        <f t="shared" si="431"/>
        <v>0</v>
      </c>
      <c r="AB1035" t="str">
        <f t="shared" si="432"/>
        <v>Nunca</v>
      </c>
      <c r="AC1035">
        <v>0.13356599999999999</v>
      </c>
      <c r="AD1035">
        <f t="shared" si="433"/>
        <v>0</v>
      </c>
      <c r="AE1035" t="str">
        <f t="shared" si="434"/>
        <v>Nunca</v>
      </c>
      <c r="AF1035">
        <v>0</v>
      </c>
      <c r="AG1035" t="str">
        <f t="shared" si="435"/>
        <v>Nunca</v>
      </c>
      <c r="AH1035">
        <v>0</v>
      </c>
      <c r="AI1035" t="str">
        <f t="shared" si="436"/>
        <v>No usa</v>
      </c>
      <c r="AJ1035">
        <v>0</v>
      </c>
      <c r="AK1035" t="str">
        <f t="shared" si="437"/>
        <v>No usa</v>
      </c>
      <c r="AL1035">
        <v>0</v>
      </c>
      <c r="AM1035" t="str">
        <f t="shared" si="438"/>
        <v>No usa</v>
      </c>
      <c r="AN1035">
        <v>1</v>
      </c>
      <c r="AO1035" t="str">
        <f t="shared" si="439"/>
        <v>Usa Transporte</v>
      </c>
      <c r="AP1035">
        <v>0</v>
      </c>
      <c r="AQ1035" t="str">
        <f t="shared" si="440"/>
        <v>No camina</v>
      </c>
      <c r="AR1035">
        <v>0</v>
      </c>
      <c r="AS1035" t="str">
        <f t="shared" si="441"/>
        <v>No es obeso</v>
      </c>
    </row>
    <row r="1036" spans="1:45" x14ac:dyDescent="0.25">
      <c r="A1036">
        <v>1</v>
      </c>
      <c r="B1036" t="str">
        <f t="shared" si="416"/>
        <v>M</v>
      </c>
      <c r="C1036">
        <v>50832559</v>
      </c>
      <c r="D1036">
        <f t="shared" si="417"/>
        <v>139</v>
      </c>
      <c r="E1036">
        <f t="shared" si="418"/>
        <v>100</v>
      </c>
      <c r="F1036" t="str">
        <f t="shared" si="419"/>
        <v>75-100</v>
      </c>
      <c r="G1036">
        <v>1</v>
      </c>
      <c r="H1036" t="str">
        <f t="shared" si="420"/>
        <v>Pariente gordo</v>
      </c>
      <c r="I1036">
        <v>1</v>
      </c>
      <c r="J1036" t="str">
        <f t="shared" si="421"/>
        <v>Hipercaloricos</v>
      </c>
      <c r="K1036">
        <v>2</v>
      </c>
      <c r="L1036">
        <f t="shared" si="422"/>
        <v>1</v>
      </c>
      <c r="M1036" t="str">
        <f t="shared" si="423"/>
        <v>Suele comer</v>
      </c>
      <c r="N1036">
        <v>3</v>
      </c>
      <c r="O1036">
        <f t="shared" si="424"/>
        <v>2</v>
      </c>
      <c r="P1036" t="str">
        <f t="shared" si="425"/>
        <v>Mas de 3</v>
      </c>
      <c r="Q1036">
        <v>1</v>
      </c>
      <c r="R1036" t="str">
        <f t="shared" si="426"/>
        <v>A veces</v>
      </c>
      <c r="S1036">
        <v>0</v>
      </c>
      <c r="T1036" t="str">
        <f t="shared" si="427"/>
        <v>No fuma</v>
      </c>
      <c r="U1036">
        <v>1774778</v>
      </c>
      <c r="V1036">
        <f t="shared" si="428"/>
        <v>2</v>
      </c>
      <c r="W1036" t="str">
        <f t="shared" si="429"/>
        <v>Siempre</v>
      </c>
      <c r="X1036">
        <v>0</v>
      </c>
      <c r="Y1036" t="str">
        <f t="shared" si="430"/>
        <v>No controla</v>
      </c>
      <c r="Z1036">
        <v>0.94326600000000005</v>
      </c>
      <c r="AA1036">
        <f t="shared" si="431"/>
        <v>0</v>
      </c>
      <c r="AB1036" t="str">
        <f t="shared" si="432"/>
        <v>Nunca</v>
      </c>
      <c r="AC1036">
        <v>0</v>
      </c>
      <c r="AD1036">
        <f t="shared" si="433"/>
        <v>0</v>
      </c>
      <c r="AE1036" t="str">
        <f t="shared" si="434"/>
        <v>Nunca</v>
      </c>
      <c r="AF1036">
        <v>0</v>
      </c>
      <c r="AG1036" t="str">
        <f t="shared" si="435"/>
        <v>Nunca</v>
      </c>
      <c r="AH1036">
        <v>1</v>
      </c>
      <c r="AI1036" t="str">
        <f t="shared" si="436"/>
        <v>Usa auto</v>
      </c>
      <c r="AJ1036">
        <v>0</v>
      </c>
      <c r="AK1036" t="str">
        <f t="shared" si="437"/>
        <v>No usa</v>
      </c>
      <c r="AL1036">
        <v>0</v>
      </c>
      <c r="AM1036" t="str">
        <f t="shared" si="438"/>
        <v>No usa</v>
      </c>
      <c r="AN1036">
        <v>0</v>
      </c>
      <c r="AO1036" t="str">
        <f t="shared" si="439"/>
        <v>No usa</v>
      </c>
      <c r="AP1036">
        <v>0</v>
      </c>
      <c r="AQ1036" t="str">
        <f t="shared" si="440"/>
        <v>No camina</v>
      </c>
      <c r="AR1036">
        <v>0</v>
      </c>
      <c r="AS1036" t="str">
        <f t="shared" si="441"/>
        <v>No es obeso</v>
      </c>
    </row>
    <row r="1037" spans="1:45" x14ac:dyDescent="0.25">
      <c r="A1037">
        <v>1</v>
      </c>
      <c r="B1037" t="str">
        <f t="shared" si="416"/>
        <v>M</v>
      </c>
      <c r="C1037">
        <v>17971574</v>
      </c>
      <c r="D1037">
        <f t="shared" si="417"/>
        <v>49</v>
      </c>
      <c r="E1037">
        <f t="shared" si="418"/>
        <v>49</v>
      </c>
      <c r="F1037" t="str">
        <f t="shared" si="419"/>
        <v>25-50</v>
      </c>
      <c r="G1037">
        <v>1</v>
      </c>
      <c r="H1037" t="str">
        <f t="shared" si="420"/>
        <v>Pariente gordo</v>
      </c>
      <c r="I1037">
        <v>1</v>
      </c>
      <c r="J1037" t="str">
        <f t="shared" si="421"/>
        <v>Hipercaloricos</v>
      </c>
      <c r="K1037">
        <v>2</v>
      </c>
      <c r="L1037">
        <f t="shared" si="422"/>
        <v>1</v>
      </c>
      <c r="M1037" t="str">
        <f t="shared" si="423"/>
        <v>Suele comer</v>
      </c>
      <c r="N1037">
        <v>3</v>
      </c>
      <c r="O1037">
        <f t="shared" si="424"/>
        <v>2</v>
      </c>
      <c r="P1037" t="str">
        <f t="shared" si="425"/>
        <v>Mas de 3</v>
      </c>
      <c r="Q1037">
        <v>1</v>
      </c>
      <c r="R1037" t="str">
        <f t="shared" si="426"/>
        <v>A veces</v>
      </c>
      <c r="S1037">
        <v>0</v>
      </c>
      <c r="T1037" t="str">
        <f t="shared" si="427"/>
        <v>No fuma</v>
      </c>
      <c r="U1037">
        <v>2802498</v>
      </c>
      <c r="V1037">
        <f t="shared" si="428"/>
        <v>2</v>
      </c>
      <c r="W1037" t="str">
        <f t="shared" si="429"/>
        <v>Siempre</v>
      </c>
      <c r="X1037">
        <v>0</v>
      </c>
      <c r="Y1037" t="str">
        <f t="shared" si="430"/>
        <v>No controla</v>
      </c>
      <c r="Z1037">
        <v>1</v>
      </c>
      <c r="AA1037">
        <f t="shared" si="431"/>
        <v>1</v>
      </c>
      <c r="AB1037" t="str">
        <f t="shared" si="432"/>
        <v>A veces</v>
      </c>
      <c r="AC1037">
        <v>0.41758000000000001</v>
      </c>
      <c r="AD1037">
        <f t="shared" si="433"/>
        <v>0</v>
      </c>
      <c r="AE1037" t="str">
        <f t="shared" si="434"/>
        <v>Nunca</v>
      </c>
      <c r="AF1037">
        <v>1</v>
      </c>
      <c r="AG1037" t="str">
        <f t="shared" si="435"/>
        <v>A veces</v>
      </c>
      <c r="AH1037">
        <v>0</v>
      </c>
      <c r="AI1037" t="str">
        <f t="shared" si="436"/>
        <v>No usa</v>
      </c>
      <c r="AJ1037">
        <v>0</v>
      </c>
      <c r="AK1037" t="str">
        <f t="shared" si="437"/>
        <v>No usa</v>
      </c>
      <c r="AL1037">
        <v>0</v>
      </c>
      <c r="AM1037" t="str">
        <f t="shared" si="438"/>
        <v>No usa</v>
      </c>
      <c r="AN1037">
        <v>1</v>
      </c>
      <c r="AO1037" t="str">
        <f t="shared" si="439"/>
        <v>Usa Transporte</v>
      </c>
      <c r="AP1037">
        <v>0</v>
      </c>
      <c r="AQ1037" t="str">
        <f t="shared" si="440"/>
        <v>No camina</v>
      </c>
      <c r="AR1037">
        <v>0</v>
      </c>
      <c r="AS1037" t="str">
        <f t="shared" si="441"/>
        <v>No es obeso</v>
      </c>
    </row>
    <row r="1038" spans="1:45" x14ac:dyDescent="0.25">
      <c r="A1038">
        <v>1</v>
      </c>
      <c r="B1038" t="str">
        <f t="shared" si="416"/>
        <v>M</v>
      </c>
      <c r="C1038">
        <v>18</v>
      </c>
      <c r="D1038">
        <f t="shared" si="417"/>
        <v>18</v>
      </c>
      <c r="E1038">
        <f t="shared" si="418"/>
        <v>18</v>
      </c>
      <c r="F1038" t="str">
        <f t="shared" si="419"/>
        <v>1-25</v>
      </c>
      <c r="G1038">
        <v>1</v>
      </c>
      <c r="H1038" t="str">
        <f t="shared" si="420"/>
        <v>Pariente gordo</v>
      </c>
      <c r="I1038">
        <v>1</v>
      </c>
      <c r="J1038" t="str">
        <f t="shared" si="421"/>
        <v>Hipercaloricos</v>
      </c>
      <c r="K1038">
        <v>2846981</v>
      </c>
      <c r="L1038">
        <f t="shared" si="422"/>
        <v>1</v>
      </c>
      <c r="M1038" t="str">
        <f t="shared" si="423"/>
        <v>Suele comer</v>
      </c>
      <c r="N1038">
        <v>3</v>
      </c>
      <c r="O1038">
        <f t="shared" si="424"/>
        <v>2</v>
      </c>
      <c r="P1038" t="str">
        <f t="shared" si="425"/>
        <v>Mas de 3</v>
      </c>
      <c r="Q1038">
        <v>1</v>
      </c>
      <c r="R1038" t="str">
        <f t="shared" si="426"/>
        <v>A veces</v>
      </c>
      <c r="S1038">
        <v>0</v>
      </c>
      <c r="T1038" t="str">
        <f t="shared" si="427"/>
        <v>No fuma</v>
      </c>
      <c r="U1038">
        <v>287781</v>
      </c>
      <c r="V1038">
        <f t="shared" si="428"/>
        <v>2</v>
      </c>
      <c r="W1038" t="str">
        <f t="shared" si="429"/>
        <v>Siempre</v>
      </c>
      <c r="X1038">
        <v>0</v>
      </c>
      <c r="Y1038" t="str">
        <f t="shared" si="430"/>
        <v>No controla</v>
      </c>
      <c r="Z1038">
        <v>1</v>
      </c>
      <c r="AA1038">
        <f t="shared" si="431"/>
        <v>1</v>
      </c>
      <c r="AB1038" t="str">
        <f t="shared" si="432"/>
        <v>A veces</v>
      </c>
      <c r="AC1038">
        <v>0.42908099999999999</v>
      </c>
      <c r="AD1038">
        <f t="shared" si="433"/>
        <v>0</v>
      </c>
      <c r="AE1038" t="str">
        <f t="shared" si="434"/>
        <v>Nunca</v>
      </c>
      <c r="AF1038">
        <v>1</v>
      </c>
      <c r="AG1038" t="str">
        <f t="shared" si="435"/>
        <v>A veces</v>
      </c>
      <c r="AH1038">
        <v>0</v>
      </c>
      <c r="AI1038" t="str">
        <f t="shared" si="436"/>
        <v>No usa</v>
      </c>
      <c r="AJ1038">
        <v>0</v>
      </c>
      <c r="AK1038" t="str">
        <f t="shared" si="437"/>
        <v>No usa</v>
      </c>
      <c r="AL1038">
        <v>0</v>
      </c>
      <c r="AM1038" t="str">
        <f t="shared" si="438"/>
        <v>No usa</v>
      </c>
      <c r="AN1038">
        <v>1</v>
      </c>
      <c r="AO1038" t="str">
        <f t="shared" si="439"/>
        <v>Usa Transporte</v>
      </c>
      <c r="AP1038">
        <v>0</v>
      </c>
      <c r="AQ1038" t="str">
        <f t="shared" si="440"/>
        <v>No camina</v>
      </c>
      <c r="AR1038">
        <v>0</v>
      </c>
      <c r="AS1038" t="str">
        <f t="shared" si="441"/>
        <v>No es obeso</v>
      </c>
    </row>
    <row r="1039" spans="1:45" x14ac:dyDescent="0.25">
      <c r="A1039">
        <v>1</v>
      </c>
      <c r="B1039" t="str">
        <f t="shared" si="416"/>
        <v>M</v>
      </c>
      <c r="C1039">
        <v>18701766</v>
      </c>
      <c r="D1039">
        <f t="shared" si="417"/>
        <v>51</v>
      </c>
      <c r="E1039">
        <f t="shared" si="418"/>
        <v>51</v>
      </c>
      <c r="F1039" t="str">
        <f t="shared" si="419"/>
        <v>50-75</v>
      </c>
      <c r="G1039">
        <v>1</v>
      </c>
      <c r="H1039" t="str">
        <f t="shared" si="420"/>
        <v>Pariente gordo</v>
      </c>
      <c r="I1039">
        <v>1</v>
      </c>
      <c r="J1039" t="str">
        <f t="shared" si="421"/>
        <v>Hipercaloricos</v>
      </c>
      <c r="K1039">
        <v>2650629</v>
      </c>
      <c r="L1039">
        <f t="shared" si="422"/>
        <v>1</v>
      </c>
      <c r="M1039" t="str">
        <f t="shared" si="423"/>
        <v>Suele comer</v>
      </c>
      <c r="N1039">
        <v>1</v>
      </c>
      <c r="O1039">
        <f t="shared" si="424"/>
        <v>1</v>
      </c>
      <c r="P1039">
        <f t="shared" si="425"/>
        <v>3</v>
      </c>
      <c r="Q1039">
        <v>1</v>
      </c>
      <c r="R1039" t="str">
        <f t="shared" si="426"/>
        <v>A veces</v>
      </c>
      <c r="S1039">
        <v>0</v>
      </c>
      <c r="T1039" t="str">
        <f t="shared" si="427"/>
        <v>No fuma</v>
      </c>
      <c r="U1039">
        <v>1708083</v>
      </c>
      <c r="V1039">
        <f t="shared" si="428"/>
        <v>2</v>
      </c>
      <c r="W1039" t="str">
        <f t="shared" si="429"/>
        <v>Siempre</v>
      </c>
      <c r="X1039">
        <v>0</v>
      </c>
      <c r="Y1039" t="str">
        <f t="shared" si="430"/>
        <v>No controla</v>
      </c>
      <c r="Z1039">
        <v>1876051</v>
      </c>
      <c r="AA1039">
        <f t="shared" si="431"/>
        <v>3</v>
      </c>
      <c r="AB1039" t="str">
        <f t="shared" si="432"/>
        <v>Siempre</v>
      </c>
      <c r="AC1039">
        <v>0.93879100000000004</v>
      </c>
      <c r="AD1039">
        <f t="shared" si="433"/>
        <v>0</v>
      </c>
      <c r="AE1039" t="str">
        <f t="shared" si="434"/>
        <v>Nunca</v>
      </c>
      <c r="AF1039">
        <v>1</v>
      </c>
      <c r="AG1039" t="str">
        <f t="shared" si="435"/>
        <v>A veces</v>
      </c>
      <c r="AH1039">
        <v>0</v>
      </c>
      <c r="AI1039" t="str">
        <f t="shared" si="436"/>
        <v>No usa</v>
      </c>
      <c r="AJ1039">
        <v>0</v>
      </c>
      <c r="AK1039" t="str">
        <f t="shared" si="437"/>
        <v>No usa</v>
      </c>
      <c r="AL1039">
        <v>0</v>
      </c>
      <c r="AM1039" t="str">
        <f t="shared" si="438"/>
        <v>No usa</v>
      </c>
      <c r="AN1039">
        <v>1</v>
      </c>
      <c r="AO1039" t="str">
        <f t="shared" si="439"/>
        <v>Usa Transporte</v>
      </c>
      <c r="AP1039">
        <v>0</v>
      </c>
      <c r="AQ1039" t="str">
        <f t="shared" si="440"/>
        <v>No camina</v>
      </c>
      <c r="AR1039">
        <v>0</v>
      </c>
      <c r="AS1039" t="str">
        <f t="shared" si="441"/>
        <v>No es obeso</v>
      </c>
    </row>
    <row r="1040" spans="1:45" x14ac:dyDescent="0.25">
      <c r="A1040">
        <v>0</v>
      </c>
      <c r="B1040" t="str">
        <f t="shared" si="416"/>
        <v>F</v>
      </c>
      <c r="C1040">
        <v>34389679</v>
      </c>
      <c r="D1040">
        <f t="shared" si="417"/>
        <v>94</v>
      </c>
      <c r="E1040">
        <f t="shared" si="418"/>
        <v>94</v>
      </c>
      <c r="F1040" t="str">
        <f t="shared" si="419"/>
        <v>75-100</v>
      </c>
      <c r="G1040">
        <v>1</v>
      </c>
      <c r="H1040" t="str">
        <f t="shared" si="420"/>
        <v>Pariente gordo</v>
      </c>
      <c r="I1040">
        <v>1</v>
      </c>
      <c r="J1040" t="str">
        <f t="shared" si="421"/>
        <v>Hipercaloricos</v>
      </c>
      <c r="K1040">
        <v>3</v>
      </c>
      <c r="L1040">
        <f t="shared" si="422"/>
        <v>1</v>
      </c>
      <c r="M1040" t="str">
        <f t="shared" si="423"/>
        <v>Suele comer</v>
      </c>
      <c r="N1040">
        <v>1802305</v>
      </c>
      <c r="O1040">
        <f t="shared" si="424"/>
        <v>2</v>
      </c>
      <c r="P1040" t="str">
        <f t="shared" si="425"/>
        <v>Mas de 3</v>
      </c>
      <c r="Q1040">
        <v>1</v>
      </c>
      <c r="R1040" t="str">
        <f t="shared" si="426"/>
        <v>A veces</v>
      </c>
      <c r="S1040">
        <v>0</v>
      </c>
      <c r="T1040" t="str">
        <f t="shared" si="427"/>
        <v>No fuma</v>
      </c>
      <c r="U1040">
        <v>2</v>
      </c>
      <c r="V1040">
        <f t="shared" si="428"/>
        <v>2</v>
      </c>
      <c r="W1040" t="str">
        <f t="shared" si="429"/>
        <v>Siempre</v>
      </c>
      <c r="X1040">
        <v>0</v>
      </c>
      <c r="Y1040" t="str">
        <f t="shared" si="430"/>
        <v>No controla</v>
      </c>
      <c r="Z1040">
        <v>0.39087699999999997</v>
      </c>
      <c r="AA1040">
        <f t="shared" si="431"/>
        <v>0</v>
      </c>
      <c r="AB1040" t="str">
        <f t="shared" si="432"/>
        <v>Nunca</v>
      </c>
      <c r="AC1040">
        <v>0</v>
      </c>
      <c r="AD1040">
        <f t="shared" si="433"/>
        <v>0</v>
      </c>
      <c r="AE1040" t="str">
        <f t="shared" si="434"/>
        <v>Nunca</v>
      </c>
      <c r="AF1040">
        <v>0</v>
      </c>
      <c r="AG1040" t="str">
        <f t="shared" si="435"/>
        <v>Nunca</v>
      </c>
      <c r="AH1040">
        <v>1</v>
      </c>
      <c r="AI1040" t="str">
        <f t="shared" si="436"/>
        <v>Usa auto</v>
      </c>
      <c r="AJ1040">
        <v>0</v>
      </c>
      <c r="AK1040" t="str">
        <f t="shared" si="437"/>
        <v>No usa</v>
      </c>
      <c r="AL1040">
        <v>0</v>
      </c>
      <c r="AM1040" t="str">
        <f t="shared" si="438"/>
        <v>No usa</v>
      </c>
      <c r="AN1040">
        <v>0</v>
      </c>
      <c r="AO1040" t="str">
        <f t="shared" si="439"/>
        <v>No usa</v>
      </c>
      <c r="AP1040">
        <v>0</v>
      </c>
      <c r="AQ1040" t="str">
        <f t="shared" si="440"/>
        <v>No camina</v>
      </c>
      <c r="AR1040">
        <v>0</v>
      </c>
      <c r="AS1040" t="str">
        <f t="shared" si="441"/>
        <v>No es obeso</v>
      </c>
    </row>
    <row r="1041" spans="1:45" x14ac:dyDescent="0.25">
      <c r="A1041">
        <v>1</v>
      </c>
      <c r="B1041" t="str">
        <f t="shared" si="416"/>
        <v>M</v>
      </c>
      <c r="C1041">
        <v>17178483</v>
      </c>
      <c r="D1041">
        <f t="shared" si="417"/>
        <v>47</v>
      </c>
      <c r="E1041">
        <f t="shared" si="418"/>
        <v>47</v>
      </c>
      <c r="F1041" t="str">
        <f t="shared" si="419"/>
        <v>25-50</v>
      </c>
      <c r="G1041">
        <v>1</v>
      </c>
      <c r="H1041" t="str">
        <f t="shared" si="420"/>
        <v>Pariente gordo</v>
      </c>
      <c r="I1041">
        <v>1</v>
      </c>
      <c r="J1041" t="str">
        <f t="shared" si="421"/>
        <v>Hipercaloricos</v>
      </c>
      <c r="K1041">
        <v>2</v>
      </c>
      <c r="L1041">
        <f t="shared" si="422"/>
        <v>1</v>
      </c>
      <c r="M1041" t="str">
        <f t="shared" si="423"/>
        <v>Suele comer</v>
      </c>
      <c r="N1041">
        <v>3</v>
      </c>
      <c r="O1041">
        <f t="shared" si="424"/>
        <v>2</v>
      </c>
      <c r="P1041" t="str">
        <f t="shared" si="425"/>
        <v>Mas de 3</v>
      </c>
      <c r="Q1041">
        <v>1</v>
      </c>
      <c r="R1041" t="str">
        <f t="shared" si="426"/>
        <v>A veces</v>
      </c>
      <c r="S1041">
        <v>0</v>
      </c>
      <c r="T1041" t="str">
        <f t="shared" si="427"/>
        <v>No fuma</v>
      </c>
      <c r="U1041">
        <v>3</v>
      </c>
      <c r="V1041">
        <f t="shared" si="428"/>
        <v>2</v>
      </c>
      <c r="W1041" t="str">
        <f t="shared" si="429"/>
        <v>Siempre</v>
      </c>
      <c r="X1041">
        <v>0</v>
      </c>
      <c r="Y1041" t="str">
        <f t="shared" si="430"/>
        <v>No controla</v>
      </c>
      <c r="Z1041">
        <v>1072318</v>
      </c>
      <c r="AA1041">
        <f t="shared" si="431"/>
        <v>3</v>
      </c>
      <c r="AB1041" t="str">
        <f t="shared" si="432"/>
        <v>Siempre</v>
      </c>
      <c r="AC1041">
        <v>0.65190400000000004</v>
      </c>
      <c r="AD1041">
        <f t="shared" si="433"/>
        <v>0</v>
      </c>
      <c r="AE1041" t="str">
        <f t="shared" si="434"/>
        <v>Nunca</v>
      </c>
      <c r="AF1041">
        <v>1</v>
      </c>
      <c r="AG1041" t="str">
        <f t="shared" si="435"/>
        <v>A veces</v>
      </c>
      <c r="AH1041">
        <v>0</v>
      </c>
      <c r="AI1041" t="str">
        <f t="shared" si="436"/>
        <v>No usa</v>
      </c>
      <c r="AJ1041">
        <v>0</v>
      </c>
      <c r="AK1041" t="str">
        <f t="shared" si="437"/>
        <v>No usa</v>
      </c>
      <c r="AL1041">
        <v>0</v>
      </c>
      <c r="AM1041" t="str">
        <f t="shared" si="438"/>
        <v>No usa</v>
      </c>
      <c r="AN1041">
        <v>1</v>
      </c>
      <c r="AO1041" t="str">
        <f t="shared" si="439"/>
        <v>Usa Transporte</v>
      </c>
      <c r="AP1041">
        <v>0</v>
      </c>
      <c r="AQ1041" t="str">
        <f t="shared" si="440"/>
        <v>No camina</v>
      </c>
      <c r="AR1041">
        <v>0</v>
      </c>
      <c r="AS1041" t="str">
        <f t="shared" si="441"/>
        <v>No es obeso</v>
      </c>
    </row>
    <row r="1042" spans="1:45" x14ac:dyDescent="0.25">
      <c r="A1042">
        <v>1</v>
      </c>
      <c r="B1042" t="str">
        <f t="shared" si="416"/>
        <v>M</v>
      </c>
      <c r="C1042">
        <v>330816</v>
      </c>
      <c r="D1042">
        <f t="shared" si="417"/>
        <v>0</v>
      </c>
      <c r="E1042">
        <f t="shared" si="418"/>
        <v>5</v>
      </c>
      <c r="F1042" t="str">
        <f t="shared" si="419"/>
        <v>1-25</v>
      </c>
      <c r="G1042">
        <v>1</v>
      </c>
      <c r="H1042" t="str">
        <f t="shared" si="420"/>
        <v>Pariente gordo</v>
      </c>
      <c r="I1042">
        <v>1</v>
      </c>
      <c r="J1042" t="str">
        <f t="shared" si="421"/>
        <v>Hipercaloricos</v>
      </c>
      <c r="K1042">
        <v>2</v>
      </c>
      <c r="L1042">
        <f t="shared" si="422"/>
        <v>1</v>
      </c>
      <c r="M1042" t="str">
        <f t="shared" si="423"/>
        <v>Suele comer</v>
      </c>
      <c r="N1042">
        <v>27976</v>
      </c>
      <c r="O1042">
        <f t="shared" si="424"/>
        <v>2</v>
      </c>
      <c r="P1042" t="str">
        <f t="shared" si="425"/>
        <v>Mas de 3</v>
      </c>
      <c r="Q1042">
        <v>1</v>
      </c>
      <c r="R1042" t="str">
        <f t="shared" si="426"/>
        <v>A veces</v>
      </c>
      <c r="S1042">
        <v>0</v>
      </c>
      <c r="T1042" t="str">
        <f t="shared" si="427"/>
        <v>No fuma</v>
      </c>
      <c r="U1042">
        <v>2991671</v>
      </c>
      <c r="V1042">
        <f t="shared" si="428"/>
        <v>2</v>
      </c>
      <c r="W1042" t="str">
        <f t="shared" si="429"/>
        <v>Siempre</v>
      </c>
      <c r="X1042">
        <v>0</v>
      </c>
      <c r="Y1042" t="str">
        <f t="shared" si="430"/>
        <v>No controla</v>
      </c>
      <c r="Z1042">
        <v>2148738</v>
      </c>
      <c r="AA1042">
        <f t="shared" si="431"/>
        <v>3</v>
      </c>
      <c r="AB1042" t="str">
        <f t="shared" si="432"/>
        <v>Siempre</v>
      </c>
      <c r="AC1042">
        <v>0</v>
      </c>
      <c r="AD1042">
        <f t="shared" si="433"/>
        <v>0</v>
      </c>
      <c r="AE1042" t="str">
        <f t="shared" si="434"/>
        <v>Nunca</v>
      </c>
      <c r="AF1042">
        <v>0</v>
      </c>
      <c r="AG1042" t="str">
        <f t="shared" si="435"/>
        <v>Nunca</v>
      </c>
      <c r="AH1042">
        <v>1</v>
      </c>
      <c r="AI1042" t="str">
        <f t="shared" si="436"/>
        <v>Usa auto</v>
      </c>
      <c r="AJ1042">
        <v>0</v>
      </c>
      <c r="AK1042" t="str">
        <f t="shared" si="437"/>
        <v>No usa</v>
      </c>
      <c r="AL1042">
        <v>0</v>
      </c>
      <c r="AM1042" t="str">
        <f t="shared" si="438"/>
        <v>No usa</v>
      </c>
      <c r="AN1042">
        <v>0</v>
      </c>
      <c r="AO1042" t="str">
        <f t="shared" si="439"/>
        <v>No usa</v>
      </c>
      <c r="AP1042">
        <v>0</v>
      </c>
      <c r="AQ1042" t="str">
        <f t="shared" si="440"/>
        <v>No camina</v>
      </c>
      <c r="AR1042">
        <v>0</v>
      </c>
      <c r="AS1042" t="str">
        <f t="shared" si="441"/>
        <v>No es obeso</v>
      </c>
    </row>
    <row r="1043" spans="1:45" x14ac:dyDescent="0.25">
      <c r="A1043">
        <v>1</v>
      </c>
      <c r="B1043" t="str">
        <f t="shared" si="416"/>
        <v>M</v>
      </c>
      <c r="C1043">
        <v>33270448</v>
      </c>
      <c r="D1043">
        <f t="shared" si="417"/>
        <v>91</v>
      </c>
      <c r="E1043">
        <f t="shared" si="418"/>
        <v>91</v>
      </c>
      <c r="F1043" t="str">
        <f t="shared" si="419"/>
        <v>75-100</v>
      </c>
      <c r="G1043">
        <v>1</v>
      </c>
      <c r="H1043" t="str">
        <f t="shared" si="420"/>
        <v>Pariente gordo</v>
      </c>
      <c r="I1043">
        <v>1</v>
      </c>
      <c r="J1043" t="str">
        <f t="shared" si="421"/>
        <v>Hipercaloricos</v>
      </c>
      <c r="K1043">
        <v>2631565</v>
      </c>
      <c r="L1043">
        <f t="shared" si="422"/>
        <v>1</v>
      </c>
      <c r="M1043" t="str">
        <f t="shared" si="423"/>
        <v>Suele comer</v>
      </c>
      <c r="N1043">
        <v>2627173</v>
      </c>
      <c r="O1043">
        <f t="shared" si="424"/>
        <v>2</v>
      </c>
      <c r="P1043" t="str">
        <f t="shared" si="425"/>
        <v>Mas de 3</v>
      </c>
      <c r="Q1043">
        <v>1</v>
      </c>
      <c r="R1043" t="str">
        <f t="shared" si="426"/>
        <v>A veces</v>
      </c>
      <c r="S1043">
        <v>0</v>
      </c>
      <c r="T1043" t="str">
        <f t="shared" si="427"/>
        <v>No fuma</v>
      </c>
      <c r="U1043">
        <v>2253422</v>
      </c>
      <c r="V1043">
        <f t="shared" si="428"/>
        <v>2</v>
      </c>
      <c r="W1043" t="str">
        <f t="shared" si="429"/>
        <v>Siempre</v>
      </c>
      <c r="X1043">
        <v>0</v>
      </c>
      <c r="Y1043" t="str">
        <f t="shared" si="430"/>
        <v>No controla</v>
      </c>
      <c r="Z1043">
        <v>2690756</v>
      </c>
      <c r="AA1043">
        <f t="shared" si="431"/>
        <v>3</v>
      </c>
      <c r="AB1043" t="str">
        <f t="shared" si="432"/>
        <v>Siempre</v>
      </c>
      <c r="AC1043">
        <v>0.84577400000000003</v>
      </c>
      <c r="AD1043">
        <f t="shared" si="433"/>
        <v>0</v>
      </c>
      <c r="AE1043" t="str">
        <f t="shared" si="434"/>
        <v>Nunca</v>
      </c>
      <c r="AF1043">
        <v>0</v>
      </c>
      <c r="AG1043" t="str">
        <f t="shared" si="435"/>
        <v>Nunca</v>
      </c>
      <c r="AH1043">
        <v>1</v>
      </c>
      <c r="AI1043" t="str">
        <f t="shared" si="436"/>
        <v>Usa auto</v>
      </c>
      <c r="AJ1043">
        <v>0</v>
      </c>
      <c r="AK1043" t="str">
        <f t="shared" si="437"/>
        <v>No usa</v>
      </c>
      <c r="AL1043">
        <v>0</v>
      </c>
      <c r="AM1043" t="str">
        <f t="shared" si="438"/>
        <v>No usa</v>
      </c>
      <c r="AN1043">
        <v>0</v>
      </c>
      <c r="AO1043" t="str">
        <f t="shared" si="439"/>
        <v>No usa</v>
      </c>
      <c r="AP1043">
        <v>0</v>
      </c>
      <c r="AQ1043" t="str">
        <f t="shared" si="440"/>
        <v>No camina</v>
      </c>
      <c r="AR1043">
        <v>0</v>
      </c>
      <c r="AS1043" t="str">
        <f t="shared" si="441"/>
        <v>No es obeso</v>
      </c>
    </row>
    <row r="1044" spans="1:45" x14ac:dyDescent="0.25">
      <c r="A1044">
        <v>0</v>
      </c>
      <c r="B1044" t="str">
        <f t="shared" si="416"/>
        <v>F</v>
      </c>
      <c r="C1044">
        <v>36310292</v>
      </c>
      <c r="D1044">
        <f t="shared" si="417"/>
        <v>99</v>
      </c>
      <c r="E1044">
        <f t="shared" si="418"/>
        <v>99</v>
      </c>
      <c r="F1044" t="str">
        <f t="shared" si="419"/>
        <v>75-100</v>
      </c>
      <c r="G1044">
        <v>1</v>
      </c>
      <c r="H1044" t="str">
        <f t="shared" si="420"/>
        <v>Pariente gordo</v>
      </c>
      <c r="I1044">
        <v>1</v>
      </c>
      <c r="J1044" t="str">
        <f t="shared" si="421"/>
        <v>Hipercaloricos</v>
      </c>
      <c r="K1044">
        <v>2</v>
      </c>
      <c r="L1044">
        <f t="shared" si="422"/>
        <v>1</v>
      </c>
      <c r="M1044" t="str">
        <f t="shared" si="423"/>
        <v>Suele comer</v>
      </c>
      <c r="N1044">
        <v>1</v>
      </c>
      <c r="O1044">
        <f t="shared" si="424"/>
        <v>1</v>
      </c>
      <c r="P1044">
        <f t="shared" si="425"/>
        <v>3</v>
      </c>
      <c r="Q1044">
        <v>1</v>
      </c>
      <c r="R1044" t="str">
        <f t="shared" si="426"/>
        <v>A veces</v>
      </c>
      <c r="S1044">
        <v>0</v>
      </c>
      <c r="T1044" t="str">
        <f t="shared" si="427"/>
        <v>No fuma</v>
      </c>
      <c r="U1044">
        <v>2</v>
      </c>
      <c r="V1044">
        <f t="shared" si="428"/>
        <v>2</v>
      </c>
      <c r="W1044" t="str">
        <f t="shared" si="429"/>
        <v>Siempre</v>
      </c>
      <c r="X1044">
        <v>0</v>
      </c>
      <c r="Y1044" t="str">
        <f t="shared" si="430"/>
        <v>No controla</v>
      </c>
      <c r="Z1044">
        <v>1472172</v>
      </c>
      <c r="AA1044">
        <f t="shared" si="431"/>
        <v>3</v>
      </c>
      <c r="AB1044" t="str">
        <f t="shared" si="432"/>
        <v>Siempre</v>
      </c>
      <c r="AC1044">
        <v>0</v>
      </c>
      <c r="AD1044">
        <f t="shared" si="433"/>
        <v>0</v>
      </c>
      <c r="AE1044" t="str">
        <f t="shared" si="434"/>
        <v>Nunca</v>
      </c>
      <c r="AF1044">
        <v>0</v>
      </c>
      <c r="AG1044" t="str">
        <f t="shared" si="435"/>
        <v>Nunca</v>
      </c>
      <c r="AH1044">
        <v>1</v>
      </c>
      <c r="AI1044" t="str">
        <f t="shared" si="436"/>
        <v>Usa auto</v>
      </c>
      <c r="AJ1044">
        <v>0</v>
      </c>
      <c r="AK1044" t="str">
        <f t="shared" si="437"/>
        <v>No usa</v>
      </c>
      <c r="AL1044">
        <v>0</v>
      </c>
      <c r="AM1044" t="str">
        <f t="shared" si="438"/>
        <v>No usa</v>
      </c>
      <c r="AN1044">
        <v>0</v>
      </c>
      <c r="AO1044" t="str">
        <f t="shared" si="439"/>
        <v>No usa</v>
      </c>
      <c r="AP1044">
        <v>0</v>
      </c>
      <c r="AQ1044" t="str">
        <f t="shared" si="440"/>
        <v>No camina</v>
      </c>
      <c r="AR1044">
        <v>0</v>
      </c>
      <c r="AS1044" t="str">
        <f t="shared" si="441"/>
        <v>No es obeso</v>
      </c>
    </row>
    <row r="1045" spans="1:45" x14ac:dyDescent="0.25">
      <c r="A1045">
        <v>0</v>
      </c>
      <c r="B1045" t="str">
        <f t="shared" si="416"/>
        <v>F</v>
      </c>
      <c r="C1045">
        <v>20</v>
      </c>
      <c r="D1045">
        <f t="shared" si="417"/>
        <v>20</v>
      </c>
      <c r="E1045">
        <f t="shared" si="418"/>
        <v>20</v>
      </c>
      <c r="F1045" t="str">
        <f t="shared" si="419"/>
        <v>1-25</v>
      </c>
      <c r="G1045">
        <v>1</v>
      </c>
      <c r="H1045" t="str">
        <f t="shared" si="420"/>
        <v>Pariente gordo</v>
      </c>
      <c r="I1045">
        <v>0</v>
      </c>
      <c r="J1045" t="str">
        <f t="shared" si="421"/>
        <v>Saludables</v>
      </c>
      <c r="K1045">
        <v>2522399</v>
      </c>
      <c r="L1045">
        <f t="shared" si="422"/>
        <v>1</v>
      </c>
      <c r="M1045" t="str">
        <f t="shared" si="423"/>
        <v>Suele comer</v>
      </c>
      <c r="N1045">
        <v>1032887</v>
      </c>
      <c r="O1045">
        <f t="shared" si="424"/>
        <v>2</v>
      </c>
      <c r="P1045" t="str">
        <f t="shared" si="425"/>
        <v>Mas de 3</v>
      </c>
      <c r="Q1045">
        <v>1</v>
      </c>
      <c r="R1045" t="str">
        <f t="shared" si="426"/>
        <v>A veces</v>
      </c>
      <c r="S1045">
        <v>0</v>
      </c>
      <c r="T1045" t="str">
        <f t="shared" si="427"/>
        <v>No fuma</v>
      </c>
      <c r="U1045">
        <v>2397653</v>
      </c>
      <c r="V1045">
        <f t="shared" si="428"/>
        <v>2</v>
      </c>
      <c r="W1045" t="str">
        <f t="shared" si="429"/>
        <v>Siempre</v>
      </c>
      <c r="X1045">
        <v>0</v>
      </c>
      <c r="Y1045" t="str">
        <f t="shared" si="430"/>
        <v>No controla</v>
      </c>
      <c r="Z1045">
        <v>2358699</v>
      </c>
      <c r="AA1045">
        <f t="shared" si="431"/>
        <v>3</v>
      </c>
      <c r="AB1045" t="str">
        <f t="shared" si="432"/>
        <v>Siempre</v>
      </c>
      <c r="AC1045">
        <v>0.44008700000000001</v>
      </c>
      <c r="AD1045">
        <f t="shared" si="433"/>
        <v>0</v>
      </c>
      <c r="AE1045" t="str">
        <f t="shared" si="434"/>
        <v>Nunca</v>
      </c>
      <c r="AF1045">
        <v>1</v>
      </c>
      <c r="AG1045" t="str">
        <f t="shared" si="435"/>
        <v>A veces</v>
      </c>
      <c r="AH1045">
        <v>0</v>
      </c>
      <c r="AI1045" t="str">
        <f t="shared" si="436"/>
        <v>No usa</v>
      </c>
      <c r="AJ1045">
        <v>0</v>
      </c>
      <c r="AK1045" t="str">
        <f t="shared" si="437"/>
        <v>No usa</v>
      </c>
      <c r="AL1045">
        <v>0</v>
      </c>
      <c r="AM1045" t="str">
        <f t="shared" si="438"/>
        <v>No usa</v>
      </c>
      <c r="AN1045">
        <v>1</v>
      </c>
      <c r="AO1045" t="str">
        <f t="shared" si="439"/>
        <v>Usa Transporte</v>
      </c>
      <c r="AP1045">
        <v>0</v>
      </c>
      <c r="AQ1045" t="str">
        <f t="shared" si="440"/>
        <v>No camina</v>
      </c>
      <c r="AR1045">
        <v>0</v>
      </c>
      <c r="AS1045" t="str">
        <f t="shared" si="441"/>
        <v>No es obeso</v>
      </c>
    </row>
    <row r="1046" spans="1:45" x14ac:dyDescent="0.25">
      <c r="A1046">
        <v>0</v>
      </c>
      <c r="B1046" t="str">
        <f t="shared" si="416"/>
        <v>F</v>
      </c>
      <c r="C1046">
        <v>18549437</v>
      </c>
      <c r="D1046">
        <f t="shared" si="417"/>
        <v>50</v>
      </c>
      <c r="E1046">
        <f t="shared" si="418"/>
        <v>50</v>
      </c>
      <c r="F1046" t="str">
        <f t="shared" si="419"/>
        <v>25-50</v>
      </c>
      <c r="G1046">
        <v>1</v>
      </c>
      <c r="H1046" t="str">
        <f t="shared" si="420"/>
        <v>Pariente gordo</v>
      </c>
      <c r="I1046">
        <v>0</v>
      </c>
      <c r="J1046" t="str">
        <f t="shared" si="421"/>
        <v>Saludables</v>
      </c>
      <c r="K1046">
        <v>3</v>
      </c>
      <c r="L1046">
        <f t="shared" si="422"/>
        <v>1</v>
      </c>
      <c r="M1046" t="str">
        <f t="shared" si="423"/>
        <v>Suele comer</v>
      </c>
      <c r="N1046">
        <v>3014808</v>
      </c>
      <c r="O1046">
        <f t="shared" si="424"/>
        <v>2</v>
      </c>
      <c r="P1046" t="str">
        <f t="shared" si="425"/>
        <v>Mas de 3</v>
      </c>
      <c r="Q1046">
        <v>1</v>
      </c>
      <c r="R1046" t="str">
        <f t="shared" si="426"/>
        <v>A veces</v>
      </c>
      <c r="S1046">
        <v>0</v>
      </c>
      <c r="T1046" t="str">
        <f t="shared" si="427"/>
        <v>No fuma</v>
      </c>
      <c r="U1046">
        <v>2</v>
      </c>
      <c r="V1046">
        <f t="shared" si="428"/>
        <v>2</v>
      </c>
      <c r="W1046" t="str">
        <f t="shared" si="429"/>
        <v>Siempre</v>
      </c>
      <c r="X1046">
        <v>0</v>
      </c>
      <c r="Y1046" t="str">
        <f t="shared" si="430"/>
        <v>No controla</v>
      </c>
      <c r="Z1046">
        <v>1997529</v>
      </c>
      <c r="AA1046">
        <f t="shared" si="431"/>
        <v>3</v>
      </c>
      <c r="AB1046" t="str">
        <f t="shared" si="432"/>
        <v>Siempre</v>
      </c>
      <c r="AC1046">
        <v>1</v>
      </c>
      <c r="AD1046">
        <f t="shared" si="433"/>
        <v>1</v>
      </c>
      <c r="AE1046" t="str">
        <f t="shared" si="434"/>
        <v>Usualmente</v>
      </c>
      <c r="AF1046">
        <v>1</v>
      </c>
      <c r="AG1046" t="str">
        <f t="shared" si="435"/>
        <v>A veces</v>
      </c>
      <c r="AH1046">
        <v>0</v>
      </c>
      <c r="AI1046" t="str">
        <f t="shared" si="436"/>
        <v>No usa</v>
      </c>
      <c r="AJ1046">
        <v>0</v>
      </c>
      <c r="AK1046" t="str">
        <f t="shared" si="437"/>
        <v>No usa</v>
      </c>
      <c r="AL1046">
        <v>0</v>
      </c>
      <c r="AM1046" t="str">
        <f t="shared" si="438"/>
        <v>No usa</v>
      </c>
      <c r="AN1046">
        <v>1</v>
      </c>
      <c r="AO1046" t="str">
        <f t="shared" si="439"/>
        <v>Usa Transporte</v>
      </c>
      <c r="AP1046">
        <v>0</v>
      </c>
      <c r="AQ1046" t="str">
        <f t="shared" si="440"/>
        <v>No camina</v>
      </c>
      <c r="AR1046">
        <v>0</v>
      </c>
      <c r="AS1046" t="str">
        <f t="shared" si="441"/>
        <v>No es obeso</v>
      </c>
    </row>
    <row r="1047" spans="1:45" x14ac:dyDescent="0.25">
      <c r="A1047">
        <v>1</v>
      </c>
      <c r="B1047" t="str">
        <f t="shared" si="416"/>
        <v>M</v>
      </c>
      <c r="C1047">
        <v>34243146</v>
      </c>
      <c r="D1047">
        <f t="shared" si="417"/>
        <v>93</v>
      </c>
      <c r="E1047">
        <f t="shared" si="418"/>
        <v>93</v>
      </c>
      <c r="F1047" t="str">
        <f t="shared" si="419"/>
        <v>75-100</v>
      </c>
      <c r="G1047">
        <v>1</v>
      </c>
      <c r="H1047" t="str">
        <f t="shared" si="420"/>
        <v>Pariente gordo</v>
      </c>
      <c r="I1047">
        <v>1</v>
      </c>
      <c r="J1047" t="str">
        <f t="shared" si="421"/>
        <v>Hipercaloricos</v>
      </c>
      <c r="K1047">
        <v>2</v>
      </c>
      <c r="L1047">
        <f t="shared" si="422"/>
        <v>1</v>
      </c>
      <c r="M1047" t="str">
        <f t="shared" si="423"/>
        <v>Suele comer</v>
      </c>
      <c r="N1047">
        <v>2271734</v>
      </c>
      <c r="O1047">
        <f t="shared" si="424"/>
        <v>2</v>
      </c>
      <c r="P1047" t="str">
        <f t="shared" si="425"/>
        <v>Mas de 3</v>
      </c>
      <c r="Q1047">
        <v>1</v>
      </c>
      <c r="R1047" t="str">
        <f t="shared" si="426"/>
        <v>A veces</v>
      </c>
      <c r="S1047">
        <v>0</v>
      </c>
      <c r="T1047" t="str">
        <f t="shared" si="427"/>
        <v>No fuma</v>
      </c>
      <c r="U1047">
        <v>2629043</v>
      </c>
      <c r="V1047">
        <f t="shared" si="428"/>
        <v>2</v>
      </c>
      <c r="W1047" t="str">
        <f t="shared" si="429"/>
        <v>Siempre</v>
      </c>
      <c r="X1047">
        <v>0</v>
      </c>
      <c r="Y1047" t="str">
        <f t="shared" si="430"/>
        <v>No controla</v>
      </c>
      <c r="Z1047">
        <v>1</v>
      </c>
      <c r="AA1047">
        <f t="shared" si="431"/>
        <v>1</v>
      </c>
      <c r="AB1047" t="str">
        <f t="shared" si="432"/>
        <v>A veces</v>
      </c>
      <c r="AC1047">
        <v>7.5823000000000002E-2</v>
      </c>
      <c r="AD1047">
        <f t="shared" si="433"/>
        <v>0</v>
      </c>
      <c r="AE1047" t="str">
        <f t="shared" si="434"/>
        <v>Nunca</v>
      </c>
      <c r="AF1047">
        <v>1</v>
      </c>
      <c r="AG1047" t="str">
        <f t="shared" si="435"/>
        <v>A veces</v>
      </c>
      <c r="AH1047">
        <v>1</v>
      </c>
      <c r="AI1047" t="str">
        <f t="shared" si="436"/>
        <v>Usa auto</v>
      </c>
      <c r="AJ1047">
        <v>0</v>
      </c>
      <c r="AK1047" t="str">
        <f t="shared" si="437"/>
        <v>No usa</v>
      </c>
      <c r="AL1047">
        <v>0</v>
      </c>
      <c r="AM1047" t="str">
        <f t="shared" si="438"/>
        <v>No usa</v>
      </c>
      <c r="AN1047">
        <v>0</v>
      </c>
      <c r="AO1047" t="str">
        <f t="shared" si="439"/>
        <v>No usa</v>
      </c>
      <c r="AP1047">
        <v>0</v>
      </c>
      <c r="AQ1047" t="str">
        <f t="shared" si="440"/>
        <v>No camina</v>
      </c>
      <c r="AR1047">
        <v>0</v>
      </c>
      <c r="AS1047" t="str">
        <f t="shared" si="441"/>
        <v>No es obeso</v>
      </c>
    </row>
    <row r="1048" spans="1:45" x14ac:dyDescent="0.25">
      <c r="A1048">
        <v>1</v>
      </c>
      <c r="B1048" t="str">
        <f t="shared" si="416"/>
        <v>M</v>
      </c>
      <c r="C1048">
        <v>2332012</v>
      </c>
      <c r="D1048">
        <f t="shared" si="417"/>
        <v>6</v>
      </c>
      <c r="E1048">
        <f t="shared" si="418"/>
        <v>6</v>
      </c>
      <c r="F1048" t="str">
        <f t="shared" si="419"/>
        <v>1-25</v>
      </c>
      <c r="G1048">
        <v>1</v>
      </c>
      <c r="H1048" t="str">
        <f t="shared" si="420"/>
        <v>Pariente gordo</v>
      </c>
      <c r="I1048">
        <v>1</v>
      </c>
      <c r="J1048" t="str">
        <f t="shared" si="421"/>
        <v>Hipercaloricos</v>
      </c>
      <c r="K1048">
        <v>2784471</v>
      </c>
      <c r="L1048">
        <f t="shared" si="422"/>
        <v>1</v>
      </c>
      <c r="M1048" t="str">
        <f t="shared" si="423"/>
        <v>Suele comer</v>
      </c>
      <c r="N1048">
        <v>2122545</v>
      </c>
      <c r="O1048">
        <f t="shared" si="424"/>
        <v>2</v>
      </c>
      <c r="P1048" t="str">
        <f t="shared" si="425"/>
        <v>Mas de 3</v>
      </c>
      <c r="Q1048">
        <v>1</v>
      </c>
      <c r="R1048" t="str">
        <f t="shared" si="426"/>
        <v>A veces</v>
      </c>
      <c r="S1048">
        <v>0</v>
      </c>
      <c r="T1048" t="str">
        <f t="shared" si="427"/>
        <v>No fuma</v>
      </c>
      <c r="U1048">
        <v>2984153</v>
      </c>
      <c r="V1048">
        <f t="shared" si="428"/>
        <v>2</v>
      </c>
      <c r="W1048" t="str">
        <f t="shared" si="429"/>
        <v>Siempre</v>
      </c>
      <c r="X1048">
        <v>0</v>
      </c>
      <c r="Y1048" t="str">
        <f t="shared" si="430"/>
        <v>No controla</v>
      </c>
      <c r="Z1048">
        <v>2164472</v>
      </c>
      <c r="AA1048">
        <f t="shared" si="431"/>
        <v>3</v>
      </c>
      <c r="AB1048" t="str">
        <f t="shared" si="432"/>
        <v>Siempre</v>
      </c>
      <c r="AC1048">
        <v>0.20397799999999999</v>
      </c>
      <c r="AD1048">
        <f t="shared" si="433"/>
        <v>0</v>
      </c>
      <c r="AE1048" t="str">
        <f t="shared" si="434"/>
        <v>Nunca</v>
      </c>
      <c r="AF1048">
        <v>1</v>
      </c>
      <c r="AG1048" t="str">
        <f t="shared" si="435"/>
        <v>A veces</v>
      </c>
      <c r="AH1048">
        <v>0</v>
      </c>
      <c r="AI1048" t="str">
        <f t="shared" si="436"/>
        <v>No usa</v>
      </c>
      <c r="AJ1048">
        <v>0</v>
      </c>
      <c r="AK1048" t="str">
        <f t="shared" si="437"/>
        <v>No usa</v>
      </c>
      <c r="AL1048">
        <v>0</v>
      </c>
      <c r="AM1048" t="str">
        <f t="shared" si="438"/>
        <v>No usa</v>
      </c>
      <c r="AN1048">
        <v>1</v>
      </c>
      <c r="AO1048" t="str">
        <f t="shared" si="439"/>
        <v>Usa Transporte</v>
      </c>
      <c r="AP1048">
        <v>0</v>
      </c>
      <c r="AQ1048" t="str">
        <f t="shared" si="440"/>
        <v>No camina</v>
      </c>
      <c r="AR1048">
        <v>0</v>
      </c>
      <c r="AS1048" t="str">
        <f t="shared" si="441"/>
        <v>No es obeso</v>
      </c>
    </row>
    <row r="1049" spans="1:45" x14ac:dyDescent="0.25">
      <c r="A1049">
        <v>1</v>
      </c>
      <c r="B1049" t="str">
        <f t="shared" si="416"/>
        <v>M</v>
      </c>
      <c r="C1049">
        <v>19703095</v>
      </c>
      <c r="D1049">
        <f t="shared" si="417"/>
        <v>53</v>
      </c>
      <c r="E1049">
        <f t="shared" si="418"/>
        <v>53</v>
      </c>
      <c r="F1049" t="str">
        <f t="shared" si="419"/>
        <v>50-75</v>
      </c>
      <c r="G1049">
        <v>1</v>
      </c>
      <c r="H1049" t="str">
        <f t="shared" si="420"/>
        <v>Pariente gordo</v>
      </c>
      <c r="I1049">
        <v>0</v>
      </c>
      <c r="J1049" t="str">
        <f t="shared" si="421"/>
        <v>Saludables</v>
      </c>
      <c r="K1049">
        <v>1650505</v>
      </c>
      <c r="L1049">
        <f t="shared" si="422"/>
        <v>1</v>
      </c>
      <c r="M1049" t="str">
        <f t="shared" si="423"/>
        <v>Suele comer</v>
      </c>
      <c r="N1049">
        <v>3</v>
      </c>
      <c r="O1049">
        <f t="shared" si="424"/>
        <v>2</v>
      </c>
      <c r="P1049" t="str">
        <f t="shared" si="425"/>
        <v>Mas de 3</v>
      </c>
      <c r="Q1049">
        <v>1</v>
      </c>
      <c r="R1049" t="str">
        <f t="shared" si="426"/>
        <v>A veces</v>
      </c>
      <c r="S1049">
        <v>0</v>
      </c>
      <c r="T1049" t="str">
        <f t="shared" si="427"/>
        <v>No fuma</v>
      </c>
      <c r="U1049">
        <v>2</v>
      </c>
      <c r="V1049">
        <f t="shared" si="428"/>
        <v>2</v>
      </c>
      <c r="W1049" t="str">
        <f t="shared" si="429"/>
        <v>Siempre</v>
      </c>
      <c r="X1049">
        <v>0</v>
      </c>
      <c r="Y1049" t="str">
        <f t="shared" si="430"/>
        <v>No controla</v>
      </c>
      <c r="Z1049">
        <v>173234</v>
      </c>
      <c r="AA1049">
        <f t="shared" si="431"/>
        <v>2</v>
      </c>
      <c r="AB1049" t="str">
        <f t="shared" si="432"/>
        <v>Usualmente</v>
      </c>
      <c r="AC1049">
        <v>1</v>
      </c>
      <c r="AD1049">
        <f t="shared" si="433"/>
        <v>1</v>
      </c>
      <c r="AE1049" t="str">
        <f t="shared" si="434"/>
        <v>Usualmente</v>
      </c>
      <c r="AF1049">
        <v>1</v>
      </c>
      <c r="AG1049" t="str">
        <f t="shared" si="435"/>
        <v>A veces</v>
      </c>
      <c r="AH1049">
        <v>0</v>
      </c>
      <c r="AI1049" t="str">
        <f t="shared" si="436"/>
        <v>No usa</v>
      </c>
      <c r="AJ1049">
        <v>0</v>
      </c>
      <c r="AK1049" t="str">
        <f t="shared" si="437"/>
        <v>No usa</v>
      </c>
      <c r="AL1049">
        <v>0</v>
      </c>
      <c r="AM1049" t="str">
        <f t="shared" si="438"/>
        <v>No usa</v>
      </c>
      <c r="AN1049">
        <v>1</v>
      </c>
      <c r="AO1049" t="str">
        <f t="shared" si="439"/>
        <v>Usa Transporte</v>
      </c>
      <c r="AP1049">
        <v>0</v>
      </c>
      <c r="AQ1049" t="str">
        <f t="shared" si="440"/>
        <v>No camina</v>
      </c>
      <c r="AR1049">
        <v>0</v>
      </c>
      <c r="AS1049" t="str">
        <f t="shared" si="441"/>
        <v>No es obeso</v>
      </c>
    </row>
    <row r="1050" spans="1:45" x14ac:dyDescent="0.25">
      <c r="A1050">
        <v>1</v>
      </c>
      <c r="B1050" t="str">
        <f t="shared" si="416"/>
        <v>M</v>
      </c>
      <c r="C1050">
        <v>19223259</v>
      </c>
      <c r="D1050">
        <f t="shared" si="417"/>
        <v>52</v>
      </c>
      <c r="E1050">
        <f t="shared" si="418"/>
        <v>52</v>
      </c>
      <c r="F1050" t="str">
        <f t="shared" si="419"/>
        <v>50-75</v>
      </c>
      <c r="G1050">
        <v>1</v>
      </c>
      <c r="H1050" t="str">
        <f t="shared" si="420"/>
        <v>Pariente gordo</v>
      </c>
      <c r="I1050">
        <v>0</v>
      </c>
      <c r="J1050" t="str">
        <f t="shared" si="421"/>
        <v>Saludables</v>
      </c>
      <c r="K1050">
        <v>1961347</v>
      </c>
      <c r="L1050">
        <f t="shared" si="422"/>
        <v>1</v>
      </c>
      <c r="M1050" t="str">
        <f t="shared" si="423"/>
        <v>Suele comer</v>
      </c>
      <c r="N1050">
        <v>3</v>
      </c>
      <c r="O1050">
        <f t="shared" si="424"/>
        <v>2</v>
      </c>
      <c r="P1050" t="str">
        <f t="shared" si="425"/>
        <v>Mas de 3</v>
      </c>
      <c r="Q1050">
        <v>1</v>
      </c>
      <c r="R1050" t="str">
        <f t="shared" si="426"/>
        <v>A veces</v>
      </c>
      <c r="S1050">
        <v>0</v>
      </c>
      <c r="T1050" t="str">
        <f t="shared" si="427"/>
        <v>No fuma</v>
      </c>
      <c r="U1050">
        <v>2</v>
      </c>
      <c r="V1050">
        <f t="shared" si="428"/>
        <v>2</v>
      </c>
      <c r="W1050" t="str">
        <f t="shared" si="429"/>
        <v>Siempre</v>
      </c>
      <c r="X1050">
        <v>0</v>
      </c>
      <c r="Y1050" t="str">
        <f t="shared" si="430"/>
        <v>No controla</v>
      </c>
      <c r="Z1050">
        <v>1655488</v>
      </c>
      <c r="AA1050">
        <f t="shared" si="431"/>
        <v>3</v>
      </c>
      <c r="AB1050" t="str">
        <f t="shared" si="432"/>
        <v>Siempre</v>
      </c>
      <c r="AC1050">
        <v>1</v>
      </c>
      <c r="AD1050">
        <f t="shared" si="433"/>
        <v>1</v>
      </c>
      <c r="AE1050" t="str">
        <f t="shared" si="434"/>
        <v>Usualmente</v>
      </c>
      <c r="AF1050">
        <v>1</v>
      </c>
      <c r="AG1050" t="str">
        <f t="shared" si="435"/>
        <v>A veces</v>
      </c>
      <c r="AH1050">
        <v>0</v>
      </c>
      <c r="AI1050" t="str">
        <f t="shared" si="436"/>
        <v>No usa</v>
      </c>
      <c r="AJ1050">
        <v>0</v>
      </c>
      <c r="AK1050" t="str">
        <f t="shared" si="437"/>
        <v>No usa</v>
      </c>
      <c r="AL1050">
        <v>0</v>
      </c>
      <c r="AM1050" t="str">
        <f t="shared" si="438"/>
        <v>No usa</v>
      </c>
      <c r="AN1050">
        <v>1</v>
      </c>
      <c r="AO1050" t="str">
        <f t="shared" si="439"/>
        <v>Usa Transporte</v>
      </c>
      <c r="AP1050">
        <v>0</v>
      </c>
      <c r="AQ1050" t="str">
        <f t="shared" si="440"/>
        <v>No camina</v>
      </c>
      <c r="AR1050">
        <v>0</v>
      </c>
      <c r="AS1050" t="str">
        <f t="shared" si="441"/>
        <v>No es obeso</v>
      </c>
    </row>
    <row r="1051" spans="1:45" x14ac:dyDescent="0.25">
      <c r="A1051">
        <v>1</v>
      </c>
      <c r="B1051" t="str">
        <f t="shared" si="416"/>
        <v>M</v>
      </c>
      <c r="C1051">
        <v>29695603</v>
      </c>
      <c r="D1051">
        <f t="shared" si="417"/>
        <v>81</v>
      </c>
      <c r="E1051">
        <f t="shared" si="418"/>
        <v>81</v>
      </c>
      <c r="F1051" t="str">
        <f t="shared" si="419"/>
        <v>75-100</v>
      </c>
      <c r="G1051">
        <v>1</v>
      </c>
      <c r="H1051" t="str">
        <f t="shared" si="420"/>
        <v>Pariente gordo</v>
      </c>
      <c r="I1051">
        <v>1</v>
      </c>
      <c r="J1051" t="str">
        <f t="shared" si="421"/>
        <v>Hipercaloricos</v>
      </c>
      <c r="K1051">
        <v>2133955</v>
      </c>
      <c r="L1051">
        <f t="shared" si="422"/>
        <v>1</v>
      </c>
      <c r="M1051" t="str">
        <f t="shared" si="423"/>
        <v>Suele comer</v>
      </c>
      <c r="N1051">
        <v>2902766</v>
      </c>
      <c r="O1051">
        <f t="shared" si="424"/>
        <v>2</v>
      </c>
      <c r="P1051" t="str">
        <f t="shared" si="425"/>
        <v>Mas de 3</v>
      </c>
      <c r="Q1051">
        <v>1</v>
      </c>
      <c r="R1051" t="str">
        <f t="shared" si="426"/>
        <v>A veces</v>
      </c>
      <c r="S1051">
        <v>0</v>
      </c>
      <c r="T1051" t="str">
        <f t="shared" si="427"/>
        <v>No fuma</v>
      </c>
      <c r="U1051">
        <v>1753464</v>
      </c>
      <c r="V1051">
        <f t="shared" si="428"/>
        <v>2</v>
      </c>
      <c r="W1051" t="str">
        <f t="shared" si="429"/>
        <v>Siempre</v>
      </c>
      <c r="X1051">
        <v>0</v>
      </c>
      <c r="Y1051" t="str">
        <f t="shared" si="430"/>
        <v>No controla</v>
      </c>
      <c r="Z1051">
        <v>1729987</v>
      </c>
      <c r="AA1051">
        <f t="shared" si="431"/>
        <v>3</v>
      </c>
      <c r="AB1051" t="str">
        <f t="shared" si="432"/>
        <v>Siempre</v>
      </c>
      <c r="AC1051">
        <v>1</v>
      </c>
      <c r="AD1051">
        <f t="shared" si="433"/>
        <v>1</v>
      </c>
      <c r="AE1051" t="str">
        <f t="shared" si="434"/>
        <v>Usualmente</v>
      </c>
      <c r="AF1051">
        <v>1</v>
      </c>
      <c r="AG1051" t="str">
        <f t="shared" si="435"/>
        <v>A veces</v>
      </c>
      <c r="AH1051">
        <v>0</v>
      </c>
      <c r="AI1051" t="str">
        <f t="shared" si="436"/>
        <v>No usa</v>
      </c>
      <c r="AJ1051">
        <v>0</v>
      </c>
      <c r="AK1051" t="str">
        <f t="shared" si="437"/>
        <v>No usa</v>
      </c>
      <c r="AL1051">
        <v>0</v>
      </c>
      <c r="AM1051" t="str">
        <f t="shared" si="438"/>
        <v>No usa</v>
      </c>
      <c r="AN1051">
        <v>1</v>
      </c>
      <c r="AO1051" t="str">
        <f t="shared" si="439"/>
        <v>Usa Transporte</v>
      </c>
      <c r="AP1051">
        <v>0</v>
      </c>
      <c r="AQ1051" t="str">
        <f t="shared" si="440"/>
        <v>No camina</v>
      </c>
      <c r="AR1051">
        <v>0</v>
      </c>
      <c r="AS1051" t="str">
        <f t="shared" si="441"/>
        <v>No es obeso</v>
      </c>
    </row>
    <row r="1052" spans="1:45" x14ac:dyDescent="0.25">
      <c r="A1052">
        <v>1</v>
      </c>
      <c r="B1052" t="str">
        <f t="shared" si="416"/>
        <v>M</v>
      </c>
      <c r="C1052">
        <v>27</v>
      </c>
      <c r="D1052">
        <f t="shared" si="417"/>
        <v>27</v>
      </c>
      <c r="E1052">
        <f t="shared" si="418"/>
        <v>27</v>
      </c>
      <c r="F1052" t="str">
        <f t="shared" si="419"/>
        <v>25-50</v>
      </c>
      <c r="G1052">
        <v>1</v>
      </c>
      <c r="H1052" t="str">
        <f t="shared" si="420"/>
        <v>Pariente gordo</v>
      </c>
      <c r="I1052">
        <v>1</v>
      </c>
      <c r="J1052" t="str">
        <f t="shared" si="421"/>
        <v>Hipercaloricos</v>
      </c>
      <c r="K1052">
        <v>2684528</v>
      </c>
      <c r="L1052">
        <f t="shared" si="422"/>
        <v>1</v>
      </c>
      <c r="M1052" t="str">
        <f t="shared" si="423"/>
        <v>Suele comer</v>
      </c>
      <c r="N1052">
        <v>1</v>
      </c>
      <c r="O1052">
        <f t="shared" si="424"/>
        <v>1</v>
      </c>
      <c r="P1052">
        <f t="shared" si="425"/>
        <v>3</v>
      </c>
      <c r="Q1052">
        <v>1</v>
      </c>
      <c r="R1052" t="str">
        <f t="shared" si="426"/>
        <v>A veces</v>
      </c>
      <c r="S1052">
        <v>0</v>
      </c>
      <c r="T1052" t="str">
        <f t="shared" si="427"/>
        <v>No fuma</v>
      </c>
      <c r="U1052">
        <v>105668</v>
      </c>
      <c r="V1052">
        <f t="shared" si="428"/>
        <v>2</v>
      </c>
      <c r="W1052" t="str">
        <f t="shared" si="429"/>
        <v>Siempre</v>
      </c>
      <c r="X1052">
        <v>0</v>
      </c>
      <c r="Y1052" t="str">
        <f t="shared" si="430"/>
        <v>No controla</v>
      </c>
      <c r="Z1052">
        <v>1516147</v>
      </c>
      <c r="AA1052">
        <f t="shared" si="431"/>
        <v>3</v>
      </c>
      <c r="AB1052" t="str">
        <f t="shared" si="432"/>
        <v>Siempre</v>
      </c>
      <c r="AC1052">
        <v>8.4005999999999997E-2</v>
      </c>
      <c r="AD1052">
        <f t="shared" si="433"/>
        <v>0</v>
      </c>
      <c r="AE1052" t="str">
        <f t="shared" si="434"/>
        <v>Nunca</v>
      </c>
      <c r="AF1052">
        <v>1</v>
      </c>
      <c r="AG1052" t="str">
        <f t="shared" si="435"/>
        <v>A veces</v>
      </c>
      <c r="AH1052">
        <v>0</v>
      </c>
      <c r="AI1052" t="str">
        <f t="shared" si="436"/>
        <v>No usa</v>
      </c>
      <c r="AJ1052">
        <v>0</v>
      </c>
      <c r="AK1052" t="str">
        <f t="shared" si="437"/>
        <v>No usa</v>
      </c>
      <c r="AL1052">
        <v>0</v>
      </c>
      <c r="AM1052" t="str">
        <f t="shared" si="438"/>
        <v>No usa</v>
      </c>
      <c r="AN1052">
        <v>1</v>
      </c>
      <c r="AO1052" t="str">
        <f t="shared" si="439"/>
        <v>Usa Transporte</v>
      </c>
      <c r="AP1052">
        <v>0</v>
      </c>
      <c r="AQ1052" t="str">
        <f t="shared" si="440"/>
        <v>No camina</v>
      </c>
      <c r="AR1052">
        <v>0</v>
      </c>
      <c r="AS1052" t="str">
        <f t="shared" si="441"/>
        <v>No es obeso</v>
      </c>
    </row>
    <row r="1053" spans="1:45" x14ac:dyDescent="0.25">
      <c r="A1053">
        <v>1</v>
      </c>
      <c r="B1053" t="str">
        <f t="shared" si="416"/>
        <v>M</v>
      </c>
      <c r="C1053">
        <v>21027662</v>
      </c>
      <c r="D1053">
        <f t="shared" si="417"/>
        <v>57</v>
      </c>
      <c r="E1053">
        <f t="shared" si="418"/>
        <v>57</v>
      </c>
      <c r="F1053" t="str">
        <f t="shared" si="419"/>
        <v>50-75</v>
      </c>
      <c r="G1053">
        <v>1</v>
      </c>
      <c r="H1053" t="str">
        <f t="shared" si="420"/>
        <v>Pariente gordo</v>
      </c>
      <c r="I1053">
        <v>1</v>
      </c>
      <c r="J1053" t="str">
        <f t="shared" si="421"/>
        <v>Hipercaloricos</v>
      </c>
      <c r="K1053">
        <v>2265973</v>
      </c>
      <c r="L1053">
        <f t="shared" si="422"/>
        <v>1</v>
      </c>
      <c r="M1053" t="str">
        <f t="shared" si="423"/>
        <v>Suele comer</v>
      </c>
      <c r="N1053">
        <v>2687502</v>
      </c>
      <c r="O1053">
        <f t="shared" si="424"/>
        <v>2</v>
      </c>
      <c r="P1053" t="str">
        <f t="shared" si="425"/>
        <v>Mas de 3</v>
      </c>
      <c r="Q1053">
        <v>1</v>
      </c>
      <c r="R1053" t="str">
        <f t="shared" si="426"/>
        <v>A veces</v>
      </c>
      <c r="S1053">
        <v>0</v>
      </c>
      <c r="T1053" t="str">
        <f t="shared" si="427"/>
        <v>No fuma</v>
      </c>
      <c r="U1053">
        <v>2</v>
      </c>
      <c r="V1053">
        <f t="shared" si="428"/>
        <v>2</v>
      </c>
      <c r="W1053" t="str">
        <f t="shared" si="429"/>
        <v>Siempre</v>
      </c>
      <c r="X1053">
        <v>0</v>
      </c>
      <c r="Y1053" t="str">
        <f t="shared" si="430"/>
        <v>No controla</v>
      </c>
      <c r="Z1053">
        <v>221722</v>
      </c>
      <c r="AA1053">
        <f t="shared" si="431"/>
        <v>2</v>
      </c>
      <c r="AB1053" t="str">
        <f t="shared" si="432"/>
        <v>Usualmente</v>
      </c>
      <c r="AC1053">
        <v>0.64852200000000004</v>
      </c>
      <c r="AD1053">
        <f t="shared" si="433"/>
        <v>0</v>
      </c>
      <c r="AE1053" t="str">
        <f t="shared" si="434"/>
        <v>Nunca</v>
      </c>
      <c r="AF1053">
        <v>1</v>
      </c>
      <c r="AG1053" t="str">
        <f t="shared" si="435"/>
        <v>A veces</v>
      </c>
      <c r="AH1053">
        <v>0</v>
      </c>
      <c r="AI1053" t="str">
        <f t="shared" si="436"/>
        <v>No usa</v>
      </c>
      <c r="AJ1053">
        <v>0</v>
      </c>
      <c r="AK1053" t="str">
        <f t="shared" si="437"/>
        <v>No usa</v>
      </c>
      <c r="AL1053">
        <v>0</v>
      </c>
      <c r="AM1053" t="str">
        <f t="shared" si="438"/>
        <v>No usa</v>
      </c>
      <c r="AN1053">
        <v>1</v>
      </c>
      <c r="AO1053" t="str">
        <f t="shared" si="439"/>
        <v>Usa Transporte</v>
      </c>
      <c r="AP1053">
        <v>0</v>
      </c>
      <c r="AQ1053" t="str">
        <f t="shared" si="440"/>
        <v>No camina</v>
      </c>
      <c r="AR1053">
        <v>0</v>
      </c>
      <c r="AS1053" t="str">
        <f t="shared" si="441"/>
        <v>No es obeso</v>
      </c>
    </row>
    <row r="1054" spans="1:45" x14ac:dyDescent="0.25">
      <c r="A1054">
        <v>1</v>
      </c>
      <c r="B1054" t="str">
        <f t="shared" si="416"/>
        <v>M</v>
      </c>
      <c r="C1054">
        <v>33015258</v>
      </c>
      <c r="D1054">
        <f t="shared" si="417"/>
        <v>90</v>
      </c>
      <c r="E1054">
        <f t="shared" si="418"/>
        <v>90</v>
      </c>
      <c r="F1054" t="str">
        <f t="shared" si="419"/>
        <v>75-100</v>
      </c>
      <c r="G1054">
        <v>1</v>
      </c>
      <c r="H1054" t="str">
        <f t="shared" si="420"/>
        <v>Pariente gordo</v>
      </c>
      <c r="I1054">
        <v>1</v>
      </c>
      <c r="J1054" t="str">
        <f t="shared" si="421"/>
        <v>Hipercaloricos</v>
      </c>
      <c r="K1054">
        <v>2</v>
      </c>
      <c r="L1054">
        <f t="shared" si="422"/>
        <v>1</v>
      </c>
      <c r="M1054" t="str">
        <f t="shared" si="423"/>
        <v>Suele comer</v>
      </c>
      <c r="N1054">
        <v>3</v>
      </c>
      <c r="O1054">
        <f t="shared" si="424"/>
        <v>2</v>
      </c>
      <c r="P1054" t="str">
        <f t="shared" si="425"/>
        <v>Mas de 3</v>
      </c>
      <c r="Q1054">
        <v>1</v>
      </c>
      <c r="R1054" t="str">
        <f t="shared" si="426"/>
        <v>A veces</v>
      </c>
      <c r="S1054">
        <v>0</v>
      </c>
      <c r="T1054" t="str">
        <f t="shared" si="427"/>
        <v>No fuma</v>
      </c>
      <c r="U1054">
        <v>2205911</v>
      </c>
      <c r="V1054">
        <f t="shared" si="428"/>
        <v>2</v>
      </c>
      <c r="W1054" t="str">
        <f t="shared" si="429"/>
        <v>Siempre</v>
      </c>
      <c r="X1054">
        <v>0</v>
      </c>
      <c r="Y1054" t="str">
        <f t="shared" si="430"/>
        <v>No controla</v>
      </c>
      <c r="Z1054">
        <v>1293396</v>
      </c>
      <c r="AA1054">
        <f t="shared" si="431"/>
        <v>3</v>
      </c>
      <c r="AB1054" t="str">
        <f t="shared" si="432"/>
        <v>Siempre</v>
      </c>
      <c r="AC1054">
        <v>0</v>
      </c>
      <c r="AD1054">
        <f t="shared" si="433"/>
        <v>0</v>
      </c>
      <c r="AE1054" t="str">
        <f t="shared" si="434"/>
        <v>Nunca</v>
      </c>
      <c r="AF1054">
        <v>0</v>
      </c>
      <c r="AG1054" t="str">
        <f t="shared" si="435"/>
        <v>Nunca</v>
      </c>
      <c r="AH1054">
        <v>1</v>
      </c>
      <c r="AI1054" t="str">
        <f t="shared" si="436"/>
        <v>Usa auto</v>
      </c>
      <c r="AJ1054">
        <v>0</v>
      </c>
      <c r="AK1054" t="str">
        <f t="shared" si="437"/>
        <v>No usa</v>
      </c>
      <c r="AL1054">
        <v>0</v>
      </c>
      <c r="AM1054" t="str">
        <f t="shared" si="438"/>
        <v>No usa</v>
      </c>
      <c r="AN1054">
        <v>0</v>
      </c>
      <c r="AO1054" t="str">
        <f t="shared" si="439"/>
        <v>No usa</v>
      </c>
      <c r="AP1054">
        <v>0</v>
      </c>
      <c r="AQ1054" t="str">
        <f t="shared" si="440"/>
        <v>No camina</v>
      </c>
      <c r="AR1054">
        <v>0</v>
      </c>
      <c r="AS1054" t="str">
        <f t="shared" si="441"/>
        <v>No es obeso</v>
      </c>
    </row>
    <row r="1055" spans="1:45" x14ac:dyDescent="0.25">
      <c r="A1055">
        <v>1</v>
      </c>
      <c r="B1055" t="str">
        <f t="shared" si="416"/>
        <v>M</v>
      </c>
      <c r="C1055">
        <v>18</v>
      </c>
      <c r="D1055">
        <f t="shared" si="417"/>
        <v>18</v>
      </c>
      <c r="E1055">
        <f t="shared" si="418"/>
        <v>18</v>
      </c>
      <c r="F1055" t="str">
        <f t="shared" si="419"/>
        <v>1-25</v>
      </c>
      <c r="G1055">
        <v>1</v>
      </c>
      <c r="H1055" t="str">
        <f t="shared" si="420"/>
        <v>Pariente gordo</v>
      </c>
      <c r="I1055">
        <v>0</v>
      </c>
      <c r="J1055" t="str">
        <f t="shared" si="421"/>
        <v>Saludables</v>
      </c>
      <c r="K1055">
        <v>3</v>
      </c>
      <c r="L1055">
        <f t="shared" si="422"/>
        <v>1</v>
      </c>
      <c r="M1055" t="str">
        <f t="shared" si="423"/>
        <v>Suele comer</v>
      </c>
      <c r="N1055">
        <v>3</v>
      </c>
      <c r="O1055">
        <f t="shared" si="424"/>
        <v>2</v>
      </c>
      <c r="P1055" t="str">
        <f t="shared" si="425"/>
        <v>Mas de 3</v>
      </c>
      <c r="Q1055">
        <v>1</v>
      </c>
      <c r="R1055" t="str">
        <f t="shared" si="426"/>
        <v>A veces</v>
      </c>
      <c r="S1055">
        <v>0</v>
      </c>
      <c r="T1055" t="str">
        <f t="shared" si="427"/>
        <v>No fuma</v>
      </c>
      <c r="U1055">
        <v>2</v>
      </c>
      <c r="V1055">
        <f t="shared" si="428"/>
        <v>2</v>
      </c>
      <c r="W1055" t="str">
        <f t="shared" si="429"/>
        <v>Siempre</v>
      </c>
      <c r="X1055">
        <v>0</v>
      </c>
      <c r="Y1055" t="str">
        <f t="shared" si="430"/>
        <v>No controla</v>
      </c>
      <c r="Z1055">
        <v>1271667</v>
      </c>
      <c r="AA1055">
        <f t="shared" si="431"/>
        <v>3</v>
      </c>
      <c r="AB1055" t="str">
        <f t="shared" si="432"/>
        <v>Siempre</v>
      </c>
      <c r="AC1055">
        <v>0.155278</v>
      </c>
      <c r="AD1055">
        <f t="shared" si="433"/>
        <v>0</v>
      </c>
      <c r="AE1055" t="str">
        <f t="shared" si="434"/>
        <v>Nunca</v>
      </c>
      <c r="AF1055">
        <v>1</v>
      </c>
      <c r="AG1055" t="str">
        <f t="shared" si="435"/>
        <v>A veces</v>
      </c>
      <c r="AH1055">
        <v>0</v>
      </c>
      <c r="AI1055" t="str">
        <f t="shared" si="436"/>
        <v>No usa</v>
      </c>
      <c r="AJ1055">
        <v>0</v>
      </c>
      <c r="AK1055" t="str">
        <f t="shared" si="437"/>
        <v>No usa</v>
      </c>
      <c r="AL1055">
        <v>0</v>
      </c>
      <c r="AM1055" t="str">
        <f t="shared" si="438"/>
        <v>No usa</v>
      </c>
      <c r="AN1055">
        <v>1</v>
      </c>
      <c r="AO1055" t="str">
        <f t="shared" si="439"/>
        <v>Usa Transporte</v>
      </c>
      <c r="AP1055">
        <v>0</v>
      </c>
      <c r="AQ1055" t="str">
        <f t="shared" si="440"/>
        <v>No camina</v>
      </c>
      <c r="AR1055">
        <v>0</v>
      </c>
      <c r="AS1055" t="str">
        <f t="shared" si="441"/>
        <v>No es obeso</v>
      </c>
    </row>
    <row r="1056" spans="1:45" x14ac:dyDescent="0.25">
      <c r="A1056">
        <v>1</v>
      </c>
      <c r="B1056" t="str">
        <f t="shared" si="416"/>
        <v>M</v>
      </c>
      <c r="C1056">
        <v>30553097</v>
      </c>
      <c r="D1056">
        <f t="shared" si="417"/>
        <v>83</v>
      </c>
      <c r="E1056">
        <f t="shared" si="418"/>
        <v>83</v>
      </c>
      <c r="F1056" t="str">
        <f t="shared" si="419"/>
        <v>75-100</v>
      </c>
      <c r="G1056">
        <v>1</v>
      </c>
      <c r="H1056" t="str">
        <f t="shared" si="420"/>
        <v>Pariente gordo</v>
      </c>
      <c r="I1056">
        <v>1</v>
      </c>
      <c r="J1056" t="str">
        <f t="shared" si="421"/>
        <v>Hipercaloricos</v>
      </c>
      <c r="K1056">
        <v>2</v>
      </c>
      <c r="L1056">
        <f t="shared" si="422"/>
        <v>1</v>
      </c>
      <c r="M1056" t="str">
        <f t="shared" si="423"/>
        <v>Suele comer</v>
      </c>
      <c r="N1056">
        <v>1178708</v>
      </c>
      <c r="O1056">
        <f t="shared" si="424"/>
        <v>2</v>
      </c>
      <c r="P1056" t="str">
        <f t="shared" si="425"/>
        <v>Mas de 3</v>
      </c>
      <c r="Q1056">
        <v>1</v>
      </c>
      <c r="R1056" t="str">
        <f t="shared" si="426"/>
        <v>A veces</v>
      </c>
      <c r="S1056">
        <v>0</v>
      </c>
      <c r="T1056" t="str">
        <f t="shared" si="427"/>
        <v>No fuma</v>
      </c>
      <c r="U1056">
        <v>1791286</v>
      </c>
      <c r="V1056">
        <f t="shared" si="428"/>
        <v>2</v>
      </c>
      <c r="W1056" t="str">
        <f t="shared" si="429"/>
        <v>Siempre</v>
      </c>
      <c r="X1056">
        <v>0</v>
      </c>
      <c r="Y1056" t="str">
        <f t="shared" si="430"/>
        <v>No controla</v>
      </c>
      <c r="Z1056">
        <v>0.89336199999999999</v>
      </c>
      <c r="AA1056">
        <f t="shared" si="431"/>
        <v>0</v>
      </c>
      <c r="AB1056" t="str">
        <f t="shared" si="432"/>
        <v>Nunca</v>
      </c>
      <c r="AC1056">
        <v>0.276364</v>
      </c>
      <c r="AD1056">
        <f t="shared" si="433"/>
        <v>0</v>
      </c>
      <c r="AE1056" t="str">
        <f t="shared" si="434"/>
        <v>Nunca</v>
      </c>
      <c r="AF1056">
        <v>1</v>
      </c>
      <c r="AG1056" t="str">
        <f t="shared" si="435"/>
        <v>A veces</v>
      </c>
      <c r="AH1056">
        <v>0</v>
      </c>
      <c r="AI1056" t="str">
        <f t="shared" si="436"/>
        <v>No usa</v>
      </c>
      <c r="AJ1056">
        <v>0</v>
      </c>
      <c r="AK1056" t="str">
        <f t="shared" si="437"/>
        <v>No usa</v>
      </c>
      <c r="AL1056">
        <v>0</v>
      </c>
      <c r="AM1056" t="str">
        <f t="shared" si="438"/>
        <v>No usa</v>
      </c>
      <c r="AN1056">
        <v>1</v>
      </c>
      <c r="AO1056" t="str">
        <f t="shared" si="439"/>
        <v>Usa Transporte</v>
      </c>
      <c r="AP1056">
        <v>0</v>
      </c>
      <c r="AQ1056" t="str">
        <f t="shared" si="440"/>
        <v>No camina</v>
      </c>
      <c r="AR1056">
        <v>0</v>
      </c>
      <c r="AS1056" t="str">
        <f t="shared" si="441"/>
        <v>No es obeso</v>
      </c>
    </row>
    <row r="1057" spans="1:45" x14ac:dyDescent="0.25">
      <c r="A1057">
        <v>1</v>
      </c>
      <c r="B1057" t="str">
        <f t="shared" si="416"/>
        <v>M</v>
      </c>
      <c r="C1057">
        <v>33</v>
      </c>
      <c r="D1057">
        <f t="shared" si="417"/>
        <v>33</v>
      </c>
      <c r="E1057">
        <f t="shared" si="418"/>
        <v>33</v>
      </c>
      <c r="F1057" t="str">
        <f t="shared" si="419"/>
        <v>25-50</v>
      </c>
      <c r="G1057">
        <v>1</v>
      </c>
      <c r="H1057" t="str">
        <f t="shared" si="420"/>
        <v>Pariente gordo</v>
      </c>
      <c r="I1057">
        <v>1</v>
      </c>
      <c r="J1057" t="str">
        <f t="shared" si="421"/>
        <v>Hipercaloricos</v>
      </c>
      <c r="K1057">
        <v>2</v>
      </c>
      <c r="L1057">
        <f t="shared" si="422"/>
        <v>1</v>
      </c>
      <c r="M1057" t="str">
        <f t="shared" si="423"/>
        <v>Suele comer</v>
      </c>
      <c r="N1057">
        <v>3</v>
      </c>
      <c r="O1057">
        <f t="shared" si="424"/>
        <v>2</v>
      </c>
      <c r="P1057" t="str">
        <f t="shared" si="425"/>
        <v>Mas de 3</v>
      </c>
      <c r="Q1057">
        <v>1</v>
      </c>
      <c r="R1057" t="str">
        <f t="shared" si="426"/>
        <v>A veces</v>
      </c>
      <c r="S1057">
        <v>0</v>
      </c>
      <c r="T1057" t="str">
        <f t="shared" si="427"/>
        <v>No fuma</v>
      </c>
      <c r="U1057">
        <v>1117464</v>
      </c>
      <c r="V1057">
        <f t="shared" si="428"/>
        <v>2</v>
      </c>
      <c r="W1057" t="str">
        <f t="shared" si="429"/>
        <v>Siempre</v>
      </c>
      <c r="X1057">
        <v>0</v>
      </c>
      <c r="Y1057" t="str">
        <f t="shared" si="430"/>
        <v>No controla</v>
      </c>
      <c r="Z1057">
        <v>1</v>
      </c>
      <c r="AA1057">
        <f t="shared" si="431"/>
        <v>1</v>
      </c>
      <c r="AB1057" t="str">
        <f t="shared" si="432"/>
        <v>A veces</v>
      </c>
      <c r="AC1057">
        <v>0.66364900000000004</v>
      </c>
      <c r="AD1057">
        <f t="shared" si="433"/>
        <v>0</v>
      </c>
      <c r="AE1057" t="str">
        <f t="shared" si="434"/>
        <v>Nunca</v>
      </c>
      <c r="AF1057">
        <v>1</v>
      </c>
      <c r="AG1057" t="str">
        <f t="shared" si="435"/>
        <v>A veces</v>
      </c>
      <c r="AH1057">
        <v>0</v>
      </c>
      <c r="AI1057" t="str">
        <f t="shared" si="436"/>
        <v>No usa</v>
      </c>
      <c r="AJ1057">
        <v>0</v>
      </c>
      <c r="AK1057" t="str">
        <f t="shared" si="437"/>
        <v>No usa</v>
      </c>
      <c r="AL1057">
        <v>0</v>
      </c>
      <c r="AM1057" t="str">
        <f t="shared" si="438"/>
        <v>No usa</v>
      </c>
      <c r="AN1057">
        <v>1</v>
      </c>
      <c r="AO1057" t="str">
        <f t="shared" si="439"/>
        <v>Usa Transporte</v>
      </c>
      <c r="AP1057">
        <v>0</v>
      </c>
      <c r="AQ1057" t="str">
        <f t="shared" si="440"/>
        <v>No camina</v>
      </c>
      <c r="AR1057">
        <v>0</v>
      </c>
      <c r="AS1057" t="str">
        <f t="shared" si="441"/>
        <v>No es obeso</v>
      </c>
    </row>
    <row r="1058" spans="1:45" x14ac:dyDescent="0.25">
      <c r="A1058">
        <v>1</v>
      </c>
      <c r="B1058" t="str">
        <f t="shared" si="416"/>
        <v>M</v>
      </c>
      <c r="C1058">
        <v>24911994</v>
      </c>
      <c r="D1058">
        <f t="shared" si="417"/>
        <v>68</v>
      </c>
      <c r="E1058">
        <f t="shared" si="418"/>
        <v>68</v>
      </c>
      <c r="F1058" t="str">
        <f t="shared" si="419"/>
        <v>50-75</v>
      </c>
      <c r="G1058">
        <v>1</v>
      </c>
      <c r="H1058" t="str">
        <f t="shared" si="420"/>
        <v>Pariente gordo</v>
      </c>
      <c r="I1058">
        <v>1</v>
      </c>
      <c r="J1058" t="str">
        <f t="shared" si="421"/>
        <v>Hipercaloricos</v>
      </c>
      <c r="K1058">
        <v>1306844</v>
      </c>
      <c r="L1058">
        <f t="shared" si="422"/>
        <v>1</v>
      </c>
      <c r="M1058" t="str">
        <f t="shared" si="423"/>
        <v>Suele comer</v>
      </c>
      <c r="N1058">
        <v>2279546</v>
      </c>
      <c r="O1058">
        <f t="shared" si="424"/>
        <v>2</v>
      </c>
      <c r="P1058" t="str">
        <f t="shared" si="425"/>
        <v>Mas de 3</v>
      </c>
      <c r="Q1058">
        <v>1</v>
      </c>
      <c r="R1058" t="str">
        <f t="shared" si="426"/>
        <v>A veces</v>
      </c>
      <c r="S1058">
        <v>0</v>
      </c>
      <c r="T1058" t="str">
        <f t="shared" si="427"/>
        <v>No fuma</v>
      </c>
      <c r="U1058">
        <v>2</v>
      </c>
      <c r="V1058">
        <f t="shared" si="428"/>
        <v>2</v>
      </c>
      <c r="W1058" t="str">
        <f t="shared" si="429"/>
        <v>Siempre</v>
      </c>
      <c r="X1058">
        <v>0</v>
      </c>
      <c r="Y1058" t="str">
        <f t="shared" si="430"/>
        <v>No controla</v>
      </c>
      <c r="Z1058">
        <v>0</v>
      </c>
      <c r="AA1058">
        <f t="shared" si="431"/>
        <v>0</v>
      </c>
      <c r="AB1058" t="str">
        <f t="shared" si="432"/>
        <v>Nunca</v>
      </c>
      <c r="AC1058">
        <v>0.73960899999999996</v>
      </c>
      <c r="AD1058">
        <f t="shared" si="433"/>
        <v>0</v>
      </c>
      <c r="AE1058" t="str">
        <f t="shared" si="434"/>
        <v>Nunca</v>
      </c>
      <c r="AF1058">
        <v>1</v>
      </c>
      <c r="AG1058" t="str">
        <f t="shared" si="435"/>
        <v>A veces</v>
      </c>
      <c r="AH1058">
        <v>0</v>
      </c>
      <c r="AI1058" t="str">
        <f t="shared" si="436"/>
        <v>No usa</v>
      </c>
      <c r="AJ1058">
        <v>0</v>
      </c>
      <c r="AK1058" t="str">
        <f t="shared" si="437"/>
        <v>No usa</v>
      </c>
      <c r="AL1058">
        <v>0</v>
      </c>
      <c r="AM1058" t="str">
        <f t="shared" si="438"/>
        <v>No usa</v>
      </c>
      <c r="AN1058">
        <v>1</v>
      </c>
      <c r="AO1058" t="str">
        <f t="shared" si="439"/>
        <v>Usa Transporte</v>
      </c>
      <c r="AP1058">
        <v>0</v>
      </c>
      <c r="AQ1058" t="str">
        <f t="shared" si="440"/>
        <v>No camina</v>
      </c>
      <c r="AR1058">
        <v>0</v>
      </c>
      <c r="AS1058" t="str">
        <f t="shared" si="441"/>
        <v>No es obeso</v>
      </c>
    </row>
    <row r="1059" spans="1:45" x14ac:dyDescent="0.25">
      <c r="A1059">
        <v>1</v>
      </c>
      <c r="B1059" t="str">
        <f t="shared" si="416"/>
        <v>M</v>
      </c>
      <c r="C1059">
        <v>24444846</v>
      </c>
      <c r="D1059">
        <f t="shared" si="417"/>
        <v>66</v>
      </c>
      <c r="E1059">
        <f t="shared" si="418"/>
        <v>66</v>
      </c>
      <c r="F1059" t="str">
        <f t="shared" si="419"/>
        <v>50-75</v>
      </c>
      <c r="G1059">
        <v>1</v>
      </c>
      <c r="H1059" t="str">
        <f t="shared" si="420"/>
        <v>Pariente gordo</v>
      </c>
      <c r="I1059">
        <v>1</v>
      </c>
      <c r="J1059" t="str">
        <f t="shared" si="421"/>
        <v>Hipercaloricos</v>
      </c>
      <c r="K1059">
        <v>2</v>
      </c>
      <c r="L1059">
        <f t="shared" si="422"/>
        <v>1</v>
      </c>
      <c r="M1059" t="str">
        <f t="shared" si="423"/>
        <v>Suele comer</v>
      </c>
      <c r="N1059">
        <v>2677693</v>
      </c>
      <c r="O1059">
        <f t="shared" si="424"/>
        <v>2</v>
      </c>
      <c r="P1059" t="str">
        <f t="shared" si="425"/>
        <v>Mas de 3</v>
      </c>
      <c r="Q1059">
        <v>1</v>
      </c>
      <c r="R1059" t="str">
        <f t="shared" si="426"/>
        <v>A veces</v>
      </c>
      <c r="S1059">
        <v>0</v>
      </c>
      <c r="T1059" t="str">
        <f t="shared" si="427"/>
        <v>No fuma</v>
      </c>
      <c r="U1059">
        <v>2693978</v>
      </c>
      <c r="V1059">
        <f t="shared" si="428"/>
        <v>2</v>
      </c>
      <c r="W1059" t="str">
        <f t="shared" si="429"/>
        <v>Siempre</v>
      </c>
      <c r="X1059">
        <v>0</v>
      </c>
      <c r="Y1059" t="str">
        <f t="shared" si="430"/>
        <v>No controla</v>
      </c>
      <c r="Z1059">
        <v>0</v>
      </c>
      <c r="AA1059">
        <f t="shared" si="431"/>
        <v>0</v>
      </c>
      <c r="AB1059" t="str">
        <f t="shared" si="432"/>
        <v>Nunca</v>
      </c>
      <c r="AC1059">
        <v>0.68801299999999999</v>
      </c>
      <c r="AD1059">
        <f t="shared" si="433"/>
        <v>0</v>
      </c>
      <c r="AE1059" t="str">
        <f t="shared" si="434"/>
        <v>Nunca</v>
      </c>
      <c r="AF1059">
        <v>1</v>
      </c>
      <c r="AG1059" t="str">
        <f t="shared" si="435"/>
        <v>A veces</v>
      </c>
      <c r="AH1059">
        <v>0</v>
      </c>
      <c r="AI1059" t="str">
        <f t="shared" si="436"/>
        <v>No usa</v>
      </c>
      <c r="AJ1059">
        <v>0</v>
      </c>
      <c r="AK1059" t="str">
        <f t="shared" si="437"/>
        <v>No usa</v>
      </c>
      <c r="AL1059">
        <v>0</v>
      </c>
      <c r="AM1059" t="str">
        <f t="shared" si="438"/>
        <v>No usa</v>
      </c>
      <c r="AN1059">
        <v>1</v>
      </c>
      <c r="AO1059" t="str">
        <f t="shared" si="439"/>
        <v>Usa Transporte</v>
      </c>
      <c r="AP1059">
        <v>0</v>
      </c>
      <c r="AQ1059" t="str">
        <f t="shared" si="440"/>
        <v>No camina</v>
      </c>
      <c r="AR1059">
        <v>0</v>
      </c>
      <c r="AS1059" t="str">
        <f t="shared" si="441"/>
        <v>No es obeso</v>
      </c>
    </row>
    <row r="1060" spans="1:45" x14ac:dyDescent="0.25">
      <c r="A1060">
        <v>0</v>
      </c>
      <c r="B1060" t="str">
        <f t="shared" si="416"/>
        <v>F</v>
      </c>
      <c r="C1060">
        <v>19911246</v>
      </c>
      <c r="D1060">
        <f t="shared" si="417"/>
        <v>54</v>
      </c>
      <c r="E1060">
        <f t="shared" si="418"/>
        <v>54</v>
      </c>
      <c r="F1060" t="str">
        <f t="shared" si="419"/>
        <v>50-75</v>
      </c>
      <c r="G1060">
        <v>1</v>
      </c>
      <c r="H1060" t="str">
        <f t="shared" si="420"/>
        <v>Pariente gordo</v>
      </c>
      <c r="I1060">
        <v>0</v>
      </c>
      <c r="J1060" t="str">
        <f t="shared" si="421"/>
        <v>Saludables</v>
      </c>
      <c r="K1060">
        <v>2258795</v>
      </c>
      <c r="L1060">
        <f t="shared" si="422"/>
        <v>1</v>
      </c>
      <c r="M1060" t="str">
        <f t="shared" si="423"/>
        <v>Suele comer</v>
      </c>
      <c r="N1060">
        <v>353009</v>
      </c>
      <c r="O1060">
        <f t="shared" si="424"/>
        <v>2</v>
      </c>
      <c r="P1060" t="str">
        <f t="shared" si="425"/>
        <v>Mas de 3</v>
      </c>
      <c r="Q1060">
        <v>1</v>
      </c>
      <c r="R1060" t="str">
        <f t="shared" si="426"/>
        <v>A veces</v>
      </c>
      <c r="S1060">
        <v>0</v>
      </c>
      <c r="T1060" t="str">
        <f t="shared" si="427"/>
        <v>No fuma</v>
      </c>
      <c r="U1060">
        <v>1172186</v>
      </c>
      <c r="V1060">
        <f t="shared" si="428"/>
        <v>2</v>
      </c>
      <c r="W1060" t="str">
        <f t="shared" si="429"/>
        <v>Siempre</v>
      </c>
      <c r="X1060">
        <v>0</v>
      </c>
      <c r="Y1060" t="str">
        <f t="shared" si="430"/>
        <v>No controla</v>
      </c>
      <c r="Z1060">
        <v>0.67894299999999996</v>
      </c>
      <c r="AA1060">
        <f t="shared" si="431"/>
        <v>0</v>
      </c>
      <c r="AB1060" t="str">
        <f t="shared" si="432"/>
        <v>Nunca</v>
      </c>
      <c r="AC1060">
        <v>1</v>
      </c>
      <c r="AD1060">
        <f t="shared" si="433"/>
        <v>1</v>
      </c>
      <c r="AE1060" t="str">
        <f t="shared" si="434"/>
        <v>Usualmente</v>
      </c>
      <c r="AF1060">
        <v>0</v>
      </c>
      <c r="AG1060" t="str">
        <f t="shared" si="435"/>
        <v>Nunca</v>
      </c>
      <c r="AH1060">
        <v>0</v>
      </c>
      <c r="AI1060" t="str">
        <f t="shared" si="436"/>
        <v>No usa</v>
      </c>
      <c r="AJ1060">
        <v>0</v>
      </c>
      <c r="AK1060" t="str">
        <f t="shared" si="437"/>
        <v>No usa</v>
      </c>
      <c r="AL1060">
        <v>0</v>
      </c>
      <c r="AM1060" t="str">
        <f t="shared" si="438"/>
        <v>No usa</v>
      </c>
      <c r="AN1060">
        <v>1</v>
      </c>
      <c r="AO1060" t="str">
        <f t="shared" si="439"/>
        <v>Usa Transporte</v>
      </c>
      <c r="AP1060">
        <v>0</v>
      </c>
      <c r="AQ1060" t="str">
        <f t="shared" si="440"/>
        <v>No camina</v>
      </c>
      <c r="AR1060">
        <v>0</v>
      </c>
      <c r="AS1060" t="str">
        <f t="shared" si="441"/>
        <v>No es obeso</v>
      </c>
    </row>
    <row r="1061" spans="1:45" x14ac:dyDescent="0.25">
      <c r="A1061">
        <v>0</v>
      </c>
      <c r="B1061" t="str">
        <f t="shared" si="416"/>
        <v>F</v>
      </c>
      <c r="C1061">
        <v>34204408</v>
      </c>
      <c r="D1061">
        <f t="shared" si="417"/>
        <v>93</v>
      </c>
      <c r="E1061">
        <f t="shared" si="418"/>
        <v>93</v>
      </c>
      <c r="F1061" t="str">
        <f t="shared" si="419"/>
        <v>75-100</v>
      </c>
      <c r="G1061">
        <v>1</v>
      </c>
      <c r="H1061" t="str">
        <f t="shared" si="420"/>
        <v>Pariente gordo</v>
      </c>
      <c r="I1061">
        <v>1</v>
      </c>
      <c r="J1061" t="str">
        <f t="shared" si="421"/>
        <v>Hipercaloricos</v>
      </c>
      <c r="K1061">
        <v>2</v>
      </c>
      <c r="L1061">
        <f t="shared" si="422"/>
        <v>1</v>
      </c>
      <c r="M1061" t="str">
        <f t="shared" si="423"/>
        <v>Suele comer</v>
      </c>
      <c r="N1061">
        <v>3</v>
      </c>
      <c r="O1061">
        <f t="shared" si="424"/>
        <v>2</v>
      </c>
      <c r="P1061" t="str">
        <f t="shared" si="425"/>
        <v>Mas de 3</v>
      </c>
      <c r="Q1061">
        <v>1</v>
      </c>
      <c r="R1061" t="str">
        <f t="shared" si="426"/>
        <v>A veces</v>
      </c>
      <c r="S1061">
        <v>0</v>
      </c>
      <c r="T1061" t="str">
        <f t="shared" si="427"/>
        <v>No fuma</v>
      </c>
      <c r="U1061">
        <v>2641642</v>
      </c>
      <c r="V1061">
        <f t="shared" si="428"/>
        <v>2</v>
      </c>
      <c r="W1061" t="str">
        <f t="shared" si="429"/>
        <v>Siempre</v>
      </c>
      <c r="X1061">
        <v>0</v>
      </c>
      <c r="Y1061" t="str">
        <f t="shared" si="430"/>
        <v>No controla</v>
      </c>
      <c r="Z1061">
        <v>0.285889</v>
      </c>
      <c r="AA1061">
        <f t="shared" si="431"/>
        <v>0</v>
      </c>
      <c r="AB1061" t="str">
        <f t="shared" si="432"/>
        <v>Nunca</v>
      </c>
      <c r="AC1061">
        <v>150301</v>
      </c>
      <c r="AD1061">
        <f t="shared" si="433"/>
        <v>1</v>
      </c>
      <c r="AE1061" t="str">
        <f t="shared" si="434"/>
        <v>Usualmente</v>
      </c>
      <c r="AF1061">
        <v>0</v>
      </c>
      <c r="AG1061" t="str">
        <f t="shared" si="435"/>
        <v>Nunca</v>
      </c>
      <c r="AH1061">
        <v>1</v>
      </c>
      <c r="AI1061" t="str">
        <f t="shared" si="436"/>
        <v>Usa auto</v>
      </c>
      <c r="AJ1061">
        <v>0</v>
      </c>
      <c r="AK1061" t="str">
        <f t="shared" si="437"/>
        <v>No usa</v>
      </c>
      <c r="AL1061">
        <v>0</v>
      </c>
      <c r="AM1061" t="str">
        <f t="shared" si="438"/>
        <v>No usa</v>
      </c>
      <c r="AN1061">
        <v>0</v>
      </c>
      <c r="AO1061" t="str">
        <f t="shared" si="439"/>
        <v>No usa</v>
      </c>
      <c r="AP1061">
        <v>0</v>
      </c>
      <c r="AQ1061" t="str">
        <f t="shared" si="440"/>
        <v>No camina</v>
      </c>
      <c r="AR1061">
        <v>0</v>
      </c>
      <c r="AS1061" t="str">
        <f t="shared" si="441"/>
        <v>No es obeso</v>
      </c>
    </row>
    <row r="1062" spans="1:45" x14ac:dyDescent="0.25">
      <c r="A1062">
        <v>0</v>
      </c>
      <c r="B1062" t="str">
        <f t="shared" si="416"/>
        <v>F</v>
      </c>
      <c r="C1062">
        <v>34281681</v>
      </c>
      <c r="D1062">
        <f t="shared" si="417"/>
        <v>93</v>
      </c>
      <c r="E1062">
        <f t="shared" si="418"/>
        <v>93</v>
      </c>
      <c r="F1062" t="str">
        <f t="shared" si="419"/>
        <v>75-100</v>
      </c>
      <c r="G1062">
        <v>1</v>
      </c>
      <c r="H1062" t="str">
        <f t="shared" si="420"/>
        <v>Pariente gordo</v>
      </c>
      <c r="I1062">
        <v>1</v>
      </c>
      <c r="J1062" t="str">
        <f t="shared" si="421"/>
        <v>Hipercaloricos</v>
      </c>
      <c r="K1062">
        <v>2689929</v>
      </c>
      <c r="L1062">
        <f t="shared" si="422"/>
        <v>1</v>
      </c>
      <c r="M1062" t="str">
        <f t="shared" si="423"/>
        <v>Suele comer</v>
      </c>
      <c r="N1062">
        <v>1835543</v>
      </c>
      <c r="O1062">
        <f t="shared" si="424"/>
        <v>2</v>
      </c>
      <c r="P1062" t="str">
        <f t="shared" si="425"/>
        <v>Mas de 3</v>
      </c>
      <c r="Q1062">
        <v>1</v>
      </c>
      <c r="R1062" t="str">
        <f t="shared" si="426"/>
        <v>A veces</v>
      </c>
      <c r="S1062">
        <v>0</v>
      </c>
      <c r="T1062" t="str">
        <f t="shared" si="427"/>
        <v>No fuma</v>
      </c>
      <c r="U1062">
        <v>1718569</v>
      </c>
      <c r="V1062">
        <f t="shared" si="428"/>
        <v>2</v>
      </c>
      <c r="W1062" t="str">
        <f t="shared" si="429"/>
        <v>Siempre</v>
      </c>
      <c r="X1062">
        <v>0</v>
      </c>
      <c r="Y1062" t="str">
        <f t="shared" si="430"/>
        <v>No controla</v>
      </c>
      <c r="Z1062">
        <v>0.67434799999999995</v>
      </c>
      <c r="AA1062">
        <f t="shared" si="431"/>
        <v>0</v>
      </c>
      <c r="AB1062" t="str">
        <f t="shared" si="432"/>
        <v>Nunca</v>
      </c>
      <c r="AC1062">
        <v>0.70724600000000004</v>
      </c>
      <c r="AD1062">
        <f t="shared" si="433"/>
        <v>0</v>
      </c>
      <c r="AE1062" t="str">
        <f t="shared" si="434"/>
        <v>Nunca</v>
      </c>
      <c r="AF1062">
        <v>0</v>
      </c>
      <c r="AG1062" t="str">
        <f t="shared" si="435"/>
        <v>Nunca</v>
      </c>
      <c r="AH1062">
        <v>1</v>
      </c>
      <c r="AI1062" t="str">
        <f t="shared" si="436"/>
        <v>Usa auto</v>
      </c>
      <c r="AJ1062">
        <v>0</v>
      </c>
      <c r="AK1062" t="str">
        <f t="shared" si="437"/>
        <v>No usa</v>
      </c>
      <c r="AL1062">
        <v>0</v>
      </c>
      <c r="AM1062" t="str">
        <f t="shared" si="438"/>
        <v>No usa</v>
      </c>
      <c r="AN1062">
        <v>0</v>
      </c>
      <c r="AO1062" t="str">
        <f t="shared" si="439"/>
        <v>No usa</v>
      </c>
      <c r="AP1062">
        <v>0</v>
      </c>
      <c r="AQ1062" t="str">
        <f t="shared" si="440"/>
        <v>No camina</v>
      </c>
      <c r="AR1062">
        <v>0</v>
      </c>
      <c r="AS1062" t="str">
        <f t="shared" si="441"/>
        <v>No es obeso</v>
      </c>
    </row>
    <row r="1063" spans="1:45" x14ac:dyDescent="0.25">
      <c r="A1063">
        <v>1</v>
      </c>
      <c r="B1063" t="str">
        <f t="shared" si="416"/>
        <v>M</v>
      </c>
      <c r="C1063">
        <v>23384374</v>
      </c>
      <c r="D1063">
        <f t="shared" si="417"/>
        <v>64</v>
      </c>
      <c r="E1063">
        <f t="shared" si="418"/>
        <v>64</v>
      </c>
      <c r="F1063" t="str">
        <f t="shared" si="419"/>
        <v>50-75</v>
      </c>
      <c r="G1063">
        <v>1</v>
      </c>
      <c r="H1063" t="str">
        <f t="shared" si="420"/>
        <v>Pariente gordo</v>
      </c>
      <c r="I1063">
        <v>1</v>
      </c>
      <c r="J1063" t="str">
        <f t="shared" si="421"/>
        <v>Hipercaloricos</v>
      </c>
      <c r="K1063">
        <v>2712747</v>
      </c>
      <c r="L1063">
        <f t="shared" si="422"/>
        <v>1</v>
      </c>
      <c r="M1063" t="str">
        <f t="shared" si="423"/>
        <v>Suele comer</v>
      </c>
      <c r="N1063">
        <v>2853676</v>
      </c>
      <c r="O1063">
        <f t="shared" si="424"/>
        <v>2</v>
      </c>
      <c r="P1063" t="str">
        <f t="shared" si="425"/>
        <v>Mas de 3</v>
      </c>
      <c r="Q1063">
        <v>1</v>
      </c>
      <c r="R1063" t="str">
        <f t="shared" si="426"/>
        <v>A veces</v>
      </c>
      <c r="S1063">
        <v>0</v>
      </c>
      <c r="T1063" t="str">
        <f t="shared" si="427"/>
        <v>No fuma</v>
      </c>
      <c r="U1063">
        <v>1526313</v>
      </c>
      <c r="V1063">
        <f t="shared" si="428"/>
        <v>2</v>
      </c>
      <c r="W1063" t="str">
        <f t="shared" si="429"/>
        <v>Siempre</v>
      </c>
      <c r="X1063">
        <v>0</v>
      </c>
      <c r="Y1063" t="str">
        <f t="shared" si="430"/>
        <v>No controla</v>
      </c>
      <c r="Z1063">
        <v>1</v>
      </c>
      <c r="AA1063">
        <f t="shared" si="431"/>
        <v>1</v>
      </c>
      <c r="AB1063" t="str">
        <f t="shared" si="432"/>
        <v>A veces</v>
      </c>
      <c r="AC1063">
        <v>0.17366500000000001</v>
      </c>
      <c r="AD1063">
        <f t="shared" si="433"/>
        <v>0</v>
      </c>
      <c r="AE1063" t="str">
        <f t="shared" si="434"/>
        <v>Nunca</v>
      </c>
      <c r="AF1063">
        <v>1</v>
      </c>
      <c r="AG1063" t="str">
        <f t="shared" si="435"/>
        <v>A veces</v>
      </c>
      <c r="AH1063">
        <v>0</v>
      </c>
      <c r="AI1063" t="str">
        <f t="shared" si="436"/>
        <v>No usa</v>
      </c>
      <c r="AJ1063">
        <v>0</v>
      </c>
      <c r="AK1063" t="str">
        <f t="shared" si="437"/>
        <v>No usa</v>
      </c>
      <c r="AL1063">
        <v>0</v>
      </c>
      <c r="AM1063" t="str">
        <f t="shared" si="438"/>
        <v>No usa</v>
      </c>
      <c r="AN1063">
        <v>1</v>
      </c>
      <c r="AO1063" t="str">
        <f t="shared" si="439"/>
        <v>Usa Transporte</v>
      </c>
      <c r="AP1063">
        <v>0</v>
      </c>
      <c r="AQ1063" t="str">
        <f t="shared" si="440"/>
        <v>No camina</v>
      </c>
      <c r="AR1063">
        <v>0</v>
      </c>
      <c r="AS1063" t="str">
        <f t="shared" si="441"/>
        <v>No es obeso</v>
      </c>
    </row>
    <row r="1064" spans="1:45" x14ac:dyDescent="0.25">
      <c r="A1064">
        <v>0</v>
      </c>
      <c r="B1064" t="str">
        <f t="shared" si="416"/>
        <v>F</v>
      </c>
      <c r="C1064">
        <v>43238402</v>
      </c>
      <c r="D1064">
        <f t="shared" si="417"/>
        <v>118</v>
      </c>
      <c r="E1064">
        <f t="shared" si="418"/>
        <v>100</v>
      </c>
      <c r="F1064" t="str">
        <f t="shared" si="419"/>
        <v>75-100</v>
      </c>
      <c r="G1064">
        <v>1</v>
      </c>
      <c r="H1064" t="str">
        <f t="shared" si="420"/>
        <v>Pariente gordo</v>
      </c>
      <c r="I1064">
        <v>1</v>
      </c>
      <c r="J1064" t="str">
        <f t="shared" si="421"/>
        <v>Hipercaloricos</v>
      </c>
      <c r="K1064">
        <v>2353603</v>
      </c>
      <c r="L1064">
        <f t="shared" si="422"/>
        <v>1</v>
      </c>
      <c r="M1064" t="str">
        <f t="shared" si="423"/>
        <v>Suele comer</v>
      </c>
      <c r="N1064">
        <v>2337035</v>
      </c>
      <c r="O1064">
        <f t="shared" si="424"/>
        <v>2</v>
      </c>
      <c r="P1064" t="str">
        <f t="shared" si="425"/>
        <v>Mas de 3</v>
      </c>
      <c r="Q1064">
        <v>1</v>
      </c>
      <c r="R1064" t="str">
        <f t="shared" si="426"/>
        <v>A veces</v>
      </c>
      <c r="S1064">
        <v>0</v>
      </c>
      <c r="T1064" t="str">
        <f t="shared" si="427"/>
        <v>No fuma</v>
      </c>
      <c r="U1064">
        <v>1830614</v>
      </c>
      <c r="V1064">
        <f t="shared" si="428"/>
        <v>2</v>
      </c>
      <c r="W1064" t="str">
        <f t="shared" si="429"/>
        <v>Siempre</v>
      </c>
      <c r="X1064">
        <v>0</v>
      </c>
      <c r="Y1064" t="str">
        <f t="shared" si="430"/>
        <v>No controla</v>
      </c>
      <c r="Z1064">
        <v>0.706287</v>
      </c>
      <c r="AA1064">
        <f t="shared" si="431"/>
        <v>0</v>
      </c>
      <c r="AB1064" t="str">
        <f t="shared" si="432"/>
        <v>Nunca</v>
      </c>
      <c r="AC1064">
        <v>0</v>
      </c>
      <c r="AD1064">
        <f t="shared" si="433"/>
        <v>0</v>
      </c>
      <c r="AE1064" t="str">
        <f t="shared" si="434"/>
        <v>Nunca</v>
      </c>
      <c r="AF1064">
        <v>0</v>
      </c>
      <c r="AG1064" t="str">
        <f t="shared" si="435"/>
        <v>Nunca</v>
      </c>
      <c r="AH1064">
        <v>1</v>
      </c>
      <c r="AI1064" t="str">
        <f t="shared" si="436"/>
        <v>Usa auto</v>
      </c>
      <c r="AJ1064">
        <v>0</v>
      </c>
      <c r="AK1064" t="str">
        <f t="shared" si="437"/>
        <v>No usa</v>
      </c>
      <c r="AL1064">
        <v>0</v>
      </c>
      <c r="AM1064" t="str">
        <f t="shared" si="438"/>
        <v>No usa</v>
      </c>
      <c r="AN1064">
        <v>0</v>
      </c>
      <c r="AO1064" t="str">
        <f t="shared" si="439"/>
        <v>No usa</v>
      </c>
      <c r="AP1064">
        <v>0</v>
      </c>
      <c r="AQ1064" t="str">
        <f t="shared" si="440"/>
        <v>No camina</v>
      </c>
      <c r="AR1064">
        <v>0</v>
      </c>
      <c r="AS1064" t="str">
        <f t="shared" si="441"/>
        <v>No es obeso</v>
      </c>
    </row>
    <row r="1065" spans="1:45" x14ac:dyDescent="0.25">
      <c r="A1065">
        <v>0</v>
      </c>
      <c r="B1065" t="str">
        <f t="shared" si="416"/>
        <v>F</v>
      </c>
      <c r="C1065">
        <v>45</v>
      </c>
      <c r="D1065">
        <f t="shared" si="417"/>
        <v>45</v>
      </c>
      <c r="E1065">
        <f t="shared" si="418"/>
        <v>45</v>
      </c>
      <c r="F1065" t="str">
        <f t="shared" si="419"/>
        <v>25-50</v>
      </c>
      <c r="G1065">
        <v>1</v>
      </c>
      <c r="H1065" t="str">
        <f t="shared" si="420"/>
        <v>Pariente gordo</v>
      </c>
      <c r="I1065">
        <v>1</v>
      </c>
      <c r="J1065" t="str">
        <f t="shared" si="421"/>
        <v>Hipercaloricos</v>
      </c>
      <c r="K1065">
        <v>2598051</v>
      </c>
      <c r="L1065">
        <f t="shared" si="422"/>
        <v>1</v>
      </c>
      <c r="M1065" t="str">
        <f t="shared" si="423"/>
        <v>Suele comer</v>
      </c>
      <c r="N1065">
        <v>3</v>
      </c>
      <c r="O1065">
        <f t="shared" si="424"/>
        <v>2</v>
      </c>
      <c r="P1065" t="str">
        <f t="shared" si="425"/>
        <v>Mas de 3</v>
      </c>
      <c r="Q1065">
        <v>1</v>
      </c>
      <c r="R1065" t="str">
        <f t="shared" si="426"/>
        <v>A veces</v>
      </c>
      <c r="S1065">
        <v>0</v>
      </c>
      <c r="T1065" t="str">
        <f t="shared" si="427"/>
        <v>No fuma</v>
      </c>
      <c r="U1065">
        <v>1</v>
      </c>
      <c r="V1065">
        <f t="shared" si="428"/>
        <v>1</v>
      </c>
      <c r="W1065" t="str">
        <f t="shared" si="429"/>
        <v>Usualmente</v>
      </c>
      <c r="X1065">
        <v>0</v>
      </c>
      <c r="Y1065" t="str">
        <f t="shared" si="430"/>
        <v>No controla</v>
      </c>
      <c r="Z1065">
        <v>0</v>
      </c>
      <c r="AA1065">
        <f t="shared" si="431"/>
        <v>0</v>
      </c>
      <c r="AB1065" t="str">
        <f t="shared" si="432"/>
        <v>Nunca</v>
      </c>
      <c r="AC1065">
        <v>0</v>
      </c>
      <c r="AD1065">
        <f t="shared" si="433"/>
        <v>0</v>
      </c>
      <c r="AE1065" t="str">
        <f t="shared" si="434"/>
        <v>Nunca</v>
      </c>
      <c r="AF1065">
        <v>0</v>
      </c>
      <c r="AG1065" t="str">
        <f t="shared" si="435"/>
        <v>Nunca</v>
      </c>
      <c r="AH1065">
        <v>1</v>
      </c>
      <c r="AI1065" t="str">
        <f t="shared" si="436"/>
        <v>Usa auto</v>
      </c>
      <c r="AJ1065">
        <v>0</v>
      </c>
      <c r="AK1065" t="str">
        <f t="shared" si="437"/>
        <v>No usa</v>
      </c>
      <c r="AL1065">
        <v>0</v>
      </c>
      <c r="AM1065" t="str">
        <f t="shared" si="438"/>
        <v>No usa</v>
      </c>
      <c r="AN1065">
        <v>0</v>
      </c>
      <c r="AO1065" t="str">
        <f t="shared" si="439"/>
        <v>No usa</v>
      </c>
      <c r="AP1065">
        <v>0</v>
      </c>
      <c r="AQ1065" t="str">
        <f t="shared" si="440"/>
        <v>No camina</v>
      </c>
      <c r="AR1065">
        <v>0</v>
      </c>
      <c r="AS1065" t="str">
        <f t="shared" si="441"/>
        <v>No es obeso</v>
      </c>
    </row>
    <row r="1066" spans="1:45" x14ac:dyDescent="0.25">
      <c r="A1066">
        <v>1</v>
      </c>
      <c r="B1066" t="str">
        <f t="shared" si="416"/>
        <v>M</v>
      </c>
      <c r="C1066">
        <v>22087389</v>
      </c>
      <c r="D1066">
        <f t="shared" si="417"/>
        <v>60</v>
      </c>
      <c r="E1066">
        <f t="shared" si="418"/>
        <v>60</v>
      </c>
      <c r="F1066" t="str">
        <f t="shared" si="419"/>
        <v>50-75</v>
      </c>
      <c r="G1066">
        <v>1</v>
      </c>
      <c r="H1066" t="str">
        <f t="shared" si="420"/>
        <v>Pariente gordo</v>
      </c>
      <c r="I1066">
        <v>1</v>
      </c>
      <c r="J1066" t="str">
        <f t="shared" si="421"/>
        <v>Hipercaloricos</v>
      </c>
      <c r="K1066">
        <v>1718156</v>
      </c>
      <c r="L1066">
        <f t="shared" si="422"/>
        <v>1</v>
      </c>
      <c r="M1066" t="str">
        <f t="shared" si="423"/>
        <v>Suele comer</v>
      </c>
      <c r="N1066">
        <v>1631184</v>
      </c>
      <c r="O1066">
        <f t="shared" si="424"/>
        <v>2</v>
      </c>
      <c r="P1066" t="str">
        <f t="shared" si="425"/>
        <v>Mas de 3</v>
      </c>
      <c r="Q1066">
        <v>1</v>
      </c>
      <c r="R1066" t="str">
        <f t="shared" si="426"/>
        <v>A veces</v>
      </c>
      <c r="S1066">
        <v>0</v>
      </c>
      <c r="T1066" t="str">
        <f t="shared" si="427"/>
        <v>No fuma</v>
      </c>
      <c r="U1066">
        <v>2</v>
      </c>
      <c r="V1066">
        <f t="shared" si="428"/>
        <v>2</v>
      </c>
      <c r="W1066" t="str">
        <f t="shared" si="429"/>
        <v>Siempre</v>
      </c>
      <c r="X1066">
        <v>0</v>
      </c>
      <c r="Y1066" t="str">
        <f t="shared" si="430"/>
        <v>No controla</v>
      </c>
      <c r="Z1066">
        <v>0</v>
      </c>
      <c r="AA1066">
        <f t="shared" si="431"/>
        <v>0</v>
      </c>
      <c r="AB1066" t="str">
        <f t="shared" si="432"/>
        <v>Nunca</v>
      </c>
      <c r="AC1066">
        <v>0.30612400000000001</v>
      </c>
      <c r="AD1066">
        <f t="shared" si="433"/>
        <v>0</v>
      </c>
      <c r="AE1066" t="str">
        <f t="shared" si="434"/>
        <v>Nunca</v>
      </c>
      <c r="AF1066">
        <v>1</v>
      </c>
      <c r="AG1066" t="str">
        <f t="shared" si="435"/>
        <v>A veces</v>
      </c>
      <c r="AH1066">
        <v>0</v>
      </c>
      <c r="AI1066" t="str">
        <f t="shared" si="436"/>
        <v>No usa</v>
      </c>
      <c r="AJ1066">
        <v>0</v>
      </c>
      <c r="AK1066" t="str">
        <f t="shared" si="437"/>
        <v>No usa</v>
      </c>
      <c r="AL1066">
        <v>0</v>
      </c>
      <c r="AM1066" t="str">
        <f t="shared" si="438"/>
        <v>No usa</v>
      </c>
      <c r="AN1066">
        <v>1</v>
      </c>
      <c r="AO1066" t="str">
        <f t="shared" si="439"/>
        <v>Usa Transporte</v>
      </c>
      <c r="AP1066">
        <v>0</v>
      </c>
      <c r="AQ1066" t="str">
        <f t="shared" si="440"/>
        <v>No camina</v>
      </c>
      <c r="AR1066">
        <v>0</v>
      </c>
      <c r="AS1066" t="str">
        <f t="shared" si="441"/>
        <v>No es obeso</v>
      </c>
    </row>
    <row r="1067" spans="1:45" x14ac:dyDescent="0.25">
      <c r="A1067">
        <v>1</v>
      </c>
      <c r="B1067" t="str">
        <f t="shared" si="416"/>
        <v>M</v>
      </c>
      <c r="C1067">
        <v>21378039</v>
      </c>
      <c r="D1067">
        <f t="shared" si="417"/>
        <v>58</v>
      </c>
      <c r="E1067">
        <f t="shared" si="418"/>
        <v>58</v>
      </c>
      <c r="F1067" t="str">
        <f t="shared" si="419"/>
        <v>50-75</v>
      </c>
      <c r="G1067">
        <v>1</v>
      </c>
      <c r="H1067" t="str">
        <f t="shared" si="420"/>
        <v>Pariente gordo</v>
      </c>
      <c r="I1067">
        <v>1</v>
      </c>
      <c r="J1067" t="str">
        <f t="shared" si="421"/>
        <v>Hipercaloricos</v>
      </c>
      <c r="K1067">
        <v>2</v>
      </c>
      <c r="L1067">
        <f t="shared" si="422"/>
        <v>1</v>
      </c>
      <c r="M1067" t="str">
        <f t="shared" si="423"/>
        <v>Suele comer</v>
      </c>
      <c r="N1067">
        <v>3</v>
      </c>
      <c r="O1067">
        <f t="shared" si="424"/>
        <v>2</v>
      </c>
      <c r="P1067" t="str">
        <f t="shared" si="425"/>
        <v>Mas de 3</v>
      </c>
      <c r="Q1067">
        <v>1</v>
      </c>
      <c r="R1067" t="str">
        <f t="shared" si="426"/>
        <v>A veces</v>
      </c>
      <c r="S1067">
        <v>0</v>
      </c>
      <c r="T1067" t="str">
        <f t="shared" si="427"/>
        <v>No fuma</v>
      </c>
      <c r="U1067">
        <v>2</v>
      </c>
      <c r="V1067">
        <f t="shared" si="428"/>
        <v>2</v>
      </c>
      <c r="W1067" t="str">
        <f t="shared" si="429"/>
        <v>Siempre</v>
      </c>
      <c r="X1067">
        <v>0</v>
      </c>
      <c r="Y1067" t="str">
        <f t="shared" si="430"/>
        <v>No controla</v>
      </c>
      <c r="Z1067">
        <v>2721646</v>
      </c>
      <c r="AA1067">
        <f t="shared" si="431"/>
        <v>3</v>
      </c>
      <c r="AB1067" t="str">
        <f t="shared" si="432"/>
        <v>Siempre</v>
      </c>
      <c r="AC1067">
        <v>1269982</v>
      </c>
      <c r="AD1067">
        <f t="shared" si="433"/>
        <v>2</v>
      </c>
      <c r="AE1067" t="str">
        <f t="shared" si="434"/>
        <v>Siempre</v>
      </c>
      <c r="AF1067">
        <v>0</v>
      </c>
      <c r="AG1067" t="str">
        <f t="shared" si="435"/>
        <v>Nunca</v>
      </c>
      <c r="AH1067">
        <v>0</v>
      </c>
      <c r="AI1067" t="str">
        <f t="shared" si="436"/>
        <v>No usa</v>
      </c>
      <c r="AJ1067">
        <v>0</v>
      </c>
      <c r="AK1067" t="str">
        <f t="shared" si="437"/>
        <v>No usa</v>
      </c>
      <c r="AL1067">
        <v>0</v>
      </c>
      <c r="AM1067" t="str">
        <f t="shared" si="438"/>
        <v>No usa</v>
      </c>
      <c r="AN1067">
        <v>1</v>
      </c>
      <c r="AO1067" t="str">
        <f t="shared" si="439"/>
        <v>Usa Transporte</v>
      </c>
      <c r="AP1067">
        <v>0</v>
      </c>
      <c r="AQ1067" t="str">
        <f t="shared" si="440"/>
        <v>No camina</v>
      </c>
      <c r="AR1067">
        <v>0</v>
      </c>
      <c r="AS1067" t="str">
        <f t="shared" si="441"/>
        <v>No es obeso</v>
      </c>
    </row>
    <row r="1068" spans="1:45" x14ac:dyDescent="0.25">
      <c r="A1068">
        <v>1</v>
      </c>
      <c r="B1068" t="str">
        <f t="shared" si="416"/>
        <v>M</v>
      </c>
      <c r="C1068">
        <v>31398281</v>
      </c>
      <c r="D1068">
        <f t="shared" si="417"/>
        <v>86</v>
      </c>
      <c r="E1068">
        <f t="shared" si="418"/>
        <v>86</v>
      </c>
      <c r="F1068" t="str">
        <f t="shared" si="419"/>
        <v>75-100</v>
      </c>
      <c r="G1068">
        <v>1</v>
      </c>
      <c r="H1068" t="str">
        <f t="shared" si="420"/>
        <v>Pariente gordo</v>
      </c>
      <c r="I1068">
        <v>1</v>
      </c>
      <c r="J1068" t="str">
        <f t="shared" si="421"/>
        <v>Hipercaloricos</v>
      </c>
      <c r="K1068">
        <v>2</v>
      </c>
      <c r="L1068">
        <f t="shared" si="422"/>
        <v>1</v>
      </c>
      <c r="M1068" t="str">
        <f t="shared" si="423"/>
        <v>Suele comer</v>
      </c>
      <c r="N1068">
        <v>1005391</v>
      </c>
      <c r="O1068">
        <f t="shared" si="424"/>
        <v>2</v>
      </c>
      <c r="P1068" t="str">
        <f t="shared" si="425"/>
        <v>Mas de 3</v>
      </c>
      <c r="Q1068">
        <v>1</v>
      </c>
      <c r="R1068" t="str">
        <f t="shared" si="426"/>
        <v>A veces</v>
      </c>
      <c r="S1068">
        <v>0</v>
      </c>
      <c r="T1068" t="str">
        <f t="shared" si="427"/>
        <v>No fuma</v>
      </c>
      <c r="U1068">
        <v>2001936</v>
      </c>
      <c r="V1068">
        <f t="shared" si="428"/>
        <v>2</v>
      </c>
      <c r="W1068" t="str">
        <f t="shared" si="429"/>
        <v>Siempre</v>
      </c>
      <c r="X1068">
        <v>0</v>
      </c>
      <c r="Y1068" t="str">
        <f t="shared" si="430"/>
        <v>No controla</v>
      </c>
      <c r="Z1068">
        <v>1</v>
      </c>
      <c r="AA1068">
        <f t="shared" si="431"/>
        <v>1</v>
      </c>
      <c r="AB1068" t="str">
        <f t="shared" si="432"/>
        <v>A veces</v>
      </c>
      <c r="AC1068">
        <v>0</v>
      </c>
      <c r="AD1068">
        <f t="shared" si="433"/>
        <v>0</v>
      </c>
      <c r="AE1068" t="str">
        <f t="shared" si="434"/>
        <v>Nunca</v>
      </c>
      <c r="AF1068">
        <v>1</v>
      </c>
      <c r="AG1068" t="str">
        <f t="shared" si="435"/>
        <v>A veces</v>
      </c>
      <c r="AH1068">
        <v>0</v>
      </c>
      <c r="AI1068" t="str">
        <f t="shared" si="436"/>
        <v>No usa</v>
      </c>
      <c r="AJ1068">
        <v>0</v>
      </c>
      <c r="AK1068" t="str">
        <f t="shared" si="437"/>
        <v>No usa</v>
      </c>
      <c r="AL1068">
        <v>0</v>
      </c>
      <c r="AM1068" t="str">
        <f t="shared" si="438"/>
        <v>No usa</v>
      </c>
      <c r="AN1068">
        <v>1</v>
      </c>
      <c r="AO1068" t="str">
        <f t="shared" si="439"/>
        <v>Usa Transporte</v>
      </c>
      <c r="AP1068">
        <v>0</v>
      </c>
      <c r="AQ1068" t="str">
        <f t="shared" si="440"/>
        <v>No camina</v>
      </c>
      <c r="AR1068">
        <v>0</v>
      </c>
      <c r="AS1068" t="str">
        <f t="shared" si="441"/>
        <v>No es obeso</v>
      </c>
    </row>
    <row r="1069" spans="1:45" x14ac:dyDescent="0.25">
      <c r="A1069">
        <v>1</v>
      </c>
      <c r="B1069" t="str">
        <f t="shared" si="416"/>
        <v>M</v>
      </c>
      <c r="C1069">
        <v>31484494</v>
      </c>
      <c r="D1069">
        <f t="shared" si="417"/>
        <v>86</v>
      </c>
      <c r="E1069">
        <f t="shared" si="418"/>
        <v>86</v>
      </c>
      <c r="F1069" t="str">
        <f t="shared" si="419"/>
        <v>75-100</v>
      </c>
      <c r="G1069">
        <v>1</v>
      </c>
      <c r="H1069" t="str">
        <f t="shared" si="420"/>
        <v>Pariente gordo</v>
      </c>
      <c r="I1069">
        <v>1</v>
      </c>
      <c r="J1069" t="str">
        <f t="shared" si="421"/>
        <v>Hipercaloricos</v>
      </c>
      <c r="K1069">
        <v>2795086</v>
      </c>
      <c r="L1069">
        <f t="shared" si="422"/>
        <v>1</v>
      </c>
      <c r="M1069" t="str">
        <f t="shared" si="423"/>
        <v>Suele comer</v>
      </c>
      <c r="N1069">
        <v>3250467</v>
      </c>
      <c r="O1069">
        <f t="shared" si="424"/>
        <v>2</v>
      </c>
      <c r="P1069" t="str">
        <f t="shared" si="425"/>
        <v>Mas de 3</v>
      </c>
      <c r="Q1069">
        <v>1</v>
      </c>
      <c r="R1069" t="str">
        <f t="shared" si="426"/>
        <v>A veces</v>
      </c>
      <c r="S1069">
        <v>0</v>
      </c>
      <c r="T1069" t="str">
        <f t="shared" si="427"/>
        <v>No fuma</v>
      </c>
      <c r="U1069">
        <v>1367876</v>
      </c>
      <c r="V1069">
        <f t="shared" si="428"/>
        <v>2</v>
      </c>
      <c r="W1069" t="str">
        <f t="shared" si="429"/>
        <v>Siempre</v>
      </c>
      <c r="X1069">
        <v>0</v>
      </c>
      <c r="Y1069" t="str">
        <f t="shared" si="430"/>
        <v>No controla</v>
      </c>
      <c r="Z1069">
        <v>2.2957999999999999E-2</v>
      </c>
      <c r="AA1069">
        <f t="shared" si="431"/>
        <v>0</v>
      </c>
      <c r="AB1069" t="str">
        <f t="shared" si="432"/>
        <v>Nunca</v>
      </c>
      <c r="AC1069">
        <v>0</v>
      </c>
      <c r="AD1069">
        <f t="shared" si="433"/>
        <v>0</v>
      </c>
      <c r="AE1069" t="str">
        <f t="shared" si="434"/>
        <v>Nunca</v>
      </c>
      <c r="AF1069">
        <v>0</v>
      </c>
      <c r="AG1069" t="str">
        <f t="shared" si="435"/>
        <v>Nunca</v>
      </c>
      <c r="AH1069">
        <v>1</v>
      </c>
      <c r="AI1069" t="str">
        <f t="shared" si="436"/>
        <v>Usa auto</v>
      </c>
      <c r="AJ1069">
        <v>0</v>
      </c>
      <c r="AK1069" t="str">
        <f t="shared" si="437"/>
        <v>No usa</v>
      </c>
      <c r="AL1069">
        <v>0</v>
      </c>
      <c r="AM1069" t="str">
        <f t="shared" si="438"/>
        <v>No usa</v>
      </c>
      <c r="AN1069">
        <v>0</v>
      </c>
      <c r="AO1069" t="str">
        <f t="shared" si="439"/>
        <v>No usa</v>
      </c>
      <c r="AP1069">
        <v>0</v>
      </c>
      <c r="AQ1069" t="str">
        <f t="shared" si="440"/>
        <v>No camina</v>
      </c>
      <c r="AR1069">
        <v>0</v>
      </c>
      <c r="AS1069" t="str">
        <f t="shared" si="441"/>
        <v>No es obeso</v>
      </c>
    </row>
    <row r="1070" spans="1:45" x14ac:dyDescent="0.25">
      <c r="A1070">
        <v>1</v>
      </c>
      <c r="B1070" t="str">
        <f t="shared" si="416"/>
        <v>M</v>
      </c>
      <c r="C1070">
        <v>21709159</v>
      </c>
      <c r="D1070">
        <f t="shared" si="417"/>
        <v>59</v>
      </c>
      <c r="E1070">
        <f t="shared" si="418"/>
        <v>59</v>
      </c>
      <c r="F1070" t="str">
        <f t="shared" si="419"/>
        <v>50-75</v>
      </c>
      <c r="G1070">
        <v>1</v>
      </c>
      <c r="H1070" t="str">
        <f t="shared" si="420"/>
        <v>Pariente gordo</v>
      </c>
      <c r="I1070">
        <v>1</v>
      </c>
      <c r="J1070" t="str">
        <f t="shared" si="421"/>
        <v>Hipercaloricos</v>
      </c>
      <c r="K1070">
        <v>2</v>
      </c>
      <c r="L1070">
        <f t="shared" si="422"/>
        <v>1</v>
      </c>
      <c r="M1070" t="str">
        <f t="shared" si="423"/>
        <v>Suele comer</v>
      </c>
      <c r="N1070">
        <v>3</v>
      </c>
      <c r="O1070">
        <f t="shared" si="424"/>
        <v>2</v>
      </c>
      <c r="P1070" t="str">
        <f t="shared" si="425"/>
        <v>Mas de 3</v>
      </c>
      <c r="Q1070">
        <v>1</v>
      </c>
      <c r="R1070" t="str">
        <f t="shared" si="426"/>
        <v>A veces</v>
      </c>
      <c r="S1070">
        <v>0</v>
      </c>
      <c r="T1070" t="str">
        <f t="shared" si="427"/>
        <v>No fuma</v>
      </c>
      <c r="U1070">
        <v>2</v>
      </c>
      <c r="V1070">
        <f t="shared" si="428"/>
        <v>2</v>
      </c>
      <c r="W1070" t="str">
        <f t="shared" si="429"/>
        <v>Siempre</v>
      </c>
      <c r="X1070">
        <v>0</v>
      </c>
      <c r="Y1070" t="str">
        <f t="shared" si="430"/>
        <v>No controla</v>
      </c>
      <c r="Z1070">
        <v>2939733</v>
      </c>
      <c r="AA1070">
        <f t="shared" si="431"/>
        <v>3</v>
      </c>
      <c r="AB1070" t="str">
        <f t="shared" si="432"/>
        <v>Siempre</v>
      </c>
      <c r="AC1070">
        <v>1692287</v>
      </c>
      <c r="AD1070">
        <f t="shared" si="433"/>
        <v>2</v>
      </c>
      <c r="AE1070" t="str">
        <f t="shared" si="434"/>
        <v>Siempre</v>
      </c>
      <c r="AF1070">
        <v>0</v>
      </c>
      <c r="AG1070" t="str">
        <f t="shared" si="435"/>
        <v>Nunca</v>
      </c>
      <c r="AH1070">
        <v>0</v>
      </c>
      <c r="AI1070" t="str">
        <f t="shared" si="436"/>
        <v>No usa</v>
      </c>
      <c r="AJ1070">
        <v>0</v>
      </c>
      <c r="AK1070" t="str">
        <f t="shared" si="437"/>
        <v>No usa</v>
      </c>
      <c r="AL1070">
        <v>0</v>
      </c>
      <c r="AM1070" t="str">
        <f t="shared" si="438"/>
        <v>No usa</v>
      </c>
      <c r="AN1070">
        <v>1</v>
      </c>
      <c r="AO1070" t="str">
        <f t="shared" si="439"/>
        <v>Usa Transporte</v>
      </c>
      <c r="AP1070">
        <v>0</v>
      </c>
      <c r="AQ1070" t="str">
        <f t="shared" si="440"/>
        <v>No camina</v>
      </c>
      <c r="AR1070">
        <v>0</v>
      </c>
      <c r="AS1070" t="str">
        <f t="shared" si="441"/>
        <v>No es obeso</v>
      </c>
    </row>
    <row r="1071" spans="1:45" x14ac:dyDescent="0.25">
      <c r="A1071">
        <v>0</v>
      </c>
      <c r="B1071" t="str">
        <f t="shared" si="416"/>
        <v>F</v>
      </c>
      <c r="C1071">
        <v>30711381</v>
      </c>
      <c r="D1071">
        <f t="shared" si="417"/>
        <v>84</v>
      </c>
      <c r="E1071">
        <f t="shared" si="418"/>
        <v>84</v>
      </c>
      <c r="F1071" t="str">
        <f t="shared" si="419"/>
        <v>75-100</v>
      </c>
      <c r="G1071">
        <v>1</v>
      </c>
      <c r="H1071" t="str">
        <f t="shared" si="420"/>
        <v>Pariente gordo</v>
      </c>
      <c r="I1071">
        <v>0</v>
      </c>
      <c r="J1071" t="str">
        <f t="shared" si="421"/>
        <v>Saludables</v>
      </c>
      <c r="K1071">
        <v>2030256</v>
      </c>
      <c r="L1071">
        <f t="shared" si="422"/>
        <v>1</v>
      </c>
      <c r="M1071" t="str">
        <f t="shared" si="423"/>
        <v>Suele comer</v>
      </c>
      <c r="N1071">
        <v>2948721</v>
      </c>
      <c r="O1071">
        <f t="shared" si="424"/>
        <v>2</v>
      </c>
      <c r="P1071" t="str">
        <f t="shared" si="425"/>
        <v>Mas de 3</v>
      </c>
      <c r="Q1071">
        <v>1</v>
      </c>
      <c r="R1071" t="str">
        <f t="shared" si="426"/>
        <v>A veces</v>
      </c>
      <c r="S1071">
        <v>0</v>
      </c>
      <c r="T1071" t="str">
        <f t="shared" si="427"/>
        <v>No fuma</v>
      </c>
      <c r="U1071">
        <v>1984323</v>
      </c>
      <c r="V1071">
        <f t="shared" si="428"/>
        <v>2</v>
      </c>
      <c r="W1071" t="str">
        <f t="shared" si="429"/>
        <v>Siempre</v>
      </c>
      <c r="X1071">
        <v>0</v>
      </c>
      <c r="Y1071" t="str">
        <f t="shared" si="430"/>
        <v>No controla</v>
      </c>
      <c r="Z1071">
        <v>0.98641400000000001</v>
      </c>
      <c r="AA1071">
        <f t="shared" si="431"/>
        <v>0</v>
      </c>
      <c r="AB1071" t="str">
        <f t="shared" si="432"/>
        <v>Nunca</v>
      </c>
      <c r="AC1071">
        <v>0.333673</v>
      </c>
      <c r="AD1071">
        <f t="shared" si="433"/>
        <v>0</v>
      </c>
      <c r="AE1071" t="str">
        <f t="shared" si="434"/>
        <v>Nunca</v>
      </c>
      <c r="AF1071">
        <v>0</v>
      </c>
      <c r="AG1071" t="str">
        <f t="shared" si="435"/>
        <v>Nunca</v>
      </c>
      <c r="AH1071">
        <v>0</v>
      </c>
      <c r="AI1071" t="str">
        <f t="shared" si="436"/>
        <v>No usa</v>
      </c>
      <c r="AJ1071">
        <v>0</v>
      </c>
      <c r="AK1071" t="str">
        <f t="shared" si="437"/>
        <v>No usa</v>
      </c>
      <c r="AL1071">
        <v>0</v>
      </c>
      <c r="AM1071" t="str">
        <f t="shared" si="438"/>
        <v>No usa</v>
      </c>
      <c r="AN1071">
        <v>1</v>
      </c>
      <c r="AO1071" t="str">
        <f t="shared" si="439"/>
        <v>Usa Transporte</v>
      </c>
      <c r="AP1071">
        <v>0</v>
      </c>
      <c r="AQ1071" t="str">
        <f t="shared" si="440"/>
        <v>No camina</v>
      </c>
      <c r="AR1071">
        <v>0</v>
      </c>
      <c r="AS1071" t="str">
        <f t="shared" si="441"/>
        <v>No es obeso</v>
      </c>
    </row>
    <row r="1072" spans="1:45" x14ac:dyDescent="0.25">
      <c r="A1072">
        <v>1</v>
      </c>
      <c r="B1072" t="str">
        <f t="shared" si="416"/>
        <v>M</v>
      </c>
      <c r="C1072">
        <v>34821442</v>
      </c>
      <c r="D1072">
        <f t="shared" si="417"/>
        <v>95</v>
      </c>
      <c r="E1072">
        <f t="shared" si="418"/>
        <v>95</v>
      </c>
      <c r="F1072" t="str">
        <f t="shared" si="419"/>
        <v>75-100</v>
      </c>
      <c r="G1072">
        <v>1</v>
      </c>
      <c r="H1072" t="str">
        <f t="shared" si="420"/>
        <v>Pariente gordo</v>
      </c>
      <c r="I1072">
        <v>1</v>
      </c>
      <c r="J1072" t="str">
        <f t="shared" si="421"/>
        <v>Hipercaloricos</v>
      </c>
      <c r="K1072">
        <v>2</v>
      </c>
      <c r="L1072">
        <f t="shared" si="422"/>
        <v>1</v>
      </c>
      <c r="M1072" t="str">
        <f t="shared" si="423"/>
        <v>Suele comer</v>
      </c>
      <c r="N1072">
        <v>180993</v>
      </c>
      <c r="O1072">
        <f t="shared" si="424"/>
        <v>2</v>
      </c>
      <c r="P1072" t="str">
        <f t="shared" si="425"/>
        <v>Mas de 3</v>
      </c>
      <c r="Q1072">
        <v>1</v>
      </c>
      <c r="R1072" t="str">
        <f t="shared" si="426"/>
        <v>A veces</v>
      </c>
      <c r="S1072">
        <v>0</v>
      </c>
      <c r="T1072" t="str">
        <f t="shared" si="427"/>
        <v>No fuma</v>
      </c>
      <c r="U1072">
        <v>2174835</v>
      </c>
      <c r="V1072">
        <f t="shared" si="428"/>
        <v>2</v>
      </c>
      <c r="W1072" t="str">
        <f t="shared" si="429"/>
        <v>Siempre</v>
      </c>
      <c r="X1072">
        <v>0</v>
      </c>
      <c r="Y1072" t="str">
        <f t="shared" si="430"/>
        <v>No controla</v>
      </c>
      <c r="Z1072">
        <v>0.34091500000000002</v>
      </c>
      <c r="AA1072">
        <f t="shared" si="431"/>
        <v>0</v>
      </c>
      <c r="AB1072" t="str">
        <f t="shared" si="432"/>
        <v>Nunca</v>
      </c>
      <c r="AC1072">
        <v>2.0153000000000001E-2</v>
      </c>
      <c r="AD1072">
        <f t="shared" si="433"/>
        <v>0</v>
      </c>
      <c r="AE1072" t="str">
        <f t="shared" si="434"/>
        <v>Nunca</v>
      </c>
      <c r="AF1072">
        <v>1</v>
      </c>
      <c r="AG1072" t="str">
        <f t="shared" si="435"/>
        <v>A veces</v>
      </c>
      <c r="AH1072">
        <v>1</v>
      </c>
      <c r="AI1072" t="str">
        <f t="shared" si="436"/>
        <v>Usa auto</v>
      </c>
      <c r="AJ1072">
        <v>0</v>
      </c>
      <c r="AK1072" t="str">
        <f t="shared" si="437"/>
        <v>No usa</v>
      </c>
      <c r="AL1072">
        <v>0</v>
      </c>
      <c r="AM1072" t="str">
        <f t="shared" si="438"/>
        <v>No usa</v>
      </c>
      <c r="AN1072">
        <v>0</v>
      </c>
      <c r="AO1072" t="str">
        <f t="shared" si="439"/>
        <v>No usa</v>
      </c>
      <c r="AP1072">
        <v>0</v>
      </c>
      <c r="AQ1072" t="str">
        <f t="shared" si="440"/>
        <v>No camina</v>
      </c>
      <c r="AR1072">
        <v>0</v>
      </c>
      <c r="AS1072" t="str">
        <f t="shared" si="441"/>
        <v>No es obeso</v>
      </c>
    </row>
    <row r="1073" spans="1:45" x14ac:dyDescent="0.25">
      <c r="A1073">
        <v>0</v>
      </c>
      <c r="B1073" t="str">
        <f t="shared" si="416"/>
        <v>F</v>
      </c>
      <c r="C1073">
        <v>20843363</v>
      </c>
      <c r="D1073">
        <f t="shared" si="417"/>
        <v>57</v>
      </c>
      <c r="E1073">
        <f t="shared" si="418"/>
        <v>57</v>
      </c>
      <c r="F1073" t="str">
        <f t="shared" si="419"/>
        <v>50-75</v>
      </c>
      <c r="G1073">
        <v>1</v>
      </c>
      <c r="H1073" t="str">
        <f t="shared" si="420"/>
        <v>Pariente gordo</v>
      </c>
      <c r="I1073">
        <v>0</v>
      </c>
      <c r="J1073" t="str">
        <f t="shared" si="421"/>
        <v>Saludables</v>
      </c>
      <c r="K1073">
        <v>2493448</v>
      </c>
      <c r="L1073">
        <f t="shared" si="422"/>
        <v>1</v>
      </c>
      <c r="M1073" t="str">
        <f t="shared" si="423"/>
        <v>Suele comer</v>
      </c>
      <c r="N1073">
        <v>3</v>
      </c>
      <c r="O1073">
        <f t="shared" si="424"/>
        <v>2</v>
      </c>
      <c r="P1073" t="str">
        <f t="shared" si="425"/>
        <v>Mas de 3</v>
      </c>
      <c r="Q1073">
        <v>1</v>
      </c>
      <c r="R1073" t="str">
        <f t="shared" si="426"/>
        <v>A veces</v>
      </c>
      <c r="S1073">
        <v>0</v>
      </c>
      <c r="T1073" t="str">
        <f t="shared" si="427"/>
        <v>No fuma</v>
      </c>
      <c r="U1073">
        <v>1849997</v>
      </c>
      <c r="V1073">
        <f t="shared" si="428"/>
        <v>2</v>
      </c>
      <c r="W1073" t="str">
        <f t="shared" si="429"/>
        <v>Siempre</v>
      </c>
      <c r="X1073">
        <v>0</v>
      </c>
      <c r="Y1073" t="str">
        <f t="shared" si="430"/>
        <v>No controla</v>
      </c>
      <c r="Z1073">
        <v>0.95445899999999995</v>
      </c>
      <c r="AA1073">
        <f t="shared" si="431"/>
        <v>0</v>
      </c>
      <c r="AB1073" t="str">
        <f t="shared" si="432"/>
        <v>Nunca</v>
      </c>
      <c r="AC1073">
        <v>1444532</v>
      </c>
      <c r="AD1073">
        <f t="shared" si="433"/>
        <v>2</v>
      </c>
      <c r="AE1073" t="str">
        <f t="shared" si="434"/>
        <v>Siempre</v>
      </c>
      <c r="AF1073">
        <v>0</v>
      </c>
      <c r="AG1073" t="str">
        <f t="shared" si="435"/>
        <v>Nunca</v>
      </c>
      <c r="AH1073">
        <v>0</v>
      </c>
      <c r="AI1073" t="str">
        <f t="shared" si="436"/>
        <v>No usa</v>
      </c>
      <c r="AJ1073">
        <v>0</v>
      </c>
      <c r="AK1073" t="str">
        <f t="shared" si="437"/>
        <v>No usa</v>
      </c>
      <c r="AL1073">
        <v>0</v>
      </c>
      <c r="AM1073" t="str">
        <f t="shared" si="438"/>
        <v>No usa</v>
      </c>
      <c r="AN1073">
        <v>1</v>
      </c>
      <c r="AO1073" t="str">
        <f t="shared" si="439"/>
        <v>Usa Transporte</v>
      </c>
      <c r="AP1073">
        <v>0</v>
      </c>
      <c r="AQ1073" t="str">
        <f t="shared" si="440"/>
        <v>No camina</v>
      </c>
      <c r="AR1073">
        <v>0</v>
      </c>
      <c r="AS1073" t="str">
        <f t="shared" si="441"/>
        <v>No es obeso</v>
      </c>
    </row>
    <row r="1074" spans="1:45" x14ac:dyDescent="0.25">
      <c r="A1074">
        <v>1</v>
      </c>
      <c r="B1074" t="str">
        <f t="shared" si="416"/>
        <v>M</v>
      </c>
      <c r="C1074">
        <v>19443639</v>
      </c>
      <c r="D1074">
        <f t="shared" si="417"/>
        <v>53</v>
      </c>
      <c r="E1074">
        <f t="shared" si="418"/>
        <v>53</v>
      </c>
      <c r="F1074" t="str">
        <f t="shared" si="419"/>
        <v>50-75</v>
      </c>
      <c r="G1074">
        <v>1</v>
      </c>
      <c r="H1074" t="str">
        <f t="shared" si="420"/>
        <v>Pariente gordo</v>
      </c>
      <c r="I1074">
        <v>1</v>
      </c>
      <c r="J1074" t="str">
        <f t="shared" si="421"/>
        <v>Hipercaloricos</v>
      </c>
      <c r="K1074">
        <v>2442536</v>
      </c>
      <c r="L1074">
        <f t="shared" si="422"/>
        <v>1</v>
      </c>
      <c r="M1074" t="str">
        <f t="shared" si="423"/>
        <v>Suele comer</v>
      </c>
      <c r="N1074">
        <v>3</v>
      </c>
      <c r="O1074">
        <f t="shared" si="424"/>
        <v>2</v>
      </c>
      <c r="P1074" t="str">
        <f t="shared" si="425"/>
        <v>Mas de 3</v>
      </c>
      <c r="Q1074">
        <v>1</v>
      </c>
      <c r="R1074" t="str">
        <f t="shared" si="426"/>
        <v>A veces</v>
      </c>
      <c r="S1074">
        <v>0</v>
      </c>
      <c r="T1074" t="str">
        <f t="shared" si="427"/>
        <v>No fuma</v>
      </c>
      <c r="U1074">
        <v>2825629</v>
      </c>
      <c r="V1074">
        <f t="shared" si="428"/>
        <v>2</v>
      </c>
      <c r="W1074" t="str">
        <f t="shared" si="429"/>
        <v>Siempre</v>
      </c>
      <c r="X1074">
        <v>0</v>
      </c>
      <c r="Y1074" t="str">
        <f t="shared" si="430"/>
        <v>No controla</v>
      </c>
      <c r="Z1074">
        <v>3</v>
      </c>
      <c r="AA1074">
        <f t="shared" si="431"/>
        <v>3</v>
      </c>
      <c r="AB1074" t="str">
        <f t="shared" si="432"/>
        <v>Siempre</v>
      </c>
      <c r="AC1074">
        <v>0</v>
      </c>
      <c r="AD1074">
        <f t="shared" si="433"/>
        <v>0</v>
      </c>
      <c r="AE1074" t="str">
        <f t="shared" si="434"/>
        <v>Nunca</v>
      </c>
      <c r="AF1074">
        <v>1</v>
      </c>
      <c r="AG1074" t="str">
        <f t="shared" si="435"/>
        <v>A veces</v>
      </c>
      <c r="AH1074">
        <v>0</v>
      </c>
      <c r="AI1074" t="str">
        <f t="shared" si="436"/>
        <v>No usa</v>
      </c>
      <c r="AJ1074">
        <v>0</v>
      </c>
      <c r="AK1074" t="str">
        <f t="shared" si="437"/>
        <v>No usa</v>
      </c>
      <c r="AL1074">
        <v>0</v>
      </c>
      <c r="AM1074" t="str">
        <f t="shared" si="438"/>
        <v>No usa</v>
      </c>
      <c r="AN1074">
        <v>1</v>
      </c>
      <c r="AO1074" t="str">
        <f t="shared" si="439"/>
        <v>Usa Transporte</v>
      </c>
      <c r="AP1074">
        <v>0</v>
      </c>
      <c r="AQ1074" t="str">
        <f t="shared" si="440"/>
        <v>No camina</v>
      </c>
      <c r="AR1074">
        <v>0</v>
      </c>
      <c r="AS1074" t="str">
        <f t="shared" si="441"/>
        <v>No es obeso</v>
      </c>
    </row>
    <row r="1075" spans="1:45" x14ac:dyDescent="0.25">
      <c r="A1075">
        <v>0</v>
      </c>
      <c r="B1075" t="str">
        <f t="shared" si="416"/>
        <v>F</v>
      </c>
      <c r="C1075">
        <v>20492077</v>
      </c>
      <c r="D1075">
        <f t="shared" si="417"/>
        <v>56</v>
      </c>
      <c r="E1075">
        <f t="shared" si="418"/>
        <v>56</v>
      </c>
      <c r="F1075" t="str">
        <f t="shared" si="419"/>
        <v>50-75</v>
      </c>
      <c r="G1075">
        <v>1</v>
      </c>
      <c r="H1075" t="str">
        <f t="shared" si="420"/>
        <v>Pariente gordo</v>
      </c>
      <c r="I1075">
        <v>0</v>
      </c>
      <c r="J1075" t="str">
        <f t="shared" si="421"/>
        <v>Saludables</v>
      </c>
      <c r="K1075">
        <v>2003951</v>
      </c>
      <c r="L1075">
        <f t="shared" si="422"/>
        <v>1</v>
      </c>
      <c r="M1075" t="str">
        <f t="shared" si="423"/>
        <v>Suele comer</v>
      </c>
      <c r="N1075">
        <v>3</v>
      </c>
      <c r="O1075">
        <f t="shared" si="424"/>
        <v>2</v>
      </c>
      <c r="P1075" t="str">
        <f t="shared" si="425"/>
        <v>Mas de 3</v>
      </c>
      <c r="Q1075">
        <v>1</v>
      </c>
      <c r="R1075" t="str">
        <f t="shared" si="426"/>
        <v>A veces</v>
      </c>
      <c r="S1075">
        <v>0</v>
      </c>
      <c r="T1075" t="str">
        <f t="shared" si="427"/>
        <v>No fuma</v>
      </c>
      <c r="U1075">
        <v>1207978</v>
      </c>
      <c r="V1075">
        <f t="shared" si="428"/>
        <v>2</v>
      </c>
      <c r="W1075" t="str">
        <f t="shared" si="429"/>
        <v>Siempre</v>
      </c>
      <c r="X1075">
        <v>0</v>
      </c>
      <c r="Y1075" t="str">
        <f t="shared" si="430"/>
        <v>No controla</v>
      </c>
      <c r="Z1075">
        <v>1916751</v>
      </c>
      <c r="AA1075">
        <f t="shared" si="431"/>
        <v>3</v>
      </c>
      <c r="AB1075" t="str">
        <f t="shared" si="432"/>
        <v>Siempre</v>
      </c>
      <c r="AC1075">
        <v>1228995</v>
      </c>
      <c r="AD1075">
        <f t="shared" si="433"/>
        <v>2</v>
      </c>
      <c r="AE1075" t="str">
        <f t="shared" si="434"/>
        <v>Siempre</v>
      </c>
      <c r="AF1075">
        <v>0</v>
      </c>
      <c r="AG1075" t="str">
        <f t="shared" si="435"/>
        <v>Nunca</v>
      </c>
      <c r="AH1075">
        <v>0</v>
      </c>
      <c r="AI1075" t="str">
        <f t="shared" si="436"/>
        <v>No usa</v>
      </c>
      <c r="AJ1075">
        <v>0</v>
      </c>
      <c r="AK1075" t="str">
        <f t="shared" si="437"/>
        <v>No usa</v>
      </c>
      <c r="AL1075">
        <v>0</v>
      </c>
      <c r="AM1075" t="str">
        <f t="shared" si="438"/>
        <v>No usa</v>
      </c>
      <c r="AN1075">
        <v>1</v>
      </c>
      <c r="AO1075" t="str">
        <f t="shared" si="439"/>
        <v>Usa Transporte</v>
      </c>
      <c r="AP1075">
        <v>0</v>
      </c>
      <c r="AQ1075" t="str">
        <f t="shared" si="440"/>
        <v>No camina</v>
      </c>
      <c r="AR1075">
        <v>0</v>
      </c>
      <c r="AS1075" t="str">
        <f t="shared" si="441"/>
        <v>No es obeso</v>
      </c>
    </row>
    <row r="1076" spans="1:45" x14ac:dyDescent="0.25">
      <c r="A1076">
        <v>1</v>
      </c>
      <c r="B1076" t="str">
        <f t="shared" si="416"/>
        <v>M</v>
      </c>
      <c r="C1076">
        <v>22944349</v>
      </c>
      <c r="D1076">
        <f t="shared" si="417"/>
        <v>62</v>
      </c>
      <c r="E1076">
        <f t="shared" si="418"/>
        <v>62</v>
      </c>
      <c r="F1076" t="str">
        <f t="shared" si="419"/>
        <v>50-75</v>
      </c>
      <c r="G1076">
        <v>1</v>
      </c>
      <c r="H1076" t="str">
        <f t="shared" si="420"/>
        <v>Pariente gordo</v>
      </c>
      <c r="I1076">
        <v>1</v>
      </c>
      <c r="J1076" t="str">
        <f t="shared" si="421"/>
        <v>Hipercaloricos</v>
      </c>
      <c r="K1076">
        <v>134138</v>
      </c>
      <c r="L1076">
        <f t="shared" si="422"/>
        <v>1</v>
      </c>
      <c r="M1076" t="str">
        <f t="shared" si="423"/>
        <v>Suele comer</v>
      </c>
      <c r="N1076">
        <v>194671</v>
      </c>
      <c r="O1076">
        <f t="shared" si="424"/>
        <v>2</v>
      </c>
      <c r="P1076" t="str">
        <f t="shared" si="425"/>
        <v>Mas de 3</v>
      </c>
      <c r="Q1076">
        <v>1</v>
      </c>
      <c r="R1076" t="str">
        <f t="shared" si="426"/>
        <v>A veces</v>
      </c>
      <c r="S1076">
        <v>0</v>
      </c>
      <c r="T1076" t="str">
        <f t="shared" si="427"/>
        <v>No fuma</v>
      </c>
      <c r="U1076">
        <v>2</v>
      </c>
      <c r="V1076">
        <f t="shared" si="428"/>
        <v>2</v>
      </c>
      <c r="W1076" t="str">
        <f t="shared" si="429"/>
        <v>Siempre</v>
      </c>
      <c r="X1076">
        <v>0</v>
      </c>
      <c r="Y1076" t="str">
        <f t="shared" si="430"/>
        <v>No controla</v>
      </c>
      <c r="Z1076">
        <v>0</v>
      </c>
      <c r="AA1076">
        <f t="shared" si="431"/>
        <v>0</v>
      </c>
      <c r="AB1076" t="str">
        <f t="shared" si="432"/>
        <v>Nunca</v>
      </c>
      <c r="AC1076">
        <v>0.97550400000000004</v>
      </c>
      <c r="AD1076">
        <f t="shared" si="433"/>
        <v>0</v>
      </c>
      <c r="AE1076" t="str">
        <f t="shared" si="434"/>
        <v>Nunca</v>
      </c>
      <c r="AF1076">
        <v>1</v>
      </c>
      <c r="AG1076" t="str">
        <f t="shared" si="435"/>
        <v>A veces</v>
      </c>
      <c r="AH1076">
        <v>0</v>
      </c>
      <c r="AI1076" t="str">
        <f t="shared" si="436"/>
        <v>No usa</v>
      </c>
      <c r="AJ1076">
        <v>0</v>
      </c>
      <c r="AK1076" t="str">
        <f t="shared" si="437"/>
        <v>No usa</v>
      </c>
      <c r="AL1076">
        <v>0</v>
      </c>
      <c r="AM1076" t="str">
        <f t="shared" si="438"/>
        <v>No usa</v>
      </c>
      <c r="AN1076">
        <v>1</v>
      </c>
      <c r="AO1076" t="str">
        <f t="shared" si="439"/>
        <v>Usa Transporte</v>
      </c>
      <c r="AP1076">
        <v>0</v>
      </c>
      <c r="AQ1076" t="str">
        <f t="shared" si="440"/>
        <v>No camina</v>
      </c>
      <c r="AR1076">
        <v>0</v>
      </c>
      <c r="AS1076" t="str">
        <f t="shared" si="441"/>
        <v>No es obeso</v>
      </c>
    </row>
    <row r="1077" spans="1:45" x14ac:dyDescent="0.25">
      <c r="A1077">
        <v>0</v>
      </c>
      <c r="B1077" t="str">
        <f t="shared" si="416"/>
        <v>F</v>
      </c>
      <c r="C1077">
        <v>23</v>
      </c>
      <c r="D1077">
        <f t="shared" si="417"/>
        <v>23</v>
      </c>
      <c r="E1077">
        <f t="shared" si="418"/>
        <v>23</v>
      </c>
      <c r="F1077" t="str">
        <f t="shared" si="419"/>
        <v>1-25</v>
      </c>
      <c r="G1077">
        <v>1</v>
      </c>
      <c r="H1077" t="str">
        <f t="shared" si="420"/>
        <v>Pariente gordo</v>
      </c>
      <c r="I1077">
        <v>1</v>
      </c>
      <c r="J1077" t="str">
        <f t="shared" si="421"/>
        <v>Hipercaloricos</v>
      </c>
      <c r="K1077">
        <v>2</v>
      </c>
      <c r="L1077">
        <f t="shared" si="422"/>
        <v>1</v>
      </c>
      <c r="M1077" t="str">
        <f t="shared" si="423"/>
        <v>Suele comer</v>
      </c>
      <c r="N1077">
        <v>29796</v>
      </c>
      <c r="O1077">
        <f t="shared" si="424"/>
        <v>2</v>
      </c>
      <c r="P1077" t="str">
        <f t="shared" si="425"/>
        <v>Mas de 3</v>
      </c>
      <c r="Q1077">
        <v>1</v>
      </c>
      <c r="R1077" t="str">
        <f t="shared" si="426"/>
        <v>A veces</v>
      </c>
      <c r="S1077">
        <v>0</v>
      </c>
      <c r="T1077" t="str">
        <f t="shared" si="427"/>
        <v>No fuma</v>
      </c>
      <c r="U1077">
        <v>1964435</v>
      </c>
      <c r="V1077">
        <f t="shared" si="428"/>
        <v>2</v>
      </c>
      <c r="W1077" t="str">
        <f t="shared" si="429"/>
        <v>Siempre</v>
      </c>
      <c r="X1077">
        <v>0</v>
      </c>
      <c r="Y1077" t="str">
        <f t="shared" si="430"/>
        <v>No controla</v>
      </c>
      <c r="Z1077">
        <v>0.18995699999999999</v>
      </c>
      <c r="AA1077">
        <f t="shared" si="431"/>
        <v>0</v>
      </c>
      <c r="AB1077" t="str">
        <f t="shared" si="432"/>
        <v>Nunca</v>
      </c>
      <c r="AC1077">
        <v>173216</v>
      </c>
      <c r="AD1077">
        <f t="shared" si="433"/>
        <v>1</v>
      </c>
      <c r="AE1077" t="str">
        <f t="shared" si="434"/>
        <v>Usualmente</v>
      </c>
      <c r="AF1077">
        <v>0</v>
      </c>
      <c r="AG1077" t="str">
        <f t="shared" si="435"/>
        <v>Nunca</v>
      </c>
      <c r="AH1077">
        <v>0</v>
      </c>
      <c r="AI1077" t="str">
        <f t="shared" si="436"/>
        <v>No usa</v>
      </c>
      <c r="AJ1077">
        <v>0</v>
      </c>
      <c r="AK1077" t="str">
        <f t="shared" si="437"/>
        <v>No usa</v>
      </c>
      <c r="AL1077">
        <v>0</v>
      </c>
      <c r="AM1077" t="str">
        <f t="shared" si="438"/>
        <v>No usa</v>
      </c>
      <c r="AN1077">
        <v>1</v>
      </c>
      <c r="AO1077" t="str">
        <f t="shared" si="439"/>
        <v>Usa Transporte</v>
      </c>
      <c r="AP1077">
        <v>0</v>
      </c>
      <c r="AQ1077" t="str">
        <f t="shared" si="440"/>
        <v>No camina</v>
      </c>
      <c r="AR1077">
        <v>0</v>
      </c>
      <c r="AS1077" t="str">
        <f t="shared" si="441"/>
        <v>No es obeso</v>
      </c>
    </row>
    <row r="1078" spans="1:45" x14ac:dyDescent="0.25">
      <c r="A1078">
        <v>1</v>
      </c>
      <c r="B1078" t="str">
        <f t="shared" si="416"/>
        <v>M</v>
      </c>
      <c r="C1078">
        <v>2406894</v>
      </c>
      <c r="D1078">
        <f t="shared" si="417"/>
        <v>6</v>
      </c>
      <c r="E1078">
        <f t="shared" si="418"/>
        <v>6</v>
      </c>
      <c r="F1078" t="str">
        <f t="shared" si="419"/>
        <v>1-25</v>
      </c>
      <c r="G1078">
        <v>1</v>
      </c>
      <c r="H1078" t="str">
        <f t="shared" si="420"/>
        <v>Pariente gordo</v>
      </c>
      <c r="I1078">
        <v>1</v>
      </c>
      <c r="J1078" t="str">
        <f t="shared" si="421"/>
        <v>Hipercaloricos</v>
      </c>
      <c r="K1078">
        <v>2</v>
      </c>
      <c r="L1078">
        <f t="shared" si="422"/>
        <v>1</v>
      </c>
      <c r="M1078" t="str">
        <f t="shared" si="423"/>
        <v>Suele comer</v>
      </c>
      <c r="N1078">
        <v>2994198</v>
      </c>
      <c r="O1078">
        <f t="shared" si="424"/>
        <v>2</v>
      </c>
      <c r="P1078" t="str">
        <f t="shared" si="425"/>
        <v>Mas de 3</v>
      </c>
      <c r="Q1078">
        <v>1</v>
      </c>
      <c r="R1078" t="str">
        <f t="shared" si="426"/>
        <v>A veces</v>
      </c>
      <c r="S1078">
        <v>0</v>
      </c>
      <c r="T1078" t="str">
        <f t="shared" si="427"/>
        <v>No fuma</v>
      </c>
      <c r="U1078">
        <v>2747302</v>
      </c>
      <c r="V1078">
        <f t="shared" si="428"/>
        <v>2</v>
      </c>
      <c r="W1078" t="str">
        <f t="shared" si="429"/>
        <v>Siempre</v>
      </c>
      <c r="X1078">
        <v>0</v>
      </c>
      <c r="Y1078" t="str">
        <f t="shared" si="430"/>
        <v>No controla</v>
      </c>
      <c r="Z1078">
        <v>0</v>
      </c>
      <c r="AA1078">
        <f t="shared" si="431"/>
        <v>0</v>
      </c>
      <c r="AB1078" t="str">
        <f t="shared" si="432"/>
        <v>Nunca</v>
      </c>
      <c r="AC1078">
        <v>0.79975600000000002</v>
      </c>
      <c r="AD1078">
        <f t="shared" si="433"/>
        <v>0</v>
      </c>
      <c r="AE1078" t="str">
        <f t="shared" si="434"/>
        <v>Nunca</v>
      </c>
      <c r="AF1078">
        <v>1</v>
      </c>
      <c r="AG1078" t="str">
        <f t="shared" si="435"/>
        <v>A veces</v>
      </c>
      <c r="AH1078">
        <v>0</v>
      </c>
      <c r="AI1078" t="str">
        <f t="shared" si="436"/>
        <v>No usa</v>
      </c>
      <c r="AJ1078">
        <v>0</v>
      </c>
      <c r="AK1078" t="str">
        <f t="shared" si="437"/>
        <v>No usa</v>
      </c>
      <c r="AL1078">
        <v>0</v>
      </c>
      <c r="AM1078" t="str">
        <f t="shared" si="438"/>
        <v>No usa</v>
      </c>
      <c r="AN1078">
        <v>1</v>
      </c>
      <c r="AO1078" t="str">
        <f t="shared" si="439"/>
        <v>Usa Transporte</v>
      </c>
      <c r="AP1078">
        <v>0</v>
      </c>
      <c r="AQ1078" t="str">
        <f t="shared" si="440"/>
        <v>No camina</v>
      </c>
      <c r="AR1078">
        <v>0</v>
      </c>
      <c r="AS1078" t="str">
        <f t="shared" si="441"/>
        <v>No es obeso</v>
      </c>
    </row>
    <row r="1079" spans="1:45" x14ac:dyDescent="0.25">
      <c r="A1079">
        <v>0</v>
      </c>
      <c r="B1079" t="str">
        <f t="shared" si="416"/>
        <v>F</v>
      </c>
      <c r="C1079">
        <v>23728707</v>
      </c>
      <c r="D1079">
        <f t="shared" si="417"/>
        <v>65</v>
      </c>
      <c r="E1079">
        <f t="shared" si="418"/>
        <v>65</v>
      </c>
      <c r="F1079" t="str">
        <f t="shared" si="419"/>
        <v>50-75</v>
      </c>
      <c r="G1079">
        <v>1</v>
      </c>
      <c r="H1079" t="str">
        <f t="shared" si="420"/>
        <v>Pariente gordo</v>
      </c>
      <c r="I1079">
        <v>1</v>
      </c>
      <c r="J1079" t="str">
        <f t="shared" si="421"/>
        <v>Hipercaloricos</v>
      </c>
      <c r="K1079">
        <v>2</v>
      </c>
      <c r="L1079">
        <f t="shared" si="422"/>
        <v>1</v>
      </c>
      <c r="M1079" t="str">
        <f t="shared" si="423"/>
        <v>Suele comer</v>
      </c>
      <c r="N1079">
        <v>3</v>
      </c>
      <c r="O1079">
        <f t="shared" si="424"/>
        <v>2</v>
      </c>
      <c r="P1079" t="str">
        <f t="shared" si="425"/>
        <v>Mas de 3</v>
      </c>
      <c r="Q1079">
        <v>1</v>
      </c>
      <c r="R1079" t="str">
        <f t="shared" si="426"/>
        <v>A veces</v>
      </c>
      <c r="S1079">
        <v>0</v>
      </c>
      <c r="T1079" t="str">
        <f t="shared" si="427"/>
        <v>No fuma</v>
      </c>
      <c r="U1079">
        <v>213755</v>
      </c>
      <c r="V1079">
        <f t="shared" si="428"/>
        <v>2</v>
      </c>
      <c r="W1079" t="str">
        <f t="shared" si="429"/>
        <v>Siempre</v>
      </c>
      <c r="X1079">
        <v>0</v>
      </c>
      <c r="Y1079" t="str">
        <f t="shared" si="430"/>
        <v>No controla</v>
      </c>
      <c r="Z1079">
        <v>0</v>
      </c>
      <c r="AA1079">
        <f t="shared" si="431"/>
        <v>0</v>
      </c>
      <c r="AB1079" t="str">
        <f t="shared" si="432"/>
        <v>Nunca</v>
      </c>
      <c r="AC1079">
        <v>0.124977</v>
      </c>
      <c r="AD1079">
        <f t="shared" si="433"/>
        <v>0</v>
      </c>
      <c r="AE1079" t="str">
        <f t="shared" si="434"/>
        <v>Nunca</v>
      </c>
      <c r="AF1079">
        <v>0</v>
      </c>
      <c r="AG1079" t="str">
        <f t="shared" si="435"/>
        <v>Nunca</v>
      </c>
      <c r="AH1079">
        <v>0</v>
      </c>
      <c r="AI1079" t="str">
        <f t="shared" si="436"/>
        <v>No usa</v>
      </c>
      <c r="AJ1079">
        <v>0</v>
      </c>
      <c r="AK1079" t="str">
        <f t="shared" si="437"/>
        <v>No usa</v>
      </c>
      <c r="AL1079">
        <v>0</v>
      </c>
      <c r="AM1079" t="str">
        <f t="shared" si="438"/>
        <v>No usa</v>
      </c>
      <c r="AN1079">
        <v>1</v>
      </c>
      <c r="AO1079" t="str">
        <f t="shared" si="439"/>
        <v>Usa Transporte</v>
      </c>
      <c r="AP1079">
        <v>0</v>
      </c>
      <c r="AQ1079" t="str">
        <f t="shared" si="440"/>
        <v>No camina</v>
      </c>
      <c r="AR1079">
        <v>0</v>
      </c>
      <c r="AS1079" t="str">
        <f t="shared" si="441"/>
        <v>No es obeso</v>
      </c>
    </row>
    <row r="1080" spans="1:45" x14ac:dyDescent="0.25">
      <c r="A1080">
        <v>1</v>
      </c>
      <c r="B1080" t="str">
        <f t="shared" si="416"/>
        <v>M</v>
      </c>
      <c r="C1080">
        <v>29216019</v>
      </c>
      <c r="D1080">
        <f t="shared" si="417"/>
        <v>80</v>
      </c>
      <c r="E1080">
        <f t="shared" si="418"/>
        <v>80</v>
      </c>
      <c r="F1080" t="str">
        <f t="shared" si="419"/>
        <v>75-100</v>
      </c>
      <c r="G1080">
        <v>1</v>
      </c>
      <c r="H1080" t="str">
        <f t="shared" si="420"/>
        <v>Pariente gordo</v>
      </c>
      <c r="I1080">
        <v>1</v>
      </c>
      <c r="J1080" t="str">
        <f t="shared" si="421"/>
        <v>Hipercaloricos</v>
      </c>
      <c r="K1080">
        <v>2</v>
      </c>
      <c r="L1080">
        <f t="shared" si="422"/>
        <v>1</v>
      </c>
      <c r="M1080" t="str">
        <f t="shared" si="423"/>
        <v>Suele comer</v>
      </c>
      <c r="N1080">
        <v>1894384</v>
      </c>
      <c r="O1080">
        <f t="shared" si="424"/>
        <v>2</v>
      </c>
      <c r="P1080" t="str">
        <f t="shared" si="425"/>
        <v>Mas de 3</v>
      </c>
      <c r="Q1080">
        <v>1</v>
      </c>
      <c r="R1080" t="str">
        <f t="shared" si="426"/>
        <v>A veces</v>
      </c>
      <c r="S1080">
        <v>0</v>
      </c>
      <c r="T1080" t="str">
        <f t="shared" si="427"/>
        <v>No fuma</v>
      </c>
      <c r="U1080">
        <v>2</v>
      </c>
      <c r="V1080">
        <f t="shared" si="428"/>
        <v>2</v>
      </c>
      <c r="W1080" t="str">
        <f t="shared" si="429"/>
        <v>Siempre</v>
      </c>
      <c r="X1080">
        <v>0</v>
      </c>
      <c r="Y1080" t="str">
        <f t="shared" si="430"/>
        <v>No controla</v>
      </c>
      <c r="Z1080">
        <v>0</v>
      </c>
      <c r="AA1080">
        <f t="shared" si="431"/>
        <v>0</v>
      </c>
      <c r="AB1080" t="str">
        <f t="shared" si="432"/>
        <v>Nunca</v>
      </c>
      <c r="AC1080">
        <v>0</v>
      </c>
      <c r="AD1080">
        <f t="shared" si="433"/>
        <v>0</v>
      </c>
      <c r="AE1080" t="str">
        <f t="shared" si="434"/>
        <v>Nunca</v>
      </c>
      <c r="AF1080">
        <v>1</v>
      </c>
      <c r="AG1080" t="str">
        <f t="shared" si="435"/>
        <v>A veces</v>
      </c>
      <c r="AH1080">
        <v>0</v>
      </c>
      <c r="AI1080" t="str">
        <f t="shared" si="436"/>
        <v>No usa</v>
      </c>
      <c r="AJ1080">
        <v>0</v>
      </c>
      <c r="AK1080" t="str">
        <f t="shared" si="437"/>
        <v>No usa</v>
      </c>
      <c r="AL1080">
        <v>0</v>
      </c>
      <c r="AM1080" t="str">
        <f t="shared" si="438"/>
        <v>No usa</v>
      </c>
      <c r="AN1080">
        <v>1</v>
      </c>
      <c r="AO1080" t="str">
        <f t="shared" si="439"/>
        <v>Usa Transporte</v>
      </c>
      <c r="AP1080">
        <v>0</v>
      </c>
      <c r="AQ1080" t="str">
        <f t="shared" si="440"/>
        <v>No camina</v>
      </c>
      <c r="AR1080">
        <v>0</v>
      </c>
      <c r="AS1080" t="str">
        <f t="shared" si="441"/>
        <v>No es obeso</v>
      </c>
    </row>
    <row r="1081" spans="1:45" x14ac:dyDescent="0.25">
      <c r="A1081">
        <v>1</v>
      </c>
      <c r="B1081" t="str">
        <f t="shared" si="416"/>
        <v>M</v>
      </c>
      <c r="C1081">
        <v>24751511</v>
      </c>
      <c r="D1081">
        <f t="shared" si="417"/>
        <v>67</v>
      </c>
      <c r="E1081">
        <f t="shared" si="418"/>
        <v>67</v>
      </c>
      <c r="F1081" t="str">
        <f t="shared" si="419"/>
        <v>50-75</v>
      </c>
      <c r="G1081">
        <v>1</v>
      </c>
      <c r="H1081" t="str">
        <f t="shared" si="420"/>
        <v>Pariente gordo</v>
      </c>
      <c r="I1081">
        <v>1</v>
      </c>
      <c r="J1081" t="str">
        <f t="shared" si="421"/>
        <v>Hipercaloricos</v>
      </c>
      <c r="K1081">
        <v>2607335</v>
      </c>
      <c r="L1081">
        <f t="shared" si="422"/>
        <v>1</v>
      </c>
      <c r="M1081" t="str">
        <f t="shared" si="423"/>
        <v>Suele comer</v>
      </c>
      <c r="N1081">
        <v>3</v>
      </c>
      <c r="O1081">
        <f t="shared" si="424"/>
        <v>2</v>
      </c>
      <c r="P1081" t="str">
        <f t="shared" si="425"/>
        <v>Mas de 3</v>
      </c>
      <c r="Q1081">
        <v>1</v>
      </c>
      <c r="R1081" t="str">
        <f t="shared" si="426"/>
        <v>A veces</v>
      </c>
      <c r="S1081">
        <v>0</v>
      </c>
      <c r="T1081" t="str">
        <f t="shared" si="427"/>
        <v>No fuma</v>
      </c>
      <c r="U1081">
        <v>2</v>
      </c>
      <c r="V1081">
        <f t="shared" si="428"/>
        <v>2</v>
      </c>
      <c r="W1081" t="str">
        <f t="shared" si="429"/>
        <v>Siempre</v>
      </c>
      <c r="X1081">
        <v>0</v>
      </c>
      <c r="Y1081" t="str">
        <f t="shared" si="430"/>
        <v>No controla</v>
      </c>
      <c r="Z1081">
        <v>0.45100899999999999</v>
      </c>
      <c r="AA1081">
        <f t="shared" si="431"/>
        <v>0</v>
      </c>
      <c r="AB1081" t="str">
        <f t="shared" si="432"/>
        <v>Nunca</v>
      </c>
      <c r="AC1081">
        <v>0.63086600000000004</v>
      </c>
      <c r="AD1081">
        <f t="shared" si="433"/>
        <v>0</v>
      </c>
      <c r="AE1081" t="str">
        <f t="shared" si="434"/>
        <v>Nunca</v>
      </c>
      <c r="AF1081">
        <v>1</v>
      </c>
      <c r="AG1081" t="str">
        <f t="shared" si="435"/>
        <v>A veces</v>
      </c>
      <c r="AH1081">
        <v>0</v>
      </c>
      <c r="AI1081" t="str">
        <f t="shared" si="436"/>
        <v>No usa</v>
      </c>
      <c r="AJ1081">
        <v>0</v>
      </c>
      <c r="AK1081" t="str">
        <f t="shared" si="437"/>
        <v>No usa</v>
      </c>
      <c r="AL1081">
        <v>0</v>
      </c>
      <c r="AM1081" t="str">
        <f t="shared" si="438"/>
        <v>No usa</v>
      </c>
      <c r="AN1081">
        <v>1</v>
      </c>
      <c r="AO1081" t="str">
        <f t="shared" si="439"/>
        <v>Usa Transporte</v>
      </c>
      <c r="AP1081">
        <v>0</v>
      </c>
      <c r="AQ1081" t="str">
        <f t="shared" si="440"/>
        <v>No camina</v>
      </c>
      <c r="AR1081">
        <v>0</v>
      </c>
      <c r="AS1081" t="str">
        <f t="shared" si="441"/>
        <v>No es obeso</v>
      </c>
    </row>
    <row r="1082" spans="1:45" x14ac:dyDescent="0.25">
      <c r="A1082">
        <v>0</v>
      </c>
      <c r="B1082" t="str">
        <f t="shared" si="416"/>
        <v>F</v>
      </c>
      <c r="C1082">
        <v>28977792</v>
      </c>
      <c r="D1082">
        <f t="shared" si="417"/>
        <v>79</v>
      </c>
      <c r="E1082">
        <f t="shared" si="418"/>
        <v>79</v>
      </c>
      <c r="F1082" t="str">
        <f t="shared" si="419"/>
        <v>75-100</v>
      </c>
      <c r="G1082">
        <v>1</v>
      </c>
      <c r="H1082" t="str">
        <f t="shared" si="420"/>
        <v>Pariente gordo</v>
      </c>
      <c r="I1082">
        <v>1</v>
      </c>
      <c r="J1082" t="str">
        <f t="shared" si="421"/>
        <v>Hipercaloricos</v>
      </c>
      <c r="K1082">
        <v>3</v>
      </c>
      <c r="L1082">
        <f t="shared" si="422"/>
        <v>1</v>
      </c>
      <c r="M1082" t="str">
        <f t="shared" si="423"/>
        <v>Suele comer</v>
      </c>
      <c r="N1082">
        <v>3</v>
      </c>
      <c r="O1082">
        <f t="shared" si="424"/>
        <v>2</v>
      </c>
      <c r="P1082" t="str">
        <f t="shared" si="425"/>
        <v>Mas de 3</v>
      </c>
      <c r="Q1082">
        <v>1</v>
      </c>
      <c r="R1082" t="str">
        <f t="shared" si="426"/>
        <v>A veces</v>
      </c>
      <c r="S1082">
        <v>0</v>
      </c>
      <c r="T1082" t="str">
        <f t="shared" si="427"/>
        <v>No fuma</v>
      </c>
      <c r="U1082">
        <v>1507638</v>
      </c>
      <c r="V1082">
        <f t="shared" si="428"/>
        <v>2</v>
      </c>
      <c r="W1082" t="str">
        <f t="shared" si="429"/>
        <v>Siempre</v>
      </c>
      <c r="X1082">
        <v>0</v>
      </c>
      <c r="Y1082" t="str">
        <f t="shared" si="430"/>
        <v>No controla</v>
      </c>
      <c r="Z1082">
        <v>182434</v>
      </c>
      <c r="AA1082">
        <f t="shared" si="431"/>
        <v>2</v>
      </c>
      <c r="AB1082" t="str">
        <f t="shared" si="432"/>
        <v>Usualmente</v>
      </c>
      <c r="AC1082">
        <v>1</v>
      </c>
      <c r="AD1082">
        <f t="shared" si="433"/>
        <v>1</v>
      </c>
      <c r="AE1082" t="str">
        <f t="shared" si="434"/>
        <v>Usualmente</v>
      </c>
      <c r="AF1082">
        <v>2</v>
      </c>
      <c r="AG1082" t="str">
        <f t="shared" si="435"/>
        <v>Usualmente</v>
      </c>
      <c r="AH1082">
        <v>1</v>
      </c>
      <c r="AI1082" t="str">
        <f t="shared" si="436"/>
        <v>Usa auto</v>
      </c>
      <c r="AJ1082">
        <v>0</v>
      </c>
      <c r="AK1082" t="str">
        <f t="shared" si="437"/>
        <v>No usa</v>
      </c>
      <c r="AL1082">
        <v>0</v>
      </c>
      <c r="AM1082" t="str">
        <f t="shared" si="438"/>
        <v>No usa</v>
      </c>
      <c r="AN1082">
        <v>0</v>
      </c>
      <c r="AO1082" t="str">
        <f t="shared" si="439"/>
        <v>No usa</v>
      </c>
      <c r="AP1082">
        <v>0</v>
      </c>
      <c r="AQ1082" t="str">
        <f t="shared" si="440"/>
        <v>No camina</v>
      </c>
      <c r="AR1082">
        <v>0</v>
      </c>
      <c r="AS1082" t="str">
        <f t="shared" si="441"/>
        <v>No es obeso</v>
      </c>
    </row>
    <row r="1083" spans="1:45" x14ac:dyDescent="0.25">
      <c r="A1083">
        <v>1</v>
      </c>
      <c r="B1083" t="str">
        <f t="shared" si="416"/>
        <v>M</v>
      </c>
      <c r="C1083">
        <v>17441593</v>
      </c>
      <c r="D1083">
        <f t="shared" si="417"/>
        <v>47</v>
      </c>
      <c r="E1083">
        <f t="shared" si="418"/>
        <v>47</v>
      </c>
      <c r="F1083" t="str">
        <f t="shared" si="419"/>
        <v>25-50</v>
      </c>
      <c r="G1083">
        <v>1</v>
      </c>
      <c r="H1083" t="str">
        <f t="shared" si="420"/>
        <v>Pariente gordo</v>
      </c>
      <c r="I1083">
        <v>0</v>
      </c>
      <c r="J1083" t="str">
        <f t="shared" si="421"/>
        <v>Saludables</v>
      </c>
      <c r="K1083">
        <v>2061384</v>
      </c>
      <c r="L1083">
        <f t="shared" si="422"/>
        <v>1</v>
      </c>
      <c r="M1083" t="str">
        <f t="shared" si="423"/>
        <v>Suele comer</v>
      </c>
      <c r="N1083">
        <v>2579291</v>
      </c>
      <c r="O1083">
        <f t="shared" si="424"/>
        <v>2</v>
      </c>
      <c r="P1083" t="str">
        <f t="shared" si="425"/>
        <v>Mas de 3</v>
      </c>
      <c r="Q1083">
        <v>1</v>
      </c>
      <c r="R1083" t="str">
        <f t="shared" si="426"/>
        <v>A veces</v>
      </c>
      <c r="S1083">
        <v>0</v>
      </c>
      <c r="T1083" t="str">
        <f t="shared" si="427"/>
        <v>No fuma</v>
      </c>
      <c r="U1083">
        <v>1909253</v>
      </c>
      <c r="V1083">
        <f t="shared" si="428"/>
        <v>2</v>
      </c>
      <c r="W1083" t="str">
        <f t="shared" si="429"/>
        <v>Siempre</v>
      </c>
      <c r="X1083">
        <v>0</v>
      </c>
      <c r="Y1083" t="str">
        <f t="shared" si="430"/>
        <v>No controla</v>
      </c>
      <c r="Z1083">
        <v>1</v>
      </c>
      <c r="AA1083">
        <f t="shared" si="431"/>
        <v>1</v>
      </c>
      <c r="AB1083" t="str">
        <f t="shared" si="432"/>
        <v>A veces</v>
      </c>
      <c r="AC1083">
        <v>0.96246799999999999</v>
      </c>
      <c r="AD1083">
        <f t="shared" si="433"/>
        <v>0</v>
      </c>
      <c r="AE1083" t="str">
        <f t="shared" si="434"/>
        <v>Nunca</v>
      </c>
      <c r="AF1083">
        <v>1</v>
      </c>
      <c r="AG1083" t="str">
        <f t="shared" si="435"/>
        <v>A veces</v>
      </c>
      <c r="AH1083">
        <v>0</v>
      </c>
      <c r="AI1083" t="str">
        <f t="shared" si="436"/>
        <v>No usa</v>
      </c>
      <c r="AJ1083">
        <v>0</v>
      </c>
      <c r="AK1083" t="str">
        <f t="shared" si="437"/>
        <v>No usa</v>
      </c>
      <c r="AL1083">
        <v>0</v>
      </c>
      <c r="AM1083" t="str">
        <f t="shared" si="438"/>
        <v>No usa</v>
      </c>
      <c r="AN1083">
        <v>1</v>
      </c>
      <c r="AO1083" t="str">
        <f t="shared" si="439"/>
        <v>Usa Transporte</v>
      </c>
      <c r="AP1083">
        <v>0</v>
      </c>
      <c r="AQ1083" t="str">
        <f t="shared" si="440"/>
        <v>No camina</v>
      </c>
      <c r="AR1083">
        <v>0</v>
      </c>
      <c r="AS1083" t="str">
        <f t="shared" si="441"/>
        <v>No es obeso</v>
      </c>
    </row>
    <row r="1084" spans="1:45" x14ac:dyDescent="0.25">
      <c r="A1084">
        <v>0</v>
      </c>
      <c r="B1084" t="str">
        <f t="shared" si="416"/>
        <v>F</v>
      </c>
      <c r="C1084">
        <v>19126145</v>
      </c>
      <c r="D1084">
        <f t="shared" si="417"/>
        <v>52</v>
      </c>
      <c r="E1084">
        <f t="shared" si="418"/>
        <v>52</v>
      </c>
      <c r="F1084" t="str">
        <f t="shared" si="419"/>
        <v>50-75</v>
      </c>
      <c r="G1084">
        <v>1</v>
      </c>
      <c r="H1084" t="str">
        <f t="shared" si="420"/>
        <v>Pariente gordo</v>
      </c>
      <c r="I1084">
        <v>0</v>
      </c>
      <c r="J1084" t="str">
        <f t="shared" si="421"/>
        <v>Saludables</v>
      </c>
      <c r="K1084">
        <v>2696381</v>
      </c>
      <c r="L1084">
        <f t="shared" si="422"/>
        <v>1</v>
      </c>
      <c r="M1084" t="str">
        <f t="shared" si="423"/>
        <v>Suele comer</v>
      </c>
      <c r="N1084">
        <v>3</v>
      </c>
      <c r="O1084">
        <f t="shared" si="424"/>
        <v>2</v>
      </c>
      <c r="P1084" t="str">
        <f t="shared" si="425"/>
        <v>Mas de 3</v>
      </c>
      <c r="Q1084">
        <v>1</v>
      </c>
      <c r="R1084" t="str">
        <f t="shared" si="426"/>
        <v>A veces</v>
      </c>
      <c r="S1084">
        <v>0</v>
      </c>
      <c r="T1084" t="str">
        <f t="shared" si="427"/>
        <v>No fuma</v>
      </c>
      <c r="U1084">
        <v>2472964</v>
      </c>
      <c r="V1084">
        <f t="shared" si="428"/>
        <v>2</v>
      </c>
      <c r="W1084" t="str">
        <f t="shared" si="429"/>
        <v>Siempre</v>
      </c>
      <c r="X1084">
        <v>0</v>
      </c>
      <c r="Y1084" t="str">
        <f t="shared" si="430"/>
        <v>No controla</v>
      </c>
      <c r="Z1084">
        <v>1856119</v>
      </c>
      <c r="AA1084">
        <f t="shared" si="431"/>
        <v>3</v>
      </c>
      <c r="AB1084" t="str">
        <f t="shared" si="432"/>
        <v>Siempre</v>
      </c>
      <c r="AC1084">
        <v>1</v>
      </c>
      <c r="AD1084">
        <f t="shared" si="433"/>
        <v>1</v>
      </c>
      <c r="AE1084" t="str">
        <f t="shared" si="434"/>
        <v>Usualmente</v>
      </c>
      <c r="AF1084">
        <v>1</v>
      </c>
      <c r="AG1084" t="str">
        <f t="shared" si="435"/>
        <v>A veces</v>
      </c>
      <c r="AH1084">
        <v>0</v>
      </c>
      <c r="AI1084" t="str">
        <f t="shared" si="436"/>
        <v>No usa</v>
      </c>
      <c r="AJ1084">
        <v>0</v>
      </c>
      <c r="AK1084" t="str">
        <f t="shared" si="437"/>
        <v>No usa</v>
      </c>
      <c r="AL1084">
        <v>0</v>
      </c>
      <c r="AM1084" t="str">
        <f t="shared" si="438"/>
        <v>No usa</v>
      </c>
      <c r="AN1084">
        <v>1</v>
      </c>
      <c r="AO1084" t="str">
        <f t="shared" si="439"/>
        <v>Usa Transporte</v>
      </c>
      <c r="AP1084">
        <v>0</v>
      </c>
      <c r="AQ1084" t="str">
        <f t="shared" si="440"/>
        <v>No camina</v>
      </c>
      <c r="AR1084">
        <v>0</v>
      </c>
      <c r="AS1084" t="str">
        <f t="shared" si="441"/>
        <v>No es obeso</v>
      </c>
    </row>
    <row r="1085" spans="1:45" x14ac:dyDescent="0.25">
      <c r="A1085">
        <v>1</v>
      </c>
      <c r="B1085" t="str">
        <f t="shared" si="416"/>
        <v>M</v>
      </c>
      <c r="C1085">
        <v>24122589</v>
      </c>
      <c r="D1085">
        <f t="shared" si="417"/>
        <v>66</v>
      </c>
      <c r="E1085">
        <f t="shared" si="418"/>
        <v>66</v>
      </c>
      <c r="F1085" t="str">
        <f t="shared" si="419"/>
        <v>50-75</v>
      </c>
      <c r="G1085">
        <v>1</v>
      </c>
      <c r="H1085" t="str">
        <f t="shared" si="420"/>
        <v>Pariente gordo</v>
      </c>
      <c r="I1085">
        <v>1</v>
      </c>
      <c r="J1085" t="str">
        <f t="shared" si="421"/>
        <v>Hipercaloricos</v>
      </c>
      <c r="K1085">
        <v>1116068</v>
      </c>
      <c r="L1085">
        <f t="shared" si="422"/>
        <v>1</v>
      </c>
      <c r="M1085" t="str">
        <f t="shared" si="423"/>
        <v>Suele comer</v>
      </c>
      <c r="N1085">
        <v>2449067</v>
      </c>
      <c r="O1085">
        <f t="shared" si="424"/>
        <v>2</v>
      </c>
      <c r="P1085" t="str">
        <f t="shared" si="425"/>
        <v>Mas de 3</v>
      </c>
      <c r="Q1085">
        <v>1</v>
      </c>
      <c r="R1085" t="str">
        <f t="shared" si="426"/>
        <v>A veces</v>
      </c>
      <c r="S1085">
        <v>0</v>
      </c>
      <c r="T1085" t="str">
        <f t="shared" si="427"/>
        <v>No fuma</v>
      </c>
      <c r="U1085">
        <v>2</v>
      </c>
      <c r="V1085">
        <f t="shared" si="428"/>
        <v>2</v>
      </c>
      <c r="W1085" t="str">
        <f t="shared" si="429"/>
        <v>Siempre</v>
      </c>
      <c r="X1085">
        <v>0</v>
      </c>
      <c r="Y1085" t="str">
        <f t="shared" si="430"/>
        <v>No controla</v>
      </c>
      <c r="Z1085">
        <v>0.92635000000000001</v>
      </c>
      <c r="AA1085">
        <f t="shared" si="431"/>
        <v>0</v>
      </c>
      <c r="AB1085" t="str">
        <f t="shared" si="432"/>
        <v>Nunca</v>
      </c>
      <c r="AC1085">
        <v>197117</v>
      </c>
      <c r="AD1085">
        <f t="shared" si="433"/>
        <v>1</v>
      </c>
      <c r="AE1085" t="str">
        <f t="shared" si="434"/>
        <v>Usualmente</v>
      </c>
      <c r="AF1085">
        <v>1</v>
      </c>
      <c r="AG1085" t="str">
        <f t="shared" si="435"/>
        <v>A veces</v>
      </c>
      <c r="AH1085">
        <v>0</v>
      </c>
      <c r="AI1085" t="str">
        <f t="shared" si="436"/>
        <v>No usa</v>
      </c>
      <c r="AJ1085">
        <v>0</v>
      </c>
      <c r="AK1085" t="str">
        <f t="shared" si="437"/>
        <v>No usa</v>
      </c>
      <c r="AL1085">
        <v>0</v>
      </c>
      <c r="AM1085" t="str">
        <f t="shared" si="438"/>
        <v>No usa</v>
      </c>
      <c r="AN1085">
        <v>1</v>
      </c>
      <c r="AO1085" t="str">
        <f t="shared" si="439"/>
        <v>Usa Transporte</v>
      </c>
      <c r="AP1085">
        <v>0</v>
      </c>
      <c r="AQ1085" t="str">
        <f t="shared" si="440"/>
        <v>No camina</v>
      </c>
      <c r="AR1085">
        <v>0</v>
      </c>
      <c r="AS1085" t="str">
        <f t="shared" si="441"/>
        <v>No es obeso</v>
      </c>
    </row>
    <row r="1086" spans="1:45" x14ac:dyDescent="0.25">
      <c r="A1086">
        <v>1</v>
      </c>
      <c r="B1086" t="str">
        <f t="shared" si="416"/>
        <v>M</v>
      </c>
      <c r="C1086">
        <v>23</v>
      </c>
      <c r="D1086">
        <f t="shared" si="417"/>
        <v>23</v>
      </c>
      <c r="E1086">
        <f t="shared" si="418"/>
        <v>23</v>
      </c>
      <c r="F1086" t="str">
        <f t="shared" si="419"/>
        <v>1-25</v>
      </c>
      <c r="G1086">
        <v>1</v>
      </c>
      <c r="H1086" t="str">
        <f t="shared" si="420"/>
        <v>Pariente gordo</v>
      </c>
      <c r="I1086">
        <v>1</v>
      </c>
      <c r="J1086" t="str">
        <f t="shared" si="421"/>
        <v>Hipercaloricos</v>
      </c>
      <c r="K1086">
        <v>2116432</v>
      </c>
      <c r="L1086">
        <f t="shared" si="422"/>
        <v>1</v>
      </c>
      <c r="M1086" t="str">
        <f t="shared" si="423"/>
        <v>Suele comer</v>
      </c>
      <c r="N1086">
        <v>3</v>
      </c>
      <c r="O1086">
        <f t="shared" si="424"/>
        <v>2</v>
      </c>
      <c r="P1086" t="str">
        <f t="shared" si="425"/>
        <v>Mas de 3</v>
      </c>
      <c r="Q1086">
        <v>1</v>
      </c>
      <c r="R1086" t="str">
        <f t="shared" si="426"/>
        <v>A veces</v>
      </c>
      <c r="S1086">
        <v>0</v>
      </c>
      <c r="T1086" t="str">
        <f t="shared" si="427"/>
        <v>No fuma</v>
      </c>
      <c r="U1086">
        <v>1002292</v>
      </c>
      <c r="V1086">
        <f t="shared" si="428"/>
        <v>2</v>
      </c>
      <c r="W1086" t="str">
        <f t="shared" si="429"/>
        <v>Siempre</v>
      </c>
      <c r="X1086">
        <v>0</v>
      </c>
      <c r="Y1086" t="str">
        <f t="shared" si="430"/>
        <v>No controla</v>
      </c>
      <c r="Z1086">
        <v>0</v>
      </c>
      <c r="AA1086">
        <f t="shared" si="431"/>
        <v>0</v>
      </c>
      <c r="AB1086" t="str">
        <f t="shared" si="432"/>
        <v>Nunca</v>
      </c>
      <c r="AC1086">
        <v>1066708</v>
      </c>
      <c r="AD1086">
        <f t="shared" si="433"/>
        <v>2</v>
      </c>
      <c r="AE1086" t="str">
        <f t="shared" si="434"/>
        <v>Siempre</v>
      </c>
      <c r="AF1086">
        <v>1</v>
      </c>
      <c r="AG1086" t="str">
        <f t="shared" si="435"/>
        <v>A veces</v>
      </c>
      <c r="AH1086">
        <v>0</v>
      </c>
      <c r="AI1086" t="str">
        <f t="shared" si="436"/>
        <v>No usa</v>
      </c>
      <c r="AJ1086">
        <v>0</v>
      </c>
      <c r="AK1086" t="str">
        <f t="shared" si="437"/>
        <v>No usa</v>
      </c>
      <c r="AL1086">
        <v>0</v>
      </c>
      <c r="AM1086" t="str">
        <f t="shared" si="438"/>
        <v>No usa</v>
      </c>
      <c r="AN1086">
        <v>1</v>
      </c>
      <c r="AO1086" t="str">
        <f t="shared" si="439"/>
        <v>Usa Transporte</v>
      </c>
      <c r="AP1086">
        <v>0</v>
      </c>
      <c r="AQ1086" t="str">
        <f t="shared" si="440"/>
        <v>No camina</v>
      </c>
      <c r="AR1086">
        <v>0</v>
      </c>
      <c r="AS1086" t="str">
        <f t="shared" si="441"/>
        <v>No es obeso</v>
      </c>
    </row>
    <row r="1087" spans="1:45" x14ac:dyDescent="0.25">
      <c r="A1087">
        <v>0</v>
      </c>
      <c r="B1087" t="str">
        <f t="shared" si="416"/>
        <v>F</v>
      </c>
      <c r="C1087">
        <v>28824194</v>
      </c>
      <c r="D1087">
        <f t="shared" si="417"/>
        <v>78</v>
      </c>
      <c r="E1087">
        <f t="shared" si="418"/>
        <v>78</v>
      </c>
      <c r="F1087" t="str">
        <f t="shared" si="419"/>
        <v>75-100</v>
      </c>
      <c r="G1087">
        <v>1</v>
      </c>
      <c r="H1087" t="str">
        <f t="shared" si="420"/>
        <v>Pariente gordo</v>
      </c>
      <c r="I1087">
        <v>1</v>
      </c>
      <c r="J1087" t="str">
        <f t="shared" si="421"/>
        <v>Hipercaloricos</v>
      </c>
      <c r="K1087">
        <v>3</v>
      </c>
      <c r="L1087">
        <f t="shared" si="422"/>
        <v>1</v>
      </c>
      <c r="M1087" t="str">
        <f t="shared" si="423"/>
        <v>Suele comer</v>
      </c>
      <c r="N1087">
        <v>3</v>
      </c>
      <c r="O1087">
        <f t="shared" si="424"/>
        <v>2</v>
      </c>
      <c r="P1087" t="str">
        <f t="shared" si="425"/>
        <v>Mas de 3</v>
      </c>
      <c r="Q1087">
        <v>1</v>
      </c>
      <c r="R1087" t="str">
        <f t="shared" si="426"/>
        <v>A veces</v>
      </c>
      <c r="S1087">
        <v>0</v>
      </c>
      <c r="T1087" t="str">
        <f t="shared" si="427"/>
        <v>No fuma</v>
      </c>
      <c r="U1087">
        <v>2147074</v>
      </c>
      <c r="V1087">
        <f t="shared" si="428"/>
        <v>2</v>
      </c>
      <c r="W1087" t="str">
        <f t="shared" si="429"/>
        <v>Siempre</v>
      </c>
      <c r="X1087">
        <v>0</v>
      </c>
      <c r="Y1087" t="str">
        <f t="shared" si="430"/>
        <v>No controla</v>
      </c>
      <c r="Z1087">
        <v>1416076</v>
      </c>
      <c r="AA1087">
        <f t="shared" si="431"/>
        <v>3</v>
      </c>
      <c r="AB1087" t="str">
        <f t="shared" si="432"/>
        <v>Siempre</v>
      </c>
      <c r="AC1087">
        <v>1</v>
      </c>
      <c r="AD1087">
        <f t="shared" si="433"/>
        <v>1</v>
      </c>
      <c r="AE1087" t="str">
        <f t="shared" si="434"/>
        <v>Usualmente</v>
      </c>
      <c r="AF1087">
        <v>2</v>
      </c>
      <c r="AG1087" t="str">
        <f t="shared" si="435"/>
        <v>Usualmente</v>
      </c>
      <c r="AH1087">
        <v>1</v>
      </c>
      <c r="AI1087" t="str">
        <f t="shared" si="436"/>
        <v>Usa auto</v>
      </c>
      <c r="AJ1087">
        <v>0</v>
      </c>
      <c r="AK1087" t="str">
        <f t="shared" si="437"/>
        <v>No usa</v>
      </c>
      <c r="AL1087">
        <v>0</v>
      </c>
      <c r="AM1087" t="str">
        <f t="shared" si="438"/>
        <v>No usa</v>
      </c>
      <c r="AN1087">
        <v>0</v>
      </c>
      <c r="AO1087" t="str">
        <f t="shared" si="439"/>
        <v>No usa</v>
      </c>
      <c r="AP1087">
        <v>0</v>
      </c>
      <c r="AQ1087" t="str">
        <f t="shared" si="440"/>
        <v>No camina</v>
      </c>
      <c r="AR1087">
        <v>0</v>
      </c>
      <c r="AS1087" t="str">
        <f t="shared" si="441"/>
        <v>No es obeso</v>
      </c>
    </row>
    <row r="1088" spans="1:45" x14ac:dyDescent="0.25">
      <c r="A1088">
        <v>1</v>
      </c>
      <c r="B1088" t="str">
        <f t="shared" si="416"/>
        <v>M</v>
      </c>
      <c r="C1088">
        <v>34204611</v>
      </c>
      <c r="D1088">
        <f t="shared" si="417"/>
        <v>93</v>
      </c>
      <c r="E1088">
        <f t="shared" si="418"/>
        <v>93</v>
      </c>
      <c r="F1088" t="str">
        <f t="shared" si="419"/>
        <v>75-100</v>
      </c>
      <c r="G1088">
        <v>1</v>
      </c>
      <c r="H1088" t="str">
        <f t="shared" si="420"/>
        <v>Pariente gordo</v>
      </c>
      <c r="I1088">
        <v>1</v>
      </c>
      <c r="J1088" t="str">
        <f t="shared" si="421"/>
        <v>Hipercaloricos</v>
      </c>
      <c r="K1088">
        <v>2031246</v>
      </c>
      <c r="L1088">
        <f t="shared" si="422"/>
        <v>1</v>
      </c>
      <c r="M1088" t="str">
        <f t="shared" si="423"/>
        <v>Suele comer</v>
      </c>
      <c r="N1088">
        <v>3</v>
      </c>
      <c r="O1088">
        <f t="shared" si="424"/>
        <v>2</v>
      </c>
      <c r="P1088" t="str">
        <f t="shared" si="425"/>
        <v>Mas de 3</v>
      </c>
      <c r="Q1088">
        <v>1</v>
      </c>
      <c r="R1088" t="str">
        <f t="shared" si="426"/>
        <v>A veces</v>
      </c>
      <c r="S1088">
        <v>0</v>
      </c>
      <c r="T1088" t="str">
        <f t="shared" si="427"/>
        <v>No fuma</v>
      </c>
      <c r="U1088">
        <v>2803002</v>
      </c>
      <c r="V1088">
        <f t="shared" si="428"/>
        <v>2</v>
      </c>
      <c r="W1088" t="str">
        <f t="shared" si="429"/>
        <v>Siempre</v>
      </c>
      <c r="X1088">
        <v>0</v>
      </c>
      <c r="Y1088" t="str">
        <f t="shared" si="430"/>
        <v>No controla</v>
      </c>
      <c r="Z1088">
        <v>198448</v>
      </c>
      <c r="AA1088">
        <f t="shared" si="431"/>
        <v>2</v>
      </c>
      <c r="AB1088" t="str">
        <f t="shared" si="432"/>
        <v>Usualmente</v>
      </c>
      <c r="AC1088">
        <v>0.41862300000000002</v>
      </c>
      <c r="AD1088">
        <f t="shared" si="433"/>
        <v>0</v>
      </c>
      <c r="AE1088" t="str">
        <f t="shared" si="434"/>
        <v>Nunca</v>
      </c>
      <c r="AF1088">
        <v>0</v>
      </c>
      <c r="AG1088" t="str">
        <f t="shared" si="435"/>
        <v>Nunca</v>
      </c>
      <c r="AH1088">
        <v>1</v>
      </c>
      <c r="AI1088" t="str">
        <f t="shared" si="436"/>
        <v>Usa auto</v>
      </c>
      <c r="AJ1088">
        <v>0</v>
      </c>
      <c r="AK1088" t="str">
        <f t="shared" si="437"/>
        <v>No usa</v>
      </c>
      <c r="AL1088">
        <v>0</v>
      </c>
      <c r="AM1088" t="str">
        <f t="shared" si="438"/>
        <v>No usa</v>
      </c>
      <c r="AN1088">
        <v>0</v>
      </c>
      <c r="AO1088" t="str">
        <f t="shared" si="439"/>
        <v>No usa</v>
      </c>
      <c r="AP1088">
        <v>0</v>
      </c>
      <c r="AQ1088" t="str">
        <f t="shared" si="440"/>
        <v>No camina</v>
      </c>
      <c r="AR1088">
        <v>0</v>
      </c>
      <c r="AS1088" t="str">
        <f t="shared" si="441"/>
        <v>No es obeso</v>
      </c>
    </row>
    <row r="1089" spans="1:45" x14ac:dyDescent="0.25">
      <c r="A1089">
        <v>0</v>
      </c>
      <c r="B1089" t="str">
        <f t="shared" si="416"/>
        <v>F</v>
      </c>
      <c r="C1089">
        <v>28167799</v>
      </c>
      <c r="D1089">
        <f t="shared" si="417"/>
        <v>77</v>
      </c>
      <c r="E1089">
        <f t="shared" si="418"/>
        <v>77</v>
      </c>
      <c r="F1089" t="str">
        <f t="shared" si="419"/>
        <v>75-100</v>
      </c>
      <c r="G1089">
        <v>1</v>
      </c>
      <c r="H1089" t="str">
        <f t="shared" si="420"/>
        <v>Pariente gordo</v>
      </c>
      <c r="I1089">
        <v>1</v>
      </c>
      <c r="J1089" t="str">
        <f t="shared" si="421"/>
        <v>Hipercaloricos</v>
      </c>
      <c r="K1089">
        <v>2938031</v>
      </c>
      <c r="L1089">
        <f t="shared" si="422"/>
        <v>1</v>
      </c>
      <c r="M1089" t="str">
        <f t="shared" si="423"/>
        <v>Suele comer</v>
      </c>
      <c r="N1089">
        <v>1532833</v>
      </c>
      <c r="O1089">
        <f t="shared" si="424"/>
        <v>2</v>
      </c>
      <c r="P1089" t="str">
        <f t="shared" si="425"/>
        <v>Mas de 3</v>
      </c>
      <c r="Q1089">
        <v>1</v>
      </c>
      <c r="R1089" t="str">
        <f t="shared" si="426"/>
        <v>A veces</v>
      </c>
      <c r="S1089">
        <v>0</v>
      </c>
      <c r="T1089" t="str">
        <f t="shared" si="427"/>
        <v>No fuma</v>
      </c>
      <c r="U1089">
        <v>1931242</v>
      </c>
      <c r="V1089">
        <f t="shared" si="428"/>
        <v>2</v>
      </c>
      <c r="W1089" t="str">
        <f t="shared" si="429"/>
        <v>Siempre</v>
      </c>
      <c r="X1089">
        <v>0</v>
      </c>
      <c r="Y1089" t="str">
        <f t="shared" si="430"/>
        <v>No controla</v>
      </c>
      <c r="Z1089">
        <v>0.52500199999999997</v>
      </c>
      <c r="AA1089">
        <f t="shared" si="431"/>
        <v>0</v>
      </c>
      <c r="AB1089" t="str">
        <f t="shared" si="432"/>
        <v>Nunca</v>
      </c>
      <c r="AC1089">
        <v>0.37194100000000002</v>
      </c>
      <c r="AD1089">
        <f t="shared" si="433"/>
        <v>0</v>
      </c>
      <c r="AE1089" t="str">
        <f t="shared" si="434"/>
        <v>Nunca</v>
      </c>
      <c r="AF1089">
        <v>2</v>
      </c>
      <c r="AG1089" t="str">
        <f t="shared" si="435"/>
        <v>Usualmente</v>
      </c>
      <c r="AH1089">
        <v>1</v>
      </c>
      <c r="AI1089" t="str">
        <f t="shared" si="436"/>
        <v>Usa auto</v>
      </c>
      <c r="AJ1089">
        <v>0</v>
      </c>
      <c r="AK1089" t="str">
        <f t="shared" si="437"/>
        <v>No usa</v>
      </c>
      <c r="AL1089">
        <v>0</v>
      </c>
      <c r="AM1089" t="str">
        <f t="shared" si="438"/>
        <v>No usa</v>
      </c>
      <c r="AN1089">
        <v>0</v>
      </c>
      <c r="AO1089" t="str">
        <f t="shared" si="439"/>
        <v>No usa</v>
      </c>
      <c r="AP1089">
        <v>0</v>
      </c>
      <c r="AQ1089" t="str">
        <f t="shared" si="440"/>
        <v>No camina</v>
      </c>
      <c r="AR1089">
        <v>0</v>
      </c>
      <c r="AS1089" t="str">
        <f t="shared" si="441"/>
        <v>No es obeso</v>
      </c>
    </row>
    <row r="1090" spans="1:45" x14ac:dyDescent="0.25">
      <c r="A1090">
        <v>1</v>
      </c>
      <c r="B1090" t="str">
        <f t="shared" si="416"/>
        <v>M</v>
      </c>
      <c r="C1090">
        <v>55137881</v>
      </c>
      <c r="D1090">
        <f t="shared" si="417"/>
        <v>151</v>
      </c>
      <c r="E1090">
        <f t="shared" si="418"/>
        <v>100</v>
      </c>
      <c r="F1090" t="str">
        <f t="shared" si="419"/>
        <v>75-100</v>
      </c>
      <c r="G1090">
        <v>1</v>
      </c>
      <c r="H1090" t="str">
        <f t="shared" si="420"/>
        <v>Pariente gordo</v>
      </c>
      <c r="I1090">
        <v>1</v>
      </c>
      <c r="J1090" t="str">
        <f t="shared" si="421"/>
        <v>Hipercaloricos</v>
      </c>
      <c r="K1090">
        <v>2</v>
      </c>
      <c r="L1090">
        <f t="shared" si="422"/>
        <v>1</v>
      </c>
      <c r="M1090" t="str">
        <f t="shared" si="423"/>
        <v>Suele comer</v>
      </c>
      <c r="N1090">
        <v>3</v>
      </c>
      <c r="O1090">
        <f t="shared" si="424"/>
        <v>2</v>
      </c>
      <c r="P1090" t="str">
        <f t="shared" si="425"/>
        <v>Mas de 3</v>
      </c>
      <c r="Q1090">
        <v>1</v>
      </c>
      <c r="R1090" t="str">
        <f t="shared" si="426"/>
        <v>A veces</v>
      </c>
      <c r="S1090">
        <v>0</v>
      </c>
      <c r="T1090" t="str">
        <f t="shared" si="427"/>
        <v>No fuma</v>
      </c>
      <c r="U1090">
        <v>2</v>
      </c>
      <c r="V1090">
        <f t="shared" si="428"/>
        <v>2</v>
      </c>
      <c r="W1090" t="str">
        <f t="shared" si="429"/>
        <v>Siempre</v>
      </c>
      <c r="X1090">
        <v>0</v>
      </c>
      <c r="Y1090" t="str">
        <f t="shared" si="430"/>
        <v>No controla</v>
      </c>
      <c r="Z1090">
        <v>1</v>
      </c>
      <c r="AA1090">
        <f t="shared" si="431"/>
        <v>1</v>
      </c>
      <c r="AB1090" t="str">
        <f t="shared" si="432"/>
        <v>A veces</v>
      </c>
      <c r="AC1090">
        <v>0</v>
      </c>
      <c r="AD1090">
        <f t="shared" si="433"/>
        <v>0</v>
      </c>
      <c r="AE1090" t="str">
        <f t="shared" si="434"/>
        <v>Nunca</v>
      </c>
      <c r="AF1090">
        <v>0</v>
      </c>
      <c r="AG1090" t="str">
        <f t="shared" si="435"/>
        <v>Nunca</v>
      </c>
      <c r="AH1090">
        <v>1</v>
      </c>
      <c r="AI1090" t="str">
        <f t="shared" si="436"/>
        <v>Usa auto</v>
      </c>
      <c r="AJ1090">
        <v>0</v>
      </c>
      <c r="AK1090" t="str">
        <f t="shared" si="437"/>
        <v>No usa</v>
      </c>
      <c r="AL1090">
        <v>0</v>
      </c>
      <c r="AM1090" t="str">
        <f t="shared" si="438"/>
        <v>No usa</v>
      </c>
      <c r="AN1090">
        <v>0</v>
      </c>
      <c r="AO1090" t="str">
        <f t="shared" si="439"/>
        <v>No usa</v>
      </c>
      <c r="AP1090">
        <v>0</v>
      </c>
      <c r="AQ1090" t="str">
        <f t="shared" si="440"/>
        <v>No camina</v>
      </c>
      <c r="AR1090">
        <v>0</v>
      </c>
      <c r="AS1090" t="str">
        <f t="shared" si="441"/>
        <v>No es obeso</v>
      </c>
    </row>
    <row r="1091" spans="1:45" x14ac:dyDescent="0.25">
      <c r="A1091">
        <v>1</v>
      </c>
      <c r="B1091" t="str">
        <f t="shared" ref="B1091:B1154" si="442">IF(A1091=1,"M","F")</f>
        <v>M</v>
      </c>
      <c r="C1091">
        <v>34970367</v>
      </c>
      <c r="D1091">
        <f t="shared" ref="D1091:D1154" si="443">IF(C1091&lt;100,C1091,ROUNDDOWN((C1091/1000)/365,0))</f>
        <v>95</v>
      </c>
      <c r="E1091">
        <f t="shared" ref="E1091:E1154" si="444">IF(AND(D1091&gt;1,D1091&lt;=100),D1091,IF(D1091&gt;100,100,5))</f>
        <v>95</v>
      </c>
      <c r="F1091" t="str">
        <f t="shared" ref="F1091:F1154" si="445">IF(AND(E1091&gt;=1,E1091&lt;=25),"1-25",IF(AND(E1091&gt;25,E1091&lt;=50),"25-50",IF(AND(E1091&gt;50,E1091&lt;=75),"50-75","75-100")))</f>
        <v>75-100</v>
      </c>
      <c r="G1091">
        <v>1</v>
      </c>
      <c r="H1091" t="str">
        <f t="shared" ref="H1091:H1154" si="446">IF(G1091=1,"Pariente gordo","Pariente normal")</f>
        <v>Pariente gordo</v>
      </c>
      <c r="I1091">
        <v>1</v>
      </c>
      <c r="J1091" t="str">
        <f t="shared" ref="J1091:J1154" si="447">IF(I1091=1,"Hipercaloricos","Saludables")</f>
        <v>Hipercaloricos</v>
      </c>
      <c r="K1091">
        <v>2884212</v>
      </c>
      <c r="L1091">
        <f t="shared" ref="L1091:L1154" si="448">IF(AND(K1091&gt;=1,K1091&lt;=3),1,IF(AND(K1091&gt;3,K1091&lt;3000000),1))</f>
        <v>1</v>
      </c>
      <c r="M1091" t="str">
        <f t="shared" ref="M1091:M1154" si="449">IF(L1091=1,"Suele comer","No come")</f>
        <v>Suele comer</v>
      </c>
      <c r="N1091">
        <v>3</v>
      </c>
      <c r="O1091">
        <f t="shared" ref="O1091:O1154" si="450">IF(N1091=1,N1091,IF(AND(N1091&gt;=2,N1091&lt;4000000),2))</f>
        <v>2</v>
      </c>
      <c r="P1091" t="str">
        <f t="shared" ref="P1091:P1154" si="451">IF(O1091=0,"1-2",IF(O1091=1,3,"Mas de 3"))</f>
        <v>Mas de 3</v>
      </c>
      <c r="Q1091">
        <v>1</v>
      </c>
      <c r="R1091" t="str">
        <f t="shared" ref="R1091:R1154" si="452">IF(Q1091=0,"Nunca",IF(Q1091=1,"A veces",IF(Q1091=2,"Usualmente","Siempre")))</f>
        <v>A veces</v>
      </c>
      <c r="S1091">
        <v>0</v>
      </c>
      <c r="T1091" t="str">
        <f t="shared" ref="T1091:T1154" si="453">IF(S1091=1,"Fuma","No fuma")</f>
        <v>No fuma</v>
      </c>
      <c r="U1091">
        <v>3</v>
      </c>
      <c r="V1091">
        <f t="shared" ref="V1091:V1154" si="454">IF(U1091=1,U1091,IF(U1091=2,U1091,IF(AND(U1091&gt;=3,U1091&lt;3000000),2)))</f>
        <v>2</v>
      </c>
      <c r="W1091" t="str">
        <f t="shared" ref="W1091:W1154" si="455">IF(V1091=0,"Nunca",IF(V1091=1,"Usualmente","Siempre"))</f>
        <v>Siempre</v>
      </c>
      <c r="X1091">
        <v>0</v>
      </c>
      <c r="Y1091" t="str">
        <f t="shared" ref="Y1091:Y1154" si="456">IF(X1091=1,"Controla","No controla")</f>
        <v>No controla</v>
      </c>
      <c r="Z1091">
        <v>2</v>
      </c>
      <c r="AA1091">
        <f t="shared" ref="AA1091:AA1154" si="457">IF(Z1091=0,Z1091,IF(Z1091=1,Z1091,IF(Z1091=2,Z1091,IF(Z1091=3,Z1091,IF(AND(Z1091&gt;3,Z1091&lt;300000),2,IF(AND(Z1091&gt;300000,Z1091&lt;3000000),3,IF(AND(Z1091&gt;0,Z1091&lt;1),0)))))))</f>
        <v>2</v>
      </c>
      <c r="AB1091" t="str">
        <f t="shared" ref="AB1091:AB1154" si="458">IF(AA1091=0,"Nunca",IF(AA1091=1,"A veces",IF(AA1091=2,"Usualmente","Siempre")))</f>
        <v>Usualmente</v>
      </c>
      <c r="AC1091">
        <v>0.83240000000000003</v>
      </c>
      <c r="AD1091">
        <f t="shared" ref="AD1091:AD1154" si="459">IF(AC1091= 0,AC1091,IF(AC1091=1,AC1091,IF(AC1091=2,AC1091,IF(AND(AC1091&gt;2,AC1091&lt;200000),1,IF(AND(AC1091&gt;200000,AC1091&lt;2000000),2,IF(AND(AC1091&gt;0,AC1091&lt;1),0))))))</f>
        <v>0</v>
      </c>
      <c r="AE1091" t="str">
        <f t="shared" ref="AE1091:AE1154" si="460">IF(AD1091=0,"Nunca",IF(AD1091=1,"Usualmente","Siempre"))</f>
        <v>Nunca</v>
      </c>
      <c r="AF1091">
        <v>0</v>
      </c>
      <c r="AG1091" t="str">
        <f t="shared" ref="AG1091:AG1154" si="461">IF(AF1091=0,"Nunca",IF(AF1091=1,"A veces",IF(AF1091=2,"Usualmente","Siempre")))</f>
        <v>Nunca</v>
      </c>
      <c r="AH1091">
        <v>1</v>
      </c>
      <c r="AI1091" t="str">
        <f t="shared" ref="AI1091:AI1154" si="462">IF(AH1091=1,"Usa auto","No usa")</f>
        <v>Usa auto</v>
      </c>
      <c r="AJ1091">
        <v>0</v>
      </c>
      <c r="AK1091" t="str">
        <f t="shared" ref="AK1091:AK1154" si="463">IF(AJ1091=1,"Usa Bici","No usa")</f>
        <v>No usa</v>
      </c>
      <c r="AL1091">
        <v>0</v>
      </c>
      <c r="AM1091" t="str">
        <f t="shared" ref="AM1091:AM1154" si="464">IF(AL1091=1,"Usa Moto","No usa")</f>
        <v>No usa</v>
      </c>
      <c r="AN1091">
        <v>0</v>
      </c>
      <c r="AO1091" t="str">
        <f t="shared" ref="AO1091:AO1154" si="465">IF(AN1091=1,"Usa Transporte","No usa")</f>
        <v>No usa</v>
      </c>
      <c r="AP1091">
        <v>0</v>
      </c>
      <c r="AQ1091" t="str">
        <f t="shared" ref="AQ1091:AQ1154" si="466">IF(AP1091=1,"Camina","No camina")</f>
        <v>No camina</v>
      </c>
      <c r="AR1091">
        <v>0</v>
      </c>
      <c r="AS1091" t="str">
        <f t="shared" ref="AS1091:AS1154" si="467">IF(AR1091=1,"Es Obeso","No es obeso")</f>
        <v>No es obeso</v>
      </c>
    </row>
    <row r="1092" spans="1:45" x14ac:dyDescent="0.25">
      <c r="A1092">
        <v>1</v>
      </c>
      <c r="B1092" t="str">
        <f t="shared" si="442"/>
        <v>M</v>
      </c>
      <c r="C1092">
        <v>20986834</v>
      </c>
      <c r="D1092">
        <f t="shared" si="443"/>
        <v>57</v>
      </c>
      <c r="E1092">
        <f t="shared" si="444"/>
        <v>57</v>
      </c>
      <c r="F1092" t="str">
        <f t="shared" si="445"/>
        <v>50-75</v>
      </c>
      <c r="G1092">
        <v>1</v>
      </c>
      <c r="H1092" t="str">
        <f t="shared" si="446"/>
        <v>Pariente gordo</v>
      </c>
      <c r="I1092">
        <v>1</v>
      </c>
      <c r="J1092" t="str">
        <f t="shared" si="447"/>
        <v>Hipercaloricos</v>
      </c>
      <c r="K1092">
        <v>2</v>
      </c>
      <c r="L1092">
        <f t="shared" si="448"/>
        <v>1</v>
      </c>
      <c r="M1092" t="str">
        <f t="shared" si="449"/>
        <v>Suele comer</v>
      </c>
      <c r="N1092">
        <v>2961706</v>
      </c>
      <c r="O1092">
        <f t="shared" si="450"/>
        <v>2</v>
      </c>
      <c r="P1092" t="str">
        <f t="shared" si="451"/>
        <v>Mas de 3</v>
      </c>
      <c r="Q1092">
        <v>1</v>
      </c>
      <c r="R1092" t="str">
        <f t="shared" si="452"/>
        <v>A veces</v>
      </c>
      <c r="S1092">
        <v>0</v>
      </c>
      <c r="T1092" t="str">
        <f t="shared" si="453"/>
        <v>No fuma</v>
      </c>
      <c r="U1092">
        <v>2</v>
      </c>
      <c r="V1092">
        <f t="shared" si="454"/>
        <v>2</v>
      </c>
      <c r="W1092" t="str">
        <f t="shared" si="455"/>
        <v>Siempre</v>
      </c>
      <c r="X1092">
        <v>0</v>
      </c>
      <c r="Y1092" t="str">
        <f t="shared" si="456"/>
        <v>No controla</v>
      </c>
      <c r="Z1092">
        <v>1661556</v>
      </c>
      <c r="AA1092">
        <f t="shared" si="457"/>
        <v>3</v>
      </c>
      <c r="AB1092" t="str">
        <f t="shared" si="458"/>
        <v>Siempre</v>
      </c>
      <c r="AC1092">
        <v>1114716</v>
      </c>
      <c r="AD1092">
        <f t="shared" si="459"/>
        <v>2</v>
      </c>
      <c r="AE1092" t="str">
        <f t="shared" si="460"/>
        <v>Siempre</v>
      </c>
      <c r="AF1092">
        <v>0</v>
      </c>
      <c r="AG1092" t="str">
        <f t="shared" si="461"/>
        <v>Nunca</v>
      </c>
      <c r="AH1092">
        <v>0</v>
      </c>
      <c r="AI1092" t="str">
        <f t="shared" si="462"/>
        <v>No usa</v>
      </c>
      <c r="AJ1092">
        <v>0</v>
      </c>
      <c r="AK1092" t="str">
        <f t="shared" si="463"/>
        <v>No usa</v>
      </c>
      <c r="AL1092">
        <v>0</v>
      </c>
      <c r="AM1092" t="str">
        <f t="shared" si="464"/>
        <v>No usa</v>
      </c>
      <c r="AN1092">
        <v>1</v>
      </c>
      <c r="AO1092" t="str">
        <f t="shared" si="465"/>
        <v>Usa Transporte</v>
      </c>
      <c r="AP1092">
        <v>0</v>
      </c>
      <c r="AQ1092" t="str">
        <f t="shared" si="466"/>
        <v>No camina</v>
      </c>
      <c r="AR1092">
        <v>0</v>
      </c>
      <c r="AS1092" t="str">
        <f t="shared" si="467"/>
        <v>No es obeso</v>
      </c>
    </row>
    <row r="1093" spans="1:45" x14ac:dyDescent="0.25">
      <c r="A1093">
        <v>0</v>
      </c>
      <c r="B1093" t="str">
        <f t="shared" si="442"/>
        <v>F</v>
      </c>
      <c r="C1093">
        <v>38378056</v>
      </c>
      <c r="D1093">
        <f t="shared" si="443"/>
        <v>105</v>
      </c>
      <c r="E1093">
        <f t="shared" si="444"/>
        <v>100</v>
      </c>
      <c r="F1093" t="str">
        <f t="shared" si="445"/>
        <v>75-100</v>
      </c>
      <c r="G1093">
        <v>1</v>
      </c>
      <c r="H1093" t="str">
        <f t="shared" si="446"/>
        <v>Pariente gordo</v>
      </c>
      <c r="I1093">
        <v>1</v>
      </c>
      <c r="J1093" t="str">
        <f t="shared" si="447"/>
        <v>Hipercaloricos</v>
      </c>
      <c r="K1093">
        <v>2444599</v>
      </c>
      <c r="L1093">
        <f t="shared" si="448"/>
        <v>1</v>
      </c>
      <c r="M1093" t="str">
        <f t="shared" si="449"/>
        <v>Suele comer</v>
      </c>
      <c r="N1093">
        <v>3</v>
      </c>
      <c r="O1093">
        <f t="shared" si="450"/>
        <v>2</v>
      </c>
      <c r="P1093" t="str">
        <f t="shared" si="451"/>
        <v>Mas de 3</v>
      </c>
      <c r="Q1093">
        <v>1</v>
      </c>
      <c r="R1093" t="str">
        <f t="shared" si="452"/>
        <v>A veces</v>
      </c>
      <c r="S1093">
        <v>0</v>
      </c>
      <c r="T1093" t="str">
        <f t="shared" si="453"/>
        <v>No fuma</v>
      </c>
      <c r="U1093">
        <v>1029798</v>
      </c>
      <c r="V1093">
        <f t="shared" si="454"/>
        <v>2</v>
      </c>
      <c r="W1093" t="str">
        <f t="shared" si="455"/>
        <v>Siempre</v>
      </c>
      <c r="X1093">
        <v>0</v>
      </c>
      <c r="Y1093" t="str">
        <f t="shared" si="456"/>
        <v>No controla</v>
      </c>
      <c r="Z1093">
        <v>0</v>
      </c>
      <c r="AA1093">
        <f t="shared" si="457"/>
        <v>0</v>
      </c>
      <c r="AB1093" t="str">
        <f t="shared" si="458"/>
        <v>Nunca</v>
      </c>
      <c r="AC1093">
        <v>0</v>
      </c>
      <c r="AD1093">
        <f t="shared" si="459"/>
        <v>0</v>
      </c>
      <c r="AE1093" t="str">
        <f t="shared" si="460"/>
        <v>Nunca</v>
      </c>
      <c r="AF1093">
        <v>0</v>
      </c>
      <c r="AG1093" t="str">
        <f t="shared" si="461"/>
        <v>Nunca</v>
      </c>
      <c r="AH1093">
        <v>1</v>
      </c>
      <c r="AI1093" t="str">
        <f t="shared" si="462"/>
        <v>Usa auto</v>
      </c>
      <c r="AJ1093">
        <v>0</v>
      </c>
      <c r="AK1093" t="str">
        <f t="shared" si="463"/>
        <v>No usa</v>
      </c>
      <c r="AL1093">
        <v>0</v>
      </c>
      <c r="AM1093" t="str">
        <f t="shared" si="464"/>
        <v>No usa</v>
      </c>
      <c r="AN1093">
        <v>0</v>
      </c>
      <c r="AO1093" t="str">
        <f t="shared" si="465"/>
        <v>No usa</v>
      </c>
      <c r="AP1093">
        <v>0</v>
      </c>
      <c r="AQ1093" t="str">
        <f t="shared" si="466"/>
        <v>No camina</v>
      </c>
      <c r="AR1093">
        <v>0</v>
      </c>
      <c r="AS1093" t="str">
        <f t="shared" si="467"/>
        <v>No es obeso</v>
      </c>
    </row>
    <row r="1094" spans="1:45" x14ac:dyDescent="0.25">
      <c r="A1094">
        <v>1</v>
      </c>
      <c r="B1094" t="str">
        <f t="shared" si="442"/>
        <v>M</v>
      </c>
      <c r="C1094">
        <v>2218881</v>
      </c>
      <c r="D1094">
        <f t="shared" si="443"/>
        <v>6</v>
      </c>
      <c r="E1094">
        <f t="shared" si="444"/>
        <v>6</v>
      </c>
      <c r="F1094" t="str">
        <f t="shared" si="445"/>
        <v>1-25</v>
      </c>
      <c r="G1094">
        <v>1</v>
      </c>
      <c r="H1094" t="str">
        <f t="shared" si="446"/>
        <v>Pariente gordo</v>
      </c>
      <c r="I1094">
        <v>1</v>
      </c>
      <c r="J1094" t="str">
        <f t="shared" si="447"/>
        <v>Hipercaloricos</v>
      </c>
      <c r="K1094">
        <v>2</v>
      </c>
      <c r="L1094">
        <f t="shared" si="448"/>
        <v>1</v>
      </c>
      <c r="M1094" t="str">
        <f t="shared" si="449"/>
        <v>Suele comer</v>
      </c>
      <c r="N1094">
        <v>1152521</v>
      </c>
      <c r="O1094">
        <f t="shared" si="450"/>
        <v>2</v>
      </c>
      <c r="P1094" t="str">
        <f t="shared" si="451"/>
        <v>Mas de 3</v>
      </c>
      <c r="Q1094">
        <v>1</v>
      </c>
      <c r="R1094" t="str">
        <f t="shared" si="452"/>
        <v>A veces</v>
      </c>
      <c r="S1094">
        <v>0</v>
      </c>
      <c r="T1094" t="str">
        <f t="shared" si="453"/>
        <v>No fuma</v>
      </c>
      <c r="U1094">
        <v>1723159</v>
      </c>
      <c r="V1094">
        <f t="shared" si="454"/>
        <v>2</v>
      </c>
      <c r="W1094" t="str">
        <f t="shared" si="455"/>
        <v>Siempre</v>
      </c>
      <c r="X1094">
        <v>0</v>
      </c>
      <c r="Y1094" t="str">
        <f t="shared" si="456"/>
        <v>No controla</v>
      </c>
      <c r="Z1094">
        <v>139016</v>
      </c>
      <c r="AA1094">
        <f t="shared" si="457"/>
        <v>2</v>
      </c>
      <c r="AB1094" t="str">
        <f t="shared" si="458"/>
        <v>Usualmente</v>
      </c>
      <c r="AC1094">
        <v>1094941</v>
      </c>
      <c r="AD1094">
        <f t="shared" si="459"/>
        <v>2</v>
      </c>
      <c r="AE1094" t="str">
        <f t="shared" si="460"/>
        <v>Siempre</v>
      </c>
      <c r="AF1094">
        <v>1</v>
      </c>
      <c r="AG1094" t="str">
        <f t="shared" si="461"/>
        <v>A veces</v>
      </c>
      <c r="AH1094">
        <v>0</v>
      </c>
      <c r="AI1094" t="str">
        <f t="shared" si="462"/>
        <v>No usa</v>
      </c>
      <c r="AJ1094">
        <v>0</v>
      </c>
      <c r="AK1094" t="str">
        <f t="shared" si="463"/>
        <v>No usa</v>
      </c>
      <c r="AL1094">
        <v>0</v>
      </c>
      <c r="AM1094" t="str">
        <f t="shared" si="464"/>
        <v>No usa</v>
      </c>
      <c r="AN1094">
        <v>1</v>
      </c>
      <c r="AO1094" t="str">
        <f t="shared" si="465"/>
        <v>Usa Transporte</v>
      </c>
      <c r="AP1094">
        <v>0</v>
      </c>
      <c r="AQ1094" t="str">
        <f t="shared" si="466"/>
        <v>No camina</v>
      </c>
      <c r="AR1094">
        <v>0</v>
      </c>
      <c r="AS1094" t="str">
        <f t="shared" si="467"/>
        <v>No es obeso</v>
      </c>
    </row>
    <row r="1095" spans="1:45" x14ac:dyDescent="0.25">
      <c r="A1095">
        <v>0</v>
      </c>
      <c r="B1095" t="str">
        <f t="shared" si="442"/>
        <v>F</v>
      </c>
      <c r="C1095">
        <v>21082384</v>
      </c>
      <c r="D1095">
        <f t="shared" si="443"/>
        <v>57</v>
      </c>
      <c r="E1095">
        <f t="shared" si="444"/>
        <v>57</v>
      </c>
      <c r="F1095" t="str">
        <f t="shared" si="445"/>
        <v>50-75</v>
      </c>
      <c r="G1095">
        <v>1</v>
      </c>
      <c r="H1095" t="str">
        <f t="shared" si="446"/>
        <v>Pariente gordo</v>
      </c>
      <c r="I1095">
        <v>0</v>
      </c>
      <c r="J1095" t="str">
        <f t="shared" si="447"/>
        <v>Saludables</v>
      </c>
      <c r="K1095">
        <v>2</v>
      </c>
      <c r="L1095">
        <f t="shared" si="448"/>
        <v>1</v>
      </c>
      <c r="M1095" t="str">
        <f t="shared" si="449"/>
        <v>Suele comer</v>
      </c>
      <c r="N1095">
        <v>1104642</v>
      </c>
      <c r="O1095">
        <f t="shared" si="450"/>
        <v>2</v>
      </c>
      <c r="P1095" t="str">
        <f t="shared" si="451"/>
        <v>Mas de 3</v>
      </c>
      <c r="Q1095">
        <v>1</v>
      </c>
      <c r="R1095" t="str">
        <f t="shared" si="452"/>
        <v>A veces</v>
      </c>
      <c r="S1095">
        <v>0</v>
      </c>
      <c r="T1095" t="str">
        <f t="shared" si="453"/>
        <v>No fuma</v>
      </c>
      <c r="U1095">
        <v>1</v>
      </c>
      <c r="V1095">
        <f t="shared" si="454"/>
        <v>1</v>
      </c>
      <c r="W1095" t="str">
        <f t="shared" si="455"/>
        <v>Usualmente</v>
      </c>
      <c r="X1095">
        <v>0</v>
      </c>
      <c r="Y1095" t="str">
        <f t="shared" si="456"/>
        <v>No controla</v>
      </c>
      <c r="Z1095">
        <v>0</v>
      </c>
      <c r="AA1095">
        <f t="shared" si="457"/>
        <v>0</v>
      </c>
      <c r="AB1095" t="str">
        <f t="shared" si="458"/>
        <v>Nunca</v>
      </c>
      <c r="AC1095">
        <v>0.96909699999999999</v>
      </c>
      <c r="AD1095">
        <f t="shared" si="459"/>
        <v>0</v>
      </c>
      <c r="AE1095" t="str">
        <f t="shared" si="460"/>
        <v>Nunca</v>
      </c>
      <c r="AF1095">
        <v>0</v>
      </c>
      <c r="AG1095" t="str">
        <f t="shared" si="461"/>
        <v>Nunca</v>
      </c>
      <c r="AH1095">
        <v>0</v>
      </c>
      <c r="AI1095" t="str">
        <f t="shared" si="462"/>
        <v>No usa</v>
      </c>
      <c r="AJ1095">
        <v>0</v>
      </c>
      <c r="AK1095" t="str">
        <f t="shared" si="463"/>
        <v>No usa</v>
      </c>
      <c r="AL1095">
        <v>0</v>
      </c>
      <c r="AM1095" t="str">
        <f t="shared" si="464"/>
        <v>No usa</v>
      </c>
      <c r="AN1095">
        <v>1</v>
      </c>
      <c r="AO1095" t="str">
        <f t="shared" si="465"/>
        <v>Usa Transporte</v>
      </c>
      <c r="AP1095">
        <v>0</v>
      </c>
      <c r="AQ1095" t="str">
        <f t="shared" si="466"/>
        <v>No camina</v>
      </c>
      <c r="AR1095">
        <v>0</v>
      </c>
      <c r="AS1095" t="str">
        <f t="shared" si="467"/>
        <v>No es obeso</v>
      </c>
    </row>
    <row r="1096" spans="1:45" x14ac:dyDescent="0.25">
      <c r="A1096">
        <v>0</v>
      </c>
      <c r="B1096" t="str">
        <f t="shared" si="442"/>
        <v>F</v>
      </c>
      <c r="C1096">
        <v>25293202</v>
      </c>
      <c r="D1096">
        <f t="shared" si="443"/>
        <v>69</v>
      </c>
      <c r="E1096">
        <f t="shared" si="444"/>
        <v>69</v>
      </c>
      <c r="F1096" t="str">
        <f t="shared" si="445"/>
        <v>50-75</v>
      </c>
      <c r="G1096">
        <v>1</v>
      </c>
      <c r="H1096" t="str">
        <f t="shared" si="446"/>
        <v>Pariente gordo</v>
      </c>
      <c r="I1096">
        <v>0</v>
      </c>
      <c r="J1096" t="str">
        <f t="shared" si="447"/>
        <v>Saludables</v>
      </c>
      <c r="K1096">
        <v>2</v>
      </c>
      <c r="L1096">
        <f t="shared" si="448"/>
        <v>1</v>
      </c>
      <c r="M1096" t="str">
        <f t="shared" si="449"/>
        <v>Suele comer</v>
      </c>
      <c r="N1096">
        <v>1</v>
      </c>
      <c r="O1096">
        <f t="shared" si="450"/>
        <v>1</v>
      </c>
      <c r="P1096">
        <f t="shared" si="451"/>
        <v>3</v>
      </c>
      <c r="Q1096">
        <v>1</v>
      </c>
      <c r="R1096" t="str">
        <f t="shared" si="452"/>
        <v>A veces</v>
      </c>
      <c r="S1096">
        <v>0</v>
      </c>
      <c r="T1096" t="str">
        <f t="shared" si="453"/>
        <v>No fuma</v>
      </c>
      <c r="U1096">
        <v>1639807</v>
      </c>
      <c r="V1096">
        <f t="shared" si="454"/>
        <v>2</v>
      </c>
      <c r="W1096" t="str">
        <f t="shared" si="455"/>
        <v>Siempre</v>
      </c>
      <c r="X1096">
        <v>0</v>
      </c>
      <c r="Y1096" t="str">
        <f t="shared" si="456"/>
        <v>No controla</v>
      </c>
      <c r="Z1096">
        <v>7.2117000000000001E-2</v>
      </c>
      <c r="AA1096">
        <f t="shared" si="457"/>
        <v>0</v>
      </c>
      <c r="AB1096" t="str">
        <f t="shared" si="458"/>
        <v>Nunca</v>
      </c>
      <c r="AC1096">
        <v>0</v>
      </c>
      <c r="AD1096">
        <f t="shared" si="459"/>
        <v>0</v>
      </c>
      <c r="AE1096" t="str">
        <f t="shared" si="460"/>
        <v>Nunca</v>
      </c>
      <c r="AF1096">
        <v>0</v>
      </c>
      <c r="AG1096" t="str">
        <f t="shared" si="461"/>
        <v>Nunca</v>
      </c>
      <c r="AH1096">
        <v>0</v>
      </c>
      <c r="AI1096" t="str">
        <f t="shared" si="462"/>
        <v>No usa</v>
      </c>
      <c r="AJ1096">
        <v>0</v>
      </c>
      <c r="AK1096" t="str">
        <f t="shared" si="463"/>
        <v>No usa</v>
      </c>
      <c r="AL1096">
        <v>0</v>
      </c>
      <c r="AM1096" t="str">
        <f t="shared" si="464"/>
        <v>No usa</v>
      </c>
      <c r="AN1096">
        <v>1</v>
      </c>
      <c r="AO1096" t="str">
        <f t="shared" si="465"/>
        <v>Usa Transporte</v>
      </c>
      <c r="AP1096">
        <v>0</v>
      </c>
      <c r="AQ1096" t="str">
        <f t="shared" si="466"/>
        <v>No camina</v>
      </c>
      <c r="AR1096">
        <v>0</v>
      </c>
      <c r="AS1096" t="str">
        <f t="shared" si="467"/>
        <v>No es obeso</v>
      </c>
    </row>
    <row r="1097" spans="1:45" x14ac:dyDescent="0.25">
      <c r="A1097">
        <v>1</v>
      </c>
      <c r="B1097" t="str">
        <f t="shared" si="442"/>
        <v>M</v>
      </c>
      <c r="C1097">
        <v>23</v>
      </c>
      <c r="D1097">
        <f t="shared" si="443"/>
        <v>23</v>
      </c>
      <c r="E1097">
        <f t="shared" si="444"/>
        <v>23</v>
      </c>
      <c r="F1097" t="str">
        <f t="shared" si="445"/>
        <v>1-25</v>
      </c>
      <c r="G1097">
        <v>1</v>
      </c>
      <c r="H1097" t="str">
        <f t="shared" si="446"/>
        <v>Pariente gordo</v>
      </c>
      <c r="I1097">
        <v>1</v>
      </c>
      <c r="J1097" t="str">
        <f t="shared" si="447"/>
        <v>Hipercaloricos</v>
      </c>
      <c r="K1097">
        <v>2</v>
      </c>
      <c r="L1097">
        <f t="shared" si="448"/>
        <v>1</v>
      </c>
      <c r="M1097" t="str">
        <f t="shared" si="449"/>
        <v>Suele comer</v>
      </c>
      <c r="N1097">
        <v>1729553</v>
      </c>
      <c r="O1097">
        <f t="shared" si="450"/>
        <v>2</v>
      </c>
      <c r="P1097" t="str">
        <f t="shared" si="451"/>
        <v>Mas de 3</v>
      </c>
      <c r="Q1097">
        <v>1</v>
      </c>
      <c r="R1097" t="str">
        <f t="shared" si="452"/>
        <v>A veces</v>
      </c>
      <c r="S1097">
        <v>0</v>
      </c>
      <c r="T1097" t="str">
        <f t="shared" si="453"/>
        <v>No fuma</v>
      </c>
      <c r="U1097">
        <v>1400247</v>
      </c>
      <c r="V1097">
        <f t="shared" si="454"/>
        <v>2</v>
      </c>
      <c r="W1097" t="str">
        <f t="shared" si="455"/>
        <v>Siempre</v>
      </c>
      <c r="X1097">
        <v>0</v>
      </c>
      <c r="Y1097" t="str">
        <f t="shared" si="456"/>
        <v>No controla</v>
      </c>
      <c r="Z1097">
        <v>0.88792300000000002</v>
      </c>
      <c r="AA1097">
        <f t="shared" si="457"/>
        <v>0</v>
      </c>
      <c r="AB1097" t="str">
        <f t="shared" si="458"/>
        <v>Nunca</v>
      </c>
      <c r="AC1097">
        <v>1011983</v>
      </c>
      <c r="AD1097">
        <f t="shared" si="459"/>
        <v>2</v>
      </c>
      <c r="AE1097" t="str">
        <f t="shared" si="460"/>
        <v>Siempre</v>
      </c>
      <c r="AF1097">
        <v>1</v>
      </c>
      <c r="AG1097" t="str">
        <f t="shared" si="461"/>
        <v>A veces</v>
      </c>
      <c r="AH1097">
        <v>0</v>
      </c>
      <c r="AI1097" t="str">
        <f t="shared" si="462"/>
        <v>No usa</v>
      </c>
      <c r="AJ1097">
        <v>0</v>
      </c>
      <c r="AK1097" t="str">
        <f t="shared" si="463"/>
        <v>No usa</v>
      </c>
      <c r="AL1097">
        <v>0</v>
      </c>
      <c r="AM1097" t="str">
        <f t="shared" si="464"/>
        <v>No usa</v>
      </c>
      <c r="AN1097">
        <v>1</v>
      </c>
      <c r="AO1097" t="str">
        <f t="shared" si="465"/>
        <v>Usa Transporte</v>
      </c>
      <c r="AP1097">
        <v>0</v>
      </c>
      <c r="AQ1097" t="str">
        <f t="shared" si="466"/>
        <v>No camina</v>
      </c>
      <c r="AR1097">
        <v>0</v>
      </c>
      <c r="AS1097" t="str">
        <f t="shared" si="467"/>
        <v>No es obeso</v>
      </c>
    </row>
    <row r="1098" spans="1:45" x14ac:dyDescent="0.25">
      <c r="A1098">
        <v>0</v>
      </c>
      <c r="B1098" t="str">
        <f t="shared" si="442"/>
        <v>F</v>
      </c>
      <c r="C1098">
        <v>39170029</v>
      </c>
      <c r="D1098">
        <f t="shared" si="443"/>
        <v>107</v>
      </c>
      <c r="E1098">
        <f t="shared" si="444"/>
        <v>100</v>
      </c>
      <c r="F1098" t="str">
        <f t="shared" si="445"/>
        <v>75-100</v>
      </c>
      <c r="G1098">
        <v>1</v>
      </c>
      <c r="H1098" t="str">
        <f t="shared" si="446"/>
        <v>Pariente gordo</v>
      </c>
      <c r="I1098">
        <v>1</v>
      </c>
      <c r="J1098" t="str">
        <f t="shared" si="447"/>
        <v>Hipercaloricos</v>
      </c>
      <c r="K1098">
        <v>3</v>
      </c>
      <c r="L1098">
        <f t="shared" si="448"/>
        <v>1</v>
      </c>
      <c r="M1098" t="str">
        <f t="shared" si="449"/>
        <v>Suele comer</v>
      </c>
      <c r="N1098">
        <v>3</v>
      </c>
      <c r="O1098">
        <f t="shared" si="450"/>
        <v>2</v>
      </c>
      <c r="P1098" t="str">
        <f t="shared" si="451"/>
        <v>Mas de 3</v>
      </c>
      <c r="Q1098">
        <v>1</v>
      </c>
      <c r="R1098" t="str">
        <f t="shared" si="452"/>
        <v>A veces</v>
      </c>
      <c r="S1098">
        <v>0</v>
      </c>
      <c r="T1098" t="str">
        <f t="shared" si="453"/>
        <v>No fuma</v>
      </c>
      <c r="U1098">
        <v>2994515</v>
      </c>
      <c r="V1098">
        <f t="shared" si="454"/>
        <v>2</v>
      </c>
      <c r="W1098" t="str">
        <f t="shared" si="455"/>
        <v>Siempre</v>
      </c>
      <c r="X1098">
        <v>0</v>
      </c>
      <c r="Y1098" t="str">
        <f t="shared" si="456"/>
        <v>No controla</v>
      </c>
      <c r="Z1098">
        <v>0</v>
      </c>
      <c r="AA1098">
        <f t="shared" si="457"/>
        <v>0</v>
      </c>
      <c r="AB1098" t="str">
        <f t="shared" si="458"/>
        <v>Nunca</v>
      </c>
      <c r="AC1098">
        <v>0</v>
      </c>
      <c r="AD1098">
        <f t="shared" si="459"/>
        <v>0</v>
      </c>
      <c r="AE1098" t="str">
        <f t="shared" si="460"/>
        <v>Nunca</v>
      </c>
      <c r="AF1098">
        <v>0</v>
      </c>
      <c r="AG1098" t="str">
        <f t="shared" si="461"/>
        <v>Nunca</v>
      </c>
      <c r="AH1098">
        <v>1</v>
      </c>
      <c r="AI1098" t="str">
        <f t="shared" si="462"/>
        <v>Usa auto</v>
      </c>
      <c r="AJ1098">
        <v>0</v>
      </c>
      <c r="AK1098" t="str">
        <f t="shared" si="463"/>
        <v>No usa</v>
      </c>
      <c r="AL1098">
        <v>0</v>
      </c>
      <c r="AM1098" t="str">
        <f t="shared" si="464"/>
        <v>No usa</v>
      </c>
      <c r="AN1098">
        <v>0</v>
      </c>
      <c r="AO1098" t="str">
        <f t="shared" si="465"/>
        <v>No usa</v>
      </c>
      <c r="AP1098">
        <v>0</v>
      </c>
      <c r="AQ1098" t="str">
        <f t="shared" si="466"/>
        <v>No camina</v>
      </c>
      <c r="AR1098">
        <v>0</v>
      </c>
      <c r="AS1098" t="str">
        <f t="shared" si="467"/>
        <v>No es obeso</v>
      </c>
    </row>
    <row r="1099" spans="1:45" x14ac:dyDescent="0.25">
      <c r="A1099">
        <v>0</v>
      </c>
      <c r="B1099" t="str">
        <f t="shared" si="442"/>
        <v>F</v>
      </c>
      <c r="C1099">
        <v>34044229</v>
      </c>
      <c r="D1099">
        <f t="shared" si="443"/>
        <v>93</v>
      </c>
      <c r="E1099">
        <f t="shared" si="444"/>
        <v>93</v>
      </c>
      <c r="F1099" t="str">
        <f t="shared" si="445"/>
        <v>75-100</v>
      </c>
      <c r="G1099">
        <v>1</v>
      </c>
      <c r="H1099" t="str">
        <f t="shared" si="446"/>
        <v>Pariente gordo</v>
      </c>
      <c r="I1099">
        <v>1</v>
      </c>
      <c r="J1099" t="str">
        <f t="shared" si="447"/>
        <v>Hipercaloricos</v>
      </c>
      <c r="K1099">
        <v>2976975</v>
      </c>
      <c r="L1099">
        <f t="shared" si="448"/>
        <v>1</v>
      </c>
      <c r="M1099" t="str">
        <f t="shared" si="449"/>
        <v>Suele comer</v>
      </c>
      <c r="N1099">
        <v>1346987</v>
      </c>
      <c r="O1099">
        <f t="shared" si="450"/>
        <v>2</v>
      </c>
      <c r="P1099" t="str">
        <f t="shared" si="451"/>
        <v>Mas de 3</v>
      </c>
      <c r="Q1099">
        <v>1</v>
      </c>
      <c r="R1099" t="str">
        <f t="shared" si="452"/>
        <v>A veces</v>
      </c>
      <c r="S1099">
        <v>0</v>
      </c>
      <c r="T1099" t="str">
        <f t="shared" si="453"/>
        <v>No fuma</v>
      </c>
      <c r="U1099">
        <v>1868349</v>
      </c>
      <c r="V1099">
        <f t="shared" si="454"/>
        <v>2</v>
      </c>
      <c r="W1099" t="str">
        <f t="shared" si="455"/>
        <v>Siempre</v>
      </c>
      <c r="X1099">
        <v>0</v>
      </c>
      <c r="Y1099" t="str">
        <f t="shared" si="456"/>
        <v>No controla</v>
      </c>
      <c r="Z1099">
        <v>0.702538</v>
      </c>
      <c r="AA1099">
        <f t="shared" si="457"/>
        <v>0</v>
      </c>
      <c r="AB1099" t="str">
        <f t="shared" si="458"/>
        <v>Nunca</v>
      </c>
      <c r="AC1099">
        <v>0.87933300000000003</v>
      </c>
      <c r="AD1099">
        <f t="shared" si="459"/>
        <v>0</v>
      </c>
      <c r="AE1099" t="str">
        <f t="shared" si="460"/>
        <v>Nunca</v>
      </c>
      <c r="AF1099">
        <v>0</v>
      </c>
      <c r="AG1099" t="str">
        <f t="shared" si="461"/>
        <v>Nunca</v>
      </c>
      <c r="AH1099">
        <v>1</v>
      </c>
      <c r="AI1099" t="str">
        <f t="shared" si="462"/>
        <v>Usa auto</v>
      </c>
      <c r="AJ1099">
        <v>0</v>
      </c>
      <c r="AK1099" t="str">
        <f t="shared" si="463"/>
        <v>No usa</v>
      </c>
      <c r="AL1099">
        <v>0</v>
      </c>
      <c r="AM1099" t="str">
        <f t="shared" si="464"/>
        <v>No usa</v>
      </c>
      <c r="AN1099">
        <v>0</v>
      </c>
      <c r="AO1099" t="str">
        <f t="shared" si="465"/>
        <v>No usa</v>
      </c>
      <c r="AP1099">
        <v>0</v>
      </c>
      <c r="AQ1099" t="str">
        <f t="shared" si="466"/>
        <v>No camina</v>
      </c>
      <c r="AR1099">
        <v>0</v>
      </c>
      <c r="AS1099" t="str">
        <f t="shared" si="467"/>
        <v>No es obeso</v>
      </c>
    </row>
    <row r="1100" spans="1:45" x14ac:dyDescent="0.25">
      <c r="A1100">
        <v>1</v>
      </c>
      <c r="B1100" t="str">
        <f t="shared" si="442"/>
        <v>M</v>
      </c>
      <c r="C1100">
        <v>33182127</v>
      </c>
      <c r="D1100">
        <f t="shared" si="443"/>
        <v>90</v>
      </c>
      <c r="E1100">
        <f t="shared" si="444"/>
        <v>90</v>
      </c>
      <c r="F1100" t="str">
        <f t="shared" si="445"/>
        <v>75-100</v>
      </c>
      <c r="G1100">
        <v>1</v>
      </c>
      <c r="H1100" t="str">
        <f t="shared" si="446"/>
        <v>Pariente gordo</v>
      </c>
      <c r="I1100">
        <v>1</v>
      </c>
      <c r="J1100" t="str">
        <f t="shared" si="447"/>
        <v>Hipercaloricos</v>
      </c>
      <c r="K1100">
        <v>2</v>
      </c>
      <c r="L1100">
        <f t="shared" si="448"/>
        <v>1</v>
      </c>
      <c r="M1100" t="str">
        <f t="shared" si="449"/>
        <v>Suele comer</v>
      </c>
      <c r="N1100">
        <v>1977221</v>
      </c>
      <c r="O1100">
        <f t="shared" si="450"/>
        <v>2</v>
      </c>
      <c r="P1100" t="str">
        <f t="shared" si="451"/>
        <v>Mas de 3</v>
      </c>
      <c r="Q1100">
        <v>1</v>
      </c>
      <c r="R1100" t="str">
        <f t="shared" si="452"/>
        <v>A veces</v>
      </c>
      <c r="S1100">
        <v>0</v>
      </c>
      <c r="T1100" t="str">
        <f t="shared" si="453"/>
        <v>No fuma</v>
      </c>
      <c r="U1100">
        <v>3</v>
      </c>
      <c r="V1100">
        <f t="shared" si="454"/>
        <v>2</v>
      </c>
      <c r="W1100" t="str">
        <f t="shared" si="455"/>
        <v>Siempre</v>
      </c>
      <c r="X1100">
        <v>0</v>
      </c>
      <c r="Y1100" t="str">
        <f t="shared" si="456"/>
        <v>No controla</v>
      </c>
      <c r="Z1100">
        <v>1</v>
      </c>
      <c r="AA1100">
        <f t="shared" si="457"/>
        <v>1</v>
      </c>
      <c r="AB1100" t="str">
        <f t="shared" si="458"/>
        <v>A veces</v>
      </c>
      <c r="AC1100">
        <v>0</v>
      </c>
      <c r="AD1100">
        <f t="shared" si="459"/>
        <v>0</v>
      </c>
      <c r="AE1100" t="str">
        <f t="shared" si="460"/>
        <v>Nunca</v>
      </c>
      <c r="AF1100">
        <v>1</v>
      </c>
      <c r="AG1100" t="str">
        <f t="shared" si="461"/>
        <v>A veces</v>
      </c>
      <c r="AH1100">
        <v>1</v>
      </c>
      <c r="AI1100" t="str">
        <f t="shared" si="462"/>
        <v>Usa auto</v>
      </c>
      <c r="AJ1100">
        <v>0</v>
      </c>
      <c r="AK1100" t="str">
        <f t="shared" si="463"/>
        <v>No usa</v>
      </c>
      <c r="AL1100">
        <v>0</v>
      </c>
      <c r="AM1100" t="str">
        <f t="shared" si="464"/>
        <v>No usa</v>
      </c>
      <c r="AN1100">
        <v>0</v>
      </c>
      <c r="AO1100" t="str">
        <f t="shared" si="465"/>
        <v>No usa</v>
      </c>
      <c r="AP1100">
        <v>0</v>
      </c>
      <c r="AQ1100" t="str">
        <f t="shared" si="466"/>
        <v>No camina</v>
      </c>
      <c r="AR1100">
        <v>0</v>
      </c>
      <c r="AS1100" t="str">
        <f t="shared" si="467"/>
        <v>No es obeso</v>
      </c>
    </row>
    <row r="1101" spans="1:45" x14ac:dyDescent="0.25">
      <c r="A1101">
        <v>0</v>
      </c>
      <c r="B1101" t="str">
        <f t="shared" si="442"/>
        <v>F</v>
      </c>
      <c r="C1101">
        <v>19821996</v>
      </c>
      <c r="D1101">
        <f t="shared" si="443"/>
        <v>54</v>
      </c>
      <c r="E1101">
        <f t="shared" si="444"/>
        <v>54</v>
      </c>
      <c r="F1101" t="str">
        <f t="shared" si="445"/>
        <v>50-75</v>
      </c>
      <c r="G1101">
        <v>1</v>
      </c>
      <c r="H1101" t="str">
        <f t="shared" si="446"/>
        <v>Pariente gordo</v>
      </c>
      <c r="I1101">
        <v>0</v>
      </c>
      <c r="J1101" t="str">
        <f t="shared" si="447"/>
        <v>Saludables</v>
      </c>
      <c r="K1101">
        <v>2766036</v>
      </c>
      <c r="L1101">
        <f t="shared" si="448"/>
        <v>1</v>
      </c>
      <c r="M1101" t="str">
        <f t="shared" si="449"/>
        <v>Suele comer</v>
      </c>
      <c r="N1101">
        <v>2443812</v>
      </c>
      <c r="O1101">
        <f t="shared" si="450"/>
        <v>2</v>
      </c>
      <c r="P1101" t="str">
        <f t="shared" si="451"/>
        <v>Mas de 3</v>
      </c>
      <c r="Q1101">
        <v>1</v>
      </c>
      <c r="R1101" t="str">
        <f t="shared" si="452"/>
        <v>A veces</v>
      </c>
      <c r="S1101">
        <v>0</v>
      </c>
      <c r="T1101" t="str">
        <f t="shared" si="453"/>
        <v>No fuma</v>
      </c>
      <c r="U1101">
        <v>2707927</v>
      </c>
      <c r="V1101">
        <f t="shared" si="454"/>
        <v>2</v>
      </c>
      <c r="W1101" t="str">
        <f t="shared" si="455"/>
        <v>Siempre</v>
      </c>
      <c r="X1101">
        <v>0</v>
      </c>
      <c r="Y1101" t="str">
        <f t="shared" si="456"/>
        <v>No controla</v>
      </c>
      <c r="Z1101">
        <v>0.70283899999999999</v>
      </c>
      <c r="AA1101">
        <f t="shared" si="457"/>
        <v>0</v>
      </c>
      <c r="AB1101" t="str">
        <f t="shared" si="458"/>
        <v>Nunca</v>
      </c>
      <c r="AC1101">
        <v>0.82743900000000004</v>
      </c>
      <c r="AD1101">
        <f t="shared" si="459"/>
        <v>0</v>
      </c>
      <c r="AE1101" t="str">
        <f t="shared" si="460"/>
        <v>Nunca</v>
      </c>
      <c r="AF1101">
        <v>1</v>
      </c>
      <c r="AG1101" t="str">
        <f t="shared" si="461"/>
        <v>A veces</v>
      </c>
      <c r="AH1101">
        <v>0</v>
      </c>
      <c r="AI1101" t="str">
        <f t="shared" si="462"/>
        <v>No usa</v>
      </c>
      <c r="AJ1101">
        <v>0</v>
      </c>
      <c r="AK1101" t="str">
        <f t="shared" si="463"/>
        <v>No usa</v>
      </c>
      <c r="AL1101">
        <v>0</v>
      </c>
      <c r="AM1101" t="str">
        <f t="shared" si="464"/>
        <v>No usa</v>
      </c>
      <c r="AN1101">
        <v>1</v>
      </c>
      <c r="AO1101" t="str">
        <f t="shared" si="465"/>
        <v>Usa Transporte</v>
      </c>
      <c r="AP1101">
        <v>0</v>
      </c>
      <c r="AQ1101" t="str">
        <f t="shared" si="466"/>
        <v>No camina</v>
      </c>
      <c r="AR1101">
        <v>0</v>
      </c>
      <c r="AS1101" t="str">
        <f t="shared" si="467"/>
        <v>No es obeso</v>
      </c>
    </row>
    <row r="1102" spans="1:45" x14ac:dyDescent="0.25">
      <c r="A1102">
        <v>1</v>
      </c>
      <c r="B1102" t="str">
        <f t="shared" si="442"/>
        <v>M</v>
      </c>
      <c r="C1102">
        <v>19149706</v>
      </c>
      <c r="D1102">
        <f t="shared" si="443"/>
        <v>52</v>
      </c>
      <c r="E1102">
        <f t="shared" si="444"/>
        <v>52</v>
      </c>
      <c r="F1102" t="str">
        <f t="shared" si="445"/>
        <v>50-75</v>
      </c>
      <c r="G1102">
        <v>1</v>
      </c>
      <c r="H1102" t="str">
        <f t="shared" si="446"/>
        <v>Pariente gordo</v>
      </c>
      <c r="I1102">
        <v>0</v>
      </c>
      <c r="J1102" t="str">
        <f t="shared" si="447"/>
        <v>Saludables</v>
      </c>
      <c r="K1102">
        <v>1096455</v>
      </c>
      <c r="L1102">
        <f t="shared" si="448"/>
        <v>1</v>
      </c>
      <c r="M1102" t="str">
        <f t="shared" si="449"/>
        <v>Suele comer</v>
      </c>
      <c r="N1102">
        <v>2491315</v>
      </c>
      <c r="O1102">
        <f t="shared" si="450"/>
        <v>2</v>
      </c>
      <c r="P1102" t="str">
        <f t="shared" si="451"/>
        <v>Mas de 3</v>
      </c>
      <c r="Q1102">
        <v>1</v>
      </c>
      <c r="R1102" t="str">
        <f t="shared" si="452"/>
        <v>A veces</v>
      </c>
      <c r="S1102">
        <v>0</v>
      </c>
      <c r="T1102" t="str">
        <f t="shared" si="453"/>
        <v>No fuma</v>
      </c>
      <c r="U1102">
        <v>2450069</v>
      </c>
      <c r="V1102">
        <f t="shared" si="454"/>
        <v>2</v>
      </c>
      <c r="W1102" t="str">
        <f t="shared" si="455"/>
        <v>Siempre</v>
      </c>
      <c r="X1102">
        <v>0</v>
      </c>
      <c r="Y1102" t="str">
        <f t="shared" si="456"/>
        <v>No controla</v>
      </c>
      <c r="Z1102">
        <v>0</v>
      </c>
      <c r="AA1102">
        <f t="shared" si="457"/>
        <v>0</v>
      </c>
      <c r="AB1102" t="str">
        <f t="shared" si="458"/>
        <v>Nunca</v>
      </c>
      <c r="AC1102">
        <v>0.72611800000000004</v>
      </c>
      <c r="AD1102">
        <f t="shared" si="459"/>
        <v>0</v>
      </c>
      <c r="AE1102" t="str">
        <f t="shared" si="460"/>
        <v>Nunca</v>
      </c>
      <c r="AF1102">
        <v>1</v>
      </c>
      <c r="AG1102" t="str">
        <f t="shared" si="461"/>
        <v>A veces</v>
      </c>
      <c r="AH1102">
        <v>0</v>
      </c>
      <c r="AI1102" t="str">
        <f t="shared" si="462"/>
        <v>No usa</v>
      </c>
      <c r="AJ1102">
        <v>0</v>
      </c>
      <c r="AK1102" t="str">
        <f t="shared" si="463"/>
        <v>No usa</v>
      </c>
      <c r="AL1102">
        <v>0</v>
      </c>
      <c r="AM1102" t="str">
        <f t="shared" si="464"/>
        <v>No usa</v>
      </c>
      <c r="AN1102">
        <v>1</v>
      </c>
      <c r="AO1102" t="str">
        <f t="shared" si="465"/>
        <v>Usa Transporte</v>
      </c>
      <c r="AP1102">
        <v>0</v>
      </c>
      <c r="AQ1102" t="str">
        <f t="shared" si="466"/>
        <v>No camina</v>
      </c>
      <c r="AR1102">
        <v>0</v>
      </c>
      <c r="AS1102" t="str">
        <f t="shared" si="467"/>
        <v>No es obeso</v>
      </c>
    </row>
    <row r="1103" spans="1:45" x14ac:dyDescent="0.25">
      <c r="A1103">
        <v>1</v>
      </c>
      <c r="B1103" t="str">
        <f t="shared" si="442"/>
        <v>M</v>
      </c>
      <c r="C1103">
        <v>46491859</v>
      </c>
      <c r="D1103">
        <f t="shared" si="443"/>
        <v>127</v>
      </c>
      <c r="E1103">
        <f t="shared" si="444"/>
        <v>100</v>
      </c>
      <c r="F1103" t="str">
        <f t="shared" si="445"/>
        <v>75-100</v>
      </c>
      <c r="G1103">
        <v>1</v>
      </c>
      <c r="H1103" t="str">
        <f t="shared" si="446"/>
        <v>Pariente gordo</v>
      </c>
      <c r="I1103">
        <v>1</v>
      </c>
      <c r="J1103" t="str">
        <f t="shared" si="447"/>
        <v>Hipercaloricos</v>
      </c>
      <c r="K1103">
        <v>2129969</v>
      </c>
      <c r="L1103">
        <f t="shared" si="448"/>
        <v>1</v>
      </c>
      <c r="M1103" t="str">
        <f t="shared" si="449"/>
        <v>Suele comer</v>
      </c>
      <c r="N1103">
        <v>3</v>
      </c>
      <c r="O1103">
        <f t="shared" si="450"/>
        <v>2</v>
      </c>
      <c r="P1103" t="str">
        <f t="shared" si="451"/>
        <v>Mas de 3</v>
      </c>
      <c r="Q1103">
        <v>1</v>
      </c>
      <c r="R1103" t="str">
        <f t="shared" si="452"/>
        <v>A veces</v>
      </c>
      <c r="S1103">
        <v>0</v>
      </c>
      <c r="T1103" t="str">
        <f t="shared" si="453"/>
        <v>No fuma</v>
      </c>
      <c r="U1103">
        <v>1568035</v>
      </c>
      <c r="V1103">
        <f t="shared" si="454"/>
        <v>2</v>
      </c>
      <c r="W1103" t="str">
        <f t="shared" si="455"/>
        <v>Siempre</v>
      </c>
      <c r="X1103">
        <v>0</v>
      </c>
      <c r="Y1103" t="str">
        <f t="shared" si="456"/>
        <v>No controla</v>
      </c>
      <c r="Z1103">
        <v>0.87012699999999998</v>
      </c>
      <c r="AA1103">
        <f t="shared" si="457"/>
        <v>0</v>
      </c>
      <c r="AB1103" t="str">
        <f t="shared" si="458"/>
        <v>Nunca</v>
      </c>
      <c r="AC1103">
        <v>0</v>
      </c>
      <c r="AD1103">
        <f t="shared" si="459"/>
        <v>0</v>
      </c>
      <c r="AE1103" t="str">
        <f t="shared" si="460"/>
        <v>Nunca</v>
      </c>
      <c r="AF1103">
        <v>0</v>
      </c>
      <c r="AG1103" t="str">
        <f t="shared" si="461"/>
        <v>Nunca</v>
      </c>
      <c r="AH1103">
        <v>1</v>
      </c>
      <c r="AI1103" t="str">
        <f t="shared" si="462"/>
        <v>Usa auto</v>
      </c>
      <c r="AJ1103">
        <v>0</v>
      </c>
      <c r="AK1103" t="str">
        <f t="shared" si="463"/>
        <v>No usa</v>
      </c>
      <c r="AL1103">
        <v>0</v>
      </c>
      <c r="AM1103" t="str">
        <f t="shared" si="464"/>
        <v>No usa</v>
      </c>
      <c r="AN1103">
        <v>0</v>
      </c>
      <c r="AO1103" t="str">
        <f t="shared" si="465"/>
        <v>No usa</v>
      </c>
      <c r="AP1103">
        <v>0</v>
      </c>
      <c r="AQ1103" t="str">
        <f t="shared" si="466"/>
        <v>No camina</v>
      </c>
      <c r="AR1103">
        <v>0</v>
      </c>
      <c r="AS1103" t="str">
        <f t="shared" si="467"/>
        <v>No es obeso</v>
      </c>
    </row>
    <row r="1104" spans="1:45" x14ac:dyDescent="0.25">
      <c r="A1104">
        <v>1</v>
      </c>
      <c r="B1104" t="str">
        <f t="shared" si="442"/>
        <v>M</v>
      </c>
      <c r="C1104">
        <v>17894784</v>
      </c>
      <c r="D1104">
        <f t="shared" si="443"/>
        <v>49</v>
      </c>
      <c r="E1104">
        <f t="shared" si="444"/>
        <v>49</v>
      </c>
      <c r="F1104" t="str">
        <f t="shared" si="445"/>
        <v>25-50</v>
      </c>
      <c r="G1104">
        <v>1</v>
      </c>
      <c r="H1104" t="str">
        <f t="shared" si="446"/>
        <v>Pariente gordo</v>
      </c>
      <c r="I1104">
        <v>0</v>
      </c>
      <c r="J1104" t="str">
        <f t="shared" si="447"/>
        <v>Saludables</v>
      </c>
      <c r="K1104">
        <v>2019674</v>
      </c>
      <c r="L1104">
        <f t="shared" si="448"/>
        <v>1</v>
      </c>
      <c r="M1104" t="str">
        <f t="shared" si="449"/>
        <v>Suele comer</v>
      </c>
      <c r="N1104">
        <v>2843319</v>
      </c>
      <c r="O1104">
        <f t="shared" si="450"/>
        <v>2</v>
      </c>
      <c r="P1104" t="str">
        <f t="shared" si="451"/>
        <v>Mas de 3</v>
      </c>
      <c r="Q1104">
        <v>1</v>
      </c>
      <c r="R1104" t="str">
        <f t="shared" si="452"/>
        <v>A veces</v>
      </c>
      <c r="S1104">
        <v>0</v>
      </c>
      <c r="T1104" t="str">
        <f t="shared" si="453"/>
        <v>No fuma</v>
      </c>
      <c r="U1104">
        <v>2832004</v>
      </c>
      <c r="V1104">
        <f t="shared" si="454"/>
        <v>2</v>
      </c>
      <c r="W1104" t="str">
        <f t="shared" si="455"/>
        <v>Siempre</v>
      </c>
      <c r="X1104">
        <v>0</v>
      </c>
      <c r="Y1104" t="str">
        <f t="shared" si="456"/>
        <v>No controla</v>
      </c>
      <c r="Z1104">
        <v>1</v>
      </c>
      <c r="AA1104">
        <f t="shared" si="457"/>
        <v>1</v>
      </c>
      <c r="AB1104" t="str">
        <f t="shared" si="458"/>
        <v>A veces</v>
      </c>
      <c r="AC1104">
        <v>0.60860700000000001</v>
      </c>
      <c r="AD1104">
        <f t="shared" si="459"/>
        <v>0</v>
      </c>
      <c r="AE1104" t="str">
        <f t="shared" si="460"/>
        <v>Nunca</v>
      </c>
      <c r="AF1104">
        <v>1</v>
      </c>
      <c r="AG1104" t="str">
        <f t="shared" si="461"/>
        <v>A veces</v>
      </c>
      <c r="AH1104">
        <v>0</v>
      </c>
      <c r="AI1104" t="str">
        <f t="shared" si="462"/>
        <v>No usa</v>
      </c>
      <c r="AJ1104">
        <v>0</v>
      </c>
      <c r="AK1104" t="str">
        <f t="shared" si="463"/>
        <v>No usa</v>
      </c>
      <c r="AL1104">
        <v>0</v>
      </c>
      <c r="AM1104" t="str">
        <f t="shared" si="464"/>
        <v>No usa</v>
      </c>
      <c r="AN1104">
        <v>1</v>
      </c>
      <c r="AO1104" t="str">
        <f t="shared" si="465"/>
        <v>Usa Transporte</v>
      </c>
      <c r="AP1104">
        <v>0</v>
      </c>
      <c r="AQ1104" t="str">
        <f t="shared" si="466"/>
        <v>No camina</v>
      </c>
      <c r="AR1104">
        <v>0</v>
      </c>
      <c r="AS1104" t="str">
        <f t="shared" si="467"/>
        <v>No es obeso</v>
      </c>
    </row>
    <row r="1105" spans="1:45" x14ac:dyDescent="0.25">
      <c r="A1105">
        <v>1</v>
      </c>
      <c r="B1105" t="str">
        <f t="shared" si="442"/>
        <v>M</v>
      </c>
      <c r="C1105">
        <v>1888485</v>
      </c>
      <c r="D1105">
        <f t="shared" si="443"/>
        <v>5</v>
      </c>
      <c r="E1105">
        <f t="shared" si="444"/>
        <v>5</v>
      </c>
      <c r="F1105" t="str">
        <f t="shared" si="445"/>
        <v>1-25</v>
      </c>
      <c r="G1105">
        <v>1</v>
      </c>
      <c r="H1105" t="str">
        <f t="shared" si="446"/>
        <v>Pariente gordo</v>
      </c>
      <c r="I1105">
        <v>0</v>
      </c>
      <c r="J1105" t="str">
        <f t="shared" si="447"/>
        <v>Saludables</v>
      </c>
      <c r="K1105">
        <v>2735297</v>
      </c>
      <c r="L1105">
        <f t="shared" si="448"/>
        <v>1</v>
      </c>
      <c r="M1105" t="str">
        <f t="shared" si="449"/>
        <v>Suele comer</v>
      </c>
      <c r="N1105">
        <v>2157164</v>
      </c>
      <c r="O1105">
        <f t="shared" si="450"/>
        <v>2</v>
      </c>
      <c r="P1105" t="str">
        <f t="shared" si="451"/>
        <v>Mas de 3</v>
      </c>
      <c r="Q1105">
        <v>1</v>
      </c>
      <c r="R1105" t="str">
        <f t="shared" si="452"/>
        <v>A veces</v>
      </c>
      <c r="S1105">
        <v>0</v>
      </c>
      <c r="T1105" t="str">
        <f t="shared" si="453"/>
        <v>No fuma</v>
      </c>
      <c r="U1105">
        <v>1087166</v>
      </c>
      <c r="V1105">
        <f t="shared" si="454"/>
        <v>2</v>
      </c>
      <c r="W1105" t="str">
        <f t="shared" si="455"/>
        <v>Siempre</v>
      </c>
      <c r="X1105">
        <v>0</v>
      </c>
      <c r="Y1105" t="str">
        <f t="shared" si="456"/>
        <v>No controla</v>
      </c>
      <c r="Z1105">
        <v>0.11017399999999999</v>
      </c>
      <c r="AA1105">
        <f t="shared" si="457"/>
        <v>0</v>
      </c>
      <c r="AB1105" t="str">
        <f t="shared" si="458"/>
        <v>Nunca</v>
      </c>
      <c r="AC1105">
        <v>3.6949999999999999E-3</v>
      </c>
      <c r="AD1105">
        <f t="shared" si="459"/>
        <v>0</v>
      </c>
      <c r="AE1105" t="str">
        <f t="shared" si="460"/>
        <v>Nunca</v>
      </c>
      <c r="AF1105">
        <v>0</v>
      </c>
      <c r="AG1105" t="str">
        <f t="shared" si="461"/>
        <v>Nunca</v>
      </c>
      <c r="AH1105">
        <v>0</v>
      </c>
      <c r="AI1105" t="str">
        <f t="shared" si="462"/>
        <v>No usa</v>
      </c>
      <c r="AJ1105">
        <v>0</v>
      </c>
      <c r="AK1105" t="str">
        <f t="shared" si="463"/>
        <v>No usa</v>
      </c>
      <c r="AL1105">
        <v>0</v>
      </c>
      <c r="AM1105" t="str">
        <f t="shared" si="464"/>
        <v>No usa</v>
      </c>
      <c r="AN1105">
        <v>1</v>
      </c>
      <c r="AO1105" t="str">
        <f t="shared" si="465"/>
        <v>Usa Transporte</v>
      </c>
      <c r="AP1105">
        <v>0</v>
      </c>
      <c r="AQ1105" t="str">
        <f t="shared" si="466"/>
        <v>No camina</v>
      </c>
      <c r="AR1105">
        <v>0</v>
      </c>
      <c r="AS1105" t="str">
        <f t="shared" si="467"/>
        <v>No es obeso</v>
      </c>
    </row>
    <row r="1106" spans="1:45" x14ac:dyDescent="0.25">
      <c r="A1106">
        <v>0</v>
      </c>
      <c r="B1106" t="str">
        <f t="shared" si="442"/>
        <v>F</v>
      </c>
      <c r="C1106">
        <v>38384177</v>
      </c>
      <c r="D1106">
        <f t="shared" si="443"/>
        <v>105</v>
      </c>
      <c r="E1106">
        <f t="shared" si="444"/>
        <v>100</v>
      </c>
      <c r="F1106" t="str">
        <f t="shared" si="445"/>
        <v>75-100</v>
      </c>
      <c r="G1106">
        <v>1</v>
      </c>
      <c r="H1106" t="str">
        <f t="shared" si="446"/>
        <v>Pariente gordo</v>
      </c>
      <c r="I1106">
        <v>1</v>
      </c>
      <c r="J1106" t="str">
        <f t="shared" si="447"/>
        <v>Hipercaloricos</v>
      </c>
      <c r="K1106">
        <v>3</v>
      </c>
      <c r="L1106">
        <f t="shared" si="448"/>
        <v>1</v>
      </c>
      <c r="M1106" t="str">
        <f t="shared" si="449"/>
        <v>Suele comer</v>
      </c>
      <c r="N1106">
        <v>3</v>
      </c>
      <c r="O1106">
        <f t="shared" si="450"/>
        <v>2</v>
      </c>
      <c r="P1106" t="str">
        <f t="shared" si="451"/>
        <v>Mas de 3</v>
      </c>
      <c r="Q1106">
        <v>1</v>
      </c>
      <c r="R1106" t="str">
        <f t="shared" si="452"/>
        <v>A veces</v>
      </c>
      <c r="S1106">
        <v>0</v>
      </c>
      <c r="T1106" t="str">
        <f t="shared" si="453"/>
        <v>No fuma</v>
      </c>
      <c r="U1106">
        <v>2503198</v>
      </c>
      <c r="V1106">
        <f t="shared" si="454"/>
        <v>2</v>
      </c>
      <c r="W1106" t="str">
        <f t="shared" si="455"/>
        <v>Siempre</v>
      </c>
      <c r="X1106">
        <v>0</v>
      </c>
      <c r="Y1106" t="str">
        <f t="shared" si="456"/>
        <v>No controla</v>
      </c>
      <c r="Z1106">
        <v>0</v>
      </c>
      <c r="AA1106">
        <f t="shared" si="457"/>
        <v>0</v>
      </c>
      <c r="AB1106" t="str">
        <f t="shared" si="458"/>
        <v>Nunca</v>
      </c>
      <c r="AC1106">
        <v>0</v>
      </c>
      <c r="AD1106">
        <f t="shared" si="459"/>
        <v>0</v>
      </c>
      <c r="AE1106" t="str">
        <f t="shared" si="460"/>
        <v>Nunca</v>
      </c>
      <c r="AF1106">
        <v>0</v>
      </c>
      <c r="AG1106" t="str">
        <f t="shared" si="461"/>
        <v>Nunca</v>
      </c>
      <c r="AH1106">
        <v>1</v>
      </c>
      <c r="AI1106" t="str">
        <f t="shared" si="462"/>
        <v>Usa auto</v>
      </c>
      <c r="AJ1106">
        <v>0</v>
      </c>
      <c r="AK1106" t="str">
        <f t="shared" si="463"/>
        <v>No usa</v>
      </c>
      <c r="AL1106">
        <v>0</v>
      </c>
      <c r="AM1106" t="str">
        <f t="shared" si="464"/>
        <v>No usa</v>
      </c>
      <c r="AN1106">
        <v>0</v>
      </c>
      <c r="AO1106" t="str">
        <f t="shared" si="465"/>
        <v>No usa</v>
      </c>
      <c r="AP1106">
        <v>0</v>
      </c>
      <c r="AQ1106" t="str">
        <f t="shared" si="466"/>
        <v>No camina</v>
      </c>
      <c r="AR1106">
        <v>0</v>
      </c>
      <c r="AS1106" t="str">
        <f t="shared" si="467"/>
        <v>No es obeso</v>
      </c>
    </row>
    <row r="1107" spans="1:45" x14ac:dyDescent="0.25">
      <c r="A1107">
        <v>1</v>
      </c>
      <c r="B1107" t="str">
        <f t="shared" si="442"/>
        <v>M</v>
      </c>
      <c r="C1107">
        <v>22675679</v>
      </c>
      <c r="D1107">
        <f t="shared" si="443"/>
        <v>62</v>
      </c>
      <c r="E1107">
        <f t="shared" si="444"/>
        <v>62</v>
      </c>
      <c r="F1107" t="str">
        <f t="shared" si="445"/>
        <v>50-75</v>
      </c>
      <c r="G1107">
        <v>1</v>
      </c>
      <c r="H1107" t="str">
        <f t="shared" si="446"/>
        <v>Pariente gordo</v>
      </c>
      <c r="I1107">
        <v>1</v>
      </c>
      <c r="J1107" t="str">
        <f t="shared" si="447"/>
        <v>Hipercaloricos</v>
      </c>
      <c r="K1107">
        <v>1588782</v>
      </c>
      <c r="L1107">
        <f t="shared" si="448"/>
        <v>1</v>
      </c>
      <c r="M1107" t="str">
        <f t="shared" si="449"/>
        <v>Suele comer</v>
      </c>
      <c r="N1107">
        <v>2601675</v>
      </c>
      <c r="O1107">
        <f t="shared" si="450"/>
        <v>2</v>
      </c>
      <c r="P1107" t="str">
        <f t="shared" si="451"/>
        <v>Mas de 3</v>
      </c>
      <c r="Q1107">
        <v>1</v>
      </c>
      <c r="R1107" t="str">
        <f t="shared" si="452"/>
        <v>A veces</v>
      </c>
      <c r="S1107">
        <v>0</v>
      </c>
      <c r="T1107" t="str">
        <f t="shared" si="453"/>
        <v>No fuma</v>
      </c>
      <c r="U1107">
        <v>2469469</v>
      </c>
      <c r="V1107">
        <f t="shared" si="454"/>
        <v>2</v>
      </c>
      <c r="W1107" t="str">
        <f t="shared" si="455"/>
        <v>Siempre</v>
      </c>
      <c r="X1107">
        <v>0</v>
      </c>
      <c r="Y1107" t="str">
        <f t="shared" si="456"/>
        <v>No controla</v>
      </c>
      <c r="Z1107">
        <v>1736538</v>
      </c>
      <c r="AA1107">
        <f t="shared" si="457"/>
        <v>3</v>
      </c>
      <c r="AB1107" t="str">
        <f t="shared" si="458"/>
        <v>Siempre</v>
      </c>
      <c r="AC1107">
        <v>1886855</v>
      </c>
      <c r="AD1107">
        <f t="shared" si="459"/>
        <v>2</v>
      </c>
      <c r="AE1107" t="str">
        <f t="shared" si="460"/>
        <v>Siempre</v>
      </c>
      <c r="AF1107">
        <v>1</v>
      </c>
      <c r="AG1107" t="str">
        <f t="shared" si="461"/>
        <v>A veces</v>
      </c>
      <c r="AH1107">
        <v>0</v>
      </c>
      <c r="AI1107" t="str">
        <f t="shared" si="462"/>
        <v>No usa</v>
      </c>
      <c r="AJ1107">
        <v>0</v>
      </c>
      <c r="AK1107" t="str">
        <f t="shared" si="463"/>
        <v>No usa</v>
      </c>
      <c r="AL1107">
        <v>0</v>
      </c>
      <c r="AM1107" t="str">
        <f t="shared" si="464"/>
        <v>No usa</v>
      </c>
      <c r="AN1107">
        <v>1</v>
      </c>
      <c r="AO1107" t="str">
        <f t="shared" si="465"/>
        <v>Usa Transporte</v>
      </c>
      <c r="AP1107">
        <v>0</v>
      </c>
      <c r="AQ1107" t="str">
        <f t="shared" si="466"/>
        <v>No camina</v>
      </c>
      <c r="AR1107">
        <v>0</v>
      </c>
      <c r="AS1107" t="str">
        <f t="shared" si="467"/>
        <v>No es obeso</v>
      </c>
    </row>
    <row r="1108" spans="1:45" x14ac:dyDescent="0.25">
      <c r="A1108">
        <v>1</v>
      </c>
      <c r="B1108" t="str">
        <f t="shared" si="442"/>
        <v>M</v>
      </c>
      <c r="C1108">
        <v>33049121</v>
      </c>
      <c r="D1108">
        <f t="shared" si="443"/>
        <v>90</v>
      </c>
      <c r="E1108">
        <f t="shared" si="444"/>
        <v>90</v>
      </c>
      <c r="F1108" t="str">
        <f t="shared" si="445"/>
        <v>75-100</v>
      </c>
      <c r="G1108">
        <v>1</v>
      </c>
      <c r="H1108" t="str">
        <f t="shared" si="446"/>
        <v>Pariente gordo</v>
      </c>
      <c r="I1108">
        <v>1</v>
      </c>
      <c r="J1108" t="str">
        <f t="shared" si="447"/>
        <v>Hipercaloricos</v>
      </c>
      <c r="K1108">
        <v>2</v>
      </c>
      <c r="L1108">
        <f t="shared" si="448"/>
        <v>1</v>
      </c>
      <c r="M1108" t="str">
        <f t="shared" si="449"/>
        <v>Suele comer</v>
      </c>
      <c r="N1108">
        <v>1171027</v>
      </c>
      <c r="O1108">
        <f t="shared" si="450"/>
        <v>2</v>
      </c>
      <c r="P1108" t="str">
        <f t="shared" si="451"/>
        <v>Mas de 3</v>
      </c>
      <c r="Q1108">
        <v>1</v>
      </c>
      <c r="R1108" t="str">
        <f t="shared" si="452"/>
        <v>A veces</v>
      </c>
      <c r="S1108">
        <v>0</v>
      </c>
      <c r="T1108" t="str">
        <f t="shared" si="453"/>
        <v>No fuma</v>
      </c>
      <c r="U1108">
        <v>2405172</v>
      </c>
      <c r="V1108">
        <f t="shared" si="454"/>
        <v>2</v>
      </c>
      <c r="W1108" t="str">
        <f t="shared" si="455"/>
        <v>Siempre</v>
      </c>
      <c r="X1108">
        <v>0</v>
      </c>
      <c r="Y1108" t="str">
        <f t="shared" si="456"/>
        <v>No controla</v>
      </c>
      <c r="Z1108">
        <v>2300282</v>
      </c>
      <c r="AA1108">
        <f t="shared" si="457"/>
        <v>3</v>
      </c>
      <c r="AB1108" t="str">
        <f t="shared" si="458"/>
        <v>Siempre</v>
      </c>
      <c r="AC1108">
        <v>0</v>
      </c>
      <c r="AD1108">
        <f t="shared" si="459"/>
        <v>0</v>
      </c>
      <c r="AE1108" t="str">
        <f t="shared" si="460"/>
        <v>Nunca</v>
      </c>
      <c r="AF1108">
        <v>0</v>
      </c>
      <c r="AG1108" t="str">
        <f t="shared" si="461"/>
        <v>Nunca</v>
      </c>
      <c r="AH1108">
        <v>1</v>
      </c>
      <c r="AI1108" t="str">
        <f t="shared" si="462"/>
        <v>Usa auto</v>
      </c>
      <c r="AJ1108">
        <v>0</v>
      </c>
      <c r="AK1108" t="str">
        <f t="shared" si="463"/>
        <v>No usa</v>
      </c>
      <c r="AL1108">
        <v>0</v>
      </c>
      <c r="AM1108" t="str">
        <f t="shared" si="464"/>
        <v>No usa</v>
      </c>
      <c r="AN1108">
        <v>0</v>
      </c>
      <c r="AO1108" t="str">
        <f t="shared" si="465"/>
        <v>No usa</v>
      </c>
      <c r="AP1108">
        <v>0</v>
      </c>
      <c r="AQ1108" t="str">
        <f t="shared" si="466"/>
        <v>No camina</v>
      </c>
      <c r="AR1108">
        <v>0</v>
      </c>
      <c r="AS1108" t="str">
        <f t="shared" si="467"/>
        <v>No es obeso</v>
      </c>
    </row>
    <row r="1109" spans="1:45" x14ac:dyDescent="0.25">
      <c r="A1109">
        <v>0</v>
      </c>
      <c r="B1109" t="str">
        <f t="shared" si="442"/>
        <v>F</v>
      </c>
      <c r="C1109">
        <v>37205173</v>
      </c>
      <c r="D1109">
        <f t="shared" si="443"/>
        <v>101</v>
      </c>
      <c r="E1109">
        <f t="shared" si="444"/>
        <v>100</v>
      </c>
      <c r="F1109" t="str">
        <f t="shared" si="445"/>
        <v>75-100</v>
      </c>
      <c r="G1109">
        <v>1</v>
      </c>
      <c r="H1109" t="str">
        <f t="shared" si="446"/>
        <v>Pariente gordo</v>
      </c>
      <c r="I1109">
        <v>1</v>
      </c>
      <c r="J1109" t="str">
        <f t="shared" si="447"/>
        <v>Hipercaloricos</v>
      </c>
      <c r="K1109">
        <v>201054</v>
      </c>
      <c r="L1109">
        <f t="shared" si="448"/>
        <v>1</v>
      </c>
      <c r="M1109" t="str">
        <f t="shared" si="449"/>
        <v>Suele comer</v>
      </c>
      <c r="N1109">
        <v>277684</v>
      </c>
      <c r="O1109">
        <f t="shared" si="450"/>
        <v>2</v>
      </c>
      <c r="P1109" t="str">
        <f t="shared" si="451"/>
        <v>Mas de 3</v>
      </c>
      <c r="Q1109">
        <v>1</v>
      </c>
      <c r="R1109" t="str">
        <f t="shared" si="452"/>
        <v>A veces</v>
      </c>
      <c r="S1109">
        <v>0</v>
      </c>
      <c r="T1109" t="str">
        <f t="shared" si="453"/>
        <v>No fuma</v>
      </c>
      <c r="U1109">
        <v>1651548</v>
      </c>
      <c r="V1109">
        <f t="shared" si="454"/>
        <v>2</v>
      </c>
      <c r="W1109" t="str">
        <f t="shared" si="455"/>
        <v>Siempre</v>
      </c>
      <c r="X1109">
        <v>0</v>
      </c>
      <c r="Y1109" t="str">
        <f t="shared" si="456"/>
        <v>No controla</v>
      </c>
      <c r="Z1109">
        <v>0</v>
      </c>
      <c r="AA1109">
        <f t="shared" si="457"/>
        <v>0</v>
      </c>
      <c r="AB1109" t="str">
        <f t="shared" si="458"/>
        <v>Nunca</v>
      </c>
      <c r="AC1109">
        <v>0.79096699999999998</v>
      </c>
      <c r="AD1109">
        <f t="shared" si="459"/>
        <v>0</v>
      </c>
      <c r="AE1109" t="str">
        <f t="shared" si="460"/>
        <v>Nunca</v>
      </c>
      <c r="AF1109">
        <v>0</v>
      </c>
      <c r="AG1109" t="str">
        <f t="shared" si="461"/>
        <v>Nunca</v>
      </c>
      <c r="AH1109">
        <v>1</v>
      </c>
      <c r="AI1109" t="str">
        <f t="shared" si="462"/>
        <v>Usa auto</v>
      </c>
      <c r="AJ1109">
        <v>0</v>
      </c>
      <c r="AK1109" t="str">
        <f t="shared" si="463"/>
        <v>No usa</v>
      </c>
      <c r="AL1109">
        <v>0</v>
      </c>
      <c r="AM1109" t="str">
        <f t="shared" si="464"/>
        <v>No usa</v>
      </c>
      <c r="AN1109">
        <v>0</v>
      </c>
      <c r="AO1109" t="str">
        <f t="shared" si="465"/>
        <v>No usa</v>
      </c>
      <c r="AP1109">
        <v>0</v>
      </c>
      <c r="AQ1109" t="str">
        <f t="shared" si="466"/>
        <v>No camina</v>
      </c>
      <c r="AR1109">
        <v>0</v>
      </c>
      <c r="AS1109" t="str">
        <f t="shared" si="467"/>
        <v>No es obeso</v>
      </c>
    </row>
    <row r="1110" spans="1:45" x14ac:dyDescent="0.25">
      <c r="A1110">
        <v>0</v>
      </c>
      <c r="B1110" t="str">
        <f t="shared" si="442"/>
        <v>F</v>
      </c>
      <c r="C1110">
        <v>19027417</v>
      </c>
      <c r="D1110">
        <f t="shared" si="443"/>
        <v>52</v>
      </c>
      <c r="E1110">
        <f t="shared" si="444"/>
        <v>52</v>
      </c>
      <c r="F1110" t="str">
        <f t="shared" si="445"/>
        <v>50-75</v>
      </c>
      <c r="G1110">
        <v>1</v>
      </c>
      <c r="H1110" t="str">
        <f t="shared" si="446"/>
        <v>Pariente gordo</v>
      </c>
      <c r="I1110">
        <v>0</v>
      </c>
      <c r="J1110" t="str">
        <f t="shared" si="447"/>
        <v>Saludables</v>
      </c>
      <c r="K1110">
        <v>3</v>
      </c>
      <c r="L1110">
        <f t="shared" si="448"/>
        <v>1</v>
      </c>
      <c r="M1110" t="str">
        <f t="shared" si="449"/>
        <v>Suele comer</v>
      </c>
      <c r="N1110">
        <v>3362758</v>
      </c>
      <c r="O1110">
        <f t="shared" si="450"/>
        <v>2</v>
      </c>
      <c r="P1110" t="str">
        <f t="shared" si="451"/>
        <v>Mas de 3</v>
      </c>
      <c r="Q1110">
        <v>1</v>
      </c>
      <c r="R1110" t="str">
        <f t="shared" si="452"/>
        <v>A veces</v>
      </c>
      <c r="S1110">
        <v>0</v>
      </c>
      <c r="T1110" t="str">
        <f t="shared" si="453"/>
        <v>No fuma</v>
      </c>
      <c r="U1110">
        <v>2</v>
      </c>
      <c r="V1110">
        <f t="shared" si="454"/>
        <v>2</v>
      </c>
      <c r="W1110" t="str">
        <f t="shared" si="455"/>
        <v>Siempre</v>
      </c>
      <c r="X1110">
        <v>0</v>
      </c>
      <c r="Y1110" t="str">
        <f t="shared" si="456"/>
        <v>No controla</v>
      </c>
      <c r="Z1110">
        <v>2892922</v>
      </c>
      <c r="AA1110">
        <f t="shared" si="457"/>
        <v>3</v>
      </c>
      <c r="AB1110" t="str">
        <f t="shared" si="458"/>
        <v>Siempre</v>
      </c>
      <c r="AC1110">
        <v>1</v>
      </c>
      <c r="AD1110">
        <f t="shared" si="459"/>
        <v>1</v>
      </c>
      <c r="AE1110" t="str">
        <f t="shared" si="460"/>
        <v>Usualmente</v>
      </c>
      <c r="AF1110">
        <v>1</v>
      </c>
      <c r="AG1110" t="str">
        <f t="shared" si="461"/>
        <v>A veces</v>
      </c>
      <c r="AH1110">
        <v>0</v>
      </c>
      <c r="AI1110" t="str">
        <f t="shared" si="462"/>
        <v>No usa</v>
      </c>
      <c r="AJ1110">
        <v>0</v>
      </c>
      <c r="AK1110" t="str">
        <f t="shared" si="463"/>
        <v>No usa</v>
      </c>
      <c r="AL1110">
        <v>0</v>
      </c>
      <c r="AM1110" t="str">
        <f t="shared" si="464"/>
        <v>No usa</v>
      </c>
      <c r="AN1110">
        <v>1</v>
      </c>
      <c r="AO1110" t="str">
        <f t="shared" si="465"/>
        <v>Usa Transporte</v>
      </c>
      <c r="AP1110">
        <v>0</v>
      </c>
      <c r="AQ1110" t="str">
        <f t="shared" si="466"/>
        <v>No camina</v>
      </c>
      <c r="AR1110">
        <v>0</v>
      </c>
      <c r="AS1110" t="str">
        <f t="shared" si="467"/>
        <v>No es obeso</v>
      </c>
    </row>
    <row r="1111" spans="1:45" x14ac:dyDescent="0.25">
      <c r="A1111">
        <v>1</v>
      </c>
      <c r="B1111" t="str">
        <f t="shared" si="442"/>
        <v>M</v>
      </c>
      <c r="C1111">
        <v>37492444</v>
      </c>
      <c r="D1111">
        <f t="shared" si="443"/>
        <v>102</v>
      </c>
      <c r="E1111">
        <f t="shared" si="444"/>
        <v>100</v>
      </c>
      <c r="F1111" t="str">
        <f t="shared" si="445"/>
        <v>75-100</v>
      </c>
      <c r="G1111">
        <v>1</v>
      </c>
      <c r="H1111" t="str">
        <f t="shared" si="446"/>
        <v>Pariente gordo</v>
      </c>
      <c r="I1111">
        <v>1</v>
      </c>
      <c r="J1111" t="str">
        <f t="shared" si="447"/>
        <v>Hipercaloricos</v>
      </c>
      <c r="K1111">
        <v>2</v>
      </c>
      <c r="L1111">
        <f t="shared" si="448"/>
        <v>1</v>
      </c>
      <c r="M1111" t="str">
        <f t="shared" si="449"/>
        <v>Suele comer</v>
      </c>
      <c r="N1111">
        <v>1672706</v>
      </c>
      <c r="O1111">
        <f t="shared" si="450"/>
        <v>2</v>
      </c>
      <c r="P1111" t="str">
        <f t="shared" si="451"/>
        <v>Mas de 3</v>
      </c>
      <c r="Q1111">
        <v>1</v>
      </c>
      <c r="R1111" t="str">
        <f t="shared" si="452"/>
        <v>A veces</v>
      </c>
      <c r="S1111">
        <v>0</v>
      </c>
      <c r="T1111" t="str">
        <f t="shared" si="453"/>
        <v>No fuma</v>
      </c>
      <c r="U1111">
        <v>2766674</v>
      </c>
      <c r="V1111">
        <f t="shared" si="454"/>
        <v>2</v>
      </c>
      <c r="W1111" t="str">
        <f t="shared" si="455"/>
        <v>Siempre</v>
      </c>
      <c r="X1111">
        <v>0</v>
      </c>
      <c r="Y1111" t="str">
        <f t="shared" si="456"/>
        <v>No controla</v>
      </c>
      <c r="Z1111">
        <v>1</v>
      </c>
      <c r="AA1111">
        <f t="shared" si="457"/>
        <v>1</v>
      </c>
      <c r="AB1111" t="str">
        <f t="shared" si="458"/>
        <v>A veces</v>
      </c>
      <c r="AC1111">
        <v>2.7092999999999999E-2</v>
      </c>
      <c r="AD1111">
        <f t="shared" si="459"/>
        <v>0</v>
      </c>
      <c r="AE1111" t="str">
        <f t="shared" si="460"/>
        <v>Nunca</v>
      </c>
      <c r="AF1111">
        <v>1</v>
      </c>
      <c r="AG1111" t="str">
        <f t="shared" si="461"/>
        <v>A veces</v>
      </c>
      <c r="AH1111">
        <v>1</v>
      </c>
      <c r="AI1111" t="str">
        <f t="shared" si="462"/>
        <v>Usa auto</v>
      </c>
      <c r="AJ1111">
        <v>0</v>
      </c>
      <c r="AK1111" t="str">
        <f t="shared" si="463"/>
        <v>No usa</v>
      </c>
      <c r="AL1111">
        <v>0</v>
      </c>
      <c r="AM1111" t="str">
        <f t="shared" si="464"/>
        <v>No usa</v>
      </c>
      <c r="AN1111">
        <v>0</v>
      </c>
      <c r="AO1111" t="str">
        <f t="shared" si="465"/>
        <v>No usa</v>
      </c>
      <c r="AP1111">
        <v>0</v>
      </c>
      <c r="AQ1111" t="str">
        <f t="shared" si="466"/>
        <v>No camina</v>
      </c>
      <c r="AR1111">
        <v>0</v>
      </c>
      <c r="AS1111" t="str">
        <f t="shared" si="467"/>
        <v>No es obeso</v>
      </c>
    </row>
    <row r="1112" spans="1:45" x14ac:dyDescent="0.25">
      <c r="A1112">
        <v>1</v>
      </c>
      <c r="B1112" t="str">
        <f t="shared" si="442"/>
        <v>M</v>
      </c>
      <c r="C1112">
        <v>24657598</v>
      </c>
      <c r="D1112">
        <f t="shared" si="443"/>
        <v>67</v>
      </c>
      <c r="E1112">
        <f t="shared" si="444"/>
        <v>67</v>
      </c>
      <c r="F1112" t="str">
        <f t="shared" si="445"/>
        <v>50-75</v>
      </c>
      <c r="G1112">
        <v>1</v>
      </c>
      <c r="H1112" t="str">
        <f t="shared" si="446"/>
        <v>Pariente gordo</v>
      </c>
      <c r="I1112">
        <v>1</v>
      </c>
      <c r="J1112" t="str">
        <f t="shared" si="447"/>
        <v>Hipercaloricos</v>
      </c>
      <c r="K1112">
        <v>2689577</v>
      </c>
      <c r="L1112">
        <f t="shared" si="448"/>
        <v>1</v>
      </c>
      <c r="M1112" t="str">
        <f t="shared" si="449"/>
        <v>Suele comer</v>
      </c>
      <c r="N1112">
        <v>2714115</v>
      </c>
      <c r="O1112">
        <f t="shared" si="450"/>
        <v>2</v>
      </c>
      <c r="P1112" t="str">
        <f t="shared" si="451"/>
        <v>Mas de 3</v>
      </c>
      <c r="Q1112">
        <v>1</v>
      </c>
      <c r="R1112" t="str">
        <f t="shared" si="452"/>
        <v>A veces</v>
      </c>
      <c r="S1112">
        <v>0</v>
      </c>
      <c r="T1112" t="str">
        <f t="shared" si="453"/>
        <v>No fuma</v>
      </c>
      <c r="U1112">
        <v>2279214</v>
      </c>
      <c r="V1112">
        <f t="shared" si="454"/>
        <v>2</v>
      </c>
      <c r="W1112" t="str">
        <f t="shared" si="455"/>
        <v>Siempre</v>
      </c>
      <c r="X1112">
        <v>0</v>
      </c>
      <c r="Y1112" t="str">
        <f t="shared" si="456"/>
        <v>No controla</v>
      </c>
      <c r="Z1112">
        <v>0.970661</v>
      </c>
      <c r="AA1112">
        <f t="shared" si="457"/>
        <v>0</v>
      </c>
      <c r="AB1112" t="str">
        <f t="shared" si="458"/>
        <v>Nunca</v>
      </c>
      <c r="AC1112">
        <v>0.82854899999999998</v>
      </c>
      <c r="AD1112">
        <f t="shared" si="459"/>
        <v>0</v>
      </c>
      <c r="AE1112" t="str">
        <f t="shared" si="460"/>
        <v>Nunca</v>
      </c>
      <c r="AF1112">
        <v>1</v>
      </c>
      <c r="AG1112" t="str">
        <f t="shared" si="461"/>
        <v>A veces</v>
      </c>
      <c r="AH1112">
        <v>0</v>
      </c>
      <c r="AI1112" t="str">
        <f t="shared" si="462"/>
        <v>No usa</v>
      </c>
      <c r="AJ1112">
        <v>0</v>
      </c>
      <c r="AK1112" t="str">
        <f t="shared" si="463"/>
        <v>No usa</v>
      </c>
      <c r="AL1112">
        <v>0</v>
      </c>
      <c r="AM1112" t="str">
        <f t="shared" si="464"/>
        <v>No usa</v>
      </c>
      <c r="AN1112">
        <v>1</v>
      </c>
      <c r="AO1112" t="str">
        <f t="shared" si="465"/>
        <v>Usa Transporte</v>
      </c>
      <c r="AP1112">
        <v>0</v>
      </c>
      <c r="AQ1112" t="str">
        <f t="shared" si="466"/>
        <v>No camina</v>
      </c>
      <c r="AR1112">
        <v>0</v>
      </c>
      <c r="AS1112" t="str">
        <f t="shared" si="467"/>
        <v>No es obeso</v>
      </c>
    </row>
    <row r="1113" spans="1:45" x14ac:dyDescent="0.25">
      <c r="A1113">
        <v>1</v>
      </c>
      <c r="B1113" t="str">
        <f t="shared" si="442"/>
        <v>M</v>
      </c>
      <c r="C1113">
        <v>18011718</v>
      </c>
      <c r="D1113">
        <f t="shared" si="443"/>
        <v>49</v>
      </c>
      <c r="E1113">
        <f t="shared" si="444"/>
        <v>49</v>
      </c>
      <c r="F1113" t="str">
        <f t="shared" si="445"/>
        <v>25-50</v>
      </c>
      <c r="G1113">
        <v>1</v>
      </c>
      <c r="H1113" t="str">
        <f t="shared" si="446"/>
        <v>Pariente gordo</v>
      </c>
      <c r="I1113">
        <v>1</v>
      </c>
      <c r="J1113" t="str">
        <f t="shared" si="447"/>
        <v>Hipercaloricos</v>
      </c>
      <c r="K1113">
        <v>2413156</v>
      </c>
      <c r="L1113">
        <f t="shared" si="448"/>
        <v>1</v>
      </c>
      <c r="M1113" t="str">
        <f t="shared" si="449"/>
        <v>Suele comer</v>
      </c>
      <c r="N1113">
        <v>2521546</v>
      </c>
      <c r="O1113">
        <f t="shared" si="450"/>
        <v>2</v>
      </c>
      <c r="P1113" t="str">
        <f t="shared" si="451"/>
        <v>Mas de 3</v>
      </c>
      <c r="Q1113">
        <v>1</v>
      </c>
      <c r="R1113" t="str">
        <f t="shared" si="452"/>
        <v>A veces</v>
      </c>
      <c r="S1113">
        <v>0</v>
      </c>
      <c r="T1113" t="str">
        <f t="shared" si="453"/>
        <v>No fuma</v>
      </c>
      <c r="U1113">
        <v>1985312</v>
      </c>
      <c r="V1113">
        <f t="shared" si="454"/>
        <v>2</v>
      </c>
      <c r="W1113" t="str">
        <f t="shared" si="455"/>
        <v>Siempre</v>
      </c>
      <c r="X1113">
        <v>0</v>
      </c>
      <c r="Y1113" t="str">
        <f t="shared" si="456"/>
        <v>No controla</v>
      </c>
      <c r="Z1113">
        <v>7.0499999999999998E-3</v>
      </c>
      <c r="AA1113">
        <f t="shared" si="457"/>
        <v>0</v>
      </c>
      <c r="AB1113" t="str">
        <f t="shared" si="458"/>
        <v>Nunca</v>
      </c>
      <c r="AC1113">
        <v>0.96546399999999999</v>
      </c>
      <c r="AD1113">
        <f t="shared" si="459"/>
        <v>0</v>
      </c>
      <c r="AE1113" t="str">
        <f t="shared" si="460"/>
        <v>Nunca</v>
      </c>
      <c r="AF1113">
        <v>1</v>
      </c>
      <c r="AG1113" t="str">
        <f t="shared" si="461"/>
        <v>A veces</v>
      </c>
      <c r="AH1113">
        <v>0</v>
      </c>
      <c r="AI1113" t="str">
        <f t="shared" si="462"/>
        <v>No usa</v>
      </c>
      <c r="AJ1113">
        <v>0</v>
      </c>
      <c r="AK1113" t="str">
        <f t="shared" si="463"/>
        <v>No usa</v>
      </c>
      <c r="AL1113">
        <v>0</v>
      </c>
      <c r="AM1113" t="str">
        <f t="shared" si="464"/>
        <v>No usa</v>
      </c>
      <c r="AN1113">
        <v>1</v>
      </c>
      <c r="AO1113" t="str">
        <f t="shared" si="465"/>
        <v>Usa Transporte</v>
      </c>
      <c r="AP1113">
        <v>0</v>
      </c>
      <c r="AQ1113" t="str">
        <f t="shared" si="466"/>
        <v>No camina</v>
      </c>
      <c r="AR1113">
        <v>0</v>
      </c>
      <c r="AS1113" t="str">
        <f t="shared" si="467"/>
        <v>No es obeso</v>
      </c>
    </row>
    <row r="1114" spans="1:45" x14ac:dyDescent="0.25">
      <c r="A1114">
        <v>1</v>
      </c>
      <c r="B1114" t="str">
        <f t="shared" si="442"/>
        <v>M</v>
      </c>
      <c r="C1114">
        <v>27349745</v>
      </c>
      <c r="D1114">
        <f t="shared" si="443"/>
        <v>74</v>
      </c>
      <c r="E1114">
        <f t="shared" si="444"/>
        <v>74</v>
      </c>
      <c r="F1114" t="str">
        <f t="shared" si="445"/>
        <v>50-75</v>
      </c>
      <c r="G1114">
        <v>1</v>
      </c>
      <c r="H1114" t="str">
        <f t="shared" si="446"/>
        <v>Pariente gordo</v>
      </c>
      <c r="I1114">
        <v>1</v>
      </c>
      <c r="J1114" t="str">
        <f t="shared" si="447"/>
        <v>Hipercaloricos</v>
      </c>
      <c r="K1114">
        <v>2923433</v>
      </c>
      <c r="L1114">
        <f t="shared" si="448"/>
        <v>1</v>
      </c>
      <c r="M1114" t="str">
        <f t="shared" si="449"/>
        <v>Suele comer</v>
      </c>
      <c r="N1114">
        <v>1338033</v>
      </c>
      <c r="O1114">
        <f t="shared" si="450"/>
        <v>2</v>
      </c>
      <c r="P1114" t="str">
        <f t="shared" si="451"/>
        <v>Mas de 3</v>
      </c>
      <c r="Q1114">
        <v>1</v>
      </c>
      <c r="R1114" t="str">
        <f t="shared" si="452"/>
        <v>A veces</v>
      </c>
      <c r="S1114">
        <v>0</v>
      </c>
      <c r="T1114" t="str">
        <f t="shared" si="453"/>
        <v>No fuma</v>
      </c>
      <c r="U1114">
        <v>1944095</v>
      </c>
      <c r="V1114">
        <f t="shared" si="454"/>
        <v>2</v>
      </c>
      <c r="W1114" t="str">
        <f t="shared" si="455"/>
        <v>Siempre</v>
      </c>
      <c r="X1114">
        <v>0</v>
      </c>
      <c r="Y1114" t="str">
        <f t="shared" si="456"/>
        <v>No controla</v>
      </c>
      <c r="Z1114">
        <v>1931829</v>
      </c>
      <c r="AA1114">
        <f t="shared" si="457"/>
        <v>3</v>
      </c>
      <c r="AB1114" t="str">
        <f t="shared" si="458"/>
        <v>Siempre</v>
      </c>
      <c r="AC1114">
        <v>1</v>
      </c>
      <c r="AD1114">
        <f t="shared" si="459"/>
        <v>1</v>
      </c>
      <c r="AE1114" t="str">
        <f t="shared" si="460"/>
        <v>Usualmente</v>
      </c>
      <c r="AF1114">
        <v>1</v>
      </c>
      <c r="AG1114" t="str">
        <f t="shared" si="461"/>
        <v>A veces</v>
      </c>
      <c r="AH1114">
        <v>0</v>
      </c>
      <c r="AI1114" t="str">
        <f t="shared" si="462"/>
        <v>No usa</v>
      </c>
      <c r="AJ1114">
        <v>0</v>
      </c>
      <c r="AK1114" t="str">
        <f t="shared" si="463"/>
        <v>No usa</v>
      </c>
      <c r="AL1114">
        <v>0</v>
      </c>
      <c r="AM1114" t="str">
        <f t="shared" si="464"/>
        <v>No usa</v>
      </c>
      <c r="AN1114">
        <v>1</v>
      </c>
      <c r="AO1114" t="str">
        <f t="shared" si="465"/>
        <v>Usa Transporte</v>
      </c>
      <c r="AP1114">
        <v>0</v>
      </c>
      <c r="AQ1114" t="str">
        <f t="shared" si="466"/>
        <v>No camina</v>
      </c>
      <c r="AR1114">
        <v>0</v>
      </c>
      <c r="AS1114" t="str">
        <f t="shared" si="467"/>
        <v>No es obeso</v>
      </c>
    </row>
    <row r="1115" spans="1:45" x14ac:dyDescent="0.25">
      <c r="A1115">
        <v>1</v>
      </c>
      <c r="B1115" t="str">
        <f t="shared" si="442"/>
        <v>M</v>
      </c>
      <c r="C1115">
        <v>18</v>
      </c>
      <c r="D1115">
        <f t="shared" si="443"/>
        <v>18</v>
      </c>
      <c r="E1115">
        <f t="shared" si="444"/>
        <v>18</v>
      </c>
      <c r="F1115" t="str">
        <f t="shared" si="445"/>
        <v>1-25</v>
      </c>
      <c r="G1115">
        <v>1</v>
      </c>
      <c r="H1115" t="str">
        <f t="shared" si="446"/>
        <v>Pariente gordo</v>
      </c>
      <c r="I1115">
        <v>1</v>
      </c>
      <c r="J1115" t="str">
        <f t="shared" si="447"/>
        <v>Hipercaloricos</v>
      </c>
      <c r="K1115">
        <v>3</v>
      </c>
      <c r="L1115">
        <f t="shared" si="448"/>
        <v>1</v>
      </c>
      <c r="M1115" t="str">
        <f t="shared" si="449"/>
        <v>Suele comer</v>
      </c>
      <c r="N1115">
        <v>3</v>
      </c>
      <c r="O1115">
        <f t="shared" si="450"/>
        <v>2</v>
      </c>
      <c r="P1115" t="str">
        <f t="shared" si="451"/>
        <v>Mas de 3</v>
      </c>
      <c r="Q1115">
        <v>1</v>
      </c>
      <c r="R1115" t="str">
        <f t="shared" si="452"/>
        <v>A veces</v>
      </c>
      <c r="S1115">
        <v>0</v>
      </c>
      <c r="T1115" t="str">
        <f t="shared" si="453"/>
        <v>No fuma</v>
      </c>
      <c r="U1115">
        <v>2</v>
      </c>
      <c r="V1115">
        <f t="shared" si="454"/>
        <v>2</v>
      </c>
      <c r="W1115" t="str">
        <f t="shared" si="455"/>
        <v>Siempre</v>
      </c>
      <c r="X1115">
        <v>0</v>
      </c>
      <c r="Y1115" t="str">
        <f t="shared" si="456"/>
        <v>No controla</v>
      </c>
      <c r="Z1115">
        <v>2040816</v>
      </c>
      <c r="AA1115">
        <f t="shared" si="457"/>
        <v>3</v>
      </c>
      <c r="AB1115" t="str">
        <f t="shared" si="458"/>
        <v>Siempre</v>
      </c>
      <c r="AC1115">
        <v>0.860321</v>
      </c>
      <c r="AD1115">
        <f t="shared" si="459"/>
        <v>0</v>
      </c>
      <c r="AE1115" t="str">
        <f t="shared" si="460"/>
        <v>Nunca</v>
      </c>
      <c r="AF1115">
        <v>1</v>
      </c>
      <c r="AG1115" t="str">
        <f t="shared" si="461"/>
        <v>A veces</v>
      </c>
      <c r="AH1115">
        <v>0</v>
      </c>
      <c r="AI1115" t="str">
        <f t="shared" si="462"/>
        <v>No usa</v>
      </c>
      <c r="AJ1115">
        <v>0</v>
      </c>
      <c r="AK1115" t="str">
        <f t="shared" si="463"/>
        <v>No usa</v>
      </c>
      <c r="AL1115">
        <v>0</v>
      </c>
      <c r="AM1115" t="str">
        <f t="shared" si="464"/>
        <v>No usa</v>
      </c>
      <c r="AN1115">
        <v>1</v>
      </c>
      <c r="AO1115" t="str">
        <f t="shared" si="465"/>
        <v>Usa Transporte</v>
      </c>
      <c r="AP1115">
        <v>0</v>
      </c>
      <c r="AQ1115" t="str">
        <f t="shared" si="466"/>
        <v>No camina</v>
      </c>
      <c r="AR1115">
        <v>0</v>
      </c>
      <c r="AS1115" t="str">
        <f t="shared" si="467"/>
        <v>No es obeso</v>
      </c>
    </row>
    <row r="1116" spans="1:45" x14ac:dyDescent="0.25">
      <c r="A1116">
        <v>1</v>
      </c>
      <c r="B1116" t="str">
        <f t="shared" si="442"/>
        <v>M</v>
      </c>
      <c r="C1116">
        <v>33009285</v>
      </c>
      <c r="D1116">
        <f t="shared" si="443"/>
        <v>90</v>
      </c>
      <c r="E1116">
        <f t="shared" si="444"/>
        <v>90</v>
      </c>
      <c r="F1116" t="str">
        <f t="shared" si="445"/>
        <v>75-100</v>
      </c>
      <c r="G1116">
        <v>1</v>
      </c>
      <c r="H1116" t="str">
        <f t="shared" si="446"/>
        <v>Pariente gordo</v>
      </c>
      <c r="I1116">
        <v>1</v>
      </c>
      <c r="J1116" t="str">
        <f t="shared" si="447"/>
        <v>Hipercaloricos</v>
      </c>
      <c r="K1116">
        <v>2</v>
      </c>
      <c r="L1116">
        <f t="shared" si="448"/>
        <v>1</v>
      </c>
      <c r="M1116" t="str">
        <f t="shared" si="449"/>
        <v>Suele comer</v>
      </c>
      <c r="N1116">
        <v>3</v>
      </c>
      <c r="O1116">
        <f t="shared" si="450"/>
        <v>2</v>
      </c>
      <c r="P1116" t="str">
        <f t="shared" si="451"/>
        <v>Mas de 3</v>
      </c>
      <c r="Q1116">
        <v>1</v>
      </c>
      <c r="R1116" t="str">
        <f t="shared" si="452"/>
        <v>A veces</v>
      </c>
      <c r="S1116">
        <v>0</v>
      </c>
      <c r="T1116" t="str">
        <f t="shared" si="453"/>
        <v>No fuma</v>
      </c>
      <c r="U1116">
        <v>2035954</v>
      </c>
      <c r="V1116">
        <f t="shared" si="454"/>
        <v>2</v>
      </c>
      <c r="W1116" t="str">
        <f t="shared" si="455"/>
        <v>Siempre</v>
      </c>
      <c r="X1116">
        <v>0</v>
      </c>
      <c r="Y1116" t="str">
        <f t="shared" si="456"/>
        <v>No controla</v>
      </c>
      <c r="Z1116">
        <v>1210736</v>
      </c>
      <c r="AA1116">
        <f t="shared" si="457"/>
        <v>3</v>
      </c>
      <c r="AB1116" t="str">
        <f t="shared" si="458"/>
        <v>Siempre</v>
      </c>
      <c r="AC1116">
        <v>0</v>
      </c>
      <c r="AD1116">
        <f t="shared" si="459"/>
        <v>0</v>
      </c>
      <c r="AE1116" t="str">
        <f t="shared" si="460"/>
        <v>Nunca</v>
      </c>
      <c r="AF1116">
        <v>0</v>
      </c>
      <c r="AG1116" t="str">
        <f t="shared" si="461"/>
        <v>Nunca</v>
      </c>
      <c r="AH1116">
        <v>1</v>
      </c>
      <c r="AI1116" t="str">
        <f t="shared" si="462"/>
        <v>Usa auto</v>
      </c>
      <c r="AJ1116">
        <v>0</v>
      </c>
      <c r="AK1116" t="str">
        <f t="shared" si="463"/>
        <v>No usa</v>
      </c>
      <c r="AL1116">
        <v>0</v>
      </c>
      <c r="AM1116" t="str">
        <f t="shared" si="464"/>
        <v>No usa</v>
      </c>
      <c r="AN1116">
        <v>0</v>
      </c>
      <c r="AO1116" t="str">
        <f t="shared" si="465"/>
        <v>No usa</v>
      </c>
      <c r="AP1116">
        <v>0</v>
      </c>
      <c r="AQ1116" t="str">
        <f t="shared" si="466"/>
        <v>No camina</v>
      </c>
      <c r="AR1116">
        <v>0</v>
      </c>
      <c r="AS1116" t="str">
        <f t="shared" si="467"/>
        <v>No es obeso</v>
      </c>
    </row>
    <row r="1117" spans="1:45" x14ac:dyDescent="0.25">
      <c r="A1117">
        <v>1</v>
      </c>
      <c r="B1117" t="str">
        <f t="shared" si="442"/>
        <v>M</v>
      </c>
      <c r="C1117">
        <v>18</v>
      </c>
      <c r="D1117">
        <f t="shared" si="443"/>
        <v>18</v>
      </c>
      <c r="E1117">
        <f t="shared" si="444"/>
        <v>18</v>
      </c>
      <c r="F1117" t="str">
        <f t="shared" si="445"/>
        <v>1-25</v>
      </c>
      <c r="G1117">
        <v>1</v>
      </c>
      <c r="H1117" t="str">
        <f t="shared" si="446"/>
        <v>Pariente gordo</v>
      </c>
      <c r="I1117">
        <v>1</v>
      </c>
      <c r="J1117" t="str">
        <f t="shared" si="447"/>
        <v>Hipercaloricos</v>
      </c>
      <c r="K1117">
        <v>2882522</v>
      </c>
      <c r="L1117">
        <f t="shared" si="448"/>
        <v>1</v>
      </c>
      <c r="M1117" t="str">
        <f t="shared" si="449"/>
        <v>Suele comer</v>
      </c>
      <c r="N1117">
        <v>3</v>
      </c>
      <c r="O1117">
        <f t="shared" si="450"/>
        <v>2</v>
      </c>
      <c r="P1117" t="str">
        <f t="shared" si="451"/>
        <v>Mas de 3</v>
      </c>
      <c r="Q1117">
        <v>1</v>
      </c>
      <c r="R1117" t="str">
        <f t="shared" si="452"/>
        <v>A veces</v>
      </c>
      <c r="S1117">
        <v>0</v>
      </c>
      <c r="T1117" t="str">
        <f t="shared" si="453"/>
        <v>No fuma</v>
      </c>
      <c r="U1117">
        <v>2452986</v>
      </c>
      <c r="V1117">
        <f t="shared" si="454"/>
        <v>2</v>
      </c>
      <c r="W1117" t="str">
        <f t="shared" si="455"/>
        <v>Siempre</v>
      </c>
      <c r="X1117">
        <v>0</v>
      </c>
      <c r="Y1117" t="str">
        <f t="shared" si="456"/>
        <v>No controla</v>
      </c>
      <c r="Z1117">
        <v>1</v>
      </c>
      <c r="AA1117">
        <f t="shared" si="457"/>
        <v>1</v>
      </c>
      <c r="AB1117" t="str">
        <f t="shared" si="458"/>
        <v>A veces</v>
      </c>
      <c r="AC1117">
        <v>0.74665099999999995</v>
      </c>
      <c r="AD1117">
        <f t="shared" si="459"/>
        <v>0</v>
      </c>
      <c r="AE1117" t="str">
        <f t="shared" si="460"/>
        <v>Nunca</v>
      </c>
      <c r="AF1117">
        <v>1</v>
      </c>
      <c r="AG1117" t="str">
        <f t="shared" si="461"/>
        <v>A veces</v>
      </c>
      <c r="AH1117">
        <v>0</v>
      </c>
      <c r="AI1117" t="str">
        <f t="shared" si="462"/>
        <v>No usa</v>
      </c>
      <c r="AJ1117">
        <v>0</v>
      </c>
      <c r="AK1117" t="str">
        <f t="shared" si="463"/>
        <v>No usa</v>
      </c>
      <c r="AL1117">
        <v>0</v>
      </c>
      <c r="AM1117" t="str">
        <f t="shared" si="464"/>
        <v>No usa</v>
      </c>
      <c r="AN1117">
        <v>1</v>
      </c>
      <c r="AO1117" t="str">
        <f t="shared" si="465"/>
        <v>Usa Transporte</v>
      </c>
      <c r="AP1117">
        <v>0</v>
      </c>
      <c r="AQ1117" t="str">
        <f t="shared" si="466"/>
        <v>No camina</v>
      </c>
      <c r="AR1117">
        <v>0</v>
      </c>
      <c r="AS1117" t="str">
        <f t="shared" si="467"/>
        <v>No es obeso</v>
      </c>
    </row>
    <row r="1118" spans="1:45" x14ac:dyDescent="0.25">
      <c r="A1118">
        <v>1</v>
      </c>
      <c r="B1118" t="str">
        <f t="shared" si="442"/>
        <v>M</v>
      </c>
      <c r="C1118">
        <v>30079371</v>
      </c>
      <c r="D1118">
        <f t="shared" si="443"/>
        <v>82</v>
      </c>
      <c r="E1118">
        <f t="shared" si="444"/>
        <v>82</v>
      </c>
      <c r="F1118" t="str">
        <f t="shared" si="445"/>
        <v>75-100</v>
      </c>
      <c r="G1118">
        <v>1</v>
      </c>
      <c r="H1118" t="str">
        <f t="shared" si="446"/>
        <v>Pariente gordo</v>
      </c>
      <c r="I1118">
        <v>1</v>
      </c>
      <c r="J1118" t="str">
        <f t="shared" si="447"/>
        <v>Hipercaloricos</v>
      </c>
      <c r="K1118">
        <v>2</v>
      </c>
      <c r="L1118">
        <f t="shared" si="448"/>
        <v>1</v>
      </c>
      <c r="M1118" t="str">
        <f t="shared" si="449"/>
        <v>Suele comer</v>
      </c>
      <c r="N1118">
        <v>3</v>
      </c>
      <c r="O1118">
        <f t="shared" si="450"/>
        <v>2</v>
      </c>
      <c r="P1118" t="str">
        <f t="shared" si="451"/>
        <v>Mas de 3</v>
      </c>
      <c r="Q1118">
        <v>1</v>
      </c>
      <c r="R1118" t="str">
        <f t="shared" si="452"/>
        <v>A veces</v>
      </c>
      <c r="S1118">
        <v>0</v>
      </c>
      <c r="T1118" t="str">
        <f t="shared" si="453"/>
        <v>No fuma</v>
      </c>
      <c r="U1118">
        <v>1622638</v>
      </c>
      <c r="V1118">
        <f t="shared" si="454"/>
        <v>2</v>
      </c>
      <c r="W1118" t="str">
        <f t="shared" si="455"/>
        <v>Siempre</v>
      </c>
      <c r="X1118">
        <v>0</v>
      </c>
      <c r="Y1118" t="str">
        <f t="shared" si="456"/>
        <v>No controla</v>
      </c>
      <c r="Z1118">
        <v>3.3744999999999997E-2</v>
      </c>
      <c r="AA1118">
        <f t="shared" si="457"/>
        <v>0</v>
      </c>
      <c r="AB1118" t="str">
        <f t="shared" si="458"/>
        <v>Nunca</v>
      </c>
      <c r="AC1118">
        <v>0.105895</v>
      </c>
      <c r="AD1118">
        <f t="shared" si="459"/>
        <v>0</v>
      </c>
      <c r="AE1118" t="str">
        <f t="shared" si="460"/>
        <v>Nunca</v>
      </c>
      <c r="AF1118">
        <v>1</v>
      </c>
      <c r="AG1118" t="str">
        <f t="shared" si="461"/>
        <v>A veces</v>
      </c>
      <c r="AH1118">
        <v>0</v>
      </c>
      <c r="AI1118" t="str">
        <f t="shared" si="462"/>
        <v>No usa</v>
      </c>
      <c r="AJ1118">
        <v>0</v>
      </c>
      <c r="AK1118" t="str">
        <f t="shared" si="463"/>
        <v>No usa</v>
      </c>
      <c r="AL1118">
        <v>0</v>
      </c>
      <c r="AM1118" t="str">
        <f t="shared" si="464"/>
        <v>No usa</v>
      </c>
      <c r="AN1118">
        <v>1</v>
      </c>
      <c r="AO1118" t="str">
        <f t="shared" si="465"/>
        <v>Usa Transporte</v>
      </c>
      <c r="AP1118">
        <v>0</v>
      </c>
      <c r="AQ1118" t="str">
        <f t="shared" si="466"/>
        <v>No camina</v>
      </c>
      <c r="AR1118">
        <v>0</v>
      </c>
      <c r="AS1118" t="str">
        <f t="shared" si="467"/>
        <v>No es obeso</v>
      </c>
    </row>
    <row r="1119" spans="1:45" x14ac:dyDescent="0.25">
      <c r="A1119">
        <v>1</v>
      </c>
      <c r="B1119" t="str">
        <f t="shared" si="442"/>
        <v>M</v>
      </c>
      <c r="C1119">
        <v>25035915</v>
      </c>
      <c r="D1119">
        <f t="shared" si="443"/>
        <v>68</v>
      </c>
      <c r="E1119">
        <f t="shared" si="444"/>
        <v>68</v>
      </c>
      <c r="F1119" t="str">
        <f t="shared" si="445"/>
        <v>50-75</v>
      </c>
      <c r="G1119">
        <v>1</v>
      </c>
      <c r="H1119" t="str">
        <f t="shared" si="446"/>
        <v>Pariente gordo</v>
      </c>
      <c r="I1119">
        <v>1</v>
      </c>
      <c r="J1119" t="str">
        <f t="shared" si="447"/>
        <v>Hipercaloricos</v>
      </c>
      <c r="K1119">
        <v>1973499</v>
      </c>
      <c r="L1119">
        <f t="shared" si="448"/>
        <v>1</v>
      </c>
      <c r="M1119" t="str">
        <f t="shared" si="449"/>
        <v>Suele comer</v>
      </c>
      <c r="N1119">
        <v>1081805</v>
      </c>
      <c r="O1119">
        <f t="shared" si="450"/>
        <v>2</v>
      </c>
      <c r="P1119" t="str">
        <f t="shared" si="451"/>
        <v>Mas de 3</v>
      </c>
      <c r="Q1119">
        <v>1</v>
      </c>
      <c r="R1119" t="str">
        <f t="shared" si="452"/>
        <v>A veces</v>
      </c>
      <c r="S1119">
        <v>0</v>
      </c>
      <c r="T1119" t="str">
        <f t="shared" si="453"/>
        <v>No fuma</v>
      </c>
      <c r="U1119">
        <v>2</v>
      </c>
      <c r="V1119">
        <f t="shared" si="454"/>
        <v>2</v>
      </c>
      <c r="W1119" t="str">
        <f t="shared" si="455"/>
        <v>Siempre</v>
      </c>
      <c r="X1119">
        <v>0</v>
      </c>
      <c r="Y1119" t="str">
        <f t="shared" si="456"/>
        <v>No controla</v>
      </c>
      <c r="Z1119">
        <v>0</v>
      </c>
      <c r="AA1119">
        <f t="shared" si="457"/>
        <v>0</v>
      </c>
      <c r="AB1119" t="str">
        <f t="shared" si="458"/>
        <v>Nunca</v>
      </c>
      <c r="AC1119">
        <v>0.46402199999999999</v>
      </c>
      <c r="AD1119">
        <f t="shared" si="459"/>
        <v>0</v>
      </c>
      <c r="AE1119" t="str">
        <f t="shared" si="460"/>
        <v>Nunca</v>
      </c>
      <c r="AF1119">
        <v>1</v>
      </c>
      <c r="AG1119" t="str">
        <f t="shared" si="461"/>
        <v>A veces</v>
      </c>
      <c r="AH1119">
        <v>0</v>
      </c>
      <c r="AI1119" t="str">
        <f t="shared" si="462"/>
        <v>No usa</v>
      </c>
      <c r="AJ1119">
        <v>0</v>
      </c>
      <c r="AK1119" t="str">
        <f t="shared" si="463"/>
        <v>No usa</v>
      </c>
      <c r="AL1119">
        <v>0</v>
      </c>
      <c r="AM1119" t="str">
        <f t="shared" si="464"/>
        <v>No usa</v>
      </c>
      <c r="AN1119">
        <v>1</v>
      </c>
      <c r="AO1119" t="str">
        <f t="shared" si="465"/>
        <v>Usa Transporte</v>
      </c>
      <c r="AP1119">
        <v>0</v>
      </c>
      <c r="AQ1119" t="str">
        <f t="shared" si="466"/>
        <v>No camina</v>
      </c>
      <c r="AR1119">
        <v>0</v>
      </c>
      <c r="AS1119" t="str">
        <f t="shared" si="467"/>
        <v>No es obeso</v>
      </c>
    </row>
    <row r="1120" spans="1:45" x14ac:dyDescent="0.25">
      <c r="A1120">
        <v>0</v>
      </c>
      <c r="B1120" t="str">
        <f t="shared" si="442"/>
        <v>F</v>
      </c>
      <c r="C1120">
        <v>18198322</v>
      </c>
      <c r="D1120">
        <f t="shared" si="443"/>
        <v>49</v>
      </c>
      <c r="E1120">
        <f t="shared" si="444"/>
        <v>49</v>
      </c>
      <c r="F1120" t="str">
        <f t="shared" si="445"/>
        <v>25-50</v>
      </c>
      <c r="G1120">
        <v>1</v>
      </c>
      <c r="H1120" t="str">
        <f t="shared" si="446"/>
        <v>Pariente gordo</v>
      </c>
      <c r="I1120">
        <v>0</v>
      </c>
      <c r="J1120" t="str">
        <f t="shared" si="447"/>
        <v>Saludables</v>
      </c>
      <c r="K1120">
        <v>3</v>
      </c>
      <c r="L1120">
        <f t="shared" si="448"/>
        <v>1</v>
      </c>
      <c r="M1120" t="str">
        <f t="shared" si="449"/>
        <v>Suele comer</v>
      </c>
      <c r="N1120">
        <v>3087119</v>
      </c>
      <c r="O1120">
        <f t="shared" si="450"/>
        <v>2</v>
      </c>
      <c r="P1120" t="str">
        <f t="shared" si="451"/>
        <v>Mas de 3</v>
      </c>
      <c r="Q1120">
        <v>1</v>
      </c>
      <c r="R1120" t="str">
        <f t="shared" si="452"/>
        <v>A veces</v>
      </c>
      <c r="S1120">
        <v>0</v>
      </c>
      <c r="T1120" t="str">
        <f t="shared" si="453"/>
        <v>No fuma</v>
      </c>
      <c r="U1120">
        <v>2</v>
      </c>
      <c r="V1120">
        <f t="shared" si="454"/>
        <v>2</v>
      </c>
      <c r="W1120" t="str">
        <f t="shared" si="455"/>
        <v>Siempre</v>
      </c>
      <c r="X1120">
        <v>0</v>
      </c>
      <c r="Y1120" t="str">
        <f t="shared" si="456"/>
        <v>No controla</v>
      </c>
      <c r="Z1120">
        <v>1403872</v>
      </c>
      <c r="AA1120">
        <f t="shared" si="457"/>
        <v>3</v>
      </c>
      <c r="AB1120" t="str">
        <f t="shared" si="458"/>
        <v>Siempre</v>
      </c>
      <c r="AC1120">
        <v>1</v>
      </c>
      <c r="AD1120">
        <f t="shared" si="459"/>
        <v>1</v>
      </c>
      <c r="AE1120" t="str">
        <f t="shared" si="460"/>
        <v>Usualmente</v>
      </c>
      <c r="AF1120">
        <v>0</v>
      </c>
      <c r="AG1120" t="str">
        <f t="shared" si="461"/>
        <v>Nunca</v>
      </c>
      <c r="AH1120">
        <v>0</v>
      </c>
      <c r="AI1120" t="str">
        <f t="shared" si="462"/>
        <v>No usa</v>
      </c>
      <c r="AJ1120">
        <v>0</v>
      </c>
      <c r="AK1120" t="str">
        <f t="shared" si="463"/>
        <v>No usa</v>
      </c>
      <c r="AL1120">
        <v>0</v>
      </c>
      <c r="AM1120" t="str">
        <f t="shared" si="464"/>
        <v>No usa</v>
      </c>
      <c r="AN1120">
        <v>1</v>
      </c>
      <c r="AO1120" t="str">
        <f t="shared" si="465"/>
        <v>Usa Transporte</v>
      </c>
      <c r="AP1120">
        <v>0</v>
      </c>
      <c r="AQ1120" t="str">
        <f t="shared" si="466"/>
        <v>No camina</v>
      </c>
      <c r="AR1120">
        <v>0</v>
      </c>
      <c r="AS1120" t="str">
        <f t="shared" si="467"/>
        <v>No es obeso</v>
      </c>
    </row>
    <row r="1121" spans="1:45" x14ac:dyDescent="0.25">
      <c r="A1121">
        <v>0</v>
      </c>
      <c r="B1121" t="str">
        <f t="shared" si="442"/>
        <v>F</v>
      </c>
      <c r="C1121">
        <v>35456326</v>
      </c>
      <c r="D1121">
        <f t="shared" si="443"/>
        <v>97</v>
      </c>
      <c r="E1121">
        <f t="shared" si="444"/>
        <v>97</v>
      </c>
      <c r="F1121" t="str">
        <f t="shared" si="445"/>
        <v>75-100</v>
      </c>
      <c r="G1121">
        <v>1</v>
      </c>
      <c r="H1121" t="str">
        <f t="shared" si="446"/>
        <v>Pariente gordo</v>
      </c>
      <c r="I1121">
        <v>1</v>
      </c>
      <c r="J1121" t="str">
        <f t="shared" si="447"/>
        <v>Hipercaloricos</v>
      </c>
      <c r="K1121">
        <v>2156065</v>
      </c>
      <c r="L1121">
        <f t="shared" si="448"/>
        <v>1</v>
      </c>
      <c r="M1121" t="str">
        <f t="shared" si="449"/>
        <v>Suele comer</v>
      </c>
      <c r="N1121">
        <v>2909117</v>
      </c>
      <c r="O1121">
        <f t="shared" si="450"/>
        <v>2</v>
      </c>
      <c r="P1121" t="str">
        <f t="shared" si="451"/>
        <v>Mas de 3</v>
      </c>
      <c r="Q1121">
        <v>1</v>
      </c>
      <c r="R1121" t="str">
        <f t="shared" si="452"/>
        <v>A veces</v>
      </c>
      <c r="S1121">
        <v>0</v>
      </c>
      <c r="T1121" t="str">
        <f t="shared" si="453"/>
        <v>No fuma</v>
      </c>
      <c r="U1121">
        <v>1221281</v>
      </c>
      <c r="V1121">
        <f t="shared" si="454"/>
        <v>2</v>
      </c>
      <c r="W1121" t="str">
        <f t="shared" si="455"/>
        <v>Siempre</v>
      </c>
      <c r="X1121">
        <v>0</v>
      </c>
      <c r="Y1121" t="str">
        <f t="shared" si="456"/>
        <v>No controla</v>
      </c>
      <c r="Z1121">
        <v>0.50327900000000003</v>
      </c>
      <c r="AA1121">
        <f t="shared" si="457"/>
        <v>0</v>
      </c>
      <c r="AB1121" t="str">
        <f t="shared" si="458"/>
        <v>Nunca</v>
      </c>
      <c r="AC1121">
        <v>1796136</v>
      </c>
      <c r="AD1121">
        <f t="shared" si="459"/>
        <v>2</v>
      </c>
      <c r="AE1121" t="str">
        <f t="shared" si="460"/>
        <v>Siempre</v>
      </c>
      <c r="AF1121">
        <v>0</v>
      </c>
      <c r="AG1121" t="str">
        <f t="shared" si="461"/>
        <v>Nunca</v>
      </c>
      <c r="AH1121">
        <v>1</v>
      </c>
      <c r="AI1121" t="str">
        <f t="shared" si="462"/>
        <v>Usa auto</v>
      </c>
      <c r="AJ1121">
        <v>0</v>
      </c>
      <c r="AK1121" t="str">
        <f t="shared" si="463"/>
        <v>No usa</v>
      </c>
      <c r="AL1121">
        <v>0</v>
      </c>
      <c r="AM1121" t="str">
        <f t="shared" si="464"/>
        <v>No usa</v>
      </c>
      <c r="AN1121">
        <v>0</v>
      </c>
      <c r="AO1121" t="str">
        <f t="shared" si="465"/>
        <v>No usa</v>
      </c>
      <c r="AP1121">
        <v>0</v>
      </c>
      <c r="AQ1121" t="str">
        <f t="shared" si="466"/>
        <v>No camina</v>
      </c>
      <c r="AR1121">
        <v>0</v>
      </c>
      <c r="AS1121" t="str">
        <f t="shared" si="467"/>
        <v>No es obeso</v>
      </c>
    </row>
    <row r="1122" spans="1:45" x14ac:dyDescent="0.25">
      <c r="A1122">
        <v>1</v>
      </c>
      <c r="B1122" t="str">
        <f t="shared" si="442"/>
        <v>M</v>
      </c>
      <c r="C1122">
        <v>23806789</v>
      </c>
      <c r="D1122">
        <f t="shared" si="443"/>
        <v>65</v>
      </c>
      <c r="E1122">
        <f t="shared" si="444"/>
        <v>65</v>
      </c>
      <c r="F1122" t="str">
        <f t="shared" si="445"/>
        <v>50-75</v>
      </c>
      <c r="G1122">
        <v>1</v>
      </c>
      <c r="H1122" t="str">
        <f t="shared" si="446"/>
        <v>Pariente gordo</v>
      </c>
      <c r="I1122">
        <v>1</v>
      </c>
      <c r="J1122" t="str">
        <f t="shared" si="447"/>
        <v>Hipercaloricos</v>
      </c>
      <c r="K1122">
        <v>2992205</v>
      </c>
      <c r="L1122">
        <f t="shared" si="448"/>
        <v>1</v>
      </c>
      <c r="M1122" t="str">
        <f t="shared" si="449"/>
        <v>Suele comer</v>
      </c>
      <c r="N1122">
        <v>3</v>
      </c>
      <c r="O1122">
        <f t="shared" si="450"/>
        <v>2</v>
      </c>
      <c r="P1122" t="str">
        <f t="shared" si="451"/>
        <v>Mas de 3</v>
      </c>
      <c r="Q1122">
        <v>1</v>
      </c>
      <c r="R1122" t="str">
        <f t="shared" si="452"/>
        <v>A veces</v>
      </c>
      <c r="S1122">
        <v>0</v>
      </c>
      <c r="T1122" t="str">
        <f t="shared" si="453"/>
        <v>No fuma</v>
      </c>
      <c r="U1122">
        <v>2413813</v>
      </c>
      <c r="V1122">
        <f t="shared" si="454"/>
        <v>2</v>
      </c>
      <c r="W1122" t="str">
        <f t="shared" si="455"/>
        <v>Siempre</v>
      </c>
      <c r="X1122">
        <v>0</v>
      </c>
      <c r="Y1122" t="str">
        <f t="shared" si="456"/>
        <v>No controla</v>
      </c>
      <c r="Z1122">
        <v>0.45823700000000001</v>
      </c>
      <c r="AA1122">
        <f t="shared" si="457"/>
        <v>0</v>
      </c>
      <c r="AB1122" t="str">
        <f t="shared" si="458"/>
        <v>Nunca</v>
      </c>
      <c r="AC1122">
        <v>0.68829300000000004</v>
      </c>
      <c r="AD1122">
        <f t="shared" si="459"/>
        <v>0</v>
      </c>
      <c r="AE1122" t="str">
        <f t="shared" si="460"/>
        <v>Nunca</v>
      </c>
      <c r="AF1122">
        <v>1</v>
      </c>
      <c r="AG1122" t="str">
        <f t="shared" si="461"/>
        <v>A veces</v>
      </c>
      <c r="AH1122">
        <v>0</v>
      </c>
      <c r="AI1122" t="str">
        <f t="shared" si="462"/>
        <v>No usa</v>
      </c>
      <c r="AJ1122">
        <v>0</v>
      </c>
      <c r="AK1122" t="str">
        <f t="shared" si="463"/>
        <v>No usa</v>
      </c>
      <c r="AL1122">
        <v>0</v>
      </c>
      <c r="AM1122" t="str">
        <f t="shared" si="464"/>
        <v>No usa</v>
      </c>
      <c r="AN1122">
        <v>1</v>
      </c>
      <c r="AO1122" t="str">
        <f t="shared" si="465"/>
        <v>Usa Transporte</v>
      </c>
      <c r="AP1122">
        <v>0</v>
      </c>
      <c r="AQ1122" t="str">
        <f t="shared" si="466"/>
        <v>No camina</v>
      </c>
      <c r="AR1122">
        <v>0</v>
      </c>
      <c r="AS1122" t="str">
        <f t="shared" si="467"/>
        <v>No es obeso</v>
      </c>
    </row>
    <row r="1123" spans="1:45" x14ac:dyDescent="0.25">
      <c r="A1123">
        <v>0</v>
      </c>
      <c r="B1123" t="str">
        <f t="shared" si="442"/>
        <v>F</v>
      </c>
      <c r="C1123">
        <v>39392569</v>
      </c>
      <c r="D1123">
        <f t="shared" si="443"/>
        <v>107</v>
      </c>
      <c r="E1123">
        <f t="shared" si="444"/>
        <v>100</v>
      </c>
      <c r="F1123" t="str">
        <f t="shared" si="445"/>
        <v>75-100</v>
      </c>
      <c r="G1123">
        <v>1</v>
      </c>
      <c r="H1123" t="str">
        <f t="shared" si="446"/>
        <v>Pariente gordo</v>
      </c>
      <c r="I1123">
        <v>1</v>
      </c>
      <c r="J1123" t="str">
        <f t="shared" si="447"/>
        <v>Hipercaloricos</v>
      </c>
      <c r="K1123">
        <v>2944287</v>
      </c>
      <c r="L1123">
        <f t="shared" si="448"/>
        <v>1</v>
      </c>
      <c r="M1123" t="str">
        <f t="shared" si="449"/>
        <v>Suele comer</v>
      </c>
      <c r="N1123">
        <v>1466393</v>
      </c>
      <c r="O1123">
        <f t="shared" si="450"/>
        <v>2</v>
      </c>
      <c r="P1123" t="str">
        <f t="shared" si="451"/>
        <v>Mas de 3</v>
      </c>
      <c r="Q1123">
        <v>1</v>
      </c>
      <c r="R1123" t="str">
        <f t="shared" si="452"/>
        <v>A veces</v>
      </c>
      <c r="S1123">
        <v>0</v>
      </c>
      <c r="T1123" t="str">
        <f t="shared" si="453"/>
        <v>No fuma</v>
      </c>
      <c r="U1123">
        <v>2442775</v>
      </c>
      <c r="V1123">
        <f t="shared" si="454"/>
        <v>2</v>
      </c>
      <c r="W1123" t="str">
        <f t="shared" si="455"/>
        <v>Siempre</v>
      </c>
      <c r="X1123">
        <v>0</v>
      </c>
      <c r="Y1123" t="str">
        <f t="shared" si="456"/>
        <v>No controla</v>
      </c>
      <c r="Z1123">
        <v>0.67526200000000003</v>
      </c>
      <c r="AA1123">
        <f t="shared" si="457"/>
        <v>0</v>
      </c>
      <c r="AB1123" t="str">
        <f t="shared" si="458"/>
        <v>Nunca</v>
      </c>
      <c r="AC1123">
        <v>0.77933399999999997</v>
      </c>
      <c r="AD1123">
        <f t="shared" si="459"/>
        <v>0</v>
      </c>
      <c r="AE1123" t="str">
        <f t="shared" si="460"/>
        <v>Nunca</v>
      </c>
      <c r="AF1123">
        <v>0</v>
      </c>
      <c r="AG1123" t="str">
        <f t="shared" si="461"/>
        <v>Nunca</v>
      </c>
      <c r="AH1123">
        <v>1</v>
      </c>
      <c r="AI1123" t="str">
        <f t="shared" si="462"/>
        <v>Usa auto</v>
      </c>
      <c r="AJ1123">
        <v>0</v>
      </c>
      <c r="AK1123" t="str">
        <f t="shared" si="463"/>
        <v>No usa</v>
      </c>
      <c r="AL1123">
        <v>0</v>
      </c>
      <c r="AM1123" t="str">
        <f t="shared" si="464"/>
        <v>No usa</v>
      </c>
      <c r="AN1123">
        <v>0</v>
      </c>
      <c r="AO1123" t="str">
        <f t="shared" si="465"/>
        <v>No usa</v>
      </c>
      <c r="AP1123">
        <v>0</v>
      </c>
      <c r="AQ1123" t="str">
        <f t="shared" si="466"/>
        <v>No camina</v>
      </c>
      <c r="AR1123">
        <v>0</v>
      </c>
      <c r="AS1123" t="str">
        <f t="shared" si="467"/>
        <v>No es obeso</v>
      </c>
    </row>
    <row r="1124" spans="1:45" x14ac:dyDescent="0.25">
      <c r="A1124">
        <v>1</v>
      </c>
      <c r="B1124" t="str">
        <f t="shared" si="442"/>
        <v>M</v>
      </c>
      <c r="C1124">
        <v>21384259</v>
      </c>
      <c r="D1124">
        <f t="shared" si="443"/>
        <v>58</v>
      </c>
      <c r="E1124">
        <f t="shared" si="444"/>
        <v>58</v>
      </c>
      <c r="F1124" t="str">
        <f t="shared" si="445"/>
        <v>50-75</v>
      </c>
      <c r="G1124">
        <v>1</v>
      </c>
      <c r="H1124" t="str">
        <f t="shared" si="446"/>
        <v>Pariente gordo</v>
      </c>
      <c r="I1124">
        <v>1</v>
      </c>
      <c r="J1124" t="str">
        <f t="shared" si="447"/>
        <v>Hipercaloricos</v>
      </c>
      <c r="K1124">
        <v>1780746</v>
      </c>
      <c r="L1124">
        <f t="shared" si="448"/>
        <v>1</v>
      </c>
      <c r="M1124" t="str">
        <f t="shared" si="449"/>
        <v>Suele comer</v>
      </c>
      <c r="N1124">
        <v>1471053</v>
      </c>
      <c r="O1124">
        <f t="shared" si="450"/>
        <v>2</v>
      </c>
      <c r="P1124" t="str">
        <f t="shared" si="451"/>
        <v>Mas de 3</v>
      </c>
      <c r="Q1124">
        <v>1</v>
      </c>
      <c r="R1124" t="str">
        <f t="shared" si="452"/>
        <v>A veces</v>
      </c>
      <c r="S1124">
        <v>0</v>
      </c>
      <c r="T1124" t="str">
        <f t="shared" si="453"/>
        <v>No fuma</v>
      </c>
      <c r="U1124">
        <v>2</v>
      </c>
      <c r="V1124">
        <f t="shared" si="454"/>
        <v>2</v>
      </c>
      <c r="W1124" t="str">
        <f t="shared" si="455"/>
        <v>Siempre</v>
      </c>
      <c r="X1124">
        <v>0</v>
      </c>
      <c r="Y1124" t="str">
        <f t="shared" si="456"/>
        <v>No controla</v>
      </c>
      <c r="Z1124">
        <v>0.46756199999999998</v>
      </c>
      <c r="AA1124">
        <f t="shared" si="457"/>
        <v>0</v>
      </c>
      <c r="AB1124" t="str">
        <f t="shared" si="458"/>
        <v>Nunca</v>
      </c>
      <c r="AC1124">
        <v>0.56866799999999995</v>
      </c>
      <c r="AD1124">
        <f t="shared" si="459"/>
        <v>0</v>
      </c>
      <c r="AE1124" t="str">
        <f t="shared" si="460"/>
        <v>Nunca</v>
      </c>
      <c r="AF1124">
        <v>1</v>
      </c>
      <c r="AG1124" t="str">
        <f t="shared" si="461"/>
        <v>A veces</v>
      </c>
      <c r="AH1124">
        <v>0</v>
      </c>
      <c r="AI1124" t="str">
        <f t="shared" si="462"/>
        <v>No usa</v>
      </c>
      <c r="AJ1124">
        <v>0</v>
      </c>
      <c r="AK1124" t="str">
        <f t="shared" si="463"/>
        <v>No usa</v>
      </c>
      <c r="AL1124">
        <v>0</v>
      </c>
      <c r="AM1124" t="str">
        <f t="shared" si="464"/>
        <v>No usa</v>
      </c>
      <c r="AN1124">
        <v>1</v>
      </c>
      <c r="AO1124" t="str">
        <f t="shared" si="465"/>
        <v>Usa Transporte</v>
      </c>
      <c r="AP1124">
        <v>0</v>
      </c>
      <c r="AQ1124" t="str">
        <f t="shared" si="466"/>
        <v>No camina</v>
      </c>
      <c r="AR1124">
        <v>0</v>
      </c>
      <c r="AS1124" t="str">
        <f t="shared" si="467"/>
        <v>No es obeso</v>
      </c>
    </row>
    <row r="1125" spans="1:45" x14ac:dyDescent="0.25">
      <c r="A1125">
        <v>1</v>
      </c>
      <c r="B1125" t="str">
        <f t="shared" si="442"/>
        <v>M</v>
      </c>
      <c r="C1125">
        <v>22730414</v>
      </c>
      <c r="D1125">
        <f t="shared" si="443"/>
        <v>62</v>
      </c>
      <c r="E1125">
        <f t="shared" si="444"/>
        <v>62</v>
      </c>
      <c r="F1125" t="str">
        <f t="shared" si="445"/>
        <v>50-75</v>
      </c>
      <c r="G1125">
        <v>1</v>
      </c>
      <c r="H1125" t="str">
        <f t="shared" si="446"/>
        <v>Pariente gordo</v>
      </c>
      <c r="I1125">
        <v>1</v>
      </c>
      <c r="J1125" t="str">
        <f t="shared" si="447"/>
        <v>Hipercaloricos</v>
      </c>
      <c r="K1125">
        <v>2164062</v>
      </c>
      <c r="L1125">
        <f t="shared" si="448"/>
        <v>1</v>
      </c>
      <c r="M1125" t="str">
        <f t="shared" si="449"/>
        <v>Suele comer</v>
      </c>
      <c r="N1125">
        <v>2983201</v>
      </c>
      <c r="O1125">
        <f t="shared" si="450"/>
        <v>2</v>
      </c>
      <c r="P1125" t="str">
        <f t="shared" si="451"/>
        <v>Mas de 3</v>
      </c>
      <c r="Q1125">
        <v>1</v>
      </c>
      <c r="R1125" t="str">
        <f t="shared" si="452"/>
        <v>A veces</v>
      </c>
      <c r="S1125">
        <v>0</v>
      </c>
      <c r="T1125" t="str">
        <f t="shared" si="453"/>
        <v>No fuma</v>
      </c>
      <c r="U1125">
        <v>2168904</v>
      </c>
      <c r="V1125">
        <f t="shared" si="454"/>
        <v>2</v>
      </c>
      <c r="W1125" t="str">
        <f t="shared" si="455"/>
        <v>Siempre</v>
      </c>
      <c r="X1125">
        <v>0</v>
      </c>
      <c r="Y1125" t="str">
        <f t="shared" si="456"/>
        <v>No controla</v>
      </c>
      <c r="Z1125">
        <v>0.75292599999999998</v>
      </c>
      <c r="AA1125">
        <f t="shared" si="457"/>
        <v>0</v>
      </c>
      <c r="AB1125" t="str">
        <f t="shared" si="458"/>
        <v>Nunca</v>
      </c>
      <c r="AC1125">
        <v>0</v>
      </c>
      <c r="AD1125">
        <f t="shared" si="459"/>
        <v>0</v>
      </c>
      <c r="AE1125" t="str">
        <f t="shared" si="460"/>
        <v>Nunca</v>
      </c>
      <c r="AF1125">
        <v>1</v>
      </c>
      <c r="AG1125" t="str">
        <f t="shared" si="461"/>
        <v>A veces</v>
      </c>
      <c r="AH1125">
        <v>0</v>
      </c>
      <c r="AI1125" t="str">
        <f t="shared" si="462"/>
        <v>No usa</v>
      </c>
      <c r="AJ1125">
        <v>0</v>
      </c>
      <c r="AK1125" t="str">
        <f t="shared" si="463"/>
        <v>No usa</v>
      </c>
      <c r="AL1125">
        <v>0</v>
      </c>
      <c r="AM1125" t="str">
        <f t="shared" si="464"/>
        <v>No usa</v>
      </c>
      <c r="AN1125">
        <v>1</v>
      </c>
      <c r="AO1125" t="str">
        <f t="shared" si="465"/>
        <v>Usa Transporte</v>
      </c>
      <c r="AP1125">
        <v>0</v>
      </c>
      <c r="AQ1125" t="str">
        <f t="shared" si="466"/>
        <v>No camina</v>
      </c>
      <c r="AR1125">
        <v>0</v>
      </c>
      <c r="AS1125" t="str">
        <f t="shared" si="467"/>
        <v>No es obeso</v>
      </c>
    </row>
    <row r="1126" spans="1:45" x14ac:dyDescent="0.25">
      <c r="A1126">
        <v>1</v>
      </c>
      <c r="B1126" t="str">
        <f t="shared" si="442"/>
        <v>M</v>
      </c>
      <c r="C1126">
        <v>2120563</v>
      </c>
      <c r="D1126">
        <f t="shared" si="443"/>
        <v>5</v>
      </c>
      <c r="E1126">
        <f t="shared" si="444"/>
        <v>5</v>
      </c>
      <c r="F1126" t="str">
        <f t="shared" si="445"/>
        <v>1-25</v>
      </c>
      <c r="G1126">
        <v>1</v>
      </c>
      <c r="H1126" t="str">
        <f t="shared" si="446"/>
        <v>Pariente gordo</v>
      </c>
      <c r="I1126">
        <v>1</v>
      </c>
      <c r="J1126" t="str">
        <f t="shared" si="447"/>
        <v>Hipercaloricos</v>
      </c>
      <c r="K1126">
        <v>2</v>
      </c>
      <c r="L1126">
        <f t="shared" si="448"/>
        <v>1</v>
      </c>
      <c r="M1126" t="str">
        <f t="shared" si="449"/>
        <v>Suele comer</v>
      </c>
      <c r="N1126">
        <v>3</v>
      </c>
      <c r="O1126">
        <f t="shared" si="450"/>
        <v>2</v>
      </c>
      <c r="P1126" t="str">
        <f t="shared" si="451"/>
        <v>Mas de 3</v>
      </c>
      <c r="Q1126">
        <v>1</v>
      </c>
      <c r="R1126" t="str">
        <f t="shared" si="452"/>
        <v>A veces</v>
      </c>
      <c r="S1126">
        <v>0</v>
      </c>
      <c r="T1126" t="str">
        <f t="shared" si="453"/>
        <v>No fuma</v>
      </c>
      <c r="U1126">
        <v>2</v>
      </c>
      <c r="V1126">
        <f t="shared" si="454"/>
        <v>2</v>
      </c>
      <c r="W1126" t="str">
        <f t="shared" si="455"/>
        <v>Siempre</v>
      </c>
      <c r="X1126">
        <v>0</v>
      </c>
      <c r="Y1126" t="str">
        <f t="shared" si="456"/>
        <v>No controla</v>
      </c>
      <c r="Z1126">
        <v>2847761</v>
      </c>
      <c r="AA1126">
        <f t="shared" si="457"/>
        <v>3</v>
      </c>
      <c r="AB1126" t="str">
        <f t="shared" si="458"/>
        <v>Siempre</v>
      </c>
      <c r="AC1126">
        <v>1413375</v>
      </c>
      <c r="AD1126">
        <f t="shared" si="459"/>
        <v>2</v>
      </c>
      <c r="AE1126" t="str">
        <f t="shared" si="460"/>
        <v>Siempre</v>
      </c>
      <c r="AF1126">
        <v>0</v>
      </c>
      <c r="AG1126" t="str">
        <f t="shared" si="461"/>
        <v>Nunca</v>
      </c>
      <c r="AH1126">
        <v>0</v>
      </c>
      <c r="AI1126" t="str">
        <f t="shared" si="462"/>
        <v>No usa</v>
      </c>
      <c r="AJ1126">
        <v>0</v>
      </c>
      <c r="AK1126" t="str">
        <f t="shared" si="463"/>
        <v>No usa</v>
      </c>
      <c r="AL1126">
        <v>0</v>
      </c>
      <c r="AM1126" t="str">
        <f t="shared" si="464"/>
        <v>No usa</v>
      </c>
      <c r="AN1126">
        <v>1</v>
      </c>
      <c r="AO1126" t="str">
        <f t="shared" si="465"/>
        <v>Usa Transporte</v>
      </c>
      <c r="AP1126">
        <v>0</v>
      </c>
      <c r="AQ1126" t="str">
        <f t="shared" si="466"/>
        <v>No camina</v>
      </c>
      <c r="AR1126">
        <v>0</v>
      </c>
      <c r="AS1126" t="str">
        <f t="shared" si="467"/>
        <v>No es obeso</v>
      </c>
    </row>
    <row r="1127" spans="1:45" x14ac:dyDescent="0.25">
      <c r="A1127">
        <v>1</v>
      </c>
      <c r="B1127" t="str">
        <f t="shared" si="442"/>
        <v>M</v>
      </c>
      <c r="C1127">
        <v>21333429</v>
      </c>
      <c r="D1127">
        <f t="shared" si="443"/>
        <v>58</v>
      </c>
      <c r="E1127">
        <f t="shared" si="444"/>
        <v>58</v>
      </c>
      <c r="F1127" t="str">
        <f t="shared" si="445"/>
        <v>50-75</v>
      </c>
      <c r="G1127">
        <v>1</v>
      </c>
      <c r="H1127" t="str">
        <f t="shared" si="446"/>
        <v>Pariente gordo</v>
      </c>
      <c r="I1127">
        <v>1</v>
      </c>
      <c r="J1127" t="str">
        <f t="shared" si="447"/>
        <v>Hipercaloricos</v>
      </c>
      <c r="K1127">
        <v>2</v>
      </c>
      <c r="L1127">
        <f t="shared" si="448"/>
        <v>1</v>
      </c>
      <c r="M1127" t="str">
        <f t="shared" si="449"/>
        <v>Suele comer</v>
      </c>
      <c r="N1127">
        <v>2783336</v>
      </c>
      <c r="O1127">
        <f t="shared" si="450"/>
        <v>2</v>
      </c>
      <c r="P1127" t="str">
        <f t="shared" si="451"/>
        <v>Mas de 3</v>
      </c>
      <c r="Q1127">
        <v>1</v>
      </c>
      <c r="R1127" t="str">
        <f t="shared" si="452"/>
        <v>A veces</v>
      </c>
      <c r="S1127">
        <v>0</v>
      </c>
      <c r="T1127" t="str">
        <f t="shared" si="453"/>
        <v>No fuma</v>
      </c>
      <c r="U1127">
        <v>2</v>
      </c>
      <c r="V1127">
        <f t="shared" si="454"/>
        <v>2</v>
      </c>
      <c r="W1127" t="str">
        <f t="shared" si="455"/>
        <v>Siempre</v>
      </c>
      <c r="X1127">
        <v>0</v>
      </c>
      <c r="Y1127" t="str">
        <f t="shared" si="456"/>
        <v>No controla</v>
      </c>
      <c r="Z1127">
        <v>2536615</v>
      </c>
      <c r="AA1127">
        <f t="shared" si="457"/>
        <v>3</v>
      </c>
      <c r="AB1127" t="str">
        <f t="shared" si="458"/>
        <v>Siempre</v>
      </c>
      <c r="AC1127">
        <v>1206535</v>
      </c>
      <c r="AD1127">
        <f t="shared" si="459"/>
        <v>2</v>
      </c>
      <c r="AE1127" t="str">
        <f t="shared" si="460"/>
        <v>Siempre</v>
      </c>
      <c r="AF1127">
        <v>0</v>
      </c>
      <c r="AG1127" t="str">
        <f t="shared" si="461"/>
        <v>Nunca</v>
      </c>
      <c r="AH1127">
        <v>0</v>
      </c>
      <c r="AI1127" t="str">
        <f t="shared" si="462"/>
        <v>No usa</v>
      </c>
      <c r="AJ1127">
        <v>0</v>
      </c>
      <c r="AK1127" t="str">
        <f t="shared" si="463"/>
        <v>No usa</v>
      </c>
      <c r="AL1127">
        <v>0</v>
      </c>
      <c r="AM1127" t="str">
        <f t="shared" si="464"/>
        <v>No usa</v>
      </c>
      <c r="AN1127">
        <v>1</v>
      </c>
      <c r="AO1127" t="str">
        <f t="shared" si="465"/>
        <v>Usa Transporte</v>
      </c>
      <c r="AP1127">
        <v>0</v>
      </c>
      <c r="AQ1127" t="str">
        <f t="shared" si="466"/>
        <v>No camina</v>
      </c>
      <c r="AR1127">
        <v>0</v>
      </c>
      <c r="AS1127" t="str">
        <f t="shared" si="467"/>
        <v>No es obeso</v>
      </c>
    </row>
    <row r="1128" spans="1:45" x14ac:dyDescent="0.25">
      <c r="A1128">
        <v>1</v>
      </c>
      <c r="B1128" t="str">
        <f t="shared" si="442"/>
        <v>M</v>
      </c>
      <c r="C1128">
        <v>32787101</v>
      </c>
      <c r="D1128">
        <f t="shared" si="443"/>
        <v>89</v>
      </c>
      <c r="E1128">
        <f t="shared" si="444"/>
        <v>89</v>
      </c>
      <c r="F1128" t="str">
        <f t="shared" si="445"/>
        <v>75-100</v>
      </c>
      <c r="G1128">
        <v>1</v>
      </c>
      <c r="H1128" t="str">
        <f t="shared" si="446"/>
        <v>Pariente gordo</v>
      </c>
      <c r="I1128">
        <v>1</v>
      </c>
      <c r="J1128" t="str">
        <f t="shared" si="447"/>
        <v>Hipercaloricos</v>
      </c>
      <c r="K1128">
        <v>2</v>
      </c>
      <c r="L1128">
        <f t="shared" si="448"/>
        <v>1</v>
      </c>
      <c r="M1128" t="str">
        <f t="shared" si="449"/>
        <v>Suele comer</v>
      </c>
      <c r="N1128">
        <v>1863012</v>
      </c>
      <c r="O1128">
        <f t="shared" si="450"/>
        <v>2</v>
      </c>
      <c r="P1128" t="str">
        <f t="shared" si="451"/>
        <v>Mas de 3</v>
      </c>
      <c r="Q1128">
        <v>1</v>
      </c>
      <c r="R1128" t="str">
        <f t="shared" si="452"/>
        <v>A veces</v>
      </c>
      <c r="S1128">
        <v>0</v>
      </c>
      <c r="T1128" t="str">
        <f t="shared" si="453"/>
        <v>No fuma</v>
      </c>
      <c r="U1128">
        <v>2196471</v>
      </c>
      <c r="V1128">
        <f t="shared" si="454"/>
        <v>2</v>
      </c>
      <c r="W1128" t="str">
        <f t="shared" si="455"/>
        <v>Siempre</v>
      </c>
      <c r="X1128">
        <v>0</v>
      </c>
      <c r="Y1128" t="str">
        <f t="shared" si="456"/>
        <v>No controla</v>
      </c>
      <c r="Z1128">
        <v>1</v>
      </c>
      <c r="AA1128">
        <f t="shared" si="457"/>
        <v>1</v>
      </c>
      <c r="AB1128" t="str">
        <f t="shared" si="458"/>
        <v>A veces</v>
      </c>
      <c r="AC1128">
        <v>0</v>
      </c>
      <c r="AD1128">
        <f t="shared" si="459"/>
        <v>0</v>
      </c>
      <c r="AE1128" t="str">
        <f t="shared" si="460"/>
        <v>Nunca</v>
      </c>
      <c r="AF1128">
        <v>1</v>
      </c>
      <c r="AG1128" t="str">
        <f t="shared" si="461"/>
        <v>A veces</v>
      </c>
      <c r="AH1128">
        <v>1</v>
      </c>
      <c r="AI1128" t="str">
        <f t="shared" si="462"/>
        <v>Usa auto</v>
      </c>
      <c r="AJ1128">
        <v>0</v>
      </c>
      <c r="AK1128" t="str">
        <f t="shared" si="463"/>
        <v>No usa</v>
      </c>
      <c r="AL1128">
        <v>0</v>
      </c>
      <c r="AM1128" t="str">
        <f t="shared" si="464"/>
        <v>No usa</v>
      </c>
      <c r="AN1128">
        <v>0</v>
      </c>
      <c r="AO1128" t="str">
        <f t="shared" si="465"/>
        <v>No usa</v>
      </c>
      <c r="AP1128">
        <v>0</v>
      </c>
      <c r="AQ1128" t="str">
        <f t="shared" si="466"/>
        <v>No camina</v>
      </c>
      <c r="AR1128">
        <v>0</v>
      </c>
      <c r="AS1128" t="str">
        <f t="shared" si="467"/>
        <v>No es obeso</v>
      </c>
    </row>
    <row r="1129" spans="1:45" x14ac:dyDescent="0.25">
      <c r="A1129">
        <v>1</v>
      </c>
      <c r="B1129" t="str">
        <f t="shared" si="442"/>
        <v>M</v>
      </c>
      <c r="C1129">
        <v>32610018</v>
      </c>
      <c r="D1129">
        <f t="shared" si="443"/>
        <v>89</v>
      </c>
      <c r="E1129">
        <f t="shared" si="444"/>
        <v>89</v>
      </c>
      <c r="F1129" t="str">
        <f t="shared" si="445"/>
        <v>75-100</v>
      </c>
      <c r="G1129">
        <v>1</v>
      </c>
      <c r="H1129" t="str">
        <f t="shared" si="446"/>
        <v>Pariente gordo</v>
      </c>
      <c r="I1129">
        <v>1</v>
      </c>
      <c r="J1129" t="str">
        <f t="shared" si="447"/>
        <v>Hipercaloricos</v>
      </c>
      <c r="K1129">
        <v>2247704</v>
      </c>
      <c r="L1129">
        <f t="shared" si="448"/>
        <v>1</v>
      </c>
      <c r="M1129" t="str">
        <f t="shared" si="449"/>
        <v>Suele comer</v>
      </c>
      <c r="N1129">
        <v>3053598</v>
      </c>
      <c r="O1129">
        <f t="shared" si="450"/>
        <v>2</v>
      </c>
      <c r="P1129" t="str">
        <f t="shared" si="451"/>
        <v>Mas de 3</v>
      </c>
      <c r="Q1129">
        <v>1</v>
      </c>
      <c r="R1129" t="str">
        <f t="shared" si="452"/>
        <v>A veces</v>
      </c>
      <c r="S1129">
        <v>0</v>
      </c>
      <c r="T1129" t="str">
        <f t="shared" si="453"/>
        <v>No fuma</v>
      </c>
      <c r="U1129">
        <v>1919629</v>
      </c>
      <c r="V1129">
        <f t="shared" si="454"/>
        <v>2</v>
      </c>
      <c r="W1129" t="str">
        <f t="shared" si="455"/>
        <v>Siempre</v>
      </c>
      <c r="X1129">
        <v>0</v>
      </c>
      <c r="Y1129" t="str">
        <f t="shared" si="456"/>
        <v>No controla</v>
      </c>
      <c r="Z1129">
        <v>0.40802300000000002</v>
      </c>
      <c r="AA1129">
        <f t="shared" si="457"/>
        <v>0</v>
      </c>
      <c r="AB1129" t="str">
        <f t="shared" si="458"/>
        <v>Nunca</v>
      </c>
      <c r="AC1129">
        <v>0</v>
      </c>
      <c r="AD1129">
        <f t="shared" si="459"/>
        <v>0</v>
      </c>
      <c r="AE1129" t="str">
        <f t="shared" si="460"/>
        <v>Nunca</v>
      </c>
      <c r="AF1129">
        <v>0</v>
      </c>
      <c r="AG1129" t="str">
        <f t="shared" si="461"/>
        <v>Nunca</v>
      </c>
      <c r="AH1129">
        <v>1</v>
      </c>
      <c r="AI1129" t="str">
        <f t="shared" si="462"/>
        <v>Usa auto</v>
      </c>
      <c r="AJ1129">
        <v>0</v>
      </c>
      <c r="AK1129" t="str">
        <f t="shared" si="463"/>
        <v>No usa</v>
      </c>
      <c r="AL1129">
        <v>0</v>
      </c>
      <c r="AM1129" t="str">
        <f t="shared" si="464"/>
        <v>No usa</v>
      </c>
      <c r="AN1129">
        <v>0</v>
      </c>
      <c r="AO1129" t="str">
        <f t="shared" si="465"/>
        <v>No usa</v>
      </c>
      <c r="AP1129">
        <v>0</v>
      </c>
      <c r="AQ1129" t="str">
        <f t="shared" si="466"/>
        <v>No camina</v>
      </c>
      <c r="AR1129">
        <v>0</v>
      </c>
      <c r="AS1129" t="str">
        <f t="shared" si="467"/>
        <v>No es obeso</v>
      </c>
    </row>
    <row r="1130" spans="1:45" x14ac:dyDescent="0.25">
      <c r="A1130">
        <v>1</v>
      </c>
      <c r="B1130" t="str">
        <f t="shared" si="442"/>
        <v>M</v>
      </c>
      <c r="C1130">
        <v>30022598</v>
      </c>
      <c r="D1130">
        <f t="shared" si="443"/>
        <v>82</v>
      </c>
      <c r="E1130">
        <f t="shared" si="444"/>
        <v>82</v>
      </c>
      <c r="F1130" t="str">
        <f t="shared" si="445"/>
        <v>75-100</v>
      </c>
      <c r="G1130">
        <v>1</v>
      </c>
      <c r="H1130" t="str">
        <f t="shared" si="446"/>
        <v>Pariente gordo</v>
      </c>
      <c r="I1130">
        <v>1</v>
      </c>
      <c r="J1130" t="str">
        <f t="shared" si="447"/>
        <v>Hipercaloricos</v>
      </c>
      <c r="K1130">
        <v>2011656</v>
      </c>
      <c r="L1130">
        <f t="shared" si="448"/>
        <v>1</v>
      </c>
      <c r="M1130" t="str">
        <f t="shared" si="449"/>
        <v>Suele comer</v>
      </c>
      <c r="N1130">
        <v>3165837</v>
      </c>
      <c r="O1130">
        <f t="shared" si="450"/>
        <v>2</v>
      </c>
      <c r="P1130" t="str">
        <f t="shared" si="451"/>
        <v>Mas de 3</v>
      </c>
      <c r="Q1130">
        <v>1</v>
      </c>
      <c r="R1130" t="str">
        <f t="shared" si="452"/>
        <v>A veces</v>
      </c>
      <c r="S1130">
        <v>0</v>
      </c>
      <c r="T1130" t="str">
        <f t="shared" si="453"/>
        <v>No fuma</v>
      </c>
      <c r="U1130">
        <v>1844645</v>
      </c>
      <c r="V1130">
        <f t="shared" si="454"/>
        <v>2</v>
      </c>
      <c r="W1130" t="str">
        <f t="shared" si="455"/>
        <v>Siempre</v>
      </c>
      <c r="X1130">
        <v>0</v>
      </c>
      <c r="Y1130" t="str">
        <f t="shared" si="456"/>
        <v>No controla</v>
      </c>
      <c r="Z1130">
        <v>0.88996299999999995</v>
      </c>
      <c r="AA1130">
        <f t="shared" si="457"/>
        <v>0</v>
      </c>
      <c r="AB1130" t="str">
        <f t="shared" si="458"/>
        <v>Nunca</v>
      </c>
      <c r="AC1130">
        <v>0.39597900000000003</v>
      </c>
      <c r="AD1130">
        <f t="shared" si="459"/>
        <v>0</v>
      </c>
      <c r="AE1130" t="str">
        <f t="shared" si="460"/>
        <v>Nunca</v>
      </c>
      <c r="AF1130">
        <v>0</v>
      </c>
      <c r="AG1130" t="str">
        <f t="shared" si="461"/>
        <v>Nunca</v>
      </c>
      <c r="AH1130">
        <v>1</v>
      </c>
      <c r="AI1130" t="str">
        <f t="shared" si="462"/>
        <v>Usa auto</v>
      </c>
      <c r="AJ1130">
        <v>0</v>
      </c>
      <c r="AK1130" t="str">
        <f t="shared" si="463"/>
        <v>No usa</v>
      </c>
      <c r="AL1130">
        <v>0</v>
      </c>
      <c r="AM1130" t="str">
        <f t="shared" si="464"/>
        <v>No usa</v>
      </c>
      <c r="AN1130">
        <v>0</v>
      </c>
      <c r="AO1130" t="str">
        <f t="shared" si="465"/>
        <v>No usa</v>
      </c>
      <c r="AP1130">
        <v>0</v>
      </c>
      <c r="AQ1130" t="str">
        <f t="shared" si="466"/>
        <v>No camina</v>
      </c>
      <c r="AR1130">
        <v>0</v>
      </c>
      <c r="AS1130" t="str">
        <f t="shared" si="467"/>
        <v>No es obeso</v>
      </c>
    </row>
    <row r="1131" spans="1:45" x14ac:dyDescent="0.25">
      <c r="A1131">
        <v>1</v>
      </c>
      <c r="B1131" t="str">
        <f t="shared" si="442"/>
        <v>M</v>
      </c>
      <c r="C1131">
        <v>21123048</v>
      </c>
      <c r="D1131">
        <f t="shared" si="443"/>
        <v>57</v>
      </c>
      <c r="E1131">
        <f t="shared" si="444"/>
        <v>57</v>
      </c>
      <c r="F1131" t="str">
        <f t="shared" si="445"/>
        <v>50-75</v>
      </c>
      <c r="G1131">
        <v>1</v>
      </c>
      <c r="H1131" t="str">
        <f t="shared" si="446"/>
        <v>Pariente gordo</v>
      </c>
      <c r="I1131">
        <v>1</v>
      </c>
      <c r="J1131" t="str">
        <f t="shared" si="447"/>
        <v>Hipercaloricos</v>
      </c>
      <c r="K1131">
        <v>2</v>
      </c>
      <c r="L1131">
        <f t="shared" si="448"/>
        <v>1</v>
      </c>
      <c r="M1131" t="str">
        <f t="shared" si="449"/>
        <v>Suele comer</v>
      </c>
      <c r="N1131">
        <v>3</v>
      </c>
      <c r="O1131">
        <f t="shared" si="450"/>
        <v>2</v>
      </c>
      <c r="P1131" t="str">
        <f t="shared" si="451"/>
        <v>Mas de 3</v>
      </c>
      <c r="Q1131">
        <v>1</v>
      </c>
      <c r="R1131" t="str">
        <f t="shared" si="452"/>
        <v>A veces</v>
      </c>
      <c r="S1131">
        <v>0</v>
      </c>
      <c r="T1131" t="str">
        <f t="shared" si="453"/>
        <v>No fuma</v>
      </c>
      <c r="U1131">
        <v>2</v>
      </c>
      <c r="V1131">
        <f t="shared" si="454"/>
        <v>2</v>
      </c>
      <c r="W1131" t="str">
        <f t="shared" si="455"/>
        <v>Siempre</v>
      </c>
      <c r="X1131">
        <v>0</v>
      </c>
      <c r="Y1131" t="str">
        <f t="shared" si="456"/>
        <v>No controla</v>
      </c>
      <c r="Z1131">
        <v>2270555</v>
      </c>
      <c r="AA1131">
        <f t="shared" si="457"/>
        <v>3</v>
      </c>
      <c r="AB1131" t="str">
        <f t="shared" si="458"/>
        <v>Siempre</v>
      </c>
      <c r="AC1131">
        <v>1343044</v>
      </c>
      <c r="AD1131">
        <f t="shared" si="459"/>
        <v>2</v>
      </c>
      <c r="AE1131" t="str">
        <f t="shared" si="460"/>
        <v>Siempre</v>
      </c>
      <c r="AF1131">
        <v>0</v>
      </c>
      <c r="AG1131" t="str">
        <f t="shared" si="461"/>
        <v>Nunca</v>
      </c>
      <c r="AH1131">
        <v>0</v>
      </c>
      <c r="AI1131" t="str">
        <f t="shared" si="462"/>
        <v>No usa</v>
      </c>
      <c r="AJ1131">
        <v>0</v>
      </c>
      <c r="AK1131" t="str">
        <f t="shared" si="463"/>
        <v>No usa</v>
      </c>
      <c r="AL1131">
        <v>0</v>
      </c>
      <c r="AM1131" t="str">
        <f t="shared" si="464"/>
        <v>No usa</v>
      </c>
      <c r="AN1131">
        <v>1</v>
      </c>
      <c r="AO1131" t="str">
        <f t="shared" si="465"/>
        <v>Usa Transporte</v>
      </c>
      <c r="AP1131">
        <v>0</v>
      </c>
      <c r="AQ1131" t="str">
        <f t="shared" si="466"/>
        <v>No camina</v>
      </c>
      <c r="AR1131">
        <v>0</v>
      </c>
      <c r="AS1131" t="str">
        <f t="shared" si="467"/>
        <v>No es obeso</v>
      </c>
    </row>
    <row r="1132" spans="1:45" x14ac:dyDescent="0.25">
      <c r="A1132">
        <v>0</v>
      </c>
      <c r="B1132" t="str">
        <f t="shared" si="442"/>
        <v>F</v>
      </c>
      <c r="C1132">
        <v>22989846</v>
      </c>
      <c r="D1132">
        <f t="shared" si="443"/>
        <v>62</v>
      </c>
      <c r="E1132">
        <f t="shared" si="444"/>
        <v>62</v>
      </c>
      <c r="F1132" t="str">
        <f t="shared" si="445"/>
        <v>50-75</v>
      </c>
      <c r="G1132">
        <v>1</v>
      </c>
      <c r="H1132" t="str">
        <f t="shared" si="446"/>
        <v>Pariente gordo</v>
      </c>
      <c r="I1132">
        <v>1</v>
      </c>
      <c r="J1132" t="str">
        <f t="shared" si="447"/>
        <v>Hipercaloricos</v>
      </c>
      <c r="K1132">
        <v>2</v>
      </c>
      <c r="L1132">
        <f t="shared" si="448"/>
        <v>1</v>
      </c>
      <c r="M1132" t="str">
        <f t="shared" si="449"/>
        <v>Suele comer</v>
      </c>
      <c r="N1132">
        <v>3</v>
      </c>
      <c r="O1132">
        <f t="shared" si="450"/>
        <v>2</v>
      </c>
      <c r="P1132" t="str">
        <f t="shared" si="451"/>
        <v>Mas de 3</v>
      </c>
      <c r="Q1132">
        <v>1</v>
      </c>
      <c r="R1132" t="str">
        <f t="shared" si="452"/>
        <v>A veces</v>
      </c>
      <c r="S1132">
        <v>0</v>
      </c>
      <c r="T1132" t="str">
        <f t="shared" si="453"/>
        <v>No fuma</v>
      </c>
      <c r="U1132">
        <v>2</v>
      </c>
      <c r="V1132">
        <f t="shared" si="454"/>
        <v>2</v>
      </c>
      <c r="W1132" t="str">
        <f t="shared" si="455"/>
        <v>Siempre</v>
      </c>
      <c r="X1132">
        <v>0</v>
      </c>
      <c r="Y1132" t="str">
        <f t="shared" si="456"/>
        <v>No controla</v>
      </c>
      <c r="Z1132">
        <v>0.14691899999999999</v>
      </c>
      <c r="AA1132">
        <f t="shared" si="457"/>
        <v>0</v>
      </c>
      <c r="AB1132" t="str">
        <f t="shared" si="458"/>
        <v>Nunca</v>
      </c>
      <c r="AC1132">
        <v>2</v>
      </c>
      <c r="AD1132">
        <f t="shared" si="459"/>
        <v>2</v>
      </c>
      <c r="AE1132" t="str">
        <f t="shared" si="460"/>
        <v>Siempre</v>
      </c>
      <c r="AF1132">
        <v>0</v>
      </c>
      <c r="AG1132" t="str">
        <f t="shared" si="461"/>
        <v>Nunca</v>
      </c>
      <c r="AH1132">
        <v>0</v>
      </c>
      <c r="AI1132" t="str">
        <f t="shared" si="462"/>
        <v>No usa</v>
      </c>
      <c r="AJ1132">
        <v>0</v>
      </c>
      <c r="AK1132" t="str">
        <f t="shared" si="463"/>
        <v>No usa</v>
      </c>
      <c r="AL1132">
        <v>0</v>
      </c>
      <c r="AM1132" t="str">
        <f t="shared" si="464"/>
        <v>No usa</v>
      </c>
      <c r="AN1132">
        <v>1</v>
      </c>
      <c r="AO1132" t="str">
        <f t="shared" si="465"/>
        <v>Usa Transporte</v>
      </c>
      <c r="AP1132">
        <v>0</v>
      </c>
      <c r="AQ1132" t="str">
        <f t="shared" si="466"/>
        <v>No camina</v>
      </c>
      <c r="AR1132">
        <v>0</v>
      </c>
      <c r="AS1132" t="str">
        <f t="shared" si="467"/>
        <v>No es obeso</v>
      </c>
    </row>
    <row r="1133" spans="1:45" x14ac:dyDescent="0.25">
      <c r="A1133">
        <v>0</v>
      </c>
      <c r="B1133" t="str">
        <f t="shared" si="442"/>
        <v>F</v>
      </c>
      <c r="C1133">
        <v>24320154</v>
      </c>
      <c r="D1133">
        <f t="shared" si="443"/>
        <v>66</v>
      </c>
      <c r="E1133">
        <f t="shared" si="444"/>
        <v>66</v>
      </c>
      <c r="F1133" t="str">
        <f t="shared" si="445"/>
        <v>50-75</v>
      </c>
      <c r="G1133">
        <v>1</v>
      </c>
      <c r="H1133" t="str">
        <f t="shared" si="446"/>
        <v>Pariente gordo</v>
      </c>
      <c r="I1133">
        <v>0</v>
      </c>
      <c r="J1133" t="str">
        <f t="shared" si="447"/>
        <v>Saludables</v>
      </c>
      <c r="K1133">
        <v>203414</v>
      </c>
      <c r="L1133">
        <f t="shared" si="448"/>
        <v>1</v>
      </c>
      <c r="M1133" t="str">
        <f t="shared" si="449"/>
        <v>Suele comer</v>
      </c>
      <c r="N1133">
        <v>2741413</v>
      </c>
      <c r="O1133">
        <f t="shared" si="450"/>
        <v>2</v>
      </c>
      <c r="P1133" t="str">
        <f t="shared" si="451"/>
        <v>Mas de 3</v>
      </c>
      <c r="Q1133">
        <v>1</v>
      </c>
      <c r="R1133" t="str">
        <f t="shared" si="452"/>
        <v>A veces</v>
      </c>
      <c r="S1133">
        <v>0</v>
      </c>
      <c r="T1133" t="str">
        <f t="shared" si="453"/>
        <v>No fuma</v>
      </c>
      <c r="U1133">
        <v>1996384</v>
      </c>
      <c r="V1133">
        <f t="shared" si="454"/>
        <v>2</v>
      </c>
      <c r="W1133" t="str">
        <f t="shared" si="455"/>
        <v>Siempre</v>
      </c>
      <c r="X1133">
        <v>0</v>
      </c>
      <c r="Y1133" t="str">
        <f t="shared" si="456"/>
        <v>No controla</v>
      </c>
      <c r="Z1133">
        <v>1276552</v>
      </c>
      <c r="AA1133">
        <f t="shared" si="457"/>
        <v>3</v>
      </c>
      <c r="AB1133" t="str">
        <f t="shared" si="458"/>
        <v>Siempre</v>
      </c>
      <c r="AC1133">
        <v>1019452</v>
      </c>
      <c r="AD1133">
        <f t="shared" si="459"/>
        <v>2</v>
      </c>
      <c r="AE1133" t="str">
        <f t="shared" si="460"/>
        <v>Siempre</v>
      </c>
      <c r="AF1133">
        <v>0</v>
      </c>
      <c r="AG1133" t="str">
        <f t="shared" si="461"/>
        <v>Nunca</v>
      </c>
      <c r="AH1133">
        <v>0</v>
      </c>
      <c r="AI1133" t="str">
        <f t="shared" si="462"/>
        <v>No usa</v>
      </c>
      <c r="AJ1133">
        <v>0</v>
      </c>
      <c r="AK1133" t="str">
        <f t="shared" si="463"/>
        <v>No usa</v>
      </c>
      <c r="AL1133">
        <v>0</v>
      </c>
      <c r="AM1133" t="str">
        <f t="shared" si="464"/>
        <v>No usa</v>
      </c>
      <c r="AN1133">
        <v>1</v>
      </c>
      <c r="AO1133" t="str">
        <f t="shared" si="465"/>
        <v>Usa Transporte</v>
      </c>
      <c r="AP1133">
        <v>0</v>
      </c>
      <c r="AQ1133" t="str">
        <f t="shared" si="466"/>
        <v>No camina</v>
      </c>
      <c r="AR1133">
        <v>0</v>
      </c>
      <c r="AS1133" t="str">
        <f t="shared" si="467"/>
        <v>No es obeso</v>
      </c>
    </row>
    <row r="1134" spans="1:45" x14ac:dyDescent="0.25">
      <c r="A1134">
        <v>1</v>
      </c>
      <c r="B1134" t="str">
        <f t="shared" si="442"/>
        <v>M</v>
      </c>
      <c r="C1134">
        <v>37275298</v>
      </c>
      <c r="D1134">
        <f t="shared" si="443"/>
        <v>102</v>
      </c>
      <c r="E1134">
        <f t="shared" si="444"/>
        <v>100</v>
      </c>
      <c r="F1134" t="str">
        <f t="shared" si="445"/>
        <v>75-100</v>
      </c>
      <c r="G1134">
        <v>1</v>
      </c>
      <c r="H1134" t="str">
        <f t="shared" si="446"/>
        <v>Pariente gordo</v>
      </c>
      <c r="I1134">
        <v>1</v>
      </c>
      <c r="J1134" t="str">
        <f t="shared" si="447"/>
        <v>Hipercaloricos</v>
      </c>
      <c r="K1134">
        <v>2746408</v>
      </c>
      <c r="L1134">
        <f t="shared" si="448"/>
        <v>1</v>
      </c>
      <c r="M1134" t="str">
        <f t="shared" si="449"/>
        <v>Suele comer</v>
      </c>
      <c r="N1134">
        <v>1058123</v>
      </c>
      <c r="O1134">
        <f t="shared" si="450"/>
        <v>2</v>
      </c>
      <c r="P1134" t="str">
        <f t="shared" si="451"/>
        <v>Mas de 3</v>
      </c>
      <c r="Q1134">
        <v>1</v>
      </c>
      <c r="R1134" t="str">
        <f t="shared" si="452"/>
        <v>A veces</v>
      </c>
      <c r="S1134">
        <v>0</v>
      </c>
      <c r="T1134" t="str">
        <f t="shared" si="453"/>
        <v>No fuma</v>
      </c>
      <c r="U1134">
        <v>2265727</v>
      </c>
      <c r="V1134">
        <f t="shared" si="454"/>
        <v>2</v>
      </c>
      <c r="W1134" t="str">
        <f t="shared" si="455"/>
        <v>Siempre</v>
      </c>
      <c r="X1134">
        <v>0</v>
      </c>
      <c r="Y1134" t="str">
        <f t="shared" si="456"/>
        <v>No controla</v>
      </c>
      <c r="Z1134">
        <v>0.885633</v>
      </c>
      <c r="AA1134">
        <f t="shared" si="457"/>
        <v>0</v>
      </c>
      <c r="AB1134" t="str">
        <f t="shared" si="458"/>
        <v>Nunca</v>
      </c>
      <c r="AC1134">
        <v>0.67340800000000001</v>
      </c>
      <c r="AD1134">
        <f t="shared" si="459"/>
        <v>0</v>
      </c>
      <c r="AE1134" t="str">
        <f t="shared" si="460"/>
        <v>Nunca</v>
      </c>
      <c r="AF1134">
        <v>0</v>
      </c>
      <c r="AG1134" t="str">
        <f t="shared" si="461"/>
        <v>Nunca</v>
      </c>
      <c r="AH1134">
        <v>1</v>
      </c>
      <c r="AI1134" t="str">
        <f t="shared" si="462"/>
        <v>Usa auto</v>
      </c>
      <c r="AJ1134">
        <v>0</v>
      </c>
      <c r="AK1134" t="str">
        <f t="shared" si="463"/>
        <v>No usa</v>
      </c>
      <c r="AL1134">
        <v>0</v>
      </c>
      <c r="AM1134" t="str">
        <f t="shared" si="464"/>
        <v>No usa</v>
      </c>
      <c r="AN1134">
        <v>0</v>
      </c>
      <c r="AO1134" t="str">
        <f t="shared" si="465"/>
        <v>No usa</v>
      </c>
      <c r="AP1134">
        <v>0</v>
      </c>
      <c r="AQ1134" t="str">
        <f t="shared" si="466"/>
        <v>No camina</v>
      </c>
      <c r="AR1134">
        <v>0</v>
      </c>
      <c r="AS1134" t="str">
        <f t="shared" si="467"/>
        <v>No es obeso</v>
      </c>
    </row>
    <row r="1135" spans="1:45" x14ac:dyDescent="0.25">
      <c r="A1135">
        <v>1</v>
      </c>
      <c r="B1135" t="str">
        <f t="shared" si="442"/>
        <v>M</v>
      </c>
      <c r="C1135">
        <v>34098174</v>
      </c>
      <c r="D1135">
        <f t="shared" si="443"/>
        <v>93</v>
      </c>
      <c r="E1135">
        <f t="shared" si="444"/>
        <v>93</v>
      </c>
      <c r="F1135" t="str">
        <f t="shared" si="445"/>
        <v>75-100</v>
      </c>
      <c r="G1135">
        <v>1</v>
      </c>
      <c r="H1135" t="str">
        <f t="shared" si="446"/>
        <v>Pariente gordo</v>
      </c>
      <c r="I1135">
        <v>1</v>
      </c>
      <c r="J1135" t="str">
        <f t="shared" si="447"/>
        <v>Hipercaloricos</v>
      </c>
      <c r="K1135">
        <v>2</v>
      </c>
      <c r="L1135">
        <f t="shared" si="448"/>
        <v>1</v>
      </c>
      <c r="M1135" t="str">
        <f t="shared" si="449"/>
        <v>Suele comer</v>
      </c>
      <c r="N1135">
        <v>2997414</v>
      </c>
      <c r="O1135">
        <f t="shared" si="450"/>
        <v>2</v>
      </c>
      <c r="P1135" t="str">
        <f t="shared" si="451"/>
        <v>Mas de 3</v>
      </c>
      <c r="Q1135">
        <v>1</v>
      </c>
      <c r="R1135" t="str">
        <f t="shared" si="452"/>
        <v>A veces</v>
      </c>
      <c r="S1135">
        <v>0</v>
      </c>
      <c r="T1135" t="str">
        <f t="shared" si="453"/>
        <v>No fuma</v>
      </c>
      <c r="U1135">
        <v>1259454</v>
      </c>
      <c r="V1135">
        <f t="shared" si="454"/>
        <v>2</v>
      </c>
      <c r="W1135" t="str">
        <f t="shared" si="455"/>
        <v>Siempre</v>
      </c>
      <c r="X1135">
        <v>0</v>
      </c>
      <c r="Y1135" t="str">
        <f t="shared" si="456"/>
        <v>No controla</v>
      </c>
      <c r="Z1135">
        <v>0.93521699999999996</v>
      </c>
      <c r="AA1135">
        <f t="shared" si="457"/>
        <v>0</v>
      </c>
      <c r="AB1135" t="str">
        <f t="shared" si="458"/>
        <v>Nunca</v>
      </c>
      <c r="AC1135">
        <v>0.99760000000000004</v>
      </c>
      <c r="AD1135">
        <f t="shared" si="459"/>
        <v>0</v>
      </c>
      <c r="AE1135" t="str">
        <f t="shared" si="460"/>
        <v>Nunca</v>
      </c>
      <c r="AF1135">
        <v>1</v>
      </c>
      <c r="AG1135" t="str">
        <f t="shared" si="461"/>
        <v>A veces</v>
      </c>
      <c r="AH1135">
        <v>1</v>
      </c>
      <c r="AI1135" t="str">
        <f t="shared" si="462"/>
        <v>Usa auto</v>
      </c>
      <c r="AJ1135">
        <v>0</v>
      </c>
      <c r="AK1135" t="str">
        <f t="shared" si="463"/>
        <v>No usa</v>
      </c>
      <c r="AL1135">
        <v>0</v>
      </c>
      <c r="AM1135" t="str">
        <f t="shared" si="464"/>
        <v>No usa</v>
      </c>
      <c r="AN1135">
        <v>0</v>
      </c>
      <c r="AO1135" t="str">
        <f t="shared" si="465"/>
        <v>No usa</v>
      </c>
      <c r="AP1135">
        <v>0</v>
      </c>
      <c r="AQ1135" t="str">
        <f t="shared" si="466"/>
        <v>No camina</v>
      </c>
      <c r="AR1135">
        <v>0</v>
      </c>
      <c r="AS1135" t="str">
        <f t="shared" si="467"/>
        <v>No es obeso</v>
      </c>
    </row>
    <row r="1136" spans="1:45" x14ac:dyDescent="0.25">
      <c r="A1136">
        <v>0</v>
      </c>
      <c r="B1136" t="str">
        <f t="shared" si="442"/>
        <v>F</v>
      </c>
      <c r="C1136">
        <v>21001282</v>
      </c>
      <c r="D1136">
        <f t="shared" si="443"/>
        <v>57</v>
      </c>
      <c r="E1136">
        <f t="shared" si="444"/>
        <v>57</v>
      </c>
      <c r="F1136" t="str">
        <f t="shared" si="445"/>
        <v>50-75</v>
      </c>
      <c r="G1136">
        <v>1</v>
      </c>
      <c r="H1136" t="str">
        <f t="shared" si="446"/>
        <v>Pariente gordo</v>
      </c>
      <c r="I1136">
        <v>0</v>
      </c>
      <c r="J1136" t="str">
        <f t="shared" si="447"/>
        <v>Saludables</v>
      </c>
      <c r="K1136">
        <v>21239</v>
      </c>
      <c r="L1136">
        <f t="shared" si="448"/>
        <v>1</v>
      </c>
      <c r="M1136" t="str">
        <f t="shared" si="449"/>
        <v>Suele comer</v>
      </c>
      <c r="N1136">
        <v>1672958</v>
      </c>
      <c r="O1136">
        <f t="shared" si="450"/>
        <v>2</v>
      </c>
      <c r="P1136" t="str">
        <f t="shared" si="451"/>
        <v>Mas de 3</v>
      </c>
      <c r="Q1136">
        <v>1</v>
      </c>
      <c r="R1136" t="str">
        <f t="shared" si="452"/>
        <v>A veces</v>
      </c>
      <c r="S1136">
        <v>0</v>
      </c>
      <c r="T1136" t="str">
        <f t="shared" si="453"/>
        <v>No fuma</v>
      </c>
      <c r="U1136">
        <v>2</v>
      </c>
      <c r="V1136">
        <f t="shared" si="454"/>
        <v>2</v>
      </c>
      <c r="W1136" t="str">
        <f t="shared" si="455"/>
        <v>Siempre</v>
      </c>
      <c r="X1136">
        <v>0</v>
      </c>
      <c r="Y1136" t="str">
        <f t="shared" si="456"/>
        <v>No controla</v>
      </c>
      <c r="Z1136">
        <v>1582428</v>
      </c>
      <c r="AA1136">
        <f t="shared" si="457"/>
        <v>3</v>
      </c>
      <c r="AB1136" t="str">
        <f t="shared" si="458"/>
        <v>Siempre</v>
      </c>
      <c r="AC1136">
        <v>1313363</v>
      </c>
      <c r="AD1136">
        <f t="shared" si="459"/>
        <v>2</v>
      </c>
      <c r="AE1136" t="str">
        <f t="shared" si="460"/>
        <v>Siempre</v>
      </c>
      <c r="AF1136">
        <v>0</v>
      </c>
      <c r="AG1136" t="str">
        <f t="shared" si="461"/>
        <v>Nunca</v>
      </c>
      <c r="AH1136">
        <v>0</v>
      </c>
      <c r="AI1136" t="str">
        <f t="shared" si="462"/>
        <v>No usa</v>
      </c>
      <c r="AJ1136">
        <v>0</v>
      </c>
      <c r="AK1136" t="str">
        <f t="shared" si="463"/>
        <v>No usa</v>
      </c>
      <c r="AL1136">
        <v>0</v>
      </c>
      <c r="AM1136" t="str">
        <f t="shared" si="464"/>
        <v>No usa</v>
      </c>
      <c r="AN1136">
        <v>1</v>
      </c>
      <c r="AO1136" t="str">
        <f t="shared" si="465"/>
        <v>Usa Transporte</v>
      </c>
      <c r="AP1136">
        <v>0</v>
      </c>
      <c r="AQ1136" t="str">
        <f t="shared" si="466"/>
        <v>No camina</v>
      </c>
      <c r="AR1136">
        <v>0</v>
      </c>
      <c r="AS1136" t="str">
        <f t="shared" si="467"/>
        <v>No es obeso</v>
      </c>
    </row>
    <row r="1137" spans="1:45" x14ac:dyDescent="0.25">
      <c r="A1137">
        <v>0</v>
      </c>
      <c r="B1137" t="str">
        <f t="shared" si="442"/>
        <v>F</v>
      </c>
      <c r="C1137">
        <v>2195994</v>
      </c>
      <c r="D1137">
        <f t="shared" si="443"/>
        <v>6</v>
      </c>
      <c r="E1137">
        <f t="shared" si="444"/>
        <v>6</v>
      </c>
      <c r="F1137" t="str">
        <f t="shared" si="445"/>
        <v>1-25</v>
      </c>
      <c r="G1137">
        <v>1</v>
      </c>
      <c r="H1137" t="str">
        <f t="shared" si="446"/>
        <v>Pariente gordo</v>
      </c>
      <c r="I1137">
        <v>0</v>
      </c>
      <c r="J1137" t="str">
        <f t="shared" si="447"/>
        <v>Saludables</v>
      </c>
      <c r="K1137">
        <v>2</v>
      </c>
      <c r="L1137">
        <f t="shared" si="448"/>
        <v>1</v>
      </c>
      <c r="M1137" t="str">
        <f t="shared" si="449"/>
        <v>Suele comer</v>
      </c>
      <c r="N1137">
        <v>1680838</v>
      </c>
      <c r="O1137">
        <f t="shared" si="450"/>
        <v>2</v>
      </c>
      <c r="P1137" t="str">
        <f t="shared" si="451"/>
        <v>Mas de 3</v>
      </c>
      <c r="Q1137">
        <v>1</v>
      </c>
      <c r="R1137" t="str">
        <f t="shared" si="452"/>
        <v>A veces</v>
      </c>
      <c r="S1137">
        <v>0</v>
      </c>
      <c r="T1137" t="str">
        <f t="shared" si="453"/>
        <v>No fuma</v>
      </c>
      <c r="U1137">
        <v>1833635</v>
      </c>
      <c r="V1137">
        <f t="shared" si="454"/>
        <v>2</v>
      </c>
      <c r="W1137" t="str">
        <f t="shared" si="455"/>
        <v>Siempre</v>
      </c>
      <c r="X1137">
        <v>0</v>
      </c>
      <c r="Y1137" t="str">
        <f t="shared" si="456"/>
        <v>No controla</v>
      </c>
      <c r="Z1137">
        <v>0.28187600000000002</v>
      </c>
      <c r="AA1137">
        <f t="shared" si="457"/>
        <v>0</v>
      </c>
      <c r="AB1137" t="str">
        <f t="shared" si="458"/>
        <v>Nunca</v>
      </c>
      <c r="AC1137">
        <v>0.57584800000000003</v>
      </c>
      <c r="AD1137">
        <f t="shared" si="459"/>
        <v>0</v>
      </c>
      <c r="AE1137" t="str">
        <f t="shared" si="460"/>
        <v>Nunca</v>
      </c>
      <c r="AF1137">
        <v>0</v>
      </c>
      <c r="AG1137" t="str">
        <f t="shared" si="461"/>
        <v>Nunca</v>
      </c>
      <c r="AH1137">
        <v>0</v>
      </c>
      <c r="AI1137" t="str">
        <f t="shared" si="462"/>
        <v>No usa</v>
      </c>
      <c r="AJ1137">
        <v>0</v>
      </c>
      <c r="AK1137" t="str">
        <f t="shared" si="463"/>
        <v>No usa</v>
      </c>
      <c r="AL1137">
        <v>0</v>
      </c>
      <c r="AM1137" t="str">
        <f t="shared" si="464"/>
        <v>No usa</v>
      </c>
      <c r="AN1137">
        <v>1</v>
      </c>
      <c r="AO1137" t="str">
        <f t="shared" si="465"/>
        <v>Usa Transporte</v>
      </c>
      <c r="AP1137">
        <v>0</v>
      </c>
      <c r="AQ1137" t="str">
        <f t="shared" si="466"/>
        <v>No camina</v>
      </c>
      <c r="AR1137">
        <v>0</v>
      </c>
      <c r="AS1137" t="str">
        <f t="shared" si="467"/>
        <v>No es obeso</v>
      </c>
    </row>
    <row r="1138" spans="1:45" x14ac:dyDescent="0.25">
      <c r="A1138">
        <v>1</v>
      </c>
      <c r="B1138" t="str">
        <f t="shared" si="442"/>
        <v>M</v>
      </c>
      <c r="C1138">
        <v>19795269</v>
      </c>
      <c r="D1138">
        <f t="shared" si="443"/>
        <v>54</v>
      </c>
      <c r="E1138">
        <f t="shared" si="444"/>
        <v>54</v>
      </c>
      <c r="F1138" t="str">
        <f t="shared" si="445"/>
        <v>50-75</v>
      </c>
      <c r="G1138">
        <v>1</v>
      </c>
      <c r="H1138" t="str">
        <f t="shared" si="446"/>
        <v>Pariente gordo</v>
      </c>
      <c r="I1138">
        <v>1</v>
      </c>
      <c r="J1138" t="str">
        <f t="shared" si="447"/>
        <v>Hipercaloricos</v>
      </c>
      <c r="K1138">
        <v>2332074</v>
      </c>
      <c r="L1138">
        <f t="shared" si="448"/>
        <v>1</v>
      </c>
      <c r="M1138" t="str">
        <f t="shared" si="449"/>
        <v>Suele comer</v>
      </c>
      <c r="N1138">
        <v>3</v>
      </c>
      <c r="O1138">
        <f t="shared" si="450"/>
        <v>2</v>
      </c>
      <c r="P1138" t="str">
        <f t="shared" si="451"/>
        <v>Mas de 3</v>
      </c>
      <c r="Q1138">
        <v>1</v>
      </c>
      <c r="R1138" t="str">
        <f t="shared" si="452"/>
        <v>A veces</v>
      </c>
      <c r="S1138">
        <v>0</v>
      </c>
      <c r="T1138" t="str">
        <f t="shared" si="453"/>
        <v>No fuma</v>
      </c>
      <c r="U1138">
        <v>2999495</v>
      </c>
      <c r="V1138">
        <f t="shared" si="454"/>
        <v>2</v>
      </c>
      <c r="W1138" t="str">
        <f t="shared" si="455"/>
        <v>Siempre</v>
      </c>
      <c r="X1138">
        <v>0</v>
      </c>
      <c r="Y1138" t="str">
        <f t="shared" si="456"/>
        <v>No controla</v>
      </c>
      <c r="Z1138">
        <v>2405963</v>
      </c>
      <c r="AA1138">
        <f t="shared" si="457"/>
        <v>3</v>
      </c>
      <c r="AB1138" t="str">
        <f t="shared" si="458"/>
        <v>Siempre</v>
      </c>
      <c r="AC1138">
        <v>0.44150200000000001</v>
      </c>
      <c r="AD1138">
        <f t="shared" si="459"/>
        <v>0</v>
      </c>
      <c r="AE1138" t="str">
        <f t="shared" si="460"/>
        <v>Nunca</v>
      </c>
      <c r="AF1138">
        <v>1</v>
      </c>
      <c r="AG1138" t="str">
        <f t="shared" si="461"/>
        <v>A veces</v>
      </c>
      <c r="AH1138">
        <v>0</v>
      </c>
      <c r="AI1138" t="str">
        <f t="shared" si="462"/>
        <v>No usa</v>
      </c>
      <c r="AJ1138">
        <v>0</v>
      </c>
      <c r="AK1138" t="str">
        <f t="shared" si="463"/>
        <v>No usa</v>
      </c>
      <c r="AL1138">
        <v>0</v>
      </c>
      <c r="AM1138" t="str">
        <f t="shared" si="464"/>
        <v>No usa</v>
      </c>
      <c r="AN1138">
        <v>1</v>
      </c>
      <c r="AO1138" t="str">
        <f t="shared" si="465"/>
        <v>Usa Transporte</v>
      </c>
      <c r="AP1138">
        <v>0</v>
      </c>
      <c r="AQ1138" t="str">
        <f t="shared" si="466"/>
        <v>No camina</v>
      </c>
      <c r="AR1138">
        <v>0</v>
      </c>
      <c r="AS1138" t="str">
        <f t="shared" si="467"/>
        <v>No es obeso</v>
      </c>
    </row>
    <row r="1139" spans="1:45" x14ac:dyDescent="0.25">
      <c r="A1139">
        <v>0</v>
      </c>
      <c r="B1139" t="str">
        <f t="shared" si="442"/>
        <v>F</v>
      </c>
      <c r="C1139">
        <v>19090023</v>
      </c>
      <c r="D1139">
        <f t="shared" si="443"/>
        <v>52</v>
      </c>
      <c r="E1139">
        <f t="shared" si="444"/>
        <v>52</v>
      </c>
      <c r="F1139" t="str">
        <f t="shared" si="445"/>
        <v>50-75</v>
      </c>
      <c r="G1139">
        <v>1</v>
      </c>
      <c r="H1139" t="str">
        <f t="shared" si="446"/>
        <v>Pariente gordo</v>
      </c>
      <c r="I1139">
        <v>0</v>
      </c>
      <c r="J1139" t="str">
        <f t="shared" si="447"/>
        <v>Saludables</v>
      </c>
      <c r="K1139">
        <v>2748243</v>
      </c>
      <c r="L1139">
        <f t="shared" si="448"/>
        <v>1</v>
      </c>
      <c r="M1139" t="str">
        <f t="shared" si="449"/>
        <v>Suele comer</v>
      </c>
      <c r="N1139">
        <v>3070386</v>
      </c>
      <c r="O1139">
        <f t="shared" si="450"/>
        <v>2</v>
      </c>
      <c r="P1139" t="str">
        <f t="shared" si="451"/>
        <v>Mas de 3</v>
      </c>
      <c r="Q1139">
        <v>1</v>
      </c>
      <c r="R1139" t="str">
        <f t="shared" si="452"/>
        <v>A veces</v>
      </c>
      <c r="S1139">
        <v>0</v>
      </c>
      <c r="T1139" t="str">
        <f t="shared" si="453"/>
        <v>No fuma</v>
      </c>
      <c r="U1139">
        <v>1962322</v>
      </c>
      <c r="V1139">
        <f t="shared" si="454"/>
        <v>2</v>
      </c>
      <c r="W1139" t="str">
        <f t="shared" si="455"/>
        <v>Siempre</v>
      </c>
      <c r="X1139">
        <v>0</v>
      </c>
      <c r="Y1139" t="str">
        <f t="shared" si="456"/>
        <v>No controla</v>
      </c>
      <c r="Z1139">
        <v>1145752</v>
      </c>
      <c r="AA1139">
        <f t="shared" si="457"/>
        <v>3</v>
      </c>
      <c r="AB1139" t="str">
        <f t="shared" si="458"/>
        <v>Siempre</v>
      </c>
      <c r="AC1139">
        <v>1</v>
      </c>
      <c r="AD1139">
        <f t="shared" si="459"/>
        <v>1</v>
      </c>
      <c r="AE1139" t="str">
        <f t="shared" si="460"/>
        <v>Usualmente</v>
      </c>
      <c r="AF1139">
        <v>0</v>
      </c>
      <c r="AG1139" t="str">
        <f t="shared" si="461"/>
        <v>Nunca</v>
      </c>
      <c r="AH1139">
        <v>0</v>
      </c>
      <c r="AI1139" t="str">
        <f t="shared" si="462"/>
        <v>No usa</v>
      </c>
      <c r="AJ1139">
        <v>0</v>
      </c>
      <c r="AK1139" t="str">
        <f t="shared" si="463"/>
        <v>No usa</v>
      </c>
      <c r="AL1139">
        <v>0</v>
      </c>
      <c r="AM1139" t="str">
        <f t="shared" si="464"/>
        <v>No usa</v>
      </c>
      <c r="AN1139">
        <v>1</v>
      </c>
      <c r="AO1139" t="str">
        <f t="shared" si="465"/>
        <v>Usa Transporte</v>
      </c>
      <c r="AP1139">
        <v>0</v>
      </c>
      <c r="AQ1139" t="str">
        <f t="shared" si="466"/>
        <v>No camina</v>
      </c>
      <c r="AR1139">
        <v>0</v>
      </c>
      <c r="AS1139" t="str">
        <f t="shared" si="467"/>
        <v>No es obeso</v>
      </c>
    </row>
    <row r="1140" spans="1:45" x14ac:dyDescent="0.25">
      <c r="A1140">
        <v>0</v>
      </c>
      <c r="B1140" t="str">
        <f t="shared" si="442"/>
        <v>F</v>
      </c>
      <c r="C1140">
        <v>20820455</v>
      </c>
      <c r="D1140">
        <f t="shared" si="443"/>
        <v>57</v>
      </c>
      <c r="E1140">
        <f t="shared" si="444"/>
        <v>57</v>
      </c>
      <c r="F1140" t="str">
        <f t="shared" si="445"/>
        <v>50-75</v>
      </c>
      <c r="G1140">
        <v>1</v>
      </c>
      <c r="H1140" t="str">
        <f t="shared" si="446"/>
        <v>Pariente gordo</v>
      </c>
      <c r="I1140">
        <v>0</v>
      </c>
      <c r="J1140" t="str">
        <f t="shared" si="447"/>
        <v>Saludables</v>
      </c>
      <c r="K1140">
        <v>2303656</v>
      </c>
      <c r="L1140">
        <f t="shared" si="448"/>
        <v>1</v>
      </c>
      <c r="M1140" t="str">
        <f t="shared" si="449"/>
        <v>Suele comer</v>
      </c>
      <c r="N1140">
        <v>3</v>
      </c>
      <c r="O1140">
        <f t="shared" si="450"/>
        <v>2</v>
      </c>
      <c r="P1140" t="str">
        <f t="shared" si="451"/>
        <v>Mas de 3</v>
      </c>
      <c r="Q1140">
        <v>1</v>
      </c>
      <c r="R1140" t="str">
        <f t="shared" si="452"/>
        <v>A veces</v>
      </c>
      <c r="S1140">
        <v>0</v>
      </c>
      <c r="T1140" t="str">
        <f t="shared" si="453"/>
        <v>No fuma</v>
      </c>
      <c r="U1140">
        <v>1163111</v>
      </c>
      <c r="V1140">
        <f t="shared" si="454"/>
        <v>2</v>
      </c>
      <c r="W1140" t="str">
        <f t="shared" si="455"/>
        <v>Siempre</v>
      </c>
      <c r="X1140">
        <v>0</v>
      </c>
      <c r="Y1140" t="str">
        <f t="shared" si="456"/>
        <v>No controla</v>
      </c>
      <c r="Z1140">
        <v>1926381</v>
      </c>
      <c r="AA1140">
        <f t="shared" si="457"/>
        <v>3</v>
      </c>
      <c r="AB1140" t="str">
        <f t="shared" si="458"/>
        <v>Siempre</v>
      </c>
      <c r="AC1140">
        <v>1119877</v>
      </c>
      <c r="AD1140">
        <f t="shared" si="459"/>
        <v>2</v>
      </c>
      <c r="AE1140" t="str">
        <f t="shared" si="460"/>
        <v>Siempre</v>
      </c>
      <c r="AF1140">
        <v>0</v>
      </c>
      <c r="AG1140" t="str">
        <f t="shared" si="461"/>
        <v>Nunca</v>
      </c>
      <c r="AH1140">
        <v>0</v>
      </c>
      <c r="AI1140" t="str">
        <f t="shared" si="462"/>
        <v>No usa</v>
      </c>
      <c r="AJ1140">
        <v>0</v>
      </c>
      <c r="AK1140" t="str">
        <f t="shared" si="463"/>
        <v>No usa</v>
      </c>
      <c r="AL1140">
        <v>0</v>
      </c>
      <c r="AM1140" t="str">
        <f t="shared" si="464"/>
        <v>No usa</v>
      </c>
      <c r="AN1140">
        <v>1</v>
      </c>
      <c r="AO1140" t="str">
        <f t="shared" si="465"/>
        <v>Usa Transporte</v>
      </c>
      <c r="AP1140">
        <v>0</v>
      </c>
      <c r="AQ1140" t="str">
        <f t="shared" si="466"/>
        <v>No camina</v>
      </c>
      <c r="AR1140">
        <v>0</v>
      </c>
      <c r="AS1140" t="str">
        <f t="shared" si="467"/>
        <v>No es obeso</v>
      </c>
    </row>
    <row r="1141" spans="1:45" x14ac:dyDescent="0.25">
      <c r="A1141">
        <v>1</v>
      </c>
      <c r="B1141" t="str">
        <f t="shared" si="442"/>
        <v>M</v>
      </c>
      <c r="C1141">
        <v>22087056</v>
      </c>
      <c r="D1141">
        <f t="shared" si="443"/>
        <v>60</v>
      </c>
      <c r="E1141">
        <f t="shared" si="444"/>
        <v>60</v>
      </c>
      <c r="F1141" t="str">
        <f t="shared" si="445"/>
        <v>50-75</v>
      </c>
      <c r="G1141">
        <v>1</v>
      </c>
      <c r="H1141" t="str">
        <f t="shared" si="446"/>
        <v>Pariente gordo</v>
      </c>
      <c r="I1141">
        <v>1</v>
      </c>
      <c r="J1141" t="str">
        <f t="shared" si="447"/>
        <v>Hipercaloricos</v>
      </c>
      <c r="K1141">
        <v>1904732</v>
      </c>
      <c r="L1141">
        <f t="shared" si="448"/>
        <v>1</v>
      </c>
      <c r="M1141" t="str">
        <f t="shared" si="449"/>
        <v>Suele comer</v>
      </c>
      <c r="N1141">
        <v>2608416</v>
      </c>
      <c r="O1141">
        <f t="shared" si="450"/>
        <v>2</v>
      </c>
      <c r="P1141" t="str">
        <f t="shared" si="451"/>
        <v>Mas de 3</v>
      </c>
      <c r="Q1141">
        <v>1</v>
      </c>
      <c r="R1141" t="str">
        <f t="shared" si="452"/>
        <v>A veces</v>
      </c>
      <c r="S1141">
        <v>0</v>
      </c>
      <c r="T1141" t="str">
        <f t="shared" si="453"/>
        <v>No fuma</v>
      </c>
      <c r="U1141">
        <v>1204175</v>
      </c>
      <c r="V1141">
        <f t="shared" si="454"/>
        <v>2</v>
      </c>
      <c r="W1141" t="str">
        <f t="shared" si="455"/>
        <v>Siempre</v>
      </c>
      <c r="X1141">
        <v>0</v>
      </c>
      <c r="Y1141" t="str">
        <f t="shared" si="456"/>
        <v>No controla</v>
      </c>
      <c r="Z1141">
        <v>0</v>
      </c>
      <c r="AA1141">
        <f t="shared" si="457"/>
        <v>0</v>
      </c>
      <c r="AB1141" t="str">
        <f t="shared" si="458"/>
        <v>Nunca</v>
      </c>
      <c r="AC1141">
        <v>1895312</v>
      </c>
      <c r="AD1141">
        <f t="shared" si="459"/>
        <v>2</v>
      </c>
      <c r="AE1141" t="str">
        <f t="shared" si="460"/>
        <v>Siempre</v>
      </c>
      <c r="AF1141">
        <v>1</v>
      </c>
      <c r="AG1141" t="str">
        <f t="shared" si="461"/>
        <v>A veces</v>
      </c>
      <c r="AH1141">
        <v>0</v>
      </c>
      <c r="AI1141" t="str">
        <f t="shared" si="462"/>
        <v>No usa</v>
      </c>
      <c r="AJ1141">
        <v>0</v>
      </c>
      <c r="AK1141" t="str">
        <f t="shared" si="463"/>
        <v>No usa</v>
      </c>
      <c r="AL1141">
        <v>0</v>
      </c>
      <c r="AM1141" t="str">
        <f t="shared" si="464"/>
        <v>No usa</v>
      </c>
      <c r="AN1141">
        <v>1</v>
      </c>
      <c r="AO1141" t="str">
        <f t="shared" si="465"/>
        <v>Usa Transporte</v>
      </c>
      <c r="AP1141">
        <v>0</v>
      </c>
      <c r="AQ1141" t="str">
        <f t="shared" si="466"/>
        <v>No camina</v>
      </c>
      <c r="AR1141">
        <v>0</v>
      </c>
      <c r="AS1141" t="str">
        <f t="shared" si="467"/>
        <v>No es obeso</v>
      </c>
    </row>
    <row r="1142" spans="1:45" x14ac:dyDescent="0.25">
      <c r="A1142">
        <v>1</v>
      </c>
      <c r="B1142" t="str">
        <f t="shared" si="442"/>
        <v>M</v>
      </c>
      <c r="C1142">
        <v>22185756</v>
      </c>
      <c r="D1142">
        <f t="shared" si="443"/>
        <v>60</v>
      </c>
      <c r="E1142">
        <f t="shared" si="444"/>
        <v>60</v>
      </c>
      <c r="F1142" t="str">
        <f t="shared" si="445"/>
        <v>50-75</v>
      </c>
      <c r="G1142">
        <v>1</v>
      </c>
      <c r="H1142" t="str">
        <f t="shared" si="446"/>
        <v>Pariente gordo</v>
      </c>
      <c r="I1142">
        <v>1</v>
      </c>
      <c r="J1142" t="str">
        <f t="shared" si="447"/>
        <v>Hipercaloricos</v>
      </c>
      <c r="K1142">
        <v>1979944</v>
      </c>
      <c r="L1142">
        <f t="shared" si="448"/>
        <v>1</v>
      </c>
      <c r="M1142" t="str">
        <f t="shared" si="449"/>
        <v>Suele comer</v>
      </c>
      <c r="N1142">
        <v>1599464</v>
      </c>
      <c r="O1142">
        <f t="shared" si="450"/>
        <v>2</v>
      </c>
      <c r="P1142" t="str">
        <f t="shared" si="451"/>
        <v>Mas de 3</v>
      </c>
      <c r="Q1142">
        <v>1</v>
      </c>
      <c r="R1142" t="str">
        <f t="shared" si="452"/>
        <v>A veces</v>
      </c>
      <c r="S1142">
        <v>0</v>
      </c>
      <c r="T1142" t="str">
        <f t="shared" si="453"/>
        <v>No fuma</v>
      </c>
      <c r="U1142">
        <v>2</v>
      </c>
      <c r="V1142">
        <f t="shared" si="454"/>
        <v>2</v>
      </c>
      <c r="W1142" t="str">
        <f t="shared" si="455"/>
        <v>Siempre</v>
      </c>
      <c r="X1142">
        <v>0</v>
      </c>
      <c r="Y1142" t="str">
        <f t="shared" si="456"/>
        <v>No controla</v>
      </c>
      <c r="Z1142">
        <v>0.17047999999999999</v>
      </c>
      <c r="AA1142">
        <f t="shared" si="457"/>
        <v>0</v>
      </c>
      <c r="AB1142" t="str">
        <f t="shared" si="458"/>
        <v>Nunca</v>
      </c>
      <c r="AC1142">
        <v>0.81947499999999995</v>
      </c>
      <c r="AD1142">
        <f t="shared" si="459"/>
        <v>0</v>
      </c>
      <c r="AE1142" t="str">
        <f t="shared" si="460"/>
        <v>Nunca</v>
      </c>
      <c r="AF1142">
        <v>1</v>
      </c>
      <c r="AG1142" t="str">
        <f t="shared" si="461"/>
        <v>A veces</v>
      </c>
      <c r="AH1142">
        <v>0</v>
      </c>
      <c r="AI1142" t="str">
        <f t="shared" si="462"/>
        <v>No usa</v>
      </c>
      <c r="AJ1142">
        <v>0</v>
      </c>
      <c r="AK1142" t="str">
        <f t="shared" si="463"/>
        <v>No usa</v>
      </c>
      <c r="AL1142">
        <v>0</v>
      </c>
      <c r="AM1142" t="str">
        <f t="shared" si="464"/>
        <v>No usa</v>
      </c>
      <c r="AN1142">
        <v>1</v>
      </c>
      <c r="AO1142" t="str">
        <f t="shared" si="465"/>
        <v>Usa Transporte</v>
      </c>
      <c r="AP1142">
        <v>0</v>
      </c>
      <c r="AQ1142" t="str">
        <f t="shared" si="466"/>
        <v>No camina</v>
      </c>
      <c r="AR1142">
        <v>0</v>
      </c>
      <c r="AS1142" t="str">
        <f t="shared" si="467"/>
        <v>No es obeso</v>
      </c>
    </row>
    <row r="1143" spans="1:45" x14ac:dyDescent="0.25">
      <c r="A1143">
        <v>0</v>
      </c>
      <c r="B1143" t="str">
        <f t="shared" si="442"/>
        <v>F</v>
      </c>
      <c r="C1143">
        <v>22980957</v>
      </c>
      <c r="D1143">
        <f t="shared" si="443"/>
        <v>62</v>
      </c>
      <c r="E1143">
        <f t="shared" si="444"/>
        <v>62</v>
      </c>
      <c r="F1143" t="str">
        <f t="shared" si="445"/>
        <v>50-75</v>
      </c>
      <c r="G1143">
        <v>1</v>
      </c>
      <c r="H1143" t="str">
        <f t="shared" si="446"/>
        <v>Pariente gordo</v>
      </c>
      <c r="I1143">
        <v>1</v>
      </c>
      <c r="J1143" t="str">
        <f t="shared" si="447"/>
        <v>Hipercaloricos</v>
      </c>
      <c r="K1143">
        <v>2</v>
      </c>
      <c r="L1143">
        <f t="shared" si="448"/>
        <v>1</v>
      </c>
      <c r="M1143" t="str">
        <f t="shared" si="449"/>
        <v>Suele comer</v>
      </c>
      <c r="N1143">
        <v>2815255</v>
      </c>
      <c r="O1143">
        <f t="shared" si="450"/>
        <v>2</v>
      </c>
      <c r="P1143" t="str">
        <f t="shared" si="451"/>
        <v>Mas de 3</v>
      </c>
      <c r="Q1143">
        <v>1</v>
      </c>
      <c r="R1143" t="str">
        <f t="shared" si="452"/>
        <v>A veces</v>
      </c>
      <c r="S1143">
        <v>0</v>
      </c>
      <c r="T1143" t="str">
        <f t="shared" si="453"/>
        <v>No fuma</v>
      </c>
      <c r="U1143">
        <v>1622214</v>
      </c>
      <c r="V1143">
        <f t="shared" si="454"/>
        <v>2</v>
      </c>
      <c r="W1143" t="str">
        <f t="shared" si="455"/>
        <v>Siempre</v>
      </c>
      <c r="X1143">
        <v>0</v>
      </c>
      <c r="Y1143" t="str">
        <f t="shared" si="456"/>
        <v>No controla</v>
      </c>
      <c r="Z1143">
        <v>0.463891</v>
      </c>
      <c r="AA1143">
        <f t="shared" si="457"/>
        <v>0</v>
      </c>
      <c r="AB1143" t="str">
        <f t="shared" si="458"/>
        <v>Nunca</v>
      </c>
      <c r="AC1143">
        <v>1462664</v>
      </c>
      <c r="AD1143">
        <f t="shared" si="459"/>
        <v>2</v>
      </c>
      <c r="AE1143" t="str">
        <f t="shared" si="460"/>
        <v>Siempre</v>
      </c>
      <c r="AF1143">
        <v>0</v>
      </c>
      <c r="AG1143" t="str">
        <f t="shared" si="461"/>
        <v>Nunca</v>
      </c>
      <c r="AH1143">
        <v>0</v>
      </c>
      <c r="AI1143" t="str">
        <f t="shared" si="462"/>
        <v>No usa</v>
      </c>
      <c r="AJ1143">
        <v>0</v>
      </c>
      <c r="AK1143" t="str">
        <f t="shared" si="463"/>
        <v>No usa</v>
      </c>
      <c r="AL1143">
        <v>0</v>
      </c>
      <c r="AM1143" t="str">
        <f t="shared" si="464"/>
        <v>No usa</v>
      </c>
      <c r="AN1143">
        <v>1</v>
      </c>
      <c r="AO1143" t="str">
        <f t="shared" si="465"/>
        <v>Usa Transporte</v>
      </c>
      <c r="AP1143">
        <v>0</v>
      </c>
      <c r="AQ1143" t="str">
        <f t="shared" si="466"/>
        <v>No camina</v>
      </c>
      <c r="AR1143">
        <v>0</v>
      </c>
      <c r="AS1143" t="str">
        <f t="shared" si="467"/>
        <v>No es obeso</v>
      </c>
    </row>
    <row r="1144" spans="1:45" x14ac:dyDescent="0.25">
      <c r="A1144">
        <v>1</v>
      </c>
      <c r="B1144" t="str">
        <f t="shared" si="442"/>
        <v>M</v>
      </c>
      <c r="C1144">
        <v>23</v>
      </c>
      <c r="D1144">
        <f t="shared" si="443"/>
        <v>23</v>
      </c>
      <c r="E1144">
        <f t="shared" si="444"/>
        <v>23</v>
      </c>
      <c r="F1144" t="str">
        <f t="shared" si="445"/>
        <v>1-25</v>
      </c>
      <c r="G1144">
        <v>1</v>
      </c>
      <c r="H1144" t="str">
        <f t="shared" si="446"/>
        <v>Pariente gordo</v>
      </c>
      <c r="I1144">
        <v>1</v>
      </c>
      <c r="J1144" t="str">
        <f t="shared" si="447"/>
        <v>Hipercaloricos</v>
      </c>
      <c r="K1144">
        <v>2</v>
      </c>
      <c r="L1144">
        <f t="shared" si="448"/>
        <v>1</v>
      </c>
      <c r="M1144" t="str">
        <f t="shared" si="449"/>
        <v>Suele comer</v>
      </c>
      <c r="N1144">
        <v>2395785</v>
      </c>
      <c r="O1144">
        <f t="shared" si="450"/>
        <v>2</v>
      </c>
      <c r="P1144" t="str">
        <f t="shared" si="451"/>
        <v>Mas de 3</v>
      </c>
      <c r="Q1144">
        <v>1</v>
      </c>
      <c r="R1144" t="str">
        <f t="shared" si="452"/>
        <v>A veces</v>
      </c>
      <c r="S1144">
        <v>0</v>
      </c>
      <c r="T1144" t="str">
        <f t="shared" si="453"/>
        <v>No fuma</v>
      </c>
      <c r="U1144">
        <v>140077</v>
      </c>
      <c r="V1144">
        <f t="shared" si="454"/>
        <v>2</v>
      </c>
      <c r="W1144" t="str">
        <f t="shared" si="455"/>
        <v>Siempre</v>
      </c>
      <c r="X1144">
        <v>0</v>
      </c>
      <c r="Y1144" t="str">
        <f t="shared" si="456"/>
        <v>No controla</v>
      </c>
      <c r="Z1144">
        <v>0.788659</v>
      </c>
      <c r="AA1144">
        <f t="shared" si="457"/>
        <v>0</v>
      </c>
      <c r="AB1144" t="str">
        <f t="shared" si="458"/>
        <v>Nunca</v>
      </c>
      <c r="AC1144">
        <v>1544357</v>
      </c>
      <c r="AD1144">
        <f t="shared" si="459"/>
        <v>2</v>
      </c>
      <c r="AE1144" t="str">
        <f t="shared" si="460"/>
        <v>Siempre</v>
      </c>
      <c r="AF1144">
        <v>0</v>
      </c>
      <c r="AG1144" t="str">
        <f t="shared" si="461"/>
        <v>Nunca</v>
      </c>
      <c r="AH1144">
        <v>0</v>
      </c>
      <c r="AI1144" t="str">
        <f t="shared" si="462"/>
        <v>No usa</v>
      </c>
      <c r="AJ1144">
        <v>0</v>
      </c>
      <c r="AK1144" t="str">
        <f t="shared" si="463"/>
        <v>No usa</v>
      </c>
      <c r="AL1144">
        <v>0</v>
      </c>
      <c r="AM1144" t="str">
        <f t="shared" si="464"/>
        <v>No usa</v>
      </c>
      <c r="AN1144">
        <v>1</v>
      </c>
      <c r="AO1144" t="str">
        <f t="shared" si="465"/>
        <v>Usa Transporte</v>
      </c>
      <c r="AP1144">
        <v>0</v>
      </c>
      <c r="AQ1144" t="str">
        <f t="shared" si="466"/>
        <v>No camina</v>
      </c>
      <c r="AR1144">
        <v>0</v>
      </c>
      <c r="AS1144" t="str">
        <f t="shared" si="467"/>
        <v>No es obeso</v>
      </c>
    </row>
    <row r="1145" spans="1:45" x14ac:dyDescent="0.25">
      <c r="A1145">
        <v>1</v>
      </c>
      <c r="B1145" t="str">
        <f t="shared" si="442"/>
        <v>M</v>
      </c>
      <c r="C1145">
        <v>24190896</v>
      </c>
      <c r="D1145">
        <f t="shared" si="443"/>
        <v>66</v>
      </c>
      <c r="E1145">
        <f t="shared" si="444"/>
        <v>66</v>
      </c>
      <c r="F1145" t="str">
        <f t="shared" si="445"/>
        <v>50-75</v>
      </c>
      <c r="G1145">
        <v>1</v>
      </c>
      <c r="H1145" t="str">
        <f t="shared" si="446"/>
        <v>Pariente gordo</v>
      </c>
      <c r="I1145">
        <v>1</v>
      </c>
      <c r="J1145" t="str">
        <f t="shared" si="447"/>
        <v>Hipercaloricos</v>
      </c>
      <c r="K1145">
        <v>2</v>
      </c>
      <c r="L1145">
        <f t="shared" si="448"/>
        <v>1</v>
      </c>
      <c r="M1145" t="str">
        <f t="shared" si="449"/>
        <v>Suele comer</v>
      </c>
      <c r="N1145">
        <v>3</v>
      </c>
      <c r="O1145">
        <f t="shared" si="450"/>
        <v>2</v>
      </c>
      <c r="P1145" t="str">
        <f t="shared" si="451"/>
        <v>Mas de 3</v>
      </c>
      <c r="Q1145">
        <v>1</v>
      </c>
      <c r="R1145" t="str">
        <f t="shared" si="452"/>
        <v>A veces</v>
      </c>
      <c r="S1145">
        <v>0</v>
      </c>
      <c r="T1145" t="str">
        <f t="shared" si="453"/>
        <v>No fuma</v>
      </c>
      <c r="U1145">
        <v>2056053</v>
      </c>
      <c r="V1145">
        <f t="shared" si="454"/>
        <v>2</v>
      </c>
      <c r="W1145" t="str">
        <f t="shared" si="455"/>
        <v>Siempre</v>
      </c>
      <c r="X1145">
        <v>0</v>
      </c>
      <c r="Y1145" t="str">
        <f t="shared" si="456"/>
        <v>No controla</v>
      </c>
      <c r="Z1145">
        <v>0</v>
      </c>
      <c r="AA1145">
        <f t="shared" si="457"/>
        <v>0</v>
      </c>
      <c r="AB1145" t="str">
        <f t="shared" si="458"/>
        <v>Nunca</v>
      </c>
      <c r="AC1145">
        <v>1</v>
      </c>
      <c r="AD1145">
        <f t="shared" si="459"/>
        <v>1</v>
      </c>
      <c r="AE1145" t="str">
        <f t="shared" si="460"/>
        <v>Usualmente</v>
      </c>
      <c r="AF1145">
        <v>1</v>
      </c>
      <c r="AG1145" t="str">
        <f t="shared" si="461"/>
        <v>A veces</v>
      </c>
      <c r="AH1145">
        <v>0</v>
      </c>
      <c r="AI1145" t="str">
        <f t="shared" si="462"/>
        <v>No usa</v>
      </c>
      <c r="AJ1145">
        <v>0</v>
      </c>
      <c r="AK1145" t="str">
        <f t="shared" si="463"/>
        <v>No usa</v>
      </c>
      <c r="AL1145">
        <v>0</v>
      </c>
      <c r="AM1145" t="str">
        <f t="shared" si="464"/>
        <v>No usa</v>
      </c>
      <c r="AN1145">
        <v>1</v>
      </c>
      <c r="AO1145" t="str">
        <f t="shared" si="465"/>
        <v>Usa Transporte</v>
      </c>
      <c r="AP1145">
        <v>0</v>
      </c>
      <c r="AQ1145" t="str">
        <f t="shared" si="466"/>
        <v>No camina</v>
      </c>
      <c r="AR1145">
        <v>0</v>
      </c>
      <c r="AS1145" t="str">
        <f t="shared" si="467"/>
        <v>No es obeso</v>
      </c>
    </row>
    <row r="1146" spans="1:45" x14ac:dyDescent="0.25">
      <c r="A1146">
        <v>1</v>
      </c>
      <c r="B1146" t="str">
        <f t="shared" si="442"/>
        <v>M</v>
      </c>
      <c r="C1146">
        <v>2394003</v>
      </c>
      <c r="D1146">
        <f t="shared" si="443"/>
        <v>6</v>
      </c>
      <c r="E1146">
        <f t="shared" si="444"/>
        <v>6</v>
      </c>
      <c r="F1146" t="str">
        <f t="shared" si="445"/>
        <v>1-25</v>
      </c>
      <c r="G1146">
        <v>1</v>
      </c>
      <c r="H1146" t="str">
        <f t="shared" si="446"/>
        <v>Pariente gordo</v>
      </c>
      <c r="I1146">
        <v>1</v>
      </c>
      <c r="J1146" t="str">
        <f t="shared" si="447"/>
        <v>Hipercaloricos</v>
      </c>
      <c r="K1146">
        <v>2407817</v>
      </c>
      <c r="L1146">
        <f t="shared" si="448"/>
        <v>1</v>
      </c>
      <c r="M1146" t="str">
        <f t="shared" si="449"/>
        <v>Suele comer</v>
      </c>
      <c r="N1146">
        <v>2844138</v>
      </c>
      <c r="O1146">
        <f t="shared" si="450"/>
        <v>2</v>
      </c>
      <c r="P1146" t="str">
        <f t="shared" si="451"/>
        <v>Mas de 3</v>
      </c>
      <c r="Q1146">
        <v>1</v>
      </c>
      <c r="R1146" t="str">
        <f t="shared" si="452"/>
        <v>A veces</v>
      </c>
      <c r="S1146">
        <v>0</v>
      </c>
      <c r="T1146" t="str">
        <f t="shared" si="453"/>
        <v>No fuma</v>
      </c>
      <c r="U1146">
        <v>1983649</v>
      </c>
      <c r="V1146">
        <f t="shared" si="454"/>
        <v>2</v>
      </c>
      <c r="W1146" t="str">
        <f t="shared" si="455"/>
        <v>Siempre</v>
      </c>
      <c r="X1146">
        <v>0</v>
      </c>
      <c r="Y1146" t="str">
        <f t="shared" si="456"/>
        <v>No controla</v>
      </c>
      <c r="Z1146">
        <v>0.86872099999999997</v>
      </c>
      <c r="AA1146">
        <f t="shared" si="457"/>
        <v>0</v>
      </c>
      <c r="AB1146" t="str">
        <f t="shared" si="458"/>
        <v>Nunca</v>
      </c>
      <c r="AC1146">
        <v>8.9354000000000003E-2</v>
      </c>
      <c r="AD1146">
        <f t="shared" si="459"/>
        <v>0</v>
      </c>
      <c r="AE1146" t="str">
        <f t="shared" si="460"/>
        <v>Nunca</v>
      </c>
      <c r="AF1146">
        <v>1</v>
      </c>
      <c r="AG1146" t="str">
        <f t="shared" si="461"/>
        <v>A veces</v>
      </c>
      <c r="AH1146">
        <v>0</v>
      </c>
      <c r="AI1146" t="str">
        <f t="shared" si="462"/>
        <v>No usa</v>
      </c>
      <c r="AJ1146">
        <v>0</v>
      </c>
      <c r="AK1146" t="str">
        <f t="shared" si="463"/>
        <v>No usa</v>
      </c>
      <c r="AL1146">
        <v>0</v>
      </c>
      <c r="AM1146" t="str">
        <f t="shared" si="464"/>
        <v>No usa</v>
      </c>
      <c r="AN1146">
        <v>1</v>
      </c>
      <c r="AO1146" t="str">
        <f t="shared" si="465"/>
        <v>Usa Transporte</v>
      </c>
      <c r="AP1146">
        <v>0</v>
      </c>
      <c r="AQ1146" t="str">
        <f t="shared" si="466"/>
        <v>No camina</v>
      </c>
      <c r="AR1146">
        <v>0</v>
      </c>
      <c r="AS1146" t="str">
        <f t="shared" si="467"/>
        <v>No es obeso</v>
      </c>
    </row>
    <row r="1147" spans="1:45" x14ac:dyDescent="0.25">
      <c r="A1147">
        <v>0</v>
      </c>
      <c r="B1147" t="str">
        <f t="shared" si="442"/>
        <v>F</v>
      </c>
      <c r="C1147">
        <v>26591628</v>
      </c>
      <c r="D1147">
        <f t="shared" si="443"/>
        <v>72</v>
      </c>
      <c r="E1147">
        <f t="shared" si="444"/>
        <v>72</v>
      </c>
      <c r="F1147" t="str">
        <f t="shared" si="445"/>
        <v>50-75</v>
      </c>
      <c r="G1147">
        <v>1</v>
      </c>
      <c r="H1147" t="str">
        <f t="shared" si="446"/>
        <v>Pariente gordo</v>
      </c>
      <c r="I1147">
        <v>1</v>
      </c>
      <c r="J1147" t="str">
        <f t="shared" si="447"/>
        <v>Hipercaloricos</v>
      </c>
      <c r="K1147">
        <v>2734314</v>
      </c>
      <c r="L1147">
        <f t="shared" si="448"/>
        <v>1</v>
      </c>
      <c r="M1147" t="str">
        <f t="shared" si="449"/>
        <v>Suele comer</v>
      </c>
      <c r="N1147">
        <v>3</v>
      </c>
      <c r="O1147">
        <f t="shared" si="450"/>
        <v>2</v>
      </c>
      <c r="P1147" t="str">
        <f t="shared" si="451"/>
        <v>Mas de 3</v>
      </c>
      <c r="Q1147">
        <v>1</v>
      </c>
      <c r="R1147" t="str">
        <f t="shared" si="452"/>
        <v>A veces</v>
      </c>
      <c r="S1147">
        <v>0</v>
      </c>
      <c r="T1147" t="str">
        <f t="shared" si="453"/>
        <v>No fuma</v>
      </c>
      <c r="U1147">
        <v>3</v>
      </c>
      <c r="V1147">
        <f t="shared" si="454"/>
        <v>2</v>
      </c>
      <c r="W1147" t="str">
        <f t="shared" si="455"/>
        <v>Siempre</v>
      </c>
      <c r="X1147">
        <v>0</v>
      </c>
      <c r="Y1147" t="str">
        <f t="shared" si="456"/>
        <v>No controla</v>
      </c>
      <c r="Z1147">
        <v>0.897702</v>
      </c>
      <c r="AA1147">
        <f t="shared" si="457"/>
        <v>0</v>
      </c>
      <c r="AB1147" t="str">
        <f t="shared" si="458"/>
        <v>Nunca</v>
      </c>
      <c r="AC1147">
        <v>0.90827100000000005</v>
      </c>
      <c r="AD1147">
        <f t="shared" si="459"/>
        <v>0</v>
      </c>
      <c r="AE1147" t="str">
        <f t="shared" si="460"/>
        <v>Nunca</v>
      </c>
      <c r="AF1147">
        <v>2</v>
      </c>
      <c r="AG1147" t="str">
        <f t="shared" si="461"/>
        <v>Usualmente</v>
      </c>
      <c r="AH1147">
        <v>0</v>
      </c>
      <c r="AI1147" t="str">
        <f t="shared" si="462"/>
        <v>No usa</v>
      </c>
      <c r="AJ1147">
        <v>0</v>
      </c>
      <c r="AK1147" t="str">
        <f t="shared" si="463"/>
        <v>No usa</v>
      </c>
      <c r="AL1147">
        <v>0</v>
      </c>
      <c r="AM1147" t="str">
        <f t="shared" si="464"/>
        <v>No usa</v>
      </c>
      <c r="AN1147">
        <v>1</v>
      </c>
      <c r="AO1147" t="str">
        <f t="shared" si="465"/>
        <v>Usa Transporte</v>
      </c>
      <c r="AP1147">
        <v>0</v>
      </c>
      <c r="AQ1147" t="str">
        <f t="shared" si="466"/>
        <v>No camina</v>
      </c>
      <c r="AR1147">
        <v>0</v>
      </c>
      <c r="AS1147" t="str">
        <f t="shared" si="467"/>
        <v>No es obeso</v>
      </c>
    </row>
    <row r="1148" spans="1:45" x14ac:dyDescent="0.25">
      <c r="A1148">
        <v>1</v>
      </c>
      <c r="B1148" t="str">
        <f t="shared" si="442"/>
        <v>M</v>
      </c>
      <c r="C1148">
        <v>31264628</v>
      </c>
      <c r="D1148">
        <f t="shared" si="443"/>
        <v>85</v>
      </c>
      <c r="E1148">
        <f t="shared" si="444"/>
        <v>85</v>
      </c>
      <c r="F1148" t="str">
        <f t="shared" si="445"/>
        <v>75-100</v>
      </c>
      <c r="G1148">
        <v>1</v>
      </c>
      <c r="H1148" t="str">
        <f t="shared" si="446"/>
        <v>Pariente gordo</v>
      </c>
      <c r="I1148">
        <v>1</v>
      </c>
      <c r="J1148" t="str">
        <f t="shared" si="447"/>
        <v>Hipercaloricos</v>
      </c>
      <c r="K1148">
        <v>2</v>
      </c>
      <c r="L1148">
        <f t="shared" si="448"/>
        <v>1</v>
      </c>
      <c r="M1148" t="str">
        <f t="shared" si="449"/>
        <v>Suele comer</v>
      </c>
      <c r="N1148">
        <v>3</v>
      </c>
      <c r="O1148">
        <f t="shared" si="450"/>
        <v>2</v>
      </c>
      <c r="P1148" t="str">
        <f t="shared" si="451"/>
        <v>Mas de 3</v>
      </c>
      <c r="Q1148">
        <v>1</v>
      </c>
      <c r="R1148" t="str">
        <f t="shared" si="452"/>
        <v>A veces</v>
      </c>
      <c r="S1148">
        <v>0</v>
      </c>
      <c r="T1148" t="str">
        <f t="shared" si="453"/>
        <v>No fuma</v>
      </c>
      <c r="U1148">
        <v>1199517</v>
      </c>
      <c r="V1148">
        <f t="shared" si="454"/>
        <v>2</v>
      </c>
      <c r="W1148" t="str">
        <f t="shared" si="455"/>
        <v>Siempre</v>
      </c>
      <c r="X1148">
        <v>0</v>
      </c>
      <c r="Y1148" t="str">
        <f t="shared" si="456"/>
        <v>No controla</v>
      </c>
      <c r="Z1148">
        <v>4.7738000000000003E-2</v>
      </c>
      <c r="AA1148">
        <f t="shared" si="457"/>
        <v>0</v>
      </c>
      <c r="AB1148" t="str">
        <f t="shared" si="458"/>
        <v>Nunca</v>
      </c>
      <c r="AC1148">
        <v>0.163329</v>
      </c>
      <c r="AD1148">
        <f t="shared" si="459"/>
        <v>0</v>
      </c>
      <c r="AE1148" t="str">
        <f t="shared" si="460"/>
        <v>Nunca</v>
      </c>
      <c r="AF1148">
        <v>1</v>
      </c>
      <c r="AG1148" t="str">
        <f t="shared" si="461"/>
        <v>A veces</v>
      </c>
      <c r="AH1148">
        <v>0</v>
      </c>
      <c r="AI1148" t="str">
        <f t="shared" si="462"/>
        <v>No usa</v>
      </c>
      <c r="AJ1148">
        <v>0</v>
      </c>
      <c r="AK1148" t="str">
        <f t="shared" si="463"/>
        <v>No usa</v>
      </c>
      <c r="AL1148">
        <v>0</v>
      </c>
      <c r="AM1148" t="str">
        <f t="shared" si="464"/>
        <v>No usa</v>
      </c>
      <c r="AN1148">
        <v>1</v>
      </c>
      <c r="AO1148" t="str">
        <f t="shared" si="465"/>
        <v>Usa Transporte</v>
      </c>
      <c r="AP1148">
        <v>0</v>
      </c>
      <c r="AQ1148" t="str">
        <f t="shared" si="466"/>
        <v>No camina</v>
      </c>
      <c r="AR1148">
        <v>0</v>
      </c>
      <c r="AS1148" t="str">
        <f t="shared" si="467"/>
        <v>No es obeso</v>
      </c>
    </row>
    <row r="1149" spans="1:45" x14ac:dyDescent="0.25">
      <c r="A1149">
        <v>0</v>
      </c>
      <c r="B1149" t="str">
        <f t="shared" si="442"/>
        <v>F</v>
      </c>
      <c r="C1149">
        <v>23629159</v>
      </c>
      <c r="D1149">
        <f t="shared" si="443"/>
        <v>64</v>
      </c>
      <c r="E1149">
        <f t="shared" si="444"/>
        <v>64</v>
      </c>
      <c r="F1149" t="str">
        <f t="shared" si="445"/>
        <v>50-75</v>
      </c>
      <c r="G1149">
        <v>1</v>
      </c>
      <c r="H1149" t="str">
        <f t="shared" si="446"/>
        <v>Pariente gordo</v>
      </c>
      <c r="I1149">
        <v>1</v>
      </c>
      <c r="J1149" t="str">
        <f t="shared" si="447"/>
        <v>Hipercaloricos</v>
      </c>
      <c r="K1149">
        <v>2</v>
      </c>
      <c r="L1149">
        <f t="shared" si="448"/>
        <v>1</v>
      </c>
      <c r="M1149" t="str">
        <f t="shared" si="449"/>
        <v>Suele comer</v>
      </c>
      <c r="N1149">
        <v>3</v>
      </c>
      <c r="O1149">
        <f t="shared" si="450"/>
        <v>2</v>
      </c>
      <c r="P1149" t="str">
        <f t="shared" si="451"/>
        <v>Mas de 3</v>
      </c>
      <c r="Q1149">
        <v>1</v>
      </c>
      <c r="R1149" t="str">
        <f t="shared" si="452"/>
        <v>A veces</v>
      </c>
      <c r="S1149">
        <v>0</v>
      </c>
      <c r="T1149" t="str">
        <f t="shared" si="453"/>
        <v>No fuma</v>
      </c>
      <c r="U1149">
        <v>2386904</v>
      </c>
      <c r="V1149">
        <f t="shared" si="454"/>
        <v>2</v>
      </c>
      <c r="W1149" t="str">
        <f t="shared" si="455"/>
        <v>Siempre</v>
      </c>
      <c r="X1149">
        <v>0</v>
      </c>
      <c r="Y1149" t="str">
        <f t="shared" si="456"/>
        <v>No controla</v>
      </c>
      <c r="Z1149">
        <v>0.92620100000000005</v>
      </c>
      <c r="AA1149">
        <f t="shared" si="457"/>
        <v>0</v>
      </c>
      <c r="AB1149" t="str">
        <f t="shared" si="458"/>
        <v>Nunca</v>
      </c>
      <c r="AC1149">
        <v>134403</v>
      </c>
      <c r="AD1149">
        <f t="shared" si="459"/>
        <v>1</v>
      </c>
      <c r="AE1149" t="str">
        <f t="shared" si="460"/>
        <v>Usualmente</v>
      </c>
      <c r="AF1149">
        <v>1</v>
      </c>
      <c r="AG1149" t="str">
        <f t="shared" si="461"/>
        <v>A veces</v>
      </c>
      <c r="AH1149">
        <v>0</v>
      </c>
      <c r="AI1149" t="str">
        <f t="shared" si="462"/>
        <v>No usa</v>
      </c>
      <c r="AJ1149">
        <v>0</v>
      </c>
      <c r="AK1149" t="str">
        <f t="shared" si="463"/>
        <v>No usa</v>
      </c>
      <c r="AL1149">
        <v>0</v>
      </c>
      <c r="AM1149" t="str">
        <f t="shared" si="464"/>
        <v>No usa</v>
      </c>
      <c r="AN1149">
        <v>1</v>
      </c>
      <c r="AO1149" t="str">
        <f t="shared" si="465"/>
        <v>Usa Transporte</v>
      </c>
      <c r="AP1149">
        <v>0</v>
      </c>
      <c r="AQ1149" t="str">
        <f t="shared" si="466"/>
        <v>No camina</v>
      </c>
      <c r="AR1149">
        <v>0</v>
      </c>
      <c r="AS1149" t="str">
        <f t="shared" si="467"/>
        <v>No es obeso</v>
      </c>
    </row>
    <row r="1150" spans="1:45" x14ac:dyDescent="0.25">
      <c r="A1150">
        <v>0</v>
      </c>
      <c r="B1150" t="str">
        <f t="shared" si="442"/>
        <v>F</v>
      </c>
      <c r="C1150">
        <v>26208134</v>
      </c>
      <c r="D1150">
        <f t="shared" si="443"/>
        <v>71</v>
      </c>
      <c r="E1150">
        <f t="shared" si="444"/>
        <v>71</v>
      </c>
      <c r="F1150" t="str">
        <f t="shared" si="445"/>
        <v>50-75</v>
      </c>
      <c r="G1150">
        <v>1</v>
      </c>
      <c r="H1150" t="str">
        <f t="shared" si="446"/>
        <v>Pariente gordo</v>
      </c>
      <c r="I1150">
        <v>1</v>
      </c>
      <c r="J1150" t="str">
        <f t="shared" si="447"/>
        <v>Hipercaloricos</v>
      </c>
      <c r="K1150">
        <v>2784383</v>
      </c>
      <c r="L1150">
        <f t="shared" si="448"/>
        <v>1</v>
      </c>
      <c r="M1150" t="str">
        <f t="shared" si="449"/>
        <v>Suele comer</v>
      </c>
      <c r="N1150">
        <v>3</v>
      </c>
      <c r="O1150">
        <f t="shared" si="450"/>
        <v>2</v>
      </c>
      <c r="P1150" t="str">
        <f t="shared" si="451"/>
        <v>Mas de 3</v>
      </c>
      <c r="Q1150">
        <v>1</v>
      </c>
      <c r="R1150" t="str">
        <f t="shared" si="452"/>
        <v>A veces</v>
      </c>
      <c r="S1150">
        <v>0</v>
      </c>
      <c r="T1150" t="str">
        <f t="shared" si="453"/>
        <v>No fuma</v>
      </c>
      <c r="U1150">
        <v>2165605</v>
      </c>
      <c r="V1150">
        <f t="shared" si="454"/>
        <v>2</v>
      </c>
      <c r="W1150" t="str">
        <f t="shared" si="455"/>
        <v>Siempre</v>
      </c>
      <c r="X1150">
        <v>0</v>
      </c>
      <c r="Y1150" t="str">
        <f t="shared" si="456"/>
        <v>No controla</v>
      </c>
      <c r="Z1150">
        <v>0.85597299999999998</v>
      </c>
      <c r="AA1150">
        <f t="shared" si="457"/>
        <v>0</v>
      </c>
      <c r="AB1150" t="str">
        <f t="shared" si="458"/>
        <v>Nunca</v>
      </c>
      <c r="AC1150">
        <v>0.83965900000000004</v>
      </c>
      <c r="AD1150">
        <f t="shared" si="459"/>
        <v>0</v>
      </c>
      <c r="AE1150" t="str">
        <f t="shared" si="460"/>
        <v>Nunca</v>
      </c>
      <c r="AF1150">
        <v>2</v>
      </c>
      <c r="AG1150" t="str">
        <f t="shared" si="461"/>
        <v>Usualmente</v>
      </c>
      <c r="AH1150">
        <v>1</v>
      </c>
      <c r="AI1150" t="str">
        <f t="shared" si="462"/>
        <v>Usa auto</v>
      </c>
      <c r="AJ1150">
        <v>0</v>
      </c>
      <c r="AK1150" t="str">
        <f t="shared" si="463"/>
        <v>No usa</v>
      </c>
      <c r="AL1150">
        <v>0</v>
      </c>
      <c r="AM1150" t="str">
        <f t="shared" si="464"/>
        <v>No usa</v>
      </c>
      <c r="AN1150">
        <v>0</v>
      </c>
      <c r="AO1150" t="str">
        <f t="shared" si="465"/>
        <v>No usa</v>
      </c>
      <c r="AP1150">
        <v>0</v>
      </c>
      <c r="AQ1150" t="str">
        <f t="shared" si="466"/>
        <v>No camina</v>
      </c>
      <c r="AR1150">
        <v>0</v>
      </c>
      <c r="AS1150" t="str">
        <f t="shared" si="467"/>
        <v>No es obeso</v>
      </c>
    </row>
    <row r="1151" spans="1:45" x14ac:dyDescent="0.25">
      <c r="A1151">
        <v>1</v>
      </c>
      <c r="B1151" t="str">
        <f t="shared" si="442"/>
        <v>M</v>
      </c>
      <c r="C1151">
        <v>17689057</v>
      </c>
      <c r="D1151">
        <f t="shared" si="443"/>
        <v>48</v>
      </c>
      <c r="E1151">
        <f t="shared" si="444"/>
        <v>48</v>
      </c>
      <c r="F1151" t="str">
        <f t="shared" si="445"/>
        <v>25-50</v>
      </c>
      <c r="G1151">
        <v>1</v>
      </c>
      <c r="H1151" t="str">
        <f t="shared" si="446"/>
        <v>Pariente gordo</v>
      </c>
      <c r="I1151">
        <v>1</v>
      </c>
      <c r="J1151" t="str">
        <f t="shared" si="447"/>
        <v>Hipercaloricos</v>
      </c>
      <c r="K1151">
        <v>2009952</v>
      </c>
      <c r="L1151">
        <f t="shared" si="448"/>
        <v>1</v>
      </c>
      <c r="M1151" t="str">
        <f t="shared" si="449"/>
        <v>Suele comer</v>
      </c>
      <c r="N1151">
        <v>2716106</v>
      </c>
      <c r="O1151">
        <f t="shared" si="450"/>
        <v>2</v>
      </c>
      <c r="P1151" t="str">
        <f t="shared" si="451"/>
        <v>Mas de 3</v>
      </c>
      <c r="Q1151">
        <v>1</v>
      </c>
      <c r="R1151" t="str">
        <f t="shared" si="452"/>
        <v>A veces</v>
      </c>
      <c r="S1151">
        <v>0</v>
      </c>
      <c r="T1151" t="str">
        <f t="shared" si="453"/>
        <v>No fuma</v>
      </c>
      <c r="U1151">
        <v>1660614</v>
      </c>
      <c r="V1151">
        <f t="shared" si="454"/>
        <v>2</v>
      </c>
      <c r="W1151" t="str">
        <f t="shared" si="455"/>
        <v>Siempre</v>
      </c>
      <c r="X1151">
        <v>0</v>
      </c>
      <c r="Y1151" t="str">
        <f t="shared" si="456"/>
        <v>No controla</v>
      </c>
      <c r="Z1151">
        <v>1</v>
      </c>
      <c r="AA1151">
        <f t="shared" si="457"/>
        <v>1</v>
      </c>
      <c r="AB1151" t="str">
        <f t="shared" si="458"/>
        <v>A veces</v>
      </c>
      <c r="AC1151">
        <v>0.60472999999999999</v>
      </c>
      <c r="AD1151">
        <f t="shared" si="459"/>
        <v>0</v>
      </c>
      <c r="AE1151" t="str">
        <f t="shared" si="460"/>
        <v>Nunca</v>
      </c>
      <c r="AF1151">
        <v>1</v>
      </c>
      <c r="AG1151" t="str">
        <f t="shared" si="461"/>
        <v>A veces</v>
      </c>
      <c r="AH1151">
        <v>0</v>
      </c>
      <c r="AI1151" t="str">
        <f t="shared" si="462"/>
        <v>No usa</v>
      </c>
      <c r="AJ1151">
        <v>0</v>
      </c>
      <c r="AK1151" t="str">
        <f t="shared" si="463"/>
        <v>No usa</v>
      </c>
      <c r="AL1151">
        <v>0</v>
      </c>
      <c r="AM1151" t="str">
        <f t="shared" si="464"/>
        <v>No usa</v>
      </c>
      <c r="AN1151">
        <v>1</v>
      </c>
      <c r="AO1151" t="str">
        <f t="shared" si="465"/>
        <v>Usa Transporte</v>
      </c>
      <c r="AP1151">
        <v>0</v>
      </c>
      <c r="AQ1151" t="str">
        <f t="shared" si="466"/>
        <v>No camina</v>
      </c>
      <c r="AR1151">
        <v>0</v>
      </c>
      <c r="AS1151" t="str">
        <f t="shared" si="467"/>
        <v>No es obeso</v>
      </c>
    </row>
    <row r="1152" spans="1:45" x14ac:dyDescent="0.25">
      <c r="A1152">
        <v>1</v>
      </c>
      <c r="B1152" t="str">
        <f t="shared" si="442"/>
        <v>M</v>
      </c>
      <c r="C1152">
        <v>1916097</v>
      </c>
      <c r="D1152">
        <f t="shared" si="443"/>
        <v>5</v>
      </c>
      <c r="E1152">
        <f t="shared" si="444"/>
        <v>5</v>
      </c>
      <c r="F1152" t="str">
        <f t="shared" si="445"/>
        <v>1-25</v>
      </c>
      <c r="G1152">
        <v>1</v>
      </c>
      <c r="H1152" t="str">
        <f t="shared" si="446"/>
        <v>Pariente gordo</v>
      </c>
      <c r="I1152">
        <v>0</v>
      </c>
      <c r="J1152" t="str">
        <f t="shared" si="447"/>
        <v>Saludables</v>
      </c>
      <c r="K1152">
        <v>2008656</v>
      </c>
      <c r="L1152">
        <f t="shared" si="448"/>
        <v>1</v>
      </c>
      <c r="M1152" t="str">
        <f t="shared" si="449"/>
        <v>Suele comer</v>
      </c>
      <c r="N1152">
        <v>1402771</v>
      </c>
      <c r="O1152">
        <f t="shared" si="450"/>
        <v>2</v>
      </c>
      <c r="P1152" t="str">
        <f t="shared" si="451"/>
        <v>Mas de 3</v>
      </c>
      <c r="Q1152">
        <v>1</v>
      </c>
      <c r="R1152" t="str">
        <f t="shared" si="452"/>
        <v>A veces</v>
      </c>
      <c r="S1152">
        <v>0</v>
      </c>
      <c r="T1152" t="str">
        <f t="shared" si="453"/>
        <v>No fuma</v>
      </c>
      <c r="U1152">
        <v>3</v>
      </c>
      <c r="V1152">
        <f t="shared" si="454"/>
        <v>2</v>
      </c>
      <c r="W1152" t="str">
        <f t="shared" si="455"/>
        <v>Siempre</v>
      </c>
      <c r="X1152">
        <v>0</v>
      </c>
      <c r="Y1152" t="str">
        <f t="shared" si="456"/>
        <v>No controla</v>
      </c>
      <c r="Z1152">
        <v>0.112383</v>
      </c>
      <c r="AA1152">
        <f t="shared" si="457"/>
        <v>0</v>
      </c>
      <c r="AB1152" t="str">
        <f t="shared" si="458"/>
        <v>Nunca</v>
      </c>
      <c r="AC1152">
        <v>0.32802999999999999</v>
      </c>
      <c r="AD1152">
        <f t="shared" si="459"/>
        <v>0</v>
      </c>
      <c r="AE1152" t="str">
        <f t="shared" si="460"/>
        <v>Nunca</v>
      </c>
      <c r="AF1152">
        <v>1</v>
      </c>
      <c r="AG1152" t="str">
        <f t="shared" si="461"/>
        <v>A veces</v>
      </c>
      <c r="AH1152">
        <v>0</v>
      </c>
      <c r="AI1152" t="str">
        <f t="shared" si="462"/>
        <v>No usa</v>
      </c>
      <c r="AJ1152">
        <v>0</v>
      </c>
      <c r="AK1152" t="str">
        <f t="shared" si="463"/>
        <v>No usa</v>
      </c>
      <c r="AL1152">
        <v>0</v>
      </c>
      <c r="AM1152" t="str">
        <f t="shared" si="464"/>
        <v>No usa</v>
      </c>
      <c r="AN1152">
        <v>1</v>
      </c>
      <c r="AO1152" t="str">
        <f t="shared" si="465"/>
        <v>Usa Transporte</v>
      </c>
      <c r="AP1152">
        <v>0</v>
      </c>
      <c r="AQ1152" t="str">
        <f t="shared" si="466"/>
        <v>No camina</v>
      </c>
      <c r="AR1152">
        <v>0</v>
      </c>
      <c r="AS1152" t="str">
        <f t="shared" si="467"/>
        <v>No es obeso</v>
      </c>
    </row>
    <row r="1153" spans="1:45" x14ac:dyDescent="0.25">
      <c r="A1153">
        <v>1</v>
      </c>
      <c r="B1153" t="str">
        <f t="shared" si="442"/>
        <v>M</v>
      </c>
      <c r="C1153">
        <v>2545763</v>
      </c>
      <c r="D1153">
        <f t="shared" si="443"/>
        <v>6</v>
      </c>
      <c r="E1153">
        <f t="shared" si="444"/>
        <v>6</v>
      </c>
      <c r="F1153" t="str">
        <f t="shared" si="445"/>
        <v>1-25</v>
      </c>
      <c r="G1153">
        <v>1</v>
      </c>
      <c r="H1153" t="str">
        <f t="shared" si="446"/>
        <v>Pariente gordo</v>
      </c>
      <c r="I1153">
        <v>1</v>
      </c>
      <c r="J1153" t="str">
        <f t="shared" si="447"/>
        <v>Hipercaloricos</v>
      </c>
      <c r="K1153">
        <v>1122127</v>
      </c>
      <c r="L1153">
        <f t="shared" si="448"/>
        <v>1</v>
      </c>
      <c r="M1153" t="str">
        <f t="shared" si="449"/>
        <v>Suele comer</v>
      </c>
      <c r="N1153">
        <v>2865657</v>
      </c>
      <c r="O1153">
        <f t="shared" si="450"/>
        <v>2</v>
      </c>
      <c r="P1153" t="str">
        <f t="shared" si="451"/>
        <v>Mas de 3</v>
      </c>
      <c r="Q1153">
        <v>1</v>
      </c>
      <c r="R1153" t="str">
        <f t="shared" si="452"/>
        <v>A veces</v>
      </c>
      <c r="S1153">
        <v>0</v>
      </c>
      <c r="T1153" t="str">
        <f t="shared" si="453"/>
        <v>No fuma</v>
      </c>
      <c r="U1153">
        <v>2</v>
      </c>
      <c r="V1153">
        <f t="shared" si="454"/>
        <v>2</v>
      </c>
      <c r="W1153" t="str">
        <f t="shared" si="455"/>
        <v>Siempre</v>
      </c>
      <c r="X1153">
        <v>0</v>
      </c>
      <c r="Y1153" t="str">
        <f t="shared" si="456"/>
        <v>No controla</v>
      </c>
      <c r="Z1153">
        <v>128775</v>
      </c>
      <c r="AA1153">
        <f t="shared" si="457"/>
        <v>2</v>
      </c>
      <c r="AB1153" t="str">
        <f t="shared" si="458"/>
        <v>Usualmente</v>
      </c>
      <c r="AC1153">
        <v>1944177</v>
      </c>
      <c r="AD1153">
        <f t="shared" si="459"/>
        <v>2</v>
      </c>
      <c r="AE1153" t="str">
        <f t="shared" si="460"/>
        <v>Siempre</v>
      </c>
      <c r="AF1153">
        <v>1</v>
      </c>
      <c r="AG1153" t="str">
        <f t="shared" si="461"/>
        <v>A veces</v>
      </c>
      <c r="AH1153">
        <v>0</v>
      </c>
      <c r="AI1153" t="str">
        <f t="shared" si="462"/>
        <v>No usa</v>
      </c>
      <c r="AJ1153">
        <v>0</v>
      </c>
      <c r="AK1153" t="str">
        <f t="shared" si="463"/>
        <v>No usa</v>
      </c>
      <c r="AL1153">
        <v>0</v>
      </c>
      <c r="AM1153" t="str">
        <f t="shared" si="464"/>
        <v>No usa</v>
      </c>
      <c r="AN1153">
        <v>1</v>
      </c>
      <c r="AO1153" t="str">
        <f t="shared" si="465"/>
        <v>Usa Transporte</v>
      </c>
      <c r="AP1153">
        <v>0</v>
      </c>
      <c r="AQ1153" t="str">
        <f t="shared" si="466"/>
        <v>No camina</v>
      </c>
      <c r="AR1153">
        <v>0</v>
      </c>
      <c r="AS1153" t="str">
        <f t="shared" si="467"/>
        <v>No es obeso</v>
      </c>
    </row>
    <row r="1154" spans="1:45" x14ac:dyDescent="0.25">
      <c r="A1154">
        <v>1</v>
      </c>
      <c r="B1154" t="str">
        <f t="shared" si="442"/>
        <v>M</v>
      </c>
      <c r="C1154">
        <v>22988004</v>
      </c>
      <c r="D1154">
        <f t="shared" si="443"/>
        <v>62</v>
      </c>
      <c r="E1154">
        <f t="shared" si="444"/>
        <v>62</v>
      </c>
      <c r="F1154" t="str">
        <f t="shared" si="445"/>
        <v>50-75</v>
      </c>
      <c r="G1154">
        <v>1</v>
      </c>
      <c r="H1154" t="str">
        <f t="shared" si="446"/>
        <v>Pariente gordo</v>
      </c>
      <c r="I1154">
        <v>1</v>
      </c>
      <c r="J1154" t="str">
        <f t="shared" si="447"/>
        <v>Hipercaloricos</v>
      </c>
      <c r="K1154">
        <v>1963965</v>
      </c>
      <c r="L1154">
        <f t="shared" si="448"/>
        <v>1</v>
      </c>
      <c r="M1154" t="str">
        <f t="shared" si="449"/>
        <v>Suele comer</v>
      </c>
      <c r="N1154">
        <v>1836226</v>
      </c>
      <c r="O1154">
        <f t="shared" si="450"/>
        <v>2</v>
      </c>
      <c r="P1154" t="str">
        <f t="shared" si="451"/>
        <v>Mas de 3</v>
      </c>
      <c r="Q1154">
        <v>1</v>
      </c>
      <c r="R1154" t="str">
        <f t="shared" si="452"/>
        <v>A veces</v>
      </c>
      <c r="S1154">
        <v>0</v>
      </c>
      <c r="T1154" t="str">
        <f t="shared" si="453"/>
        <v>No fuma</v>
      </c>
      <c r="U1154">
        <v>185537</v>
      </c>
      <c r="V1154">
        <f t="shared" si="454"/>
        <v>2</v>
      </c>
      <c r="W1154" t="str">
        <f t="shared" si="455"/>
        <v>Siempre</v>
      </c>
      <c r="X1154">
        <v>0</v>
      </c>
      <c r="Y1154" t="str">
        <f t="shared" si="456"/>
        <v>No controla</v>
      </c>
      <c r="Z1154">
        <v>0</v>
      </c>
      <c r="AA1154">
        <f t="shared" si="457"/>
        <v>0</v>
      </c>
      <c r="AB1154" t="str">
        <f t="shared" si="458"/>
        <v>Nunca</v>
      </c>
      <c r="AC1154">
        <v>1667745</v>
      </c>
      <c r="AD1154">
        <f t="shared" si="459"/>
        <v>2</v>
      </c>
      <c r="AE1154" t="str">
        <f t="shared" si="460"/>
        <v>Siempre</v>
      </c>
      <c r="AF1154">
        <v>1</v>
      </c>
      <c r="AG1154" t="str">
        <f t="shared" si="461"/>
        <v>A veces</v>
      </c>
      <c r="AH1154">
        <v>0</v>
      </c>
      <c r="AI1154" t="str">
        <f t="shared" si="462"/>
        <v>No usa</v>
      </c>
      <c r="AJ1154">
        <v>0</v>
      </c>
      <c r="AK1154" t="str">
        <f t="shared" si="463"/>
        <v>No usa</v>
      </c>
      <c r="AL1154">
        <v>0</v>
      </c>
      <c r="AM1154" t="str">
        <f t="shared" si="464"/>
        <v>No usa</v>
      </c>
      <c r="AN1154">
        <v>1</v>
      </c>
      <c r="AO1154" t="str">
        <f t="shared" si="465"/>
        <v>Usa Transporte</v>
      </c>
      <c r="AP1154">
        <v>0</v>
      </c>
      <c r="AQ1154" t="str">
        <f t="shared" si="466"/>
        <v>No camina</v>
      </c>
      <c r="AR1154">
        <v>0</v>
      </c>
      <c r="AS1154" t="str">
        <f t="shared" si="467"/>
        <v>No es obeso</v>
      </c>
    </row>
    <row r="1155" spans="1:45" x14ac:dyDescent="0.25">
      <c r="A1155">
        <v>1</v>
      </c>
      <c r="B1155" t="str">
        <f t="shared" ref="B1155:B1218" si="468">IF(A1155=1,"M","F")</f>
        <v>M</v>
      </c>
      <c r="C1155">
        <v>23603191</v>
      </c>
      <c r="D1155">
        <f t="shared" ref="D1155:D1218" si="469">IF(C1155&lt;100,C1155,ROUNDDOWN((C1155/1000)/365,0))</f>
        <v>64</v>
      </c>
      <c r="E1155">
        <f t="shared" ref="E1155:E1218" si="470">IF(AND(D1155&gt;1,D1155&lt;=100),D1155,IF(D1155&gt;100,100,5))</f>
        <v>64</v>
      </c>
      <c r="F1155" t="str">
        <f t="shared" ref="F1155:F1218" si="471">IF(AND(E1155&gt;=1,E1155&lt;=25),"1-25",IF(AND(E1155&gt;25,E1155&lt;=50),"25-50",IF(AND(E1155&gt;50,E1155&lt;=75),"50-75","75-100")))</f>
        <v>50-75</v>
      </c>
      <c r="G1155">
        <v>1</v>
      </c>
      <c r="H1155" t="str">
        <f t="shared" ref="H1155:H1218" si="472">IF(G1155=1,"Pariente gordo","Pariente normal")</f>
        <v>Pariente gordo</v>
      </c>
      <c r="I1155">
        <v>1</v>
      </c>
      <c r="J1155" t="str">
        <f t="shared" ref="J1155:J1218" si="473">IF(I1155=1,"Hipercaloricos","Saludables")</f>
        <v>Hipercaloricos</v>
      </c>
      <c r="K1155">
        <v>2319776</v>
      </c>
      <c r="L1155">
        <f t="shared" ref="L1155:L1218" si="474">IF(AND(K1155&gt;=1,K1155&lt;=3),1,IF(AND(K1155&gt;3,K1155&lt;3000000),1))</f>
        <v>1</v>
      </c>
      <c r="M1155" t="str">
        <f t="shared" ref="M1155:M1218" si="475">IF(L1155=1,"Suele comer","No come")</f>
        <v>Suele comer</v>
      </c>
      <c r="N1155">
        <v>2884848</v>
      </c>
      <c r="O1155">
        <f t="shared" ref="O1155:O1218" si="476">IF(N1155=1,N1155,IF(AND(N1155&gt;=2,N1155&lt;4000000),2))</f>
        <v>2</v>
      </c>
      <c r="P1155" t="str">
        <f t="shared" ref="P1155:P1218" si="477">IF(O1155=0,"1-2",IF(O1155=1,3,"Mas de 3"))</f>
        <v>Mas de 3</v>
      </c>
      <c r="Q1155">
        <v>1</v>
      </c>
      <c r="R1155" t="str">
        <f t="shared" ref="R1155:R1218" si="478">IF(Q1155=0,"Nunca",IF(Q1155=1,"A veces",IF(Q1155=2,"Usualmente","Siempre")))</f>
        <v>A veces</v>
      </c>
      <c r="S1155">
        <v>0</v>
      </c>
      <c r="T1155" t="str">
        <f t="shared" ref="T1155:T1218" si="479">IF(S1155=1,"Fuma","No fuma")</f>
        <v>No fuma</v>
      </c>
      <c r="U1155">
        <v>2154898</v>
      </c>
      <c r="V1155">
        <f t="shared" ref="V1155:V1218" si="480">IF(U1155=1,U1155,IF(U1155=2,U1155,IF(AND(U1155&gt;=3,U1155&lt;3000000),2)))</f>
        <v>2</v>
      </c>
      <c r="W1155" t="str">
        <f t="shared" ref="W1155:W1218" si="481">IF(V1155=0,"Nunca",IF(V1155=1,"Usualmente","Siempre"))</f>
        <v>Siempre</v>
      </c>
      <c r="X1155">
        <v>0</v>
      </c>
      <c r="Y1155" t="str">
        <f t="shared" ref="Y1155:Y1218" si="482">IF(X1155=1,"Controla","No controla")</f>
        <v>No controla</v>
      </c>
      <c r="Z1155">
        <v>0.32553399999999999</v>
      </c>
      <c r="AA1155">
        <f t="shared" ref="AA1155:AA1218" si="483">IF(Z1155=0,Z1155,IF(Z1155=1,Z1155,IF(Z1155=2,Z1155,IF(Z1155=3,Z1155,IF(AND(Z1155&gt;3,Z1155&lt;300000),2,IF(AND(Z1155&gt;300000,Z1155&lt;3000000),3,IF(AND(Z1155&gt;0,Z1155&lt;1),0)))))))</f>
        <v>0</v>
      </c>
      <c r="AB1155" t="str">
        <f t="shared" ref="AB1155:AB1218" si="484">IF(AA1155=0,"Nunca",IF(AA1155=1,"A veces",IF(AA1155=2,"Usualmente","Siempre")))</f>
        <v>Nunca</v>
      </c>
      <c r="AC1155">
        <v>0.95421599999999995</v>
      </c>
      <c r="AD1155">
        <f t="shared" ref="AD1155:AD1218" si="485">IF(AC1155= 0,AC1155,IF(AC1155=1,AC1155,IF(AC1155=2,AC1155,IF(AND(AC1155&gt;2,AC1155&lt;200000),1,IF(AND(AC1155&gt;200000,AC1155&lt;2000000),2,IF(AND(AC1155&gt;0,AC1155&lt;1),0))))))</f>
        <v>0</v>
      </c>
      <c r="AE1155" t="str">
        <f t="shared" ref="AE1155:AE1218" si="486">IF(AD1155=0,"Nunca",IF(AD1155=1,"Usualmente","Siempre"))</f>
        <v>Nunca</v>
      </c>
      <c r="AF1155">
        <v>1</v>
      </c>
      <c r="AG1155" t="str">
        <f t="shared" ref="AG1155:AG1218" si="487">IF(AF1155=0,"Nunca",IF(AF1155=1,"A veces",IF(AF1155=2,"Usualmente","Siempre")))</f>
        <v>A veces</v>
      </c>
      <c r="AH1155">
        <v>0</v>
      </c>
      <c r="AI1155" t="str">
        <f t="shared" ref="AI1155:AI1218" si="488">IF(AH1155=1,"Usa auto","No usa")</f>
        <v>No usa</v>
      </c>
      <c r="AJ1155">
        <v>0</v>
      </c>
      <c r="AK1155" t="str">
        <f t="shared" ref="AK1155:AK1218" si="489">IF(AJ1155=1,"Usa Bici","No usa")</f>
        <v>No usa</v>
      </c>
      <c r="AL1155">
        <v>0</v>
      </c>
      <c r="AM1155" t="str">
        <f t="shared" ref="AM1155:AM1218" si="490">IF(AL1155=1,"Usa Moto","No usa")</f>
        <v>No usa</v>
      </c>
      <c r="AN1155">
        <v>1</v>
      </c>
      <c r="AO1155" t="str">
        <f t="shared" ref="AO1155:AO1218" si="491">IF(AN1155=1,"Usa Transporte","No usa")</f>
        <v>Usa Transporte</v>
      </c>
      <c r="AP1155">
        <v>0</v>
      </c>
      <c r="AQ1155" t="str">
        <f t="shared" ref="AQ1155:AQ1218" si="492">IF(AP1155=1,"Camina","No camina")</f>
        <v>No camina</v>
      </c>
      <c r="AR1155">
        <v>0</v>
      </c>
      <c r="AS1155" t="str">
        <f t="shared" ref="AS1155:AS1218" si="493">IF(AR1155=1,"Es Obeso","No es obeso")</f>
        <v>No es obeso</v>
      </c>
    </row>
    <row r="1156" spans="1:45" x14ac:dyDescent="0.25">
      <c r="A1156">
        <v>1</v>
      </c>
      <c r="B1156" t="str">
        <f t="shared" si="468"/>
        <v>M</v>
      </c>
      <c r="C1156">
        <v>22882558</v>
      </c>
      <c r="D1156">
        <f t="shared" si="469"/>
        <v>62</v>
      </c>
      <c r="E1156">
        <f t="shared" si="470"/>
        <v>62</v>
      </c>
      <c r="F1156" t="str">
        <f t="shared" si="471"/>
        <v>50-75</v>
      </c>
      <c r="G1156">
        <v>1</v>
      </c>
      <c r="H1156" t="str">
        <f t="shared" si="472"/>
        <v>Pariente gordo</v>
      </c>
      <c r="I1156">
        <v>1</v>
      </c>
      <c r="J1156" t="str">
        <f t="shared" si="473"/>
        <v>Hipercaloricos</v>
      </c>
      <c r="K1156">
        <v>1899116</v>
      </c>
      <c r="L1156">
        <f t="shared" si="474"/>
        <v>1</v>
      </c>
      <c r="M1156" t="str">
        <f t="shared" si="475"/>
        <v>Suele comer</v>
      </c>
      <c r="N1156">
        <v>2375026</v>
      </c>
      <c r="O1156">
        <f t="shared" si="476"/>
        <v>2</v>
      </c>
      <c r="P1156" t="str">
        <f t="shared" si="477"/>
        <v>Mas de 3</v>
      </c>
      <c r="Q1156">
        <v>1</v>
      </c>
      <c r="R1156" t="str">
        <f t="shared" si="478"/>
        <v>A veces</v>
      </c>
      <c r="S1156">
        <v>0</v>
      </c>
      <c r="T1156" t="str">
        <f t="shared" si="479"/>
        <v>No fuma</v>
      </c>
      <c r="U1156">
        <v>139854</v>
      </c>
      <c r="V1156">
        <f t="shared" si="480"/>
        <v>2</v>
      </c>
      <c r="W1156" t="str">
        <f t="shared" si="481"/>
        <v>Siempre</v>
      </c>
      <c r="X1156">
        <v>0</v>
      </c>
      <c r="Y1156" t="str">
        <f t="shared" si="482"/>
        <v>No controla</v>
      </c>
      <c r="Z1156">
        <v>0</v>
      </c>
      <c r="AA1156">
        <f t="shared" si="483"/>
        <v>0</v>
      </c>
      <c r="AB1156" t="str">
        <f t="shared" si="484"/>
        <v>Nunca</v>
      </c>
      <c r="AC1156">
        <v>1365793</v>
      </c>
      <c r="AD1156">
        <f t="shared" si="485"/>
        <v>2</v>
      </c>
      <c r="AE1156" t="str">
        <f t="shared" si="486"/>
        <v>Siempre</v>
      </c>
      <c r="AF1156">
        <v>1</v>
      </c>
      <c r="AG1156" t="str">
        <f t="shared" si="487"/>
        <v>A veces</v>
      </c>
      <c r="AH1156">
        <v>0</v>
      </c>
      <c r="AI1156" t="str">
        <f t="shared" si="488"/>
        <v>No usa</v>
      </c>
      <c r="AJ1156">
        <v>0</v>
      </c>
      <c r="AK1156" t="str">
        <f t="shared" si="489"/>
        <v>No usa</v>
      </c>
      <c r="AL1156">
        <v>0</v>
      </c>
      <c r="AM1156" t="str">
        <f t="shared" si="490"/>
        <v>No usa</v>
      </c>
      <c r="AN1156">
        <v>1</v>
      </c>
      <c r="AO1156" t="str">
        <f t="shared" si="491"/>
        <v>Usa Transporte</v>
      </c>
      <c r="AP1156">
        <v>0</v>
      </c>
      <c r="AQ1156" t="str">
        <f t="shared" si="492"/>
        <v>No camina</v>
      </c>
      <c r="AR1156">
        <v>0</v>
      </c>
      <c r="AS1156" t="str">
        <f t="shared" si="493"/>
        <v>No es obeso</v>
      </c>
    </row>
    <row r="1157" spans="1:45" x14ac:dyDescent="0.25">
      <c r="A1157">
        <v>0</v>
      </c>
      <c r="B1157" t="str">
        <f t="shared" si="468"/>
        <v>F</v>
      </c>
      <c r="C1157">
        <v>23586058</v>
      </c>
      <c r="D1157">
        <f t="shared" si="469"/>
        <v>64</v>
      </c>
      <c r="E1157">
        <f t="shared" si="470"/>
        <v>64</v>
      </c>
      <c r="F1157" t="str">
        <f t="shared" si="471"/>
        <v>50-75</v>
      </c>
      <c r="G1157">
        <v>1</v>
      </c>
      <c r="H1157" t="str">
        <f t="shared" si="472"/>
        <v>Pariente gordo</v>
      </c>
      <c r="I1157">
        <v>1</v>
      </c>
      <c r="J1157" t="str">
        <f t="shared" si="473"/>
        <v>Hipercaloricos</v>
      </c>
      <c r="K1157">
        <v>2042762</v>
      </c>
      <c r="L1157">
        <f t="shared" si="474"/>
        <v>1</v>
      </c>
      <c r="M1157" t="str">
        <f t="shared" si="475"/>
        <v>Suele comer</v>
      </c>
      <c r="N1157">
        <v>29774</v>
      </c>
      <c r="O1157">
        <f t="shared" si="476"/>
        <v>2</v>
      </c>
      <c r="P1157" t="str">
        <f t="shared" si="477"/>
        <v>Mas de 3</v>
      </c>
      <c r="Q1157">
        <v>1</v>
      </c>
      <c r="R1157" t="str">
        <f t="shared" si="478"/>
        <v>A veces</v>
      </c>
      <c r="S1157">
        <v>0</v>
      </c>
      <c r="T1157" t="str">
        <f t="shared" si="479"/>
        <v>No fuma</v>
      </c>
      <c r="U1157">
        <v>1522426</v>
      </c>
      <c r="V1157">
        <f t="shared" si="480"/>
        <v>2</v>
      </c>
      <c r="W1157" t="str">
        <f t="shared" si="481"/>
        <v>Siempre</v>
      </c>
      <c r="X1157">
        <v>0</v>
      </c>
      <c r="Y1157" t="str">
        <f t="shared" si="482"/>
        <v>No controla</v>
      </c>
      <c r="Z1157">
        <v>0.501417</v>
      </c>
      <c r="AA1157">
        <f t="shared" si="483"/>
        <v>0</v>
      </c>
      <c r="AB1157" t="str">
        <f t="shared" si="484"/>
        <v>Nunca</v>
      </c>
      <c r="AC1157">
        <v>1029135</v>
      </c>
      <c r="AD1157">
        <f t="shared" si="485"/>
        <v>2</v>
      </c>
      <c r="AE1157" t="str">
        <f t="shared" si="486"/>
        <v>Siempre</v>
      </c>
      <c r="AF1157">
        <v>1</v>
      </c>
      <c r="AG1157" t="str">
        <f t="shared" si="487"/>
        <v>A veces</v>
      </c>
      <c r="AH1157">
        <v>0</v>
      </c>
      <c r="AI1157" t="str">
        <f t="shared" si="488"/>
        <v>No usa</v>
      </c>
      <c r="AJ1157">
        <v>0</v>
      </c>
      <c r="AK1157" t="str">
        <f t="shared" si="489"/>
        <v>No usa</v>
      </c>
      <c r="AL1157">
        <v>0</v>
      </c>
      <c r="AM1157" t="str">
        <f t="shared" si="490"/>
        <v>No usa</v>
      </c>
      <c r="AN1157">
        <v>1</v>
      </c>
      <c r="AO1157" t="str">
        <f t="shared" si="491"/>
        <v>Usa Transporte</v>
      </c>
      <c r="AP1157">
        <v>0</v>
      </c>
      <c r="AQ1157" t="str">
        <f t="shared" si="492"/>
        <v>No camina</v>
      </c>
      <c r="AR1157">
        <v>0</v>
      </c>
      <c r="AS1157" t="str">
        <f t="shared" si="493"/>
        <v>No es obeso</v>
      </c>
    </row>
    <row r="1158" spans="1:45" x14ac:dyDescent="0.25">
      <c r="A1158">
        <v>1</v>
      </c>
      <c r="B1158" t="str">
        <f t="shared" si="468"/>
        <v>M</v>
      </c>
      <c r="C1158">
        <v>34432669</v>
      </c>
      <c r="D1158">
        <f t="shared" si="469"/>
        <v>94</v>
      </c>
      <c r="E1158">
        <f t="shared" si="470"/>
        <v>94</v>
      </c>
      <c r="F1158" t="str">
        <f t="shared" si="471"/>
        <v>75-100</v>
      </c>
      <c r="G1158">
        <v>1</v>
      </c>
      <c r="H1158" t="str">
        <f t="shared" si="472"/>
        <v>Pariente gordo</v>
      </c>
      <c r="I1158">
        <v>1</v>
      </c>
      <c r="J1158" t="str">
        <f t="shared" si="473"/>
        <v>Hipercaloricos</v>
      </c>
      <c r="K1158">
        <v>2129668</v>
      </c>
      <c r="L1158">
        <f t="shared" si="474"/>
        <v>1</v>
      </c>
      <c r="M1158" t="str">
        <f t="shared" si="475"/>
        <v>Suele comer</v>
      </c>
      <c r="N1158">
        <v>2693646</v>
      </c>
      <c r="O1158">
        <f t="shared" si="476"/>
        <v>2</v>
      </c>
      <c r="P1158" t="str">
        <f t="shared" si="477"/>
        <v>Mas de 3</v>
      </c>
      <c r="Q1158">
        <v>1</v>
      </c>
      <c r="R1158" t="str">
        <f t="shared" si="478"/>
        <v>A veces</v>
      </c>
      <c r="S1158">
        <v>0</v>
      </c>
      <c r="T1158" t="str">
        <f t="shared" si="479"/>
        <v>No fuma</v>
      </c>
      <c r="U1158">
        <v>260669</v>
      </c>
      <c r="V1158">
        <f t="shared" si="480"/>
        <v>2</v>
      </c>
      <c r="W1158" t="str">
        <f t="shared" si="481"/>
        <v>Siempre</v>
      </c>
      <c r="X1158">
        <v>0</v>
      </c>
      <c r="Y1158" t="str">
        <f t="shared" si="482"/>
        <v>No controla</v>
      </c>
      <c r="Z1158">
        <v>1170823</v>
      </c>
      <c r="AA1158">
        <f t="shared" si="483"/>
        <v>3</v>
      </c>
      <c r="AB1158" t="str">
        <f t="shared" si="484"/>
        <v>Siempre</v>
      </c>
      <c r="AC1158">
        <v>0.29089799999999999</v>
      </c>
      <c r="AD1158">
        <f t="shared" si="485"/>
        <v>0</v>
      </c>
      <c r="AE1158" t="str">
        <f t="shared" si="486"/>
        <v>Nunca</v>
      </c>
      <c r="AF1158">
        <v>0</v>
      </c>
      <c r="AG1158" t="str">
        <f t="shared" si="487"/>
        <v>Nunca</v>
      </c>
      <c r="AH1158">
        <v>1</v>
      </c>
      <c r="AI1158" t="str">
        <f t="shared" si="488"/>
        <v>Usa auto</v>
      </c>
      <c r="AJ1158">
        <v>0</v>
      </c>
      <c r="AK1158" t="str">
        <f t="shared" si="489"/>
        <v>No usa</v>
      </c>
      <c r="AL1158">
        <v>0</v>
      </c>
      <c r="AM1158" t="str">
        <f t="shared" si="490"/>
        <v>No usa</v>
      </c>
      <c r="AN1158">
        <v>0</v>
      </c>
      <c r="AO1158" t="str">
        <f t="shared" si="491"/>
        <v>No usa</v>
      </c>
      <c r="AP1158">
        <v>0</v>
      </c>
      <c r="AQ1158" t="str">
        <f t="shared" si="492"/>
        <v>No camina</v>
      </c>
      <c r="AR1158">
        <v>0</v>
      </c>
      <c r="AS1158" t="str">
        <f t="shared" si="493"/>
        <v>No es obeso</v>
      </c>
    </row>
    <row r="1159" spans="1:45" x14ac:dyDescent="0.25">
      <c r="A1159">
        <v>0</v>
      </c>
      <c r="B1159" t="str">
        <f t="shared" si="468"/>
        <v>F</v>
      </c>
      <c r="C1159">
        <v>25472995</v>
      </c>
      <c r="D1159">
        <f t="shared" si="469"/>
        <v>69</v>
      </c>
      <c r="E1159">
        <f t="shared" si="470"/>
        <v>69</v>
      </c>
      <c r="F1159" t="str">
        <f t="shared" si="471"/>
        <v>50-75</v>
      </c>
      <c r="G1159">
        <v>1</v>
      </c>
      <c r="H1159" t="str">
        <f t="shared" si="472"/>
        <v>Pariente gordo</v>
      </c>
      <c r="I1159">
        <v>1</v>
      </c>
      <c r="J1159" t="str">
        <f t="shared" si="473"/>
        <v>Hipercaloricos</v>
      </c>
      <c r="K1159">
        <v>2182401</v>
      </c>
      <c r="L1159">
        <f t="shared" si="474"/>
        <v>1</v>
      </c>
      <c r="M1159" t="str">
        <f t="shared" si="475"/>
        <v>Suele comer</v>
      </c>
      <c r="N1159">
        <v>2832018</v>
      </c>
      <c r="O1159">
        <f t="shared" si="476"/>
        <v>2</v>
      </c>
      <c r="P1159" t="str">
        <f t="shared" si="477"/>
        <v>Mas de 3</v>
      </c>
      <c r="Q1159">
        <v>1</v>
      </c>
      <c r="R1159" t="str">
        <f t="shared" si="478"/>
        <v>A veces</v>
      </c>
      <c r="S1159">
        <v>0</v>
      </c>
      <c r="T1159" t="str">
        <f t="shared" si="479"/>
        <v>No fuma</v>
      </c>
      <c r="U1159">
        <v>2456939</v>
      </c>
      <c r="V1159">
        <f t="shared" si="480"/>
        <v>2</v>
      </c>
      <c r="W1159" t="str">
        <f t="shared" si="481"/>
        <v>Siempre</v>
      </c>
      <c r="X1159">
        <v>0</v>
      </c>
      <c r="Y1159" t="str">
        <f t="shared" si="482"/>
        <v>No controla</v>
      </c>
      <c r="Z1159">
        <v>3.8809000000000003E-2</v>
      </c>
      <c r="AA1159">
        <f t="shared" si="483"/>
        <v>0</v>
      </c>
      <c r="AB1159" t="str">
        <f t="shared" si="484"/>
        <v>Nunca</v>
      </c>
      <c r="AC1159">
        <v>0.52401500000000001</v>
      </c>
      <c r="AD1159">
        <f t="shared" si="485"/>
        <v>0</v>
      </c>
      <c r="AE1159" t="str">
        <f t="shared" si="486"/>
        <v>Nunca</v>
      </c>
      <c r="AF1159">
        <v>2</v>
      </c>
      <c r="AG1159" t="str">
        <f t="shared" si="487"/>
        <v>Usualmente</v>
      </c>
      <c r="AH1159">
        <v>0</v>
      </c>
      <c r="AI1159" t="str">
        <f t="shared" si="488"/>
        <v>No usa</v>
      </c>
      <c r="AJ1159">
        <v>0</v>
      </c>
      <c r="AK1159" t="str">
        <f t="shared" si="489"/>
        <v>No usa</v>
      </c>
      <c r="AL1159">
        <v>0</v>
      </c>
      <c r="AM1159" t="str">
        <f t="shared" si="490"/>
        <v>No usa</v>
      </c>
      <c r="AN1159">
        <v>1</v>
      </c>
      <c r="AO1159" t="str">
        <f t="shared" si="491"/>
        <v>Usa Transporte</v>
      </c>
      <c r="AP1159">
        <v>0</v>
      </c>
      <c r="AQ1159" t="str">
        <f t="shared" si="492"/>
        <v>No camina</v>
      </c>
      <c r="AR1159">
        <v>0</v>
      </c>
      <c r="AS1159" t="str">
        <f t="shared" si="493"/>
        <v>No es obeso</v>
      </c>
    </row>
    <row r="1160" spans="1:45" x14ac:dyDescent="0.25">
      <c r="A1160">
        <v>1</v>
      </c>
      <c r="B1160" t="str">
        <f t="shared" si="468"/>
        <v>M</v>
      </c>
      <c r="C1160">
        <v>55022494</v>
      </c>
      <c r="D1160">
        <f t="shared" si="469"/>
        <v>150</v>
      </c>
      <c r="E1160">
        <f t="shared" si="470"/>
        <v>100</v>
      </c>
      <c r="F1160" t="str">
        <f t="shared" si="471"/>
        <v>75-100</v>
      </c>
      <c r="G1160">
        <v>1</v>
      </c>
      <c r="H1160" t="str">
        <f t="shared" si="472"/>
        <v>Pariente gordo</v>
      </c>
      <c r="I1160">
        <v>1</v>
      </c>
      <c r="J1160" t="str">
        <f t="shared" si="473"/>
        <v>Hipercaloricos</v>
      </c>
      <c r="K1160">
        <v>2</v>
      </c>
      <c r="L1160">
        <f t="shared" si="474"/>
        <v>1</v>
      </c>
      <c r="M1160" t="str">
        <f t="shared" si="475"/>
        <v>Suele comer</v>
      </c>
      <c r="N1160">
        <v>3</v>
      </c>
      <c r="O1160">
        <f t="shared" si="476"/>
        <v>2</v>
      </c>
      <c r="P1160" t="str">
        <f t="shared" si="477"/>
        <v>Mas de 3</v>
      </c>
      <c r="Q1160">
        <v>1</v>
      </c>
      <c r="R1160" t="str">
        <f t="shared" si="478"/>
        <v>A veces</v>
      </c>
      <c r="S1160">
        <v>0</v>
      </c>
      <c r="T1160" t="str">
        <f t="shared" si="479"/>
        <v>No fuma</v>
      </c>
      <c r="U1160">
        <v>2</v>
      </c>
      <c r="V1160">
        <f t="shared" si="480"/>
        <v>2</v>
      </c>
      <c r="W1160" t="str">
        <f t="shared" si="481"/>
        <v>Siempre</v>
      </c>
      <c r="X1160">
        <v>0</v>
      </c>
      <c r="Y1160" t="str">
        <f t="shared" si="482"/>
        <v>No controla</v>
      </c>
      <c r="Z1160">
        <v>1</v>
      </c>
      <c r="AA1160">
        <f t="shared" si="483"/>
        <v>1</v>
      </c>
      <c r="AB1160" t="str">
        <f t="shared" si="484"/>
        <v>A veces</v>
      </c>
      <c r="AC1160">
        <v>0</v>
      </c>
      <c r="AD1160">
        <f t="shared" si="485"/>
        <v>0</v>
      </c>
      <c r="AE1160" t="str">
        <f t="shared" si="486"/>
        <v>Nunca</v>
      </c>
      <c r="AF1160">
        <v>0</v>
      </c>
      <c r="AG1160" t="str">
        <f t="shared" si="487"/>
        <v>Nunca</v>
      </c>
      <c r="AH1160">
        <v>1</v>
      </c>
      <c r="AI1160" t="str">
        <f t="shared" si="488"/>
        <v>Usa auto</v>
      </c>
      <c r="AJ1160">
        <v>0</v>
      </c>
      <c r="AK1160" t="str">
        <f t="shared" si="489"/>
        <v>No usa</v>
      </c>
      <c r="AL1160">
        <v>0</v>
      </c>
      <c r="AM1160" t="str">
        <f t="shared" si="490"/>
        <v>No usa</v>
      </c>
      <c r="AN1160">
        <v>0</v>
      </c>
      <c r="AO1160" t="str">
        <f t="shared" si="491"/>
        <v>No usa</v>
      </c>
      <c r="AP1160">
        <v>0</v>
      </c>
      <c r="AQ1160" t="str">
        <f t="shared" si="492"/>
        <v>No camina</v>
      </c>
      <c r="AR1160">
        <v>0</v>
      </c>
      <c r="AS1160" t="str">
        <f t="shared" si="493"/>
        <v>No es obeso</v>
      </c>
    </row>
    <row r="1161" spans="1:45" x14ac:dyDescent="0.25">
      <c r="A1161">
        <v>1</v>
      </c>
      <c r="B1161" t="str">
        <f t="shared" si="468"/>
        <v>M</v>
      </c>
      <c r="C1161">
        <v>34647036</v>
      </c>
      <c r="D1161">
        <f t="shared" si="469"/>
        <v>94</v>
      </c>
      <c r="E1161">
        <f t="shared" si="470"/>
        <v>94</v>
      </c>
      <c r="F1161" t="str">
        <f t="shared" si="471"/>
        <v>75-100</v>
      </c>
      <c r="G1161">
        <v>1</v>
      </c>
      <c r="H1161" t="str">
        <f t="shared" si="472"/>
        <v>Pariente gordo</v>
      </c>
      <c r="I1161">
        <v>1</v>
      </c>
      <c r="J1161" t="str">
        <f t="shared" si="473"/>
        <v>Hipercaloricos</v>
      </c>
      <c r="K1161">
        <v>2802696</v>
      </c>
      <c r="L1161">
        <f t="shared" si="474"/>
        <v>1</v>
      </c>
      <c r="M1161" t="str">
        <f t="shared" si="475"/>
        <v>Suele comer</v>
      </c>
      <c r="N1161">
        <v>3</v>
      </c>
      <c r="O1161">
        <f t="shared" si="476"/>
        <v>2</v>
      </c>
      <c r="P1161" t="str">
        <f t="shared" si="477"/>
        <v>Mas de 3</v>
      </c>
      <c r="Q1161">
        <v>1</v>
      </c>
      <c r="R1161" t="str">
        <f t="shared" si="478"/>
        <v>A veces</v>
      </c>
      <c r="S1161">
        <v>0</v>
      </c>
      <c r="T1161" t="str">
        <f t="shared" si="479"/>
        <v>No fuma</v>
      </c>
      <c r="U1161">
        <v>2978465</v>
      </c>
      <c r="V1161">
        <f t="shared" si="480"/>
        <v>2</v>
      </c>
      <c r="W1161" t="str">
        <f t="shared" si="481"/>
        <v>Siempre</v>
      </c>
      <c r="X1161">
        <v>0</v>
      </c>
      <c r="Y1161" t="str">
        <f t="shared" si="482"/>
        <v>No controla</v>
      </c>
      <c r="Z1161">
        <v>1974656</v>
      </c>
      <c r="AA1161">
        <f t="shared" si="483"/>
        <v>3</v>
      </c>
      <c r="AB1161" t="str">
        <f t="shared" si="484"/>
        <v>Siempre</v>
      </c>
      <c r="AC1161">
        <v>0.93692500000000001</v>
      </c>
      <c r="AD1161">
        <f t="shared" si="485"/>
        <v>0</v>
      </c>
      <c r="AE1161" t="str">
        <f t="shared" si="486"/>
        <v>Nunca</v>
      </c>
      <c r="AF1161">
        <v>0</v>
      </c>
      <c r="AG1161" t="str">
        <f t="shared" si="487"/>
        <v>Nunca</v>
      </c>
      <c r="AH1161">
        <v>1</v>
      </c>
      <c r="AI1161" t="str">
        <f t="shared" si="488"/>
        <v>Usa auto</v>
      </c>
      <c r="AJ1161">
        <v>0</v>
      </c>
      <c r="AK1161" t="str">
        <f t="shared" si="489"/>
        <v>No usa</v>
      </c>
      <c r="AL1161">
        <v>0</v>
      </c>
      <c r="AM1161" t="str">
        <f t="shared" si="490"/>
        <v>No usa</v>
      </c>
      <c r="AN1161">
        <v>0</v>
      </c>
      <c r="AO1161" t="str">
        <f t="shared" si="491"/>
        <v>No usa</v>
      </c>
      <c r="AP1161">
        <v>0</v>
      </c>
      <c r="AQ1161" t="str">
        <f t="shared" si="492"/>
        <v>No camina</v>
      </c>
      <c r="AR1161">
        <v>0</v>
      </c>
      <c r="AS1161" t="str">
        <f t="shared" si="493"/>
        <v>No es obeso</v>
      </c>
    </row>
    <row r="1162" spans="1:45" x14ac:dyDescent="0.25">
      <c r="A1162">
        <v>1</v>
      </c>
      <c r="B1162" t="str">
        <f t="shared" si="468"/>
        <v>M</v>
      </c>
      <c r="C1162">
        <v>21997335</v>
      </c>
      <c r="D1162">
        <f t="shared" si="469"/>
        <v>60</v>
      </c>
      <c r="E1162">
        <f t="shared" si="470"/>
        <v>60</v>
      </c>
      <c r="F1162" t="str">
        <f t="shared" si="471"/>
        <v>50-75</v>
      </c>
      <c r="G1162">
        <v>1</v>
      </c>
      <c r="H1162" t="str">
        <f t="shared" si="472"/>
        <v>Pariente gordo</v>
      </c>
      <c r="I1162">
        <v>1</v>
      </c>
      <c r="J1162" t="str">
        <f t="shared" si="473"/>
        <v>Hipercaloricos</v>
      </c>
      <c r="K1162">
        <v>2</v>
      </c>
      <c r="L1162">
        <f t="shared" si="474"/>
        <v>1</v>
      </c>
      <c r="M1162" t="str">
        <f t="shared" si="475"/>
        <v>Suele comer</v>
      </c>
      <c r="N1162">
        <v>3</v>
      </c>
      <c r="O1162">
        <f t="shared" si="476"/>
        <v>2</v>
      </c>
      <c r="P1162" t="str">
        <f t="shared" si="477"/>
        <v>Mas de 3</v>
      </c>
      <c r="Q1162">
        <v>1</v>
      </c>
      <c r="R1162" t="str">
        <f t="shared" si="478"/>
        <v>A veces</v>
      </c>
      <c r="S1162">
        <v>0</v>
      </c>
      <c r="T1162" t="str">
        <f t="shared" si="479"/>
        <v>No fuma</v>
      </c>
      <c r="U1162">
        <v>2</v>
      </c>
      <c r="V1162">
        <f t="shared" si="480"/>
        <v>2</v>
      </c>
      <c r="W1162" t="str">
        <f t="shared" si="481"/>
        <v>Siempre</v>
      </c>
      <c r="X1162">
        <v>0</v>
      </c>
      <c r="Y1162" t="str">
        <f t="shared" si="482"/>
        <v>No controla</v>
      </c>
      <c r="Z1162">
        <v>0.52734099999999995</v>
      </c>
      <c r="AA1162">
        <f t="shared" si="483"/>
        <v>0</v>
      </c>
      <c r="AB1162" t="str">
        <f t="shared" si="484"/>
        <v>Nunca</v>
      </c>
      <c r="AC1162">
        <v>2</v>
      </c>
      <c r="AD1162">
        <f t="shared" si="485"/>
        <v>2</v>
      </c>
      <c r="AE1162" t="str">
        <f t="shared" si="486"/>
        <v>Siempre</v>
      </c>
      <c r="AF1162">
        <v>0</v>
      </c>
      <c r="AG1162" t="str">
        <f t="shared" si="487"/>
        <v>Nunca</v>
      </c>
      <c r="AH1162">
        <v>0</v>
      </c>
      <c r="AI1162" t="str">
        <f t="shared" si="488"/>
        <v>No usa</v>
      </c>
      <c r="AJ1162">
        <v>0</v>
      </c>
      <c r="AK1162" t="str">
        <f t="shared" si="489"/>
        <v>No usa</v>
      </c>
      <c r="AL1162">
        <v>0</v>
      </c>
      <c r="AM1162" t="str">
        <f t="shared" si="490"/>
        <v>No usa</v>
      </c>
      <c r="AN1162">
        <v>1</v>
      </c>
      <c r="AO1162" t="str">
        <f t="shared" si="491"/>
        <v>Usa Transporte</v>
      </c>
      <c r="AP1162">
        <v>0</v>
      </c>
      <c r="AQ1162" t="str">
        <f t="shared" si="492"/>
        <v>No camina</v>
      </c>
      <c r="AR1162">
        <v>0</v>
      </c>
      <c r="AS1162" t="str">
        <f t="shared" si="493"/>
        <v>No es obeso</v>
      </c>
    </row>
    <row r="1163" spans="1:45" x14ac:dyDescent="0.25">
      <c r="A1163">
        <v>1</v>
      </c>
      <c r="B1163" t="str">
        <f t="shared" si="468"/>
        <v>M</v>
      </c>
      <c r="C1163">
        <v>18181821</v>
      </c>
      <c r="D1163">
        <f t="shared" si="469"/>
        <v>49</v>
      </c>
      <c r="E1163">
        <f t="shared" si="470"/>
        <v>49</v>
      </c>
      <c r="F1163" t="str">
        <f t="shared" si="471"/>
        <v>25-50</v>
      </c>
      <c r="G1163">
        <v>1</v>
      </c>
      <c r="H1163" t="str">
        <f t="shared" si="472"/>
        <v>Pariente gordo</v>
      </c>
      <c r="I1163">
        <v>0</v>
      </c>
      <c r="J1163" t="str">
        <f t="shared" si="473"/>
        <v>Saludables</v>
      </c>
      <c r="K1163">
        <v>2492758</v>
      </c>
      <c r="L1163">
        <f t="shared" si="474"/>
        <v>1</v>
      </c>
      <c r="M1163" t="str">
        <f t="shared" si="475"/>
        <v>Suele comer</v>
      </c>
      <c r="N1163">
        <v>2270163</v>
      </c>
      <c r="O1163">
        <f t="shared" si="476"/>
        <v>2</v>
      </c>
      <c r="P1163" t="str">
        <f t="shared" si="477"/>
        <v>Mas de 3</v>
      </c>
      <c r="Q1163">
        <v>1</v>
      </c>
      <c r="R1163" t="str">
        <f t="shared" si="478"/>
        <v>A veces</v>
      </c>
      <c r="S1163">
        <v>0</v>
      </c>
      <c r="T1163" t="str">
        <f t="shared" si="479"/>
        <v>No fuma</v>
      </c>
      <c r="U1163">
        <v>1992586</v>
      </c>
      <c r="V1163">
        <f t="shared" si="480"/>
        <v>2</v>
      </c>
      <c r="W1163" t="str">
        <f t="shared" si="481"/>
        <v>Siempre</v>
      </c>
      <c r="X1163">
        <v>0</v>
      </c>
      <c r="Y1163" t="str">
        <f t="shared" si="482"/>
        <v>No controla</v>
      </c>
      <c r="Z1163">
        <v>1452467</v>
      </c>
      <c r="AA1163">
        <f t="shared" si="483"/>
        <v>3</v>
      </c>
      <c r="AB1163" t="str">
        <f t="shared" si="484"/>
        <v>Siempre</v>
      </c>
      <c r="AC1163">
        <v>0.86458299999999999</v>
      </c>
      <c r="AD1163">
        <f t="shared" si="485"/>
        <v>0</v>
      </c>
      <c r="AE1163" t="str">
        <f t="shared" si="486"/>
        <v>Nunca</v>
      </c>
      <c r="AF1163">
        <v>0</v>
      </c>
      <c r="AG1163" t="str">
        <f t="shared" si="487"/>
        <v>Nunca</v>
      </c>
      <c r="AH1163">
        <v>0</v>
      </c>
      <c r="AI1163" t="str">
        <f t="shared" si="488"/>
        <v>No usa</v>
      </c>
      <c r="AJ1163">
        <v>0</v>
      </c>
      <c r="AK1163" t="str">
        <f t="shared" si="489"/>
        <v>No usa</v>
      </c>
      <c r="AL1163">
        <v>0</v>
      </c>
      <c r="AM1163" t="str">
        <f t="shared" si="490"/>
        <v>No usa</v>
      </c>
      <c r="AN1163">
        <v>1</v>
      </c>
      <c r="AO1163" t="str">
        <f t="shared" si="491"/>
        <v>Usa Transporte</v>
      </c>
      <c r="AP1163">
        <v>0</v>
      </c>
      <c r="AQ1163" t="str">
        <f t="shared" si="492"/>
        <v>No camina</v>
      </c>
      <c r="AR1163">
        <v>0</v>
      </c>
      <c r="AS1163" t="str">
        <f t="shared" si="493"/>
        <v>No es obeso</v>
      </c>
    </row>
    <row r="1164" spans="1:45" x14ac:dyDescent="0.25">
      <c r="A1164">
        <v>0</v>
      </c>
      <c r="B1164" t="str">
        <f t="shared" si="468"/>
        <v>F</v>
      </c>
      <c r="C1164">
        <v>41743333</v>
      </c>
      <c r="D1164">
        <f t="shared" si="469"/>
        <v>114</v>
      </c>
      <c r="E1164">
        <f t="shared" si="470"/>
        <v>100</v>
      </c>
      <c r="F1164" t="str">
        <f t="shared" si="471"/>
        <v>75-100</v>
      </c>
      <c r="G1164">
        <v>1</v>
      </c>
      <c r="H1164" t="str">
        <f t="shared" si="472"/>
        <v>Pariente gordo</v>
      </c>
      <c r="I1164">
        <v>1</v>
      </c>
      <c r="J1164" t="str">
        <f t="shared" si="473"/>
        <v>Hipercaloricos</v>
      </c>
      <c r="K1164">
        <v>2733129</v>
      </c>
      <c r="L1164">
        <f t="shared" si="474"/>
        <v>1</v>
      </c>
      <c r="M1164" t="str">
        <f t="shared" si="475"/>
        <v>Suele comer</v>
      </c>
      <c r="N1164">
        <v>3</v>
      </c>
      <c r="O1164">
        <f t="shared" si="476"/>
        <v>2</v>
      </c>
      <c r="P1164" t="str">
        <f t="shared" si="477"/>
        <v>Mas de 3</v>
      </c>
      <c r="Q1164">
        <v>1</v>
      </c>
      <c r="R1164" t="str">
        <f t="shared" si="478"/>
        <v>A veces</v>
      </c>
      <c r="S1164">
        <v>0</v>
      </c>
      <c r="T1164" t="str">
        <f t="shared" si="479"/>
        <v>No fuma</v>
      </c>
      <c r="U1164">
        <v>1302594</v>
      </c>
      <c r="V1164">
        <f t="shared" si="480"/>
        <v>2</v>
      </c>
      <c r="W1164" t="str">
        <f t="shared" si="481"/>
        <v>Siempre</v>
      </c>
      <c r="X1164">
        <v>0</v>
      </c>
      <c r="Y1164" t="str">
        <f t="shared" si="482"/>
        <v>No controla</v>
      </c>
      <c r="Z1164">
        <v>0</v>
      </c>
      <c r="AA1164">
        <f t="shared" si="483"/>
        <v>0</v>
      </c>
      <c r="AB1164" t="str">
        <f t="shared" si="484"/>
        <v>Nunca</v>
      </c>
      <c r="AC1164">
        <v>1103349</v>
      </c>
      <c r="AD1164">
        <f t="shared" si="485"/>
        <v>2</v>
      </c>
      <c r="AE1164" t="str">
        <f t="shared" si="486"/>
        <v>Siempre</v>
      </c>
      <c r="AF1164">
        <v>0</v>
      </c>
      <c r="AG1164" t="str">
        <f t="shared" si="487"/>
        <v>Nunca</v>
      </c>
      <c r="AH1164">
        <v>1</v>
      </c>
      <c r="AI1164" t="str">
        <f t="shared" si="488"/>
        <v>Usa auto</v>
      </c>
      <c r="AJ1164">
        <v>0</v>
      </c>
      <c r="AK1164" t="str">
        <f t="shared" si="489"/>
        <v>No usa</v>
      </c>
      <c r="AL1164">
        <v>0</v>
      </c>
      <c r="AM1164" t="str">
        <f t="shared" si="490"/>
        <v>No usa</v>
      </c>
      <c r="AN1164">
        <v>0</v>
      </c>
      <c r="AO1164" t="str">
        <f t="shared" si="491"/>
        <v>No usa</v>
      </c>
      <c r="AP1164">
        <v>0</v>
      </c>
      <c r="AQ1164" t="str">
        <f t="shared" si="492"/>
        <v>No camina</v>
      </c>
      <c r="AR1164">
        <v>0</v>
      </c>
      <c r="AS1164" t="str">
        <f t="shared" si="493"/>
        <v>No es obeso</v>
      </c>
    </row>
    <row r="1165" spans="1:45" x14ac:dyDescent="0.25">
      <c r="A1165">
        <v>1</v>
      </c>
      <c r="B1165" t="str">
        <f t="shared" si="468"/>
        <v>M</v>
      </c>
      <c r="C1165">
        <v>21473078</v>
      </c>
      <c r="D1165">
        <f t="shared" si="469"/>
        <v>58</v>
      </c>
      <c r="E1165">
        <f t="shared" si="470"/>
        <v>58</v>
      </c>
      <c r="F1165" t="str">
        <f t="shared" si="471"/>
        <v>50-75</v>
      </c>
      <c r="G1165">
        <v>1</v>
      </c>
      <c r="H1165" t="str">
        <f t="shared" si="472"/>
        <v>Pariente gordo</v>
      </c>
      <c r="I1165">
        <v>1</v>
      </c>
      <c r="J1165" t="str">
        <f t="shared" si="473"/>
        <v>Hipercaloricos</v>
      </c>
      <c r="K1165">
        <v>2</v>
      </c>
      <c r="L1165">
        <f t="shared" si="474"/>
        <v>1</v>
      </c>
      <c r="M1165" t="str">
        <f t="shared" si="475"/>
        <v>Suele comer</v>
      </c>
      <c r="N1165">
        <v>2646717</v>
      </c>
      <c r="O1165">
        <f t="shared" si="476"/>
        <v>2</v>
      </c>
      <c r="P1165" t="str">
        <f t="shared" si="477"/>
        <v>Mas de 3</v>
      </c>
      <c r="Q1165">
        <v>1</v>
      </c>
      <c r="R1165" t="str">
        <f t="shared" si="478"/>
        <v>A veces</v>
      </c>
      <c r="S1165">
        <v>0</v>
      </c>
      <c r="T1165" t="str">
        <f t="shared" si="479"/>
        <v>No fuma</v>
      </c>
      <c r="U1165">
        <v>2</v>
      </c>
      <c r="V1165">
        <f t="shared" si="480"/>
        <v>2</v>
      </c>
      <c r="W1165" t="str">
        <f t="shared" si="481"/>
        <v>Siempre</v>
      </c>
      <c r="X1165">
        <v>0</v>
      </c>
      <c r="Y1165" t="str">
        <f t="shared" si="482"/>
        <v>No controla</v>
      </c>
      <c r="Z1165">
        <v>2627515</v>
      </c>
      <c r="AA1165">
        <f t="shared" si="483"/>
        <v>3</v>
      </c>
      <c r="AB1165" t="str">
        <f t="shared" si="484"/>
        <v>Siempre</v>
      </c>
      <c r="AC1165">
        <v>1358812</v>
      </c>
      <c r="AD1165">
        <f t="shared" si="485"/>
        <v>2</v>
      </c>
      <c r="AE1165" t="str">
        <f t="shared" si="486"/>
        <v>Siempre</v>
      </c>
      <c r="AF1165">
        <v>0</v>
      </c>
      <c r="AG1165" t="str">
        <f t="shared" si="487"/>
        <v>Nunca</v>
      </c>
      <c r="AH1165">
        <v>0</v>
      </c>
      <c r="AI1165" t="str">
        <f t="shared" si="488"/>
        <v>No usa</v>
      </c>
      <c r="AJ1165">
        <v>0</v>
      </c>
      <c r="AK1165" t="str">
        <f t="shared" si="489"/>
        <v>No usa</v>
      </c>
      <c r="AL1165">
        <v>0</v>
      </c>
      <c r="AM1165" t="str">
        <f t="shared" si="490"/>
        <v>No usa</v>
      </c>
      <c r="AN1165">
        <v>1</v>
      </c>
      <c r="AO1165" t="str">
        <f t="shared" si="491"/>
        <v>Usa Transporte</v>
      </c>
      <c r="AP1165">
        <v>0</v>
      </c>
      <c r="AQ1165" t="str">
        <f t="shared" si="492"/>
        <v>No camina</v>
      </c>
      <c r="AR1165">
        <v>0</v>
      </c>
      <c r="AS1165" t="str">
        <f t="shared" si="493"/>
        <v>No es obeso</v>
      </c>
    </row>
    <row r="1166" spans="1:45" x14ac:dyDescent="0.25">
      <c r="A1166">
        <v>0</v>
      </c>
      <c r="B1166" t="str">
        <f t="shared" si="468"/>
        <v>F</v>
      </c>
      <c r="C1166">
        <v>27757187</v>
      </c>
      <c r="D1166">
        <f t="shared" si="469"/>
        <v>76</v>
      </c>
      <c r="E1166">
        <f t="shared" si="470"/>
        <v>76</v>
      </c>
      <c r="F1166" t="str">
        <f t="shared" si="471"/>
        <v>75-100</v>
      </c>
      <c r="G1166">
        <v>1</v>
      </c>
      <c r="H1166" t="str">
        <f t="shared" si="472"/>
        <v>Pariente gordo</v>
      </c>
      <c r="I1166">
        <v>0</v>
      </c>
      <c r="J1166" t="str">
        <f t="shared" si="473"/>
        <v>Saludables</v>
      </c>
      <c r="K1166">
        <v>2</v>
      </c>
      <c r="L1166">
        <f t="shared" si="474"/>
        <v>1</v>
      </c>
      <c r="M1166" t="str">
        <f t="shared" si="475"/>
        <v>Suele comer</v>
      </c>
      <c r="N1166">
        <v>1</v>
      </c>
      <c r="O1166">
        <f t="shared" si="476"/>
        <v>1</v>
      </c>
      <c r="P1166">
        <f t="shared" si="477"/>
        <v>3</v>
      </c>
      <c r="Q1166">
        <v>1</v>
      </c>
      <c r="R1166" t="str">
        <f t="shared" si="478"/>
        <v>A veces</v>
      </c>
      <c r="S1166">
        <v>0</v>
      </c>
      <c r="T1166" t="str">
        <f t="shared" si="479"/>
        <v>No fuma</v>
      </c>
      <c r="U1166">
        <v>1278578</v>
      </c>
      <c r="V1166">
        <f t="shared" si="480"/>
        <v>2</v>
      </c>
      <c r="W1166" t="str">
        <f t="shared" si="481"/>
        <v>Siempre</v>
      </c>
      <c r="X1166">
        <v>0</v>
      </c>
      <c r="Y1166" t="str">
        <f t="shared" si="482"/>
        <v>No controla</v>
      </c>
      <c r="Z1166">
        <v>2.112E-2</v>
      </c>
      <c r="AA1166">
        <f t="shared" si="483"/>
        <v>0</v>
      </c>
      <c r="AB1166" t="str">
        <f t="shared" si="484"/>
        <v>Nunca</v>
      </c>
      <c r="AC1166">
        <v>0</v>
      </c>
      <c r="AD1166">
        <f t="shared" si="485"/>
        <v>0</v>
      </c>
      <c r="AE1166" t="str">
        <f t="shared" si="486"/>
        <v>Nunca</v>
      </c>
      <c r="AF1166">
        <v>0</v>
      </c>
      <c r="AG1166" t="str">
        <f t="shared" si="487"/>
        <v>Nunca</v>
      </c>
      <c r="AH1166">
        <v>0</v>
      </c>
      <c r="AI1166" t="str">
        <f t="shared" si="488"/>
        <v>No usa</v>
      </c>
      <c r="AJ1166">
        <v>0</v>
      </c>
      <c r="AK1166" t="str">
        <f t="shared" si="489"/>
        <v>No usa</v>
      </c>
      <c r="AL1166">
        <v>0</v>
      </c>
      <c r="AM1166" t="str">
        <f t="shared" si="490"/>
        <v>No usa</v>
      </c>
      <c r="AN1166">
        <v>1</v>
      </c>
      <c r="AO1166" t="str">
        <f t="shared" si="491"/>
        <v>Usa Transporte</v>
      </c>
      <c r="AP1166">
        <v>0</v>
      </c>
      <c r="AQ1166" t="str">
        <f t="shared" si="492"/>
        <v>No camina</v>
      </c>
      <c r="AR1166">
        <v>0</v>
      </c>
      <c r="AS1166" t="str">
        <f t="shared" si="493"/>
        <v>No es obeso</v>
      </c>
    </row>
    <row r="1167" spans="1:45" x14ac:dyDescent="0.25">
      <c r="A1167">
        <v>0</v>
      </c>
      <c r="B1167" t="str">
        <f t="shared" si="468"/>
        <v>F</v>
      </c>
      <c r="C1167">
        <v>25113537</v>
      </c>
      <c r="D1167">
        <f t="shared" si="469"/>
        <v>68</v>
      </c>
      <c r="E1167">
        <f t="shared" si="470"/>
        <v>68</v>
      </c>
      <c r="F1167" t="str">
        <f t="shared" si="471"/>
        <v>50-75</v>
      </c>
      <c r="G1167">
        <v>1</v>
      </c>
      <c r="H1167" t="str">
        <f t="shared" si="472"/>
        <v>Pariente gordo</v>
      </c>
      <c r="I1167">
        <v>0</v>
      </c>
      <c r="J1167" t="str">
        <f t="shared" si="473"/>
        <v>Saludables</v>
      </c>
      <c r="K1167">
        <v>2</v>
      </c>
      <c r="L1167">
        <f t="shared" si="474"/>
        <v>1</v>
      </c>
      <c r="M1167" t="str">
        <f t="shared" si="475"/>
        <v>Suele comer</v>
      </c>
      <c r="N1167">
        <v>1193729</v>
      </c>
      <c r="O1167">
        <f t="shared" si="476"/>
        <v>2</v>
      </c>
      <c r="P1167" t="str">
        <f t="shared" si="477"/>
        <v>Mas de 3</v>
      </c>
      <c r="Q1167">
        <v>1</v>
      </c>
      <c r="R1167" t="str">
        <f t="shared" si="478"/>
        <v>A veces</v>
      </c>
      <c r="S1167">
        <v>0</v>
      </c>
      <c r="T1167" t="str">
        <f t="shared" si="479"/>
        <v>No fuma</v>
      </c>
      <c r="U1167">
        <v>1846441</v>
      </c>
      <c r="V1167">
        <f t="shared" si="480"/>
        <v>2</v>
      </c>
      <c r="W1167" t="str">
        <f t="shared" si="481"/>
        <v>Siempre</v>
      </c>
      <c r="X1167">
        <v>0</v>
      </c>
      <c r="Y1167" t="str">
        <f t="shared" si="482"/>
        <v>No controla</v>
      </c>
      <c r="Z1167">
        <v>0.54640200000000005</v>
      </c>
      <c r="AA1167">
        <f t="shared" si="483"/>
        <v>0</v>
      </c>
      <c r="AB1167" t="str">
        <f t="shared" si="484"/>
        <v>Nunca</v>
      </c>
      <c r="AC1167">
        <v>0.235711</v>
      </c>
      <c r="AD1167">
        <f t="shared" si="485"/>
        <v>0</v>
      </c>
      <c r="AE1167" t="str">
        <f t="shared" si="486"/>
        <v>Nunca</v>
      </c>
      <c r="AF1167">
        <v>0</v>
      </c>
      <c r="AG1167" t="str">
        <f t="shared" si="487"/>
        <v>Nunca</v>
      </c>
      <c r="AH1167">
        <v>0</v>
      </c>
      <c r="AI1167" t="str">
        <f t="shared" si="488"/>
        <v>No usa</v>
      </c>
      <c r="AJ1167">
        <v>0</v>
      </c>
      <c r="AK1167" t="str">
        <f t="shared" si="489"/>
        <v>No usa</v>
      </c>
      <c r="AL1167">
        <v>0</v>
      </c>
      <c r="AM1167" t="str">
        <f t="shared" si="490"/>
        <v>No usa</v>
      </c>
      <c r="AN1167">
        <v>1</v>
      </c>
      <c r="AO1167" t="str">
        <f t="shared" si="491"/>
        <v>Usa Transporte</v>
      </c>
      <c r="AP1167">
        <v>0</v>
      </c>
      <c r="AQ1167" t="str">
        <f t="shared" si="492"/>
        <v>No camina</v>
      </c>
      <c r="AR1167">
        <v>0</v>
      </c>
      <c r="AS1167" t="str">
        <f t="shared" si="493"/>
        <v>No es obeso</v>
      </c>
    </row>
    <row r="1168" spans="1:45" x14ac:dyDescent="0.25">
      <c r="A1168">
        <v>0</v>
      </c>
      <c r="B1168" t="str">
        <f t="shared" si="468"/>
        <v>F</v>
      </c>
      <c r="C1168">
        <v>2182165</v>
      </c>
      <c r="D1168">
        <f t="shared" si="469"/>
        <v>5</v>
      </c>
      <c r="E1168">
        <f t="shared" si="470"/>
        <v>5</v>
      </c>
      <c r="F1168" t="str">
        <f t="shared" si="471"/>
        <v>1-25</v>
      </c>
      <c r="G1168">
        <v>1</v>
      </c>
      <c r="H1168" t="str">
        <f t="shared" si="472"/>
        <v>Pariente gordo</v>
      </c>
      <c r="I1168">
        <v>0</v>
      </c>
      <c r="J1168" t="str">
        <f t="shared" si="473"/>
        <v>Saludables</v>
      </c>
      <c r="K1168">
        <v>2</v>
      </c>
      <c r="L1168">
        <f t="shared" si="474"/>
        <v>1</v>
      </c>
      <c r="M1168" t="str">
        <f t="shared" si="475"/>
        <v>Suele comer</v>
      </c>
      <c r="N1168">
        <v>1477581</v>
      </c>
      <c r="O1168">
        <f t="shared" si="476"/>
        <v>2</v>
      </c>
      <c r="P1168" t="str">
        <f t="shared" si="477"/>
        <v>Mas de 3</v>
      </c>
      <c r="Q1168">
        <v>1</v>
      </c>
      <c r="R1168" t="str">
        <f t="shared" si="478"/>
        <v>A veces</v>
      </c>
      <c r="S1168">
        <v>0</v>
      </c>
      <c r="T1168" t="str">
        <f t="shared" si="479"/>
        <v>No fuma</v>
      </c>
      <c r="U1168">
        <v>1995035</v>
      </c>
      <c r="V1168">
        <f t="shared" si="480"/>
        <v>2</v>
      </c>
      <c r="W1168" t="str">
        <f t="shared" si="481"/>
        <v>Siempre</v>
      </c>
      <c r="X1168">
        <v>0</v>
      </c>
      <c r="Y1168" t="str">
        <f t="shared" si="482"/>
        <v>No controla</v>
      </c>
      <c r="Z1168">
        <v>0.32467600000000002</v>
      </c>
      <c r="AA1168">
        <f t="shared" si="483"/>
        <v>0</v>
      </c>
      <c r="AB1168" t="str">
        <f t="shared" si="484"/>
        <v>Nunca</v>
      </c>
      <c r="AC1168">
        <v>0.51742999999999995</v>
      </c>
      <c r="AD1168">
        <f t="shared" si="485"/>
        <v>0</v>
      </c>
      <c r="AE1168" t="str">
        <f t="shared" si="486"/>
        <v>Nunca</v>
      </c>
      <c r="AF1168">
        <v>0</v>
      </c>
      <c r="AG1168" t="str">
        <f t="shared" si="487"/>
        <v>Nunca</v>
      </c>
      <c r="AH1168">
        <v>0</v>
      </c>
      <c r="AI1168" t="str">
        <f t="shared" si="488"/>
        <v>No usa</v>
      </c>
      <c r="AJ1168">
        <v>0</v>
      </c>
      <c r="AK1168" t="str">
        <f t="shared" si="489"/>
        <v>No usa</v>
      </c>
      <c r="AL1168">
        <v>0</v>
      </c>
      <c r="AM1168" t="str">
        <f t="shared" si="490"/>
        <v>No usa</v>
      </c>
      <c r="AN1168">
        <v>1</v>
      </c>
      <c r="AO1168" t="str">
        <f t="shared" si="491"/>
        <v>Usa Transporte</v>
      </c>
      <c r="AP1168">
        <v>0</v>
      </c>
      <c r="AQ1168" t="str">
        <f t="shared" si="492"/>
        <v>No camina</v>
      </c>
      <c r="AR1168">
        <v>0</v>
      </c>
      <c r="AS1168" t="str">
        <f t="shared" si="493"/>
        <v>No es obeso</v>
      </c>
    </row>
    <row r="1169" spans="1:45" x14ac:dyDescent="0.25">
      <c r="A1169">
        <v>0</v>
      </c>
      <c r="B1169" t="str">
        <f t="shared" si="468"/>
        <v>F</v>
      </c>
      <c r="C1169">
        <v>20670975</v>
      </c>
      <c r="D1169">
        <f t="shared" si="469"/>
        <v>56</v>
      </c>
      <c r="E1169">
        <f t="shared" si="470"/>
        <v>56</v>
      </c>
      <c r="F1169" t="str">
        <f t="shared" si="471"/>
        <v>50-75</v>
      </c>
      <c r="G1169">
        <v>1</v>
      </c>
      <c r="H1169" t="str">
        <f t="shared" si="472"/>
        <v>Pariente gordo</v>
      </c>
      <c r="I1169">
        <v>0</v>
      </c>
      <c r="J1169" t="str">
        <f t="shared" si="473"/>
        <v>Saludables</v>
      </c>
      <c r="K1169">
        <v>2294067</v>
      </c>
      <c r="L1169">
        <f t="shared" si="474"/>
        <v>1</v>
      </c>
      <c r="M1169" t="str">
        <f t="shared" si="475"/>
        <v>Suele comer</v>
      </c>
      <c r="N1169">
        <v>3209508</v>
      </c>
      <c r="O1169">
        <f t="shared" si="476"/>
        <v>2</v>
      </c>
      <c r="P1169" t="str">
        <f t="shared" si="477"/>
        <v>Mas de 3</v>
      </c>
      <c r="Q1169">
        <v>1</v>
      </c>
      <c r="R1169" t="str">
        <f t="shared" si="478"/>
        <v>A veces</v>
      </c>
      <c r="S1169">
        <v>0</v>
      </c>
      <c r="T1169" t="str">
        <f t="shared" si="479"/>
        <v>No fuma</v>
      </c>
      <c r="U1169">
        <v>2</v>
      </c>
      <c r="V1169">
        <f t="shared" si="480"/>
        <v>2</v>
      </c>
      <c r="W1169" t="str">
        <f t="shared" si="481"/>
        <v>Siempre</v>
      </c>
      <c r="X1169">
        <v>0</v>
      </c>
      <c r="Y1169" t="str">
        <f t="shared" si="482"/>
        <v>No controla</v>
      </c>
      <c r="Z1169">
        <v>1103088</v>
      </c>
      <c r="AA1169">
        <f t="shared" si="483"/>
        <v>3</v>
      </c>
      <c r="AB1169" t="str">
        <f t="shared" si="484"/>
        <v>Siempre</v>
      </c>
      <c r="AC1169">
        <v>1261043</v>
      </c>
      <c r="AD1169">
        <f t="shared" si="485"/>
        <v>2</v>
      </c>
      <c r="AE1169" t="str">
        <f t="shared" si="486"/>
        <v>Siempre</v>
      </c>
      <c r="AF1169">
        <v>0</v>
      </c>
      <c r="AG1169" t="str">
        <f t="shared" si="487"/>
        <v>Nunca</v>
      </c>
      <c r="AH1169">
        <v>0</v>
      </c>
      <c r="AI1169" t="str">
        <f t="shared" si="488"/>
        <v>No usa</v>
      </c>
      <c r="AJ1169">
        <v>0</v>
      </c>
      <c r="AK1169" t="str">
        <f t="shared" si="489"/>
        <v>No usa</v>
      </c>
      <c r="AL1169">
        <v>0</v>
      </c>
      <c r="AM1169" t="str">
        <f t="shared" si="490"/>
        <v>No usa</v>
      </c>
      <c r="AN1169">
        <v>1</v>
      </c>
      <c r="AO1169" t="str">
        <f t="shared" si="491"/>
        <v>Usa Transporte</v>
      </c>
      <c r="AP1169">
        <v>0</v>
      </c>
      <c r="AQ1169" t="str">
        <f t="shared" si="492"/>
        <v>No camina</v>
      </c>
      <c r="AR1169">
        <v>0</v>
      </c>
      <c r="AS1169" t="str">
        <f t="shared" si="493"/>
        <v>No es obeso</v>
      </c>
    </row>
    <row r="1170" spans="1:45" x14ac:dyDescent="0.25">
      <c r="A1170">
        <v>1</v>
      </c>
      <c r="B1170" t="str">
        <f t="shared" si="468"/>
        <v>M</v>
      </c>
      <c r="C1170">
        <v>22649792</v>
      </c>
      <c r="D1170">
        <f t="shared" si="469"/>
        <v>62</v>
      </c>
      <c r="E1170">
        <f t="shared" si="470"/>
        <v>62</v>
      </c>
      <c r="F1170" t="str">
        <f t="shared" si="471"/>
        <v>50-75</v>
      </c>
      <c r="G1170">
        <v>1</v>
      </c>
      <c r="H1170" t="str">
        <f t="shared" si="472"/>
        <v>Pariente gordo</v>
      </c>
      <c r="I1170">
        <v>1</v>
      </c>
      <c r="J1170" t="str">
        <f t="shared" si="473"/>
        <v>Hipercaloricos</v>
      </c>
      <c r="K1170">
        <v>2</v>
      </c>
      <c r="L1170">
        <f t="shared" si="474"/>
        <v>1</v>
      </c>
      <c r="M1170" t="str">
        <f t="shared" si="475"/>
        <v>Suele comer</v>
      </c>
      <c r="N1170">
        <v>2756622</v>
      </c>
      <c r="O1170">
        <f t="shared" si="476"/>
        <v>2</v>
      </c>
      <c r="P1170" t="str">
        <f t="shared" si="477"/>
        <v>Mas de 3</v>
      </c>
      <c r="Q1170">
        <v>1</v>
      </c>
      <c r="R1170" t="str">
        <f t="shared" si="478"/>
        <v>A veces</v>
      </c>
      <c r="S1170">
        <v>0</v>
      </c>
      <c r="T1170" t="str">
        <f t="shared" si="479"/>
        <v>No fuma</v>
      </c>
      <c r="U1170">
        <v>1606076</v>
      </c>
      <c r="V1170">
        <f t="shared" si="480"/>
        <v>2</v>
      </c>
      <c r="W1170" t="str">
        <f t="shared" si="481"/>
        <v>Siempre</v>
      </c>
      <c r="X1170">
        <v>0</v>
      </c>
      <c r="Y1170" t="str">
        <f t="shared" si="482"/>
        <v>No controla</v>
      </c>
      <c r="Z1170">
        <v>0.432973</v>
      </c>
      <c r="AA1170">
        <f t="shared" si="483"/>
        <v>0</v>
      </c>
      <c r="AB1170" t="str">
        <f t="shared" si="484"/>
        <v>Nunca</v>
      </c>
      <c r="AC1170">
        <v>1749586</v>
      </c>
      <c r="AD1170">
        <f t="shared" si="485"/>
        <v>2</v>
      </c>
      <c r="AE1170" t="str">
        <f t="shared" si="486"/>
        <v>Siempre</v>
      </c>
      <c r="AF1170">
        <v>0</v>
      </c>
      <c r="AG1170" t="str">
        <f t="shared" si="487"/>
        <v>Nunca</v>
      </c>
      <c r="AH1170">
        <v>0</v>
      </c>
      <c r="AI1170" t="str">
        <f t="shared" si="488"/>
        <v>No usa</v>
      </c>
      <c r="AJ1170">
        <v>0</v>
      </c>
      <c r="AK1170" t="str">
        <f t="shared" si="489"/>
        <v>No usa</v>
      </c>
      <c r="AL1170">
        <v>0</v>
      </c>
      <c r="AM1170" t="str">
        <f t="shared" si="490"/>
        <v>No usa</v>
      </c>
      <c r="AN1170">
        <v>1</v>
      </c>
      <c r="AO1170" t="str">
        <f t="shared" si="491"/>
        <v>Usa Transporte</v>
      </c>
      <c r="AP1170">
        <v>0</v>
      </c>
      <c r="AQ1170" t="str">
        <f t="shared" si="492"/>
        <v>No camina</v>
      </c>
      <c r="AR1170">
        <v>0</v>
      </c>
      <c r="AS1170" t="str">
        <f t="shared" si="493"/>
        <v>No es obeso</v>
      </c>
    </row>
    <row r="1171" spans="1:45" x14ac:dyDescent="0.25">
      <c r="A1171">
        <v>1</v>
      </c>
      <c r="B1171" t="str">
        <f t="shared" si="468"/>
        <v>M</v>
      </c>
      <c r="C1171">
        <v>23154311</v>
      </c>
      <c r="D1171">
        <f t="shared" si="469"/>
        <v>63</v>
      </c>
      <c r="E1171">
        <f t="shared" si="470"/>
        <v>63</v>
      </c>
      <c r="F1171" t="str">
        <f t="shared" si="471"/>
        <v>50-75</v>
      </c>
      <c r="G1171">
        <v>1</v>
      </c>
      <c r="H1171" t="str">
        <f t="shared" si="472"/>
        <v>Pariente gordo</v>
      </c>
      <c r="I1171">
        <v>1</v>
      </c>
      <c r="J1171" t="str">
        <f t="shared" si="473"/>
        <v>Hipercaloricos</v>
      </c>
      <c r="K1171">
        <v>2315932</v>
      </c>
      <c r="L1171">
        <f t="shared" si="474"/>
        <v>1</v>
      </c>
      <c r="M1171" t="str">
        <f t="shared" si="475"/>
        <v>Suele comer</v>
      </c>
      <c r="N1171">
        <v>2658478</v>
      </c>
      <c r="O1171">
        <f t="shared" si="476"/>
        <v>2</v>
      </c>
      <c r="P1171" t="str">
        <f t="shared" si="477"/>
        <v>Mas de 3</v>
      </c>
      <c r="Q1171">
        <v>1</v>
      </c>
      <c r="R1171" t="str">
        <f t="shared" si="478"/>
        <v>A veces</v>
      </c>
      <c r="S1171">
        <v>0</v>
      </c>
      <c r="T1171" t="str">
        <f t="shared" si="479"/>
        <v>No fuma</v>
      </c>
      <c r="U1171">
        <v>1568476</v>
      </c>
      <c r="V1171">
        <f t="shared" si="480"/>
        <v>2</v>
      </c>
      <c r="W1171" t="str">
        <f t="shared" si="481"/>
        <v>Siempre</v>
      </c>
      <c r="X1171">
        <v>0</v>
      </c>
      <c r="Y1171" t="str">
        <f t="shared" si="482"/>
        <v>No controla</v>
      </c>
      <c r="Z1171">
        <v>0.94997600000000004</v>
      </c>
      <c r="AA1171">
        <f t="shared" si="483"/>
        <v>0</v>
      </c>
      <c r="AB1171" t="str">
        <f t="shared" si="484"/>
        <v>Nunca</v>
      </c>
      <c r="AC1171">
        <v>0.54489900000000002</v>
      </c>
      <c r="AD1171">
        <f t="shared" si="485"/>
        <v>0</v>
      </c>
      <c r="AE1171" t="str">
        <f t="shared" si="486"/>
        <v>Nunca</v>
      </c>
      <c r="AF1171">
        <v>1</v>
      </c>
      <c r="AG1171" t="str">
        <f t="shared" si="487"/>
        <v>A veces</v>
      </c>
      <c r="AH1171">
        <v>0</v>
      </c>
      <c r="AI1171" t="str">
        <f t="shared" si="488"/>
        <v>No usa</v>
      </c>
      <c r="AJ1171">
        <v>0</v>
      </c>
      <c r="AK1171" t="str">
        <f t="shared" si="489"/>
        <v>No usa</v>
      </c>
      <c r="AL1171">
        <v>0</v>
      </c>
      <c r="AM1171" t="str">
        <f t="shared" si="490"/>
        <v>No usa</v>
      </c>
      <c r="AN1171">
        <v>1</v>
      </c>
      <c r="AO1171" t="str">
        <f t="shared" si="491"/>
        <v>Usa Transporte</v>
      </c>
      <c r="AP1171">
        <v>0</v>
      </c>
      <c r="AQ1171" t="str">
        <f t="shared" si="492"/>
        <v>No camina</v>
      </c>
      <c r="AR1171">
        <v>0</v>
      </c>
      <c r="AS1171" t="str">
        <f t="shared" si="493"/>
        <v>No es obeso</v>
      </c>
    </row>
    <row r="1172" spans="1:45" x14ac:dyDescent="0.25">
      <c r="A1172">
        <v>0</v>
      </c>
      <c r="B1172" t="str">
        <f t="shared" si="468"/>
        <v>F</v>
      </c>
      <c r="C1172">
        <v>38097395</v>
      </c>
      <c r="D1172">
        <f t="shared" si="469"/>
        <v>104</v>
      </c>
      <c r="E1172">
        <f t="shared" si="470"/>
        <v>100</v>
      </c>
      <c r="F1172" t="str">
        <f t="shared" si="471"/>
        <v>75-100</v>
      </c>
      <c r="G1172">
        <v>1</v>
      </c>
      <c r="H1172" t="str">
        <f t="shared" si="472"/>
        <v>Pariente gordo</v>
      </c>
      <c r="I1172">
        <v>1</v>
      </c>
      <c r="J1172" t="str">
        <f t="shared" si="473"/>
        <v>Hipercaloricos</v>
      </c>
      <c r="K1172">
        <v>3</v>
      </c>
      <c r="L1172">
        <f t="shared" si="474"/>
        <v>1</v>
      </c>
      <c r="M1172" t="str">
        <f t="shared" si="475"/>
        <v>Suele comer</v>
      </c>
      <c r="N1172">
        <v>3</v>
      </c>
      <c r="O1172">
        <f t="shared" si="476"/>
        <v>2</v>
      </c>
      <c r="P1172" t="str">
        <f t="shared" si="477"/>
        <v>Mas de 3</v>
      </c>
      <c r="Q1172">
        <v>1</v>
      </c>
      <c r="R1172" t="str">
        <f t="shared" si="478"/>
        <v>A veces</v>
      </c>
      <c r="S1172">
        <v>0</v>
      </c>
      <c r="T1172" t="str">
        <f t="shared" si="479"/>
        <v>No fuma</v>
      </c>
      <c r="U1172">
        <v>2166024</v>
      </c>
      <c r="V1172">
        <f t="shared" si="480"/>
        <v>2</v>
      </c>
      <c r="W1172" t="str">
        <f t="shared" si="481"/>
        <v>Siempre</v>
      </c>
      <c r="X1172">
        <v>0</v>
      </c>
      <c r="Y1172" t="str">
        <f t="shared" si="482"/>
        <v>No controla</v>
      </c>
      <c r="Z1172">
        <v>0</v>
      </c>
      <c r="AA1172">
        <f t="shared" si="483"/>
        <v>0</v>
      </c>
      <c r="AB1172" t="str">
        <f t="shared" si="484"/>
        <v>Nunca</v>
      </c>
      <c r="AC1172">
        <v>0</v>
      </c>
      <c r="AD1172">
        <f t="shared" si="485"/>
        <v>0</v>
      </c>
      <c r="AE1172" t="str">
        <f t="shared" si="486"/>
        <v>Nunca</v>
      </c>
      <c r="AF1172">
        <v>0</v>
      </c>
      <c r="AG1172" t="str">
        <f t="shared" si="487"/>
        <v>Nunca</v>
      </c>
      <c r="AH1172">
        <v>1</v>
      </c>
      <c r="AI1172" t="str">
        <f t="shared" si="488"/>
        <v>Usa auto</v>
      </c>
      <c r="AJ1172">
        <v>0</v>
      </c>
      <c r="AK1172" t="str">
        <f t="shared" si="489"/>
        <v>No usa</v>
      </c>
      <c r="AL1172">
        <v>0</v>
      </c>
      <c r="AM1172" t="str">
        <f t="shared" si="490"/>
        <v>No usa</v>
      </c>
      <c r="AN1172">
        <v>0</v>
      </c>
      <c r="AO1172" t="str">
        <f t="shared" si="491"/>
        <v>No usa</v>
      </c>
      <c r="AP1172">
        <v>0</v>
      </c>
      <c r="AQ1172" t="str">
        <f t="shared" si="492"/>
        <v>No camina</v>
      </c>
      <c r="AR1172">
        <v>0</v>
      </c>
      <c r="AS1172" t="str">
        <f t="shared" si="493"/>
        <v>No es obeso</v>
      </c>
    </row>
    <row r="1173" spans="1:45" x14ac:dyDescent="0.25">
      <c r="A1173">
        <v>0</v>
      </c>
      <c r="B1173" t="str">
        <f t="shared" si="468"/>
        <v>F</v>
      </c>
      <c r="C1173">
        <v>37642177</v>
      </c>
      <c r="D1173">
        <f t="shared" si="469"/>
        <v>103</v>
      </c>
      <c r="E1173">
        <f t="shared" si="470"/>
        <v>100</v>
      </c>
      <c r="F1173" t="str">
        <f t="shared" si="471"/>
        <v>75-100</v>
      </c>
      <c r="G1173">
        <v>1</v>
      </c>
      <c r="H1173" t="str">
        <f t="shared" si="472"/>
        <v>Pariente gordo</v>
      </c>
      <c r="I1173">
        <v>1</v>
      </c>
      <c r="J1173" t="str">
        <f t="shared" si="473"/>
        <v>Hipercaloricos</v>
      </c>
      <c r="K1173">
        <v>2802128</v>
      </c>
      <c r="L1173">
        <f t="shared" si="474"/>
        <v>1</v>
      </c>
      <c r="M1173" t="str">
        <f t="shared" si="475"/>
        <v>Suele comer</v>
      </c>
      <c r="N1173">
        <v>3</v>
      </c>
      <c r="O1173">
        <f t="shared" si="476"/>
        <v>2</v>
      </c>
      <c r="P1173" t="str">
        <f t="shared" si="477"/>
        <v>Mas de 3</v>
      </c>
      <c r="Q1173">
        <v>1</v>
      </c>
      <c r="R1173" t="str">
        <f t="shared" si="478"/>
        <v>A veces</v>
      </c>
      <c r="S1173">
        <v>0</v>
      </c>
      <c r="T1173" t="str">
        <f t="shared" si="479"/>
        <v>No fuma</v>
      </c>
      <c r="U1173">
        <v>1744628</v>
      </c>
      <c r="V1173">
        <f t="shared" si="480"/>
        <v>2</v>
      </c>
      <c r="W1173" t="str">
        <f t="shared" si="481"/>
        <v>Siempre</v>
      </c>
      <c r="X1173">
        <v>0</v>
      </c>
      <c r="Y1173" t="str">
        <f t="shared" si="482"/>
        <v>No controla</v>
      </c>
      <c r="Z1173">
        <v>0</v>
      </c>
      <c r="AA1173">
        <f t="shared" si="483"/>
        <v>0</v>
      </c>
      <c r="AB1173" t="str">
        <f t="shared" si="484"/>
        <v>Nunca</v>
      </c>
      <c r="AC1173">
        <v>0.721167</v>
      </c>
      <c r="AD1173">
        <f t="shared" si="485"/>
        <v>0</v>
      </c>
      <c r="AE1173" t="str">
        <f t="shared" si="486"/>
        <v>Nunca</v>
      </c>
      <c r="AF1173">
        <v>0</v>
      </c>
      <c r="AG1173" t="str">
        <f t="shared" si="487"/>
        <v>Nunca</v>
      </c>
      <c r="AH1173">
        <v>1</v>
      </c>
      <c r="AI1173" t="str">
        <f t="shared" si="488"/>
        <v>Usa auto</v>
      </c>
      <c r="AJ1173">
        <v>0</v>
      </c>
      <c r="AK1173" t="str">
        <f t="shared" si="489"/>
        <v>No usa</v>
      </c>
      <c r="AL1173">
        <v>0</v>
      </c>
      <c r="AM1173" t="str">
        <f t="shared" si="490"/>
        <v>No usa</v>
      </c>
      <c r="AN1173">
        <v>0</v>
      </c>
      <c r="AO1173" t="str">
        <f t="shared" si="491"/>
        <v>No usa</v>
      </c>
      <c r="AP1173">
        <v>0</v>
      </c>
      <c r="AQ1173" t="str">
        <f t="shared" si="492"/>
        <v>No camina</v>
      </c>
      <c r="AR1173">
        <v>0</v>
      </c>
      <c r="AS1173" t="str">
        <f t="shared" si="493"/>
        <v>No es obeso</v>
      </c>
    </row>
    <row r="1174" spans="1:45" x14ac:dyDescent="0.25">
      <c r="A1174">
        <v>0</v>
      </c>
      <c r="B1174" t="str">
        <f t="shared" si="468"/>
        <v>F</v>
      </c>
      <c r="C1174">
        <v>34176795</v>
      </c>
      <c r="D1174">
        <f t="shared" si="469"/>
        <v>93</v>
      </c>
      <c r="E1174">
        <f t="shared" si="470"/>
        <v>93</v>
      </c>
      <c r="F1174" t="str">
        <f t="shared" si="471"/>
        <v>75-100</v>
      </c>
      <c r="G1174">
        <v>1</v>
      </c>
      <c r="H1174" t="str">
        <f t="shared" si="472"/>
        <v>Pariente gordo</v>
      </c>
      <c r="I1174">
        <v>1</v>
      </c>
      <c r="J1174" t="str">
        <f t="shared" si="473"/>
        <v>Hipercaloricos</v>
      </c>
      <c r="K1174">
        <v>279606</v>
      </c>
      <c r="L1174">
        <f t="shared" si="474"/>
        <v>1</v>
      </c>
      <c r="M1174" t="str">
        <f t="shared" si="475"/>
        <v>Suele comer</v>
      </c>
      <c r="N1174">
        <v>1971472</v>
      </c>
      <c r="O1174">
        <f t="shared" si="476"/>
        <v>2</v>
      </c>
      <c r="P1174" t="str">
        <f t="shared" si="477"/>
        <v>Mas de 3</v>
      </c>
      <c r="Q1174">
        <v>1</v>
      </c>
      <c r="R1174" t="str">
        <f t="shared" si="478"/>
        <v>A veces</v>
      </c>
      <c r="S1174">
        <v>0</v>
      </c>
      <c r="T1174" t="str">
        <f t="shared" si="479"/>
        <v>No fuma</v>
      </c>
      <c r="U1174">
        <v>1921601</v>
      </c>
      <c r="V1174">
        <f t="shared" si="480"/>
        <v>2</v>
      </c>
      <c r="W1174" t="str">
        <f t="shared" si="481"/>
        <v>Siempre</v>
      </c>
      <c r="X1174">
        <v>0</v>
      </c>
      <c r="Y1174" t="str">
        <f t="shared" si="482"/>
        <v>No controla</v>
      </c>
      <c r="Z1174">
        <v>0.93521699999999996</v>
      </c>
      <c r="AA1174">
        <f t="shared" si="483"/>
        <v>0</v>
      </c>
      <c r="AB1174" t="str">
        <f t="shared" si="484"/>
        <v>Nunca</v>
      </c>
      <c r="AC1174">
        <v>0.70463699999999996</v>
      </c>
      <c r="AD1174">
        <f t="shared" si="485"/>
        <v>0</v>
      </c>
      <c r="AE1174" t="str">
        <f t="shared" si="486"/>
        <v>Nunca</v>
      </c>
      <c r="AF1174">
        <v>0</v>
      </c>
      <c r="AG1174" t="str">
        <f t="shared" si="487"/>
        <v>Nunca</v>
      </c>
      <c r="AH1174">
        <v>1</v>
      </c>
      <c r="AI1174" t="str">
        <f t="shared" si="488"/>
        <v>Usa auto</v>
      </c>
      <c r="AJ1174">
        <v>0</v>
      </c>
      <c r="AK1174" t="str">
        <f t="shared" si="489"/>
        <v>No usa</v>
      </c>
      <c r="AL1174">
        <v>0</v>
      </c>
      <c r="AM1174" t="str">
        <f t="shared" si="490"/>
        <v>No usa</v>
      </c>
      <c r="AN1174">
        <v>0</v>
      </c>
      <c r="AO1174" t="str">
        <f t="shared" si="491"/>
        <v>No usa</v>
      </c>
      <c r="AP1174">
        <v>0</v>
      </c>
      <c r="AQ1174" t="str">
        <f t="shared" si="492"/>
        <v>No camina</v>
      </c>
      <c r="AR1174">
        <v>0</v>
      </c>
      <c r="AS1174" t="str">
        <f t="shared" si="493"/>
        <v>No es obeso</v>
      </c>
    </row>
    <row r="1175" spans="1:45" x14ac:dyDescent="0.25">
      <c r="A1175">
        <v>0</v>
      </c>
      <c r="B1175" t="str">
        <f t="shared" si="468"/>
        <v>F</v>
      </c>
      <c r="C1175">
        <v>34231083</v>
      </c>
      <c r="D1175">
        <f t="shared" si="469"/>
        <v>93</v>
      </c>
      <c r="E1175">
        <f t="shared" si="470"/>
        <v>93</v>
      </c>
      <c r="F1175" t="str">
        <f t="shared" si="471"/>
        <v>75-100</v>
      </c>
      <c r="G1175">
        <v>1</v>
      </c>
      <c r="H1175" t="str">
        <f t="shared" si="472"/>
        <v>Pariente gordo</v>
      </c>
      <c r="I1175">
        <v>1</v>
      </c>
      <c r="J1175" t="str">
        <f t="shared" si="473"/>
        <v>Hipercaloricos</v>
      </c>
      <c r="K1175">
        <v>2086898</v>
      </c>
      <c r="L1175">
        <f t="shared" si="474"/>
        <v>1</v>
      </c>
      <c r="M1175" t="str">
        <f t="shared" si="475"/>
        <v>Suele comer</v>
      </c>
      <c r="N1175">
        <v>1818026</v>
      </c>
      <c r="O1175">
        <f t="shared" si="476"/>
        <v>2</v>
      </c>
      <c r="P1175" t="str">
        <f t="shared" si="477"/>
        <v>Mas de 3</v>
      </c>
      <c r="Q1175">
        <v>1</v>
      </c>
      <c r="R1175" t="str">
        <f t="shared" si="478"/>
        <v>A veces</v>
      </c>
      <c r="S1175">
        <v>0</v>
      </c>
      <c r="T1175" t="str">
        <f t="shared" si="479"/>
        <v>No fuma</v>
      </c>
      <c r="U1175">
        <v>2088929</v>
      </c>
      <c r="V1175">
        <f t="shared" si="480"/>
        <v>2</v>
      </c>
      <c r="W1175" t="str">
        <f t="shared" si="481"/>
        <v>Siempre</v>
      </c>
      <c r="X1175">
        <v>0</v>
      </c>
      <c r="Y1175" t="str">
        <f t="shared" si="482"/>
        <v>No controla</v>
      </c>
      <c r="Z1175">
        <v>0.30542200000000003</v>
      </c>
      <c r="AA1175">
        <f t="shared" si="483"/>
        <v>0</v>
      </c>
      <c r="AB1175" t="str">
        <f t="shared" si="484"/>
        <v>Nunca</v>
      </c>
      <c r="AC1175">
        <v>1040787</v>
      </c>
      <c r="AD1175">
        <f t="shared" si="485"/>
        <v>2</v>
      </c>
      <c r="AE1175" t="str">
        <f t="shared" si="486"/>
        <v>Siempre</v>
      </c>
      <c r="AF1175">
        <v>0</v>
      </c>
      <c r="AG1175" t="str">
        <f t="shared" si="487"/>
        <v>Nunca</v>
      </c>
      <c r="AH1175">
        <v>1</v>
      </c>
      <c r="AI1175" t="str">
        <f t="shared" si="488"/>
        <v>Usa auto</v>
      </c>
      <c r="AJ1175">
        <v>0</v>
      </c>
      <c r="AK1175" t="str">
        <f t="shared" si="489"/>
        <v>No usa</v>
      </c>
      <c r="AL1175">
        <v>0</v>
      </c>
      <c r="AM1175" t="str">
        <f t="shared" si="490"/>
        <v>No usa</v>
      </c>
      <c r="AN1175">
        <v>0</v>
      </c>
      <c r="AO1175" t="str">
        <f t="shared" si="491"/>
        <v>No usa</v>
      </c>
      <c r="AP1175">
        <v>0</v>
      </c>
      <c r="AQ1175" t="str">
        <f t="shared" si="492"/>
        <v>No camina</v>
      </c>
      <c r="AR1175">
        <v>0</v>
      </c>
      <c r="AS1175" t="str">
        <f t="shared" si="493"/>
        <v>No es obeso</v>
      </c>
    </row>
    <row r="1176" spans="1:45" x14ac:dyDescent="0.25">
      <c r="A1176">
        <v>1</v>
      </c>
      <c r="B1176" t="str">
        <f t="shared" si="468"/>
        <v>M</v>
      </c>
      <c r="C1176">
        <v>31965402</v>
      </c>
      <c r="D1176">
        <f t="shared" si="469"/>
        <v>87</v>
      </c>
      <c r="E1176">
        <f t="shared" si="470"/>
        <v>87</v>
      </c>
      <c r="F1176" t="str">
        <f t="shared" si="471"/>
        <v>75-100</v>
      </c>
      <c r="G1176">
        <v>1</v>
      </c>
      <c r="H1176" t="str">
        <f t="shared" si="472"/>
        <v>Pariente gordo</v>
      </c>
      <c r="I1176">
        <v>1</v>
      </c>
      <c r="J1176" t="str">
        <f t="shared" si="473"/>
        <v>Hipercaloricos</v>
      </c>
      <c r="K1176">
        <v>2333503</v>
      </c>
      <c r="L1176">
        <f t="shared" si="474"/>
        <v>1</v>
      </c>
      <c r="M1176" t="str">
        <f t="shared" si="475"/>
        <v>Suele comer</v>
      </c>
      <c r="N1176">
        <v>1820779</v>
      </c>
      <c r="O1176">
        <f t="shared" si="476"/>
        <v>2</v>
      </c>
      <c r="P1176" t="str">
        <f t="shared" si="477"/>
        <v>Mas de 3</v>
      </c>
      <c r="Q1176">
        <v>1</v>
      </c>
      <c r="R1176" t="str">
        <f t="shared" si="478"/>
        <v>A veces</v>
      </c>
      <c r="S1176">
        <v>0</v>
      </c>
      <c r="T1176" t="str">
        <f t="shared" si="479"/>
        <v>No fuma</v>
      </c>
      <c r="U1176">
        <v>2559265</v>
      </c>
      <c r="V1176">
        <f t="shared" si="480"/>
        <v>2</v>
      </c>
      <c r="W1176" t="str">
        <f t="shared" si="481"/>
        <v>Siempre</v>
      </c>
      <c r="X1176">
        <v>0</v>
      </c>
      <c r="Y1176" t="str">
        <f t="shared" si="482"/>
        <v>No controla</v>
      </c>
      <c r="Z1176">
        <v>1327193</v>
      </c>
      <c r="AA1176">
        <f t="shared" si="483"/>
        <v>3</v>
      </c>
      <c r="AB1176" t="str">
        <f t="shared" si="484"/>
        <v>Siempre</v>
      </c>
      <c r="AC1176">
        <v>0.48135699999999998</v>
      </c>
      <c r="AD1176">
        <f t="shared" si="485"/>
        <v>0</v>
      </c>
      <c r="AE1176" t="str">
        <f t="shared" si="486"/>
        <v>Nunca</v>
      </c>
      <c r="AF1176">
        <v>1</v>
      </c>
      <c r="AG1176" t="str">
        <f t="shared" si="487"/>
        <v>A veces</v>
      </c>
      <c r="AH1176">
        <v>1</v>
      </c>
      <c r="AI1176" t="str">
        <f t="shared" si="488"/>
        <v>Usa auto</v>
      </c>
      <c r="AJ1176">
        <v>0</v>
      </c>
      <c r="AK1176" t="str">
        <f t="shared" si="489"/>
        <v>No usa</v>
      </c>
      <c r="AL1176">
        <v>0</v>
      </c>
      <c r="AM1176" t="str">
        <f t="shared" si="490"/>
        <v>No usa</v>
      </c>
      <c r="AN1176">
        <v>0</v>
      </c>
      <c r="AO1176" t="str">
        <f t="shared" si="491"/>
        <v>No usa</v>
      </c>
      <c r="AP1176">
        <v>0</v>
      </c>
      <c r="AQ1176" t="str">
        <f t="shared" si="492"/>
        <v>No camina</v>
      </c>
      <c r="AR1176">
        <v>0</v>
      </c>
      <c r="AS1176" t="str">
        <f t="shared" si="493"/>
        <v>No es obeso</v>
      </c>
    </row>
    <row r="1177" spans="1:45" x14ac:dyDescent="0.25">
      <c r="A1177">
        <v>1</v>
      </c>
      <c r="B1177" t="str">
        <f t="shared" si="468"/>
        <v>M</v>
      </c>
      <c r="C1177">
        <v>33185661</v>
      </c>
      <c r="D1177">
        <f t="shared" si="469"/>
        <v>90</v>
      </c>
      <c r="E1177">
        <f t="shared" si="470"/>
        <v>90</v>
      </c>
      <c r="F1177" t="str">
        <f t="shared" si="471"/>
        <v>75-100</v>
      </c>
      <c r="G1177">
        <v>1</v>
      </c>
      <c r="H1177" t="str">
        <f t="shared" si="472"/>
        <v>Pariente gordo</v>
      </c>
      <c r="I1177">
        <v>1</v>
      </c>
      <c r="J1177" t="str">
        <f t="shared" si="473"/>
        <v>Hipercaloricos</v>
      </c>
      <c r="K1177">
        <v>2</v>
      </c>
      <c r="L1177">
        <f t="shared" si="474"/>
        <v>1</v>
      </c>
      <c r="M1177" t="str">
        <f t="shared" si="475"/>
        <v>Suele comer</v>
      </c>
      <c r="N1177">
        <v>1724887</v>
      </c>
      <c r="O1177">
        <f t="shared" si="476"/>
        <v>2</v>
      </c>
      <c r="P1177" t="str">
        <f t="shared" si="477"/>
        <v>Mas de 3</v>
      </c>
      <c r="Q1177">
        <v>1</v>
      </c>
      <c r="R1177" t="str">
        <f t="shared" si="478"/>
        <v>A veces</v>
      </c>
      <c r="S1177">
        <v>0</v>
      </c>
      <c r="T1177" t="str">
        <f t="shared" si="479"/>
        <v>No fuma</v>
      </c>
      <c r="U1177">
        <v>3</v>
      </c>
      <c r="V1177">
        <f t="shared" si="480"/>
        <v>2</v>
      </c>
      <c r="W1177" t="str">
        <f t="shared" si="481"/>
        <v>Siempre</v>
      </c>
      <c r="X1177">
        <v>0</v>
      </c>
      <c r="Y1177" t="str">
        <f t="shared" si="482"/>
        <v>No controla</v>
      </c>
      <c r="Z1177">
        <v>1</v>
      </c>
      <c r="AA1177">
        <f t="shared" si="483"/>
        <v>1</v>
      </c>
      <c r="AB1177" t="str">
        <f t="shared" si="484"/>
        <v>A veces</v>
      </c>
      <c r="AC1177">
        <v>0</v>
      </c>
      <c r="AD1177">
        <f t="shared" si="485"/>
        <v>0</v>
      </c>
      <c r="AE1177" t="str">
        <f t="shared" si="486"/>
        <v>Nunca</v>
      </c>
      <c r="AF1177">
        <v>1</v>
      </c>
      <c r="AG1177" t="str">
        <f t="shared" si="487"/>
        <v>A veces</v>
      </c>
      <c r="AH1177">
        <v>1</v>
      </c>
      <c r="AI1177" t="str">
        <f t="shared" si="488"/>
        <v>Usa auto</v>
      </c>
      <c r="AJ1177">
        <v>0</v>
      </c>
      <c r="AK1177" t="str">
        <f t="shared" si="489"/>
        <v>No usa</v>
      </c>
      <c r="AL1177">
        <v>0</v>
      </c>
      <c r="AM1177" t="str">
        <f t="shared" si="490"/>
        <v>No usa</v>
      </c>
      <c r="AN1177">
        <v>0</v>
      </c>
      <c r="AO1177" t="str">
        <f t="shared" si="491"/>
        <v>No usa</v>
      </c>
      <c r="AP1177">
        <v>0</v>
      </c>
      <c r="AQ1177" t="str">
        <f t="shared" si="492"/>
        <v>No camina</v>
      </c>
      <c r="AR1177">
        <v>0</v>
      </c>
      <c r="AS1177" t="str">
        <f t="shared" si="493"/>
        <v>No es obeso</v>
      </c>
    </row>
    <row r="1178" spans="1:45" x14ac:dyDescent="0.25">
      <c r="A1178">
        <v>0</v>
      </c>
      <c r="B1178" t="str">
        <f t="shared" si="468"/>
        <v>F</v>
      </c>
      <c r="C1178">
        <v>18741188</v>
      </c>
      <c r="D1178">
        <f t="shared" si="469"/>
        <v>51</v>
      </c>
      <c r="E1178">
        <f t="shared" si="470"/>
        <v>51</v>
      </c>
      <c r="F1178" t="str">
        <f t="shared" si="471"/>
        <v>50-75</v>
      </c>
      <c r="G1178">
        <v>1</v>
      </c>
      <c r="H1178" t="str">
        <f t="shared" si="472"/>
        <v>Pariente gordo</v>
      </c>
      <c r="I1178">
        <v>0</v>
      </c>
      <c r="J1178" t="str">
        <f t="shared" si="473"/>
        <v>Saludables</v>
      </c>
      <c r="K1178">
        <v>3</v>
      </c>
      <c r="L1178">
        <f t="shared" si="474"/>
        <v>1</v>
      </c>
      <c r="M1178" t="str">
        <f t="shared" si="475"/>
        <v>Suele comer</v>
      </c>
      <c r="N1178">
        <v>3129155</v>
      </c>
      <c r="O1178">
        <f t="shared" si="476"/>
        <v>2</v>
      </c>
      <c r="P1178" t="str">
        <f t="shared" si="477"/>
        <v>Mas de 3</v>
      </c>
      <c r="Q1178">
        <v>1</v>
      </c>
      <c r="R1178" t="str">
        <f t="shared" si="478"/>
        <v>A veces</v>
      </c>
      <c r="S1178">
        <v>0</v>
      </c>
      <c r="T1178" t="str">
        <f t="shared" si="479"/>
        <v>No fuma</v>
      </c>
      <c r="U1178">
        <v>2</v>
      </c>
      <c r="V1178">
        <f t="shared" si="480"/>
        <v>2</v>
      </c>
      <c r="W1178" t="str">
        <f t="shared" si="481"/>
        <v>Siempre</v>
      </c>
      <c r="X1178">
        <v>0</v>
      </c>
      <c r="Y1178" t="str">
        <f t="shared" si="482"/>
        <v>No controla</v>
      </c>
      <c r="Z1178">
        <v>1634134</v>
      </c>
      <c r="AA1178">
        <f t="shared" si="483"/>
        <v>3</v>
      </c>
      <c r="AB1178" t="str">
        <f t="shared" si="484"/>
        <v>Siempre</v>
      </c>
      <c r="AC1178">
        <v>1</v>
      </c>
      <c r="AD1178">
        <f t="shared" si="485"/>
        <v>1</v>
      </c>
      <c r="AE1178" t="str">
        <f t="shared" si="486"/>
        <v>Usualmente</v>
      </c>
      <c r="AF1178">
        <v>0</v>
      </c>
      <c r="AG1178" t="str">
        <f t="shared" si="487"/>
        <v>Nunca</v>
      </c>
      <c r="AH1178">
        <v>0</v>
      </c>
      <c r="AI1178" t="str">
        <f t="shared" si="488"/>
        <v>No usa</v>
      </c>
      <c r="AJ1178">
        <v>0</v>
      </c>
      <c r="AK1178" t="str">
        <f t="shared" si="489"/>
        <v>No usa</v>
      </c>
      <c r="AL1178">
        <v>0</v>
      </c>
      <c r="AM1178" t="str">
        <f t="shared" si="490"/>
        <v>No usa</v>
      </c>
      <c r="AN1178">
        <v>1</v>
      </c>
      <c r="AO1178" t="str">
        <f t="shared" si="491"/>
        <v>Usa Transporte</v>
      </c>
      <c r="AP1178">
        <v>0</v>
      </c>
      <c r="AQ1178" t="str">
        <f t="shared" si="492"/>
        <v>No camina</v>
      </c>
      <c r="AR1178">
        <v>0</v>
      </c>
      <c r="AS1178" t="str">
        <f t="shared" si="493"/>
        <v>No es obeso</v>
      </c>
    </row>
    <row r="1179" spans="1:45" x14ac:dyDescent="0.25">
      <c r="A1179">
        <v>0</v>
      </c>
      <c r="B1179" t="str">
        <f t="shared" si="468"/>
        <v>F</v>
      </c>
      <c r="C1179">
        <v>19955257</v>
      </c>
      <c r="D1179">
        <f t="shared" si="469"/>
        <v>54</v>
      </c>
      <c r="E1179">
        <f t="shared" si="470"/>
        <v>54</v>
      </c>
      <c r="F1179" t="str">
        <f t="shared" si="471"/>
        <v>50-75</v>
      </c>
      <c r="G1179">
        <v>1</v>
      </c>
      <c r="H1179" t="str">
        <f t="shared" si="472"/>
        <v>Pariente gordo</v>
      </c>
      <c r="I1179">
        <v>0</v>
      </c>
      <c r="J1179" t="str">
        <f t="shared" si="473"/>
        <v>Saludables</v>
      </c>
      <c r="K1179">
        <v>3</v>
      </c>
      <c r="L1179">
        <f t="shared" si="474"/>
        <v>1</v>
      </c>
      <c r="M1179" t="str">
        <f t="shared" si="475"/>
        <v>Suele comer</v>
      </c>
      <c r="N1179">
        <v>3856434</v>
      </c>
      <c r="O1179">
        <f t="shared" si="476"/>
        <v>2</v>
      </c>
      <c r="P1179" t="str">
        <f t="shared" si="477"/>
        <v>Mas de 3</v>
      </c>
      <c r="Q1179">
        <v>1</v>
      </c>
      <c r="R1179" t="str">
        <f t="shared" si="478"/>
        <v>A veces</v>
      </c>
      <c r="S1179">
        <v>0</v>
      </c>
      <c r="T1179" t="str">
        <f t="shared" si="479"/>
        <v>No fuma</v>
      </c>
      <c r="U1179">
        <v>2</v>
      </c>
      <c r="V1179">
        <f t="shared" si="480"/>
        <v>2</v>
      </c>
      <c r="W1179" t="str">
        <f t="shared" si="481"/>
        <v>Siempre</v>
      </c>
      <c r="X1179">
        <v>0</v>
      </c>
      <c r="Y1179" t="str">
        <f t="shared" si="482"/>
        <v>No controla</v>
      </c>
      <c r="Z1179">
        <v>132417</v>
      </c>
      <c r="AA1179">
        <f t="shared" si="483"/>
        <v>2</v>
      </c>
      <c r="AB1179" t="str">
        <f t="shared" si="484"/>
        <v>Usualmente</v>
      </c>
      <c r="AC1179">
        <v>1</v>
      </c>
      <c r="AD1179">
        <f t="shared" si="485"/>
        <v>1</v>
      </c>
      <c r="AE1179" t="str">
        <f t="shared" si="486"/>
        <v>Usualmente</v>
      </c>
      <c r="AF1179">
        <v>1</v>
      </c>
      <c r="AG1179" t="str">
        <f t="shared" si="487"/>
        <v>A veces</v>
      </c>
      <c r="AH1179">
        <v>0</v>
      </c>
      <c r="AI1179" t="str">
        <f t="shared" si="488"/>
        <v>No usa</v>
      </c>
      <c r="AJ1179">
        <v>0</v>
      </c>
      <c r="AK1179" t="str">
        <f t="shared" si="489"/>
        <v>No usa</v>
      </c>
      <c r="AL1179">
        <v>0</v>
      </c>
      <c r="AM1179" t="str">
        <f t="shared" si="490"/>
        <v>No usa</v>
      </c>
      <c r="AN1179">
        <v>1</v>
      </c>
      <c r="AO1179" t="str">
        <f t="shared" si="491"/>
        <v>Usa Transporte</v>
      </c>
      <c r="AP1179">
        <v>0</v>
      </c>
      <c r="AQ1179" t="str">
        <f t="shared" si="492"/>
        <v>No camina</v>
      </c>
      <c r="AR1179">
        <v>0</v>
      </c>
      <c r="AS1179" t="str">
        <f t="shared" si="493"/>
        <v>No es obeso</v>
      </c>
    </row>
    <row r="1180" spans="1:45" x14ac:dyDescent="0.25">
      <c r="A1180">
        <v>1</v>
      </c>
      <c r="B1180" t="str">
        <f t="shared" si="468"/>
        <v>M</v>
      </c>
      <c r="C1180">
        <v>19684891</v>
      </c>
      <c r="D1180">
        <f t="shared" si="469"/>
        <v>53</v>
      </c>
      <c r="E1180">
        <f t="shared" si="470"/>
        <v>53</v>
      </c>
      <c r="F1180" t="str">
        <f t="shared" si="471"/>
        <v>50-75</v>
      </c>
      <c r="G1180">
        <v>1</v>
      </c>
      <c r="H1180" t="str">
        <f t="shared" si="472"/>
        <v>Pariente gordo</v>
      </c>
      <c r="I1180">
        <v>0</v>
      </c>
      <c r="J1180" t="str">
        <f t="shared" si="473"/>
        <v>Saludables</v>
      </c>
      <c r="K1180">
        <v>1653081</v>
      </c>
      <c r="L1180">
        <f t="shared" si="474"/>
        <v>1</v>
      </c>
      <c r="M1180" t="str">
        <f t="shared" si="475"/>
        <v>Suele comer</v>
      </c>
      <c r="N1180">
        <v>2753418</v>
      </c>
      <c r="O1180">
        <f t="shared" si="476"/>
        <v>2</v>
      </c>
      <c r="P1180" t="str">
        <f t="shared" si="477"/>
        <v>Mas de 3</v>
      </c>
      <c r="Q1180">
        <v>1</v>
      </c>
      <c r="R1180" t="str">
        <f t="shared" si="478"/>
        <v>A veces</v>
      </c>
      <c r="S1180">
        <v>0</v>
      </c>
      <c r="T1180" t="str">
        <f t="shared" si="479"/>
        <v>No fuma</v>
      </c>
      <c r="U1180">
        <v>2192063</v>
      </c>
      <c r="V1180">
        <f t="shared" si="480"/>
        <v>2</v>
      </c>
      <c r="W1180" t="str">
        <f t="shared" si="481"/>
        <v>Siempre</v>
      </c>
      <c r="X1180">
        <v>0</v>
      </c>
      <c r="Y1180" t="str">
        <f t="shared" si="482"/>
        <v>No controla</v>
      </c>
      <c r="Z1180">
        <v>1474937</v>
      </c>
      <c r="AA1180">
        <f t="shared" si="483"/>
        <v>3</v>
      </c>
      <c r="AB1180" t="str">
        <f t="shared" si="484"/>
        <v>Siempre</v>
      </c>
      <c r="AC1180">
        <v>0.51854199999999995</v>
      </c>
      <c r="AD1180">
        <f t="shared" si="485"/>
        <v>0</v>
      </c>
      <c r="AE1180" t="str">
        <f t="shared" si="486"/>
        <v>Nunca</v>
      </c>
      <c r="AF1180">
        <v>1</v>
      </c>
      <c r="AG1180" t="str">
        <f t="shared" si="487"/>
        <v>A veces</v>
      </c>
      <c r="AH1180">
        <v>0</v>
      </c>
      <c r="AI1180" t="str">
        <f t="shared" si="488"/>
        <v>No usa</v>
      </c>
      <c r="AJ1180">
        <v>0</v>
      </c>
      <c r="AK1180" t="str">
        <f t="shared" si="489"/>
        <v>No usa</v>
      </c>
      <c r="AL1180">
        <v>0</v>
      </c>
      <c r="AM1180" t="str">
        <f t="shared" si="490"/>
        <v>No usa</v>
      </c>
      <c r="AN1180">
        <v>1</v>
      </c>
      <c r="AO1180" t="str">
        <f t="shared" si="491"/>
        <v>Usa Transporte</v>
      </c>
      <c r="AP1180">
        <v>0</v>
      </c>
      <c r="AQ1180" t="str">
        <f t="shared" si="492"/>
        <v>No camina</v>
      </c>
      <c r="AR1180">
        <v>0</v>
      </c>
      <c r="AS1180" t="str">
        <f t="shared" si="493"/>
        <v>No es obeso</v>
      </c>
    </row>
    <row r="1181" spans="1:45" x14ac:dyDescent="0.25">
      <c r="A1181">
        <v>1</v>
      </c>
      <c r="B1181" t="str">
        <f t="shared" si="468"/>
        <v>M</v>
      </c>
      <c r="C1181">
        <v>477061</v>
      </c>
      <c r="D1181">
        <f t="shared" si="469"/>
        <v>1</v>
      </c>
      <c r="E1181">
        <f t="shared" si="470"/>
        <v>5</v>
      </c>
      <c r="F1181" t="str">
        <f t="shared" si="471"/>
        <v>1-25</v>
      </c>
      <c r="G1181">
        <v>1</v>
      </c>
      <c r="H1181" t="str">
        <f t="shared" si="472"/>
        <v>Pariente gordo</v>
      </c>
      <c r="I1181">
        <v>1</v>
      </c>
      <c r="J1181" t="str">
        <f t="shared" si="473"/>
        <v>Hipercaloricos</v>
      </c>
      <c r="K1181">
        <v>2535315</v>
      </c>
      <c r="L1181">
        <f t="shared" si="474"/>
        <v>1</v>
      </c>
      <c r="M1181" t="str">
        <f t="shared" si="475"/>
        <v>Suele comer</v>
      </c>
      <c r="N1181">
        <v>3</v>
      </c>
      <c r="O1181">
        <f t="shared" si="476"/>
        <v>2</v>
      </c>
      <c r="P1181" t="str">
        <f t="shared" si="477"/>
        <v>Mas de 3</v>
      </c>
      <c r="Q1181">
        <v>1</v>
      </c>
      <c r="R1181" t="str">
        <f t="shared" si="478"/>
        <v>A veces</v>
      </c>
      <c r="S1181">
        <v>0</v>
      </c>
      <c r="T1181" t="str">
        <f t="shared" si="479"/>
        <v>No fuma</v>
      </c>
      <c r="U1181">
        <v>1146595</v>
      </c>
      <c r="V1181">
        <f t="shared" si="480"/>
        <v>2</v>
      </c>
      <c r="W1181" t="str">
        <f t="shared" si="481"/>
        <v>Siempre</v>
      </c>
      <c r="X1181">
        <v>0</v>
      </c>
      <c r="Y1181" t="str">
        <f t="shared" si="482"/>
        <v>No controla</v>
      </c>
      <c r="Z1181">
        <v>0.31380999999999998</v>
      </c>
      <c r="AA1181">
        <f t="shared" si="483"/>
        <v>0</v>
      </c>
      <c r="AB1181" t="str">
        <f t="shared" si="484"/>
        <v>Nunca</v>
      </c>
      <c r="AC1181">
        <v>0</v>
      </c>
      <c r="AD1181">
        <f t="shared" si="485"/>
        <v>0</v>
      </c>
      <c r="AE1181" t="str">
        <f t="shared" si="486"/>
        <v>Nunca</v>
      </c>
      <c r="AF1181">
        <v>0</v>
      </c>
      <c r="AG1181" t="str">
        <f t="shared" si="487"/>
        <v>Nunca</v>
      </c>
      <c r="AH1181">
        <v>1</v>
      </c>
      <c r="AI1181" t="str">
        <f t="shared" si="488"/>
        <v>Usa auto</v>
      </c>
      <c r="AJ1181">
        <v>0</v>
      </c>
      <c r="AK1181" t="str">
        <f t="shared" si="489"/>
        <v>No usa</v>
      </c>
      <c r="AL1181">
        <v>0</v>
      </c>
      <c r="AM1181" t="str">
        <f t="shared" si="490"/>
        <v>No usa</v>
      </c>
      <c r="AN1181">
        <v>0</v>
      </c>
      <c r="AO1181" t="str">
        <f t="shared" si="491"/>
        <v>No usa</v>
      </c>
      <c r="AP1181">
        <v>0</v>
      </c>
      <c r="AQ1181" t="str">
        <f t="shared" si="492"/>
        <v>No camina</v>
      </c>
      <c r="AR1181">
        <v>0</v>
      </c>
      <c r="AS1181" t="str">
        <f t="shared" si="493"/>
        <v>No es obeso</v>
      </c>
    </row>
    <row r="1182" spans="1:45" x14ac:dyDescent="0.25">
      <c r="A1182">
        <v>1</v>
      </c>
      <c r="B1182" t="str">
        <f t="shared" si="468"/>
        <v>M</v>
      </c>
      <c r="C1182">
        <v>17997009</v>
      </c>
      <c r="D1182">
        <f t="shared" si="469"/>
        <v>49</v>
      </c>
      <c r="E1182">
        <f t="shared" si="470"/>
        <v>49</v>
      </c>
      <c r="F1182" t="str">
        <f t="shared" si="471"/>
        <v>25-50</v>
      </c>
      <c r="G1182">
        <v>1</v>
      </c>
      <c r="H1182" t="str">
        <f t="shared" si="472"/>
        <v>Pariente gordo</v>
      </c>
      <c r="I1182">
        <v>0</v>
      </c>
      <c r="J1182" t="str">
        <f t="shared" si="473"/>
        <v>Saludables</v>
      </c>
      <c r="K1182">
        <v>2</v>
      </c>
      <c r="L1182">
        <f t="shared" si="474"/>
        <v>1</v>
      </c>
      <c r="M1182" t="str">
        <f t="shared" si="475"/>
        <v>Suele comer</v>
      </c>
      <c r="N1182">
        <v>3</v>
      </c>
      <c r="O1182">
        <f t="shared" si="476"/>
        <v>2</v>
      </c>
      <c r="P1182" t="str">
        <f t="shared" si="477"/>
        <v>Mas de 3</v>
      </c>
      <c r="Q1182">
        <v>1</v>
      </c>
      <c r="R1182" t="str">
        <f t="shared" si="478"/>
        <v>A veces</v>
      </c>
      <c r="S1182">
        <v>0</v>
      </c>
      <c r="T1182" t="str">
        <f t="shared" si="479"/>
        <v>No fuma</v>
      </c>
      <c r="U1182">
        <v>2976229</v>
      </c>
      <c r="V1182">
        <f t="shared" si="480"/>
        <v>2</v>
      </c>
      <c r="W1182" t="str">
        <f t="shared" si="481"/>
        <v>Siempre</v>
      </c>
      <c r="X1182">
        <v>0</v>
      </c>
      <c r="Y1182" t="str">
        <f t="shared" si="482"/>
        <v>No controla</v>
      </c>
      <c r="Z1182">
        <v>1</v>
      </c>
      <c r="AA1182">
        <f t="shared" si="483"/>
        <v>1</v>
      </c>
      <c r="AB1182" t="str">
        <f t="shared" si="484"/>
        <v>A veces</v>
      </c>
      <c r="AC1182">
        <v>0.121992</v>
      </c>
      <c r="AD1182">
        <f t="shared" si="485"/>
        <v>0</v>
      </c>
      <c r="AE1182" t="str">
        <f t="shared" si="486"/>
        <v>Nunca</v>
      </c>
      <c r="AF1182">
        <v>1</v>
      </c>
      <c r="AG1182" t="str">
        <f t="shared" si="487"/>
        <v>A veces</v>
      </c>
      <c r="AH1182">
        <v>0</v>
      </c>
      <c r="AI1182" t="str">
        <f t="shared" si="488"/>
        <v>No usa</v>
      </c>
      <c r="AJ1182">
        <v>0</v>
      </c>
      <c r="AK1182" t="str">
        <f t="shared" si="489"/>
        <v>No usa</v>
      </c>
      <c r="AL1182">
        <v>0</v>
      </c>
      <c r="AM1182" t="str">
        <f t="shared" si="490"/>
        <v>No usa</v>
      </c>
      <c r="AN1182">
        <v>1</v>
      </c>
      <c r="AO1182" t="str">
        <f t="shared" si="491"/>
        <v>Usa Transporte</v>
      </c>
      <c r="AP1182">
        <v>0</v>
      </c>
      <c r="AQ1182" t="str">
        <f t="shared" si="492"/>
        <v>No camina</v>
      </c>
      <c r="AR1182">
        <v>0</v>
      </c>
      <c r="AS1182" t="str">
        <f t="shared" si="493"/>
        <v>No es obeso</v>
      </c>
    </row>
    <row r="1183" spans="1:45" x14ac:dyDescent="0.25">
      <c r="A1183">
        <v>1</v>
      </c>
      <c r="B1183" t="str">
        <f t="shared" si="468"/>
        <v>M</v>
      </c>
      <c r="C1183">
        <v>17971786</v>
      </c>
      <c r="D1183">
        <f t="shared" si="469"/>
        <v>49</v>
      </c>
      <c r="E1183">
        <f t="shared" si="470"/>
        <v>49</v>
      </c>
      <c r="F1183" t="str">
        <f t="shared" si="471"/>
        <v>25-50</v>
      </c>
      <c r="G1183">
        <v>1</v>
      </c>
      <c r="H1183" t="str">
        <f t="shared" si="472"/>
        <v>Pariente gordo</v>
      </c>
      <c r="I1183">
        <v>1</v>
      </c>
      <c r="J1183" t="str">
        <f t="shared" si="473"/>
        <v>Hipercaloricos</v>
      </c>
      <c r="K1183">
        <v>2765769</v>
      </c>
      <c r="L1183">
        <f t="shared" si="474"/>
        <v>1</v>
      </c>
      <c r="M1183" t="str">
        <f t="shared" si="475"/>
        <v>Suele comer</v>
      </c>
      <c r="N1183">
        <v>3</v>
      </c>
      <c r="O1183">
        <f t="shared" si="476"/>
        <v>2</v>
      </c>
      <c r="P1183" t="str">
        <f t="shared" si="477"/>
        <v>Mas de 3</v>
      </c>
      <c r="Q1183">
        <v>1</v>
      </c>
      <c r="R1183" t="str">
        <f t="shared" si="478"/>
        <v>A veces</v>
      </c>
      <c r="S1183">
        <v>0</v>
      </c>
      <c r="T1183" t="str">
        <f t="shared" si="479"/>
        <v>No fuma</v>
      </c>
      <c r="U1183">
        <v>2845134</v>
      </c>
      <c r="V1183">
        <f t="shared" si="480"/>
        <v>2</v>
      </c>
      <c r="W1183" t="str">
        <f t="shared" si="481"/>
        <v>Siempre</v>
      </c>
      <c r="X1183">
        <v>0</v>
      </c>
      <c r="Y1183" t="str">
        <f t="shared" si="482"/>
        <v>No controla</v>
      </c>
      <c r="Z1183">
        <v>1</v>
      </c>
      <c r="AA1183">
        <f t="shared" si="483"/>
        <v>1</v>
      </c>
      <c r="AB1183" t="str">
        <f t="shared" si="484"/>
        <v>A veces</v>
      </c>
      <c r="AC1183">
        <v>0.42682999999999999</v>
      </c>
      <c r="AD1183">
        <f t="shared" si="485"/>
        <v>0</v>
      </c>
      <c r="AE1183" t="str">
        <f t="shared" si="486"/>
        <v>Nunca</v>
      </c>
      <c r="AF1183">
        <v>1</v>
      </c>
      <c r="AG1183" t="str">
        <f t="shared" si="487"/>
        <v>A veces</v>
      </c>
      <c r="AH1183">
        <v>0</v>
      </c>
      <c r="AI1183" t="str">
        <f t="shared" si="488"/>
        <v>No usa</v>
      </c>
      <c r="AJ1183">
        <v>0</v>
      </c>
      <c r="AK1183" t="str">
        <f t="shared" si="489"/>
        <v>No usa</v>
      </c>
      <c r="AL1183">
        <v>0</v>
      </c>
      <c r="AM1183" t="str">
        <f t="shared" si="490"/>
        <v>No usa</v>
      </c>
      <c r="AN1183">
        <v>1</v>
      </c>
      <c r="AO1183" t="str">
        <f t="shared" si="491"/>
        <v>Usa Transporte</v>
      </c>
      <c r="AP1183">
        <v>0</v>
      </c>
      <c r="AQ1183" t="str">
        <f t="shared" si="492"/>
        <v>No camina</v>
      </c>
      <c r="AR1183">
        <v>0</v>
      </c>
      <c r="AS1183" t="str">
        <f t="shared" si="493"/>
        <v>No es obeso</v>
      </c>
    </row>
    <row r="1184" spans="1:45" x14ac:dyDescent="0.25">
      <c r="A1184">
        <v>1</v>
      </c>
      <c r="B1184" t="str">
        <f t="shared" si="468"/>
        <v>M</v>
      </c>
      <c r="C1184">
        <v>20432717</v>
      </c>
      <c r="D1184">
        <f t="shared" si="469"/>
        <v>55</v>
      </c>
      <c r="E1184">
        <f t="shared" si="470"/>
        <v>55</v>
      </c>
      <c r="F1184" t="str">
        <f t="shared" si="471"/>
        <v>50-75</v>
      </c>
      <c r="G1184">
        <v>1</v>
      </c>
      <c r="H1184" t="str">
        <f t="shared" si="472"/>
        <v>Pariente gordo</v>
      </c>
      <c r="I1184">
        <v>1</v>
      </c>
      <c r="J1184" t="str">
        <f t="shared" si="473"/>
        <v>Hipercaloricos</v>
      </c>
      <c r="K1184">
        <v>2215464</v>
      </c>
      <c r="L1184">
        <f t="shared" si="474"/>
        <v>1</v>
      </c>
      <c r="M1184" t="str">
        <f t="shared" si="475"/>
        <v>Suele comer</v>
      </c>
      <c r="N1184">
        <v>2116195</v>
      </c>
      <c r="O1184">
        <f t="shared" si="476"/>
        <v>2</v>
      </c>
      <c r="P1184" t="str">
        <f t="shared" si="477"/>
        <v>Mas de 3</v>
      </c>
      <c r="Q1184">
        <v>1</v>
      </c>
      <c r="R1184" t="str">
        <f t="shared" si="478"/>
        <v>A veces</v>
      </c>
      <c r="S1184">
        <v>0</v>
      </c>
      <c r="T1184" t="str">
        <f t="shared" si="479"/>
        <v>No fuma</v>
      </c>
      <c r="U1184">
        <v>180996</v>
      </c>
      <c r="V1184">
        <f t="shared" si="480"/>
        <v>2</v>
      </c>
      <c r="W1184" t="str">
        <f t="shared" si="481"/>
        <v>Siempre</v>
      </c>
      <c r="X1184">
        <v>0</v>
      </c>
      <c r="Y1184" t="str">
        <f t="shared" si="482"/>
        <v>No controla</v>
      </c>
      <c r="Z1184">
        <v>1910577</v>
      </c>
      <c r="AA1184">
        <f t="shared" si="483"/>
        <v>3</v>
      </c>
      <c r="AB1184" t="str">
        <f t="shared" si="484"/>
        <v>Siempre</v>
      </c>
      <c r="AC1184">
        <v>0.971746</v>
      </c>
      <c r="AD1184">
        <f t="shared" si="485"/>
        <v>0</v>
      </c>
      <c r="AE1184" t="str">
        <f t="shared" si="486"/>
        <v>Nunca</v>
      </c>
      <c r="AF1184">
        <v>0</v>
      </c>
      <c r="AG1184" t="str">
        <f t="shared" si="487"/>
        <v>Nunca</v>
      </c>
      <c r="AH1184">
        <v>0</v>
      </c>
      <c r="AI1184" t="str">
        <f t="shared" si="488"/>
        <v>No usa</v>
      </c>
      <c r="AJ1184">
        <v>0</v>
      </c>
      <c r="AK1184" t="str">
        <f t="shared" si="489"/>
        <v>No usa</v>
      </c>
      <c r="AL1184">
        <v>0</v>
      </c>
      <c r="AM1184" t="str">
        <f t="shared" si="490"/>
        <v>No usa</v>
      </c>
      <c r="AN1184">
        <v>1</v>
      </c>
      <c r="AO1184" t="str">
        <f t="shared" si="491"/>
        <v>Usa Transporte</v>
      </c>
      <c r="AP1184">
        <v>0</v>
      </c>
      <c r="AQ1184" t="str">
        <f t="shared" si="492"/>
        <v>No camina</v>
      </c>
      <c r="AR1184">
        <v>0</v>
      </c>
      <c r="AS1184" t="str">
        <f t="shared" si="493"/>
        <v>No es obeso</v>
      </c>
    </row>
    <row r="1185" spans="1:45" x14ac:dyDescent="0.25">
      <c r="A1185">
        <v>0</v>
      </c>
      <c r="B1185" t="str">
        <f t="shared" si="468"/>
        <v>F</v>
      </c>
      <c r="C1185">
        <v>33954433</v>
      </c>
      <c r="D1185">
        <f t="shared" si="469"/>
        <v>93</v>
      </c>
      <c r="E1185">
        <f t="shared" si="470"/>
        <v>93</v>
      </c>
      <c r="F1185" t="str">
        <f t="shared" si="471"/>
        <v>75-100</v>
      </c>
      <c r="G1185">
        <v>1</v>
      </c>
      <c r="H1185" t="str">
        <f t="shared" si="472"/>
        <v>Pariente gordo</v>
      </c>
      <c r="I1185">
        <v>1</v>
      </c>
      <c r="J1185" t="str">
        <f t="shared" si="473"/>
        <v>Hipercaloricos</v>
      </c>
      <c r="K1185">
        <v>3</v>
      </c>
      <c r="L1185">
        <f t="shared" si="474"/>
        <v>1</v>
      </c>
      <c r="M1185" t="str">
        <f t="shared" si="475"/>
        <v>Suele comer</v>
      </c>
      <c r="N1185">
        <v>2049908</v>
      </c>
      <c r="O1185">
        <f t="shared" si="476"/>
        <v>2</v>
      </c>
      <c r="P1185" t="str">
        <f t="shared" si="477"/>
        <v>Mas de 3</v>
      </c>
      <c r="Q1185">
        <v>1</v>
      </c>
      <c r="R1185" t="str">
        <f t="shared" si="478"/>
        <v>A veces</v>
      </c>
      <c r="S1185">
        <v>0</v>
      </c>
      <c r="T1185" t="str">
        <f t="shared" si="479"/>
        <v>No fuma</v>
      </c>
      <c r="U1185">
        <v>1999882</v>
      </c>
      <c r="V1185">
        <f t="shared" si="480"/>
        <v>2</v>
      </c>
      <c r="W1185" t="str">
        <f t="shared" si="481"/>
        <v>Siempre</v>
      </c>
      <c r="X1185">
        <v>0</v>
      </c>
      <c r="Y1185" t="str">
        <f t="shared" si="482"/>
        <v>No controla</v>
      </c>
      <c r="Z1185">
        <v>1637368</v>
      </c>
      <c r="AA1185">
        <f t="shared" si="483"/>
        <v>3</v>
      </c>
      <c r="AB1185" t="str">
        <f t="shared" si="484"/>
        <v>Siempre</v>
      </c>
      <c r="AC1185">
        <v>0.10724</v>
      </c>
      <c r="AD1185">
        <f t="shared" si="485"/>
        <v>0</v>
      </c>
      <c r="AE1185" t="str">
        <f t="shared" si="486"/>
        <v>Nunca</v>
      </c>
      <c r="AF1185">
        <v>0</v>
      </c>
      <c r="AG1185" t="str">
        <f t="shared" si="487"/>
        <v>Nunca</v>
      </c>
      <c r="AH1185">
        <v>1</v>
      </c>
      <c r="AI1185" t="str">
        <f t="shared" si="488"/>
        <v>Usa auto</v>
      </c>
      <c r="AJ1185">
        <v>0</v>
      </c>
      <c r="AK1185" t="str">
        <f t="shared" si="489"/>
        <v>No usa</v>
      </c>
      <c r="AL1185">
        <v>0</v>
      </c>
      <c r="AM1185" t="str">
        <f t="shared" si="490"/>
        <v>No usa</v>
      </c>
      <c r="AN1185">
        <v>0</v>
      </c>
      <c r="AO1185" t="str">
        <f t="shared" si="491"/>
        <v>No usa</v>
      </c>
      <c r="AP1185">
        <v>0</v>
      </c>
      <c r="AQ1185" t="str">
        <f t="shared" si="492"/>
        <v>No camina</v>
      </c>
      <c r="AR1185">
        <v>0</v>
      </c>
      <c r="AS1185" t="str">
        <f t="shared" si="493"/>
        <v>No es obeso</v>
      </c>
    </row>
    <row r="1186" spans="1:45" x14ac:dyDescent="0.25">
      <c r="A1186">
        <v>1</v>
      </c>
      <c r="B1186" t="str">
        <f t="shared" si="468"/>
        <v>M</v>
      </c>
      <c r="C1186">
        <v>17039058</v>
      </c>
      <c r="D1186">
        <f t="shared" si="469"/>
        <v>46</v>
      </c>
      <c r="E1186">
        <f t="shared" si="470"/>
        <v>46</v>
      </c>
      <c r="F1186" t="str">
        <f t="shared" si="471"/>
        <v>25-50</v>
      </c>
      <c r="G1186">
        <v>1</v>
      </c>
      <c r="H1186" t="str">
        <f t="shared" si="472"/>
        <v>Pariente gordo</v>
      </c>
      <c r="I1186">
        <v>1</v>
      </c>
      <c r="J1186" t="str">
        <f t="shared" si="473"/>
        <v>Hipercaloricos</v>
      </c>
      <c r="K1186">
        <v>2</v>
      </c>
      <c r="L1186">
        <f t="shared" si="474"/>
        <v>1</v>
      </c>
      <c r="M1186" t="str">
        <f t="shared" si="475"/>
        <v>Suele comer</v>
      </c>
      <c r="N1186">
        <v>3</v>
      </c>
      <c r="O1186">
        <f t="shared" si="476"/>
        <v>2</v>
      </c>
      <c r="P1186" t="str">
        <f t="shared" si="477"/>
        <v>Mas de 3</v>
      </c>
      <c r="Q1186">
        <v>1</v>
      </c>
      <c r="R1186" t="str">
        <f t="shared" si="478"/>
        <v>A veces</v>
      </c>
      <c r="S1186">
        <v>0</v>
      </c>
      <c r="T1186" t="str">
        <f t="shared" si="479"/>
        <v>No fuma</v>
      </c>
      <c r="U1186">
        <v>3</v>
      </c>
      <c r="V1186">
        <f t="shared" si="480"/>
        <v>2</v>
      </c>
      <c r="W1186" t="str">
        <f t="shared" si="481"/>
        <v>Siempre</v>
      </c>
      <c r="X1186">
        <v>0</v>
      </c>
      <c r="Y1186" t="str">
        <f t="shared" si="482"/>
        <v>No controla</v>
      </c>
      <c r="Z1186">
        <v>104729</v>
      </c>
      <c r="AA1186">
        <f t="shared" si="483"/>
        <v>2</v>
      </c>
      <c r="AB1186" t="str">
        <f t="shared" si="484"/>
        <v>Usualmente</v>
      </c>
      <c r="AC1186">
        <v>0.93380200000000002</v>
      </c>
      <c r="AD1186">
        <f t="shared" si="485"/>
        <v>0</v>
      </c>
      <c r="AE1186" t="str">
        <f t="shared" si="486"/>
        <v>Nunca</v>
      </c>
      <c r="AF1186">
        <v>1</v>
      </c>
      <c r="AG1186" t="str">
        <f t="shared" si="487"/>
        <v>A veces</v>
      </c>
      <c r="AH1186">
        <v>0</v>
      </c>
      <c r="AI1186" t="str">
        <f t="shared" si="488"/>
        <v>No usa</v>
      </c>
      <c r="AJ1186">
        <v>0</v>
      </c>
      <c r="AK1186" t="str">
        <f t="shared" si="489"/>
        <v>No usa</v>
      </c>
      <c r="AL1186">
        <v>0</v>
      </c>
      <c r="AM1186" t="str">
        <f t="shared" si="490"/>
        <v>No usa</v>
      </c>
      <c r="AN1186">
        <v>1</v>
      </c>
      <c r="AO1186" t="str">
        <f t="shared" si="491"/>
        <v>Usa Transporte</v>
      </c>
      <c r="AP1186">
        <v>0</v>
      </c>
      <c r="AQ1186" t="str">
        <f t="shared" si="492"/>
        <v>No camina</v>
      </c>
      <c r="AR1186">
        <v>0</v>
      </c>
      <c r="AS1186" t="str">
        <f t="shared" si="493"/>
        <v>No es obeso</v>
      </c>
    </row>
    <row r="1187" spans="1:45" x14ac:dyDescent="0.25">
      <c r="A1187">
        <v>1</v>
      </c>
      <c r="B1187" t="str">
        <f t="shared" si="468"/>
        <v>M</v>
      </c>
      <c r="C1187">
        <v>33070142</v>
      </c>
      <c r="D1187">
        <f t="shared" si="469"/>
        <v>90</v>
      </c>
      <c r="E1187">
        <f t="shared" si="470"/>
        <v>90</v>
      </c>
      <c r="F1187" t="str">
        <f t="shared" si="471"/>
        <v>75-100</v>
      </c>
      <c r="G1187">
        <v>1</v>
      </c>
      <c r="H1187" t="str">
        <f t="shared" si="472"/>
        <v>Pariente gordo</v>
      </c>
      <c r="I1187">
        <v>1</v>
      </c>
      <c r="J1187" t="str">
        <f t="shared" si="473"/>
        <v>Hipercaloricos</v>
      </c>
      <c r="K1187">
        <v>2</v>
      </c>
      <c r="L1187">
        <f t="shared" si="474"/>
        <v>1</v>
      </c>
      <c r="M1187" t="str">
        <f t="shared" si="475"/>
        <v>Suele comer</v>
      </c>
      <c r="N1187">
        <v>1044628</v>
      </c>
      <c r="O1187">
        <f t="shared" si="476"/>
        <v>2</v>
      </c>
      <c r="P1187" t="str">
        <f t="shared" si="477"/>
        <v>Mas de 3</v>
      </c>
      <c r="Q1187">
        <v>1</v>
      </c>
      <c r="R1187" t="str">
        <f t="shared" si="478"/>
        <v>A veces</v>
      </c>
      <c r="S1187">
        <v>0</v>
      </c>
      <c r="T1187" t="str">
        <f t="shared" si="479"/>
        <v>No fuma</v>
      </c>
      <c r="U1187">
        <v>201051</v>
      </c>
      <c r="V1187">
        <f t="shared" si="480"/>
        <v>2</v>
      </c>
      <c r="W1187" t="str">
        <f t="shared" si="481"/>
        <v>Siempre</v>
      </c>
      <c r="X1187">
        <v>0</v>
      </c>
      <c r="Y1187" t="str">
        <f t="shared" si="482"/>
        <v>No controla</v>
      </c>
      <c r="Z1187">
        <v>2805801</v>
      </c>
      <c r="AA1187">
        <f t="shared" si="483"/>
        <v>3</v>
      </c>
      <c r="AB1187" t="str">
        <f t="shared" si="484"/>
        <v>Siempre</v>
      </c>
      <c r="AC1187">
        <v>0</v>
      </c>
      <c r="AD1187">
        <f t="shared" si="485"/>
        <v>0</v>
      </c>
      <c r="AE1187" t="str">
        <f t="shared" si="486"/>
        <v>Nunca</v>
      </c>
      <c r="AF1187">
        <v>0</v>
      </c>
      <c r="AG1187" t="str">
        <f t="shared" si="487"/>
        <v>Nunca</v>
      </c>
      <c r="AH1187">
        <v>1</v>
      </c>
      <c r="AI1187" t="str">
        <f t="shared" si="488"/>
        <v>Usa auto</v>
      </c>
      <c r="AJ1187">
        <v>0</v>
      </c>
      <c r="AK1187" t="str">
        <f t="shared" si="489"/>
        <v>No usa</v>
      </c>
      <c r="AL1187">
        <v>0</v>
      </c>
      <c r="AM1187" t="str">
        <f t="shared" si="490"/>
        <v>No usa</v>
      </c>
      <c r="AN1187">
        <v>0</v>
      </c>
      <c r="AO1187" t="str">
        <f t="shared" si="491"/>
        <v>No usa</v>
      </c>
      <c r="AP1187">
        <v>0</v>
      </c>
      <c r="AQ1187" t="str">
        <f t="shared" si="492"/>
        <v>No camina</v>
      </c>
      <c r="AR1187">
        <v>0</v>
      </c>
      <c r="AS1187" t="str">
        <f t="shared" si="493"/>
        <v>No es obeso</v>
      </c>
    </row>
    <row r="1188" spans="1:45" x14ac:dyDescent="0.25">
      <c r="A1188">
        <v>1</v>
      </c>
      <c r="B1188" t="str">
        <f t="shared" si="468"/>
        <v>M</v>
      </c>
      <c r="C1188">
        <v>34993835</v>
      </c>
      <c r="D1188">
        <f t="shared" si="469"/>
        <v>95</v>
      </c>
      <c r="E1188">
        <f t="shared" si="470"/>
        <v>95</v>
      </c>
      <c r="F1188" t="str">
        <f t="shared" si="471"/>
        <v>75-100</v>
      </c>
      <c r="G1188">
        <v>1</v>
      </c>
      <c r="H1188" t="str">
        <f t="shared" si="472"/>
        <v>Pariente gordo</v>
      </c>
      <c r="I1188">
        <v>1</v>
      </c>
      <c r="J1188" t="str">
        <f t="shared" si="473"/>
        <v>Hipercaloricos</v>
      </c>
      <c r="K1188">
        <v>263165</v>
      </c>
      <c r="L1188">
        <f t="shared" si="474"/>
        <v>1</v>
      </c>
      <c r="M1188" t="str">
        <f t="shared" si="475"/>
        <v>Suele comer</v>
      </c>
      <c r="N1188">
        <v>298212</v>
      </c>
      <c r="O1188">
        <f t="shared" si="476"/>
        <v>2</v>
      </c>
      <c r="P1188" t="str">
        <f t="shared" si="477"/>
        <v>Mas de 3</v>
      </c>
      <c r="Q1188">
        <v>1</v>
      </c>
      <c r="R1188" t="str">
        <f t="shared" si="478"/>
        <v>A veces</v>
      </c>
      <c r="S1188">
        <v>0</v>
      </c>
      <c r="T1188" t="str">
        <f t="shared" si="479"/>
        <v>No fuma</v>
      </c>
      <c r="U1188">
        <v>2778587</v>
      </c>
      <c r="V1188">
        <f t="shared" si="480"/>
        <v>2</v>
      </c>
      <c r="W1188" t="str">
        <f t="shared" si="481"/>
        <v>Siempre</v>
      </c>
      <c r="X1188">
        <v>0</v>
      </c>
      <c r="Y1188" t="str">
        <f t="shared" si="482"/>
        <v>No controla</v>
      </c>
      <c r="Z1188">
        <v>2667739</v>
      </c>
      <c r="AA1188">
        <f t="shared" si="483"/>
        <v>3</v>
      </c>
      <c r="AB1188" t="str">
        <f t="shared" si="484"/>
        <v>Siempre</v>
      </c>
      <c r="AC1188">
        <v>0.90518100000000001</v>
      </c>
      <c r="AD1188">
        <f t="shared" si="485"/>
        <v>0</v>
      </c>
      <c r="AE1188" t="str">
        <f t="shared" si="486"/>
        <v>Nunca</v>
      </c>
      <c r="AF1188">
        <v>0</v>
      </c>
      <c r="AG1188" t="str">
        <f t="shared" si="487"/>
        <v>Nunca</v>
      </c>
      <c r="AH1188">
        <v>1</v>
      </c>
      <c r="AI1188" t="str">
        <f t="shared" si="488"/>
        <v>Usa auto</v>
      </c>
      <c r="AJ1188">
        <v>0</v>
      </c>
      <c r="AK1188" t="str">
        <f t="shared" si="489"/>
        <v>No usa</v>
      </c>
      <c r="AL1188">
        <v>0</v>
      </c>
      <c r="AM1188" t="str">
        <f t="shared" si="490"/>
        <v>No usa</v>
      </c>
      <c r="AN1188">
        <v>0</v>
      </c>
      <c r="AO1188" t="str">
        <f t="shared" si="491"/>
        <v>No usa</v>
      </c>
      <c r="AP1188">
        <v>0</v>
      </c>
      <c r="AQ1188" t="str">
        <f t="shared" si="492"/>
        <v>No camina</v>
      </c>
      <c r="AR1188">
        <v>0</v>
      </c>
      <c r="AS1188" t="str">
        <f t="shared" si="493"/>
        <v>No es obeso</v>
      </c>
    </row>
    <row r="1189" spans="1:45" x14ac:dyDescent="0.25">
      <c r="A1189">
        <v>1</v>
      </c>
      <c r="B1189" t="str">
        <f t="shared" si="468"/>
        <v>M</v>
      </c>
      <c r="C1189">
        <v>35719457</v>
      </c>
      <c r="D1189">
        <f t="shared" si="469"/>
        <v>97</v>
      </c>
      <c r="E1189">
        <f t="shared" si="470"/>
        <v>97</v>
      </c>
      <c r="F1189" t="str">
        <f t="shared" si="471"/>
        <v>75-100</v>
      </c>
      <c r="G1189">
        <v>1</v>
      </c>
      <c r="H1189" t="str">
        <f t="shared" si="472"/>
        <v>Pariente gordo</v>
      </c>
      <c r="I1189">
        <v>1</v>
      </c>
      <c r="J1189" t="str">
        <f t="shared" si="473"/>
        <v>Hipercaloricos</v>
      </c>
      <c r="K1189">
        <v>2</v>
      </c>
      <c r="L1189">
        <f t="shared" si="474"/>
        <v>1</v>
      </c>
      <c r="M1189" t="str">
        <f t="shared" si="475"/>
        <v>Suele comer</v>
      </c>
      <c r="N1189">
        <v>1009426</v>
      </c>
      <c r="O1189">
        <f t="shared" si="476"/>
        <v>2</v>
      </c>
      <c r="P1189" t="str">
        <f t="shared" si="477"/>
        <v>Mas de 3</v>
      </c>
      <c r="Q1189">
        <v>1</v>
      </c>
      <c r="R1189" t="str">
        <f t="shared" si="478"/>
        <v>A veces</v>
      </c>
      <c r="S1189">
        <v>0</v>
      </c>
      <c r="T1189" t="str">
        <f t="shared" si="479"/>
        <v>No fuma</v>
      </c>
      <c r="U1189">
        <v>2136398</v>
      </c>
      <c r="V1189">
        <f t="shared" si="480"/>
        <v>2</v>
      </c>
      <c r="W1189" t="str">
        <f t="shared" si="481"/>
        <v>Siempre</v>
      </c>
      <c r="X1189">
        <v>0</v>
      </c>
      <c r="Y1189" t="str">
        <f t="shared" si="482"/>
        <v>No controla</v>
      </c>
      <c r="Z1189">
        <v>1060349</v>
      </c>
      <c r="AA1189">
        <f t="shared" si="483"/>
        <v>3</v>
      </c>
      <c r="AB1189" t="str">
        <f t="shared" si="484"/>
        <v>Siempre</v>
      </c>
      <c r="AC1189">
        <v>0</v>
      </c>
      <c r="AD1189">
        <f t="shared" si="485"/>
        <v>0</v>
      </c>
      <c r="AE1189" t="str">
        <f t="shared" si="486"/>
        <v>Nunca</v>
      </c>
      <c r="AF1189">
        <v>0</v>
      </c>
      <c r="AG1189" t="str">
        <f t="shared" si="487"/>
        <v>Nunca</v>
      </c>
      <c r="AH1189">
        <v>1</v>
      </c>
      <c r="AI1189" t="str">
        <f t="shared" si="488"/>
        <v>Usa auto</v>
      </c>
      <c r="AJ1189">
        <v>0</v>
      </c>
      <c r="AK1189" t="str">
        <f t="shared" si="489"/>
        <v>No usa</v>
      </c>
      <c r="AL1189">
        <v>0</v>
      </c>
      <c r="AM1189" t="str">
        <f t="shared" si="490"/>
        <v>No usa</v>
      </c>
      <c r="AN1189">
        <v>0</v>
      </c>
      <c r="AO1189" t="str">
        <f t="shared" si="491"/>
        <v>No usa</v>
      </c>
      <c r="AP1189">
        <v>0</v>
      </c>
      <c r="AQ1189" t="str">
        <f t="shared" si="492"/>
        <v>No camina</v>
      </c>
      <c r="AR1189">
        <v>0</v>
      </c>
      <c r="AS1189" t="str">
        <f t="shared" si="493"/>
        <v>No es obeso</v>
      </c>
    </row>
    <row r="1190" spans="1:45" x14ac:dyDescent="0.25">
      <c r="A1190">
        <v>0</v>
      </c>
      <c r="B1190" t="str">
        <f t="shared" si="468"/>
        <v>F</v>
      </c>
      <c r="C1190">
        <v>19005725</v>
      </c>
      <c r="D1190">
        <f t="shared" si="469"/>
        <v>52</v>
      </c>
      <c r="E1190">
        <f t="shared" si="470"/>
        <v>52</v>
      </c>
      <c r="F1190" t="str">
        <f t="shared" si="471"/>
        <v>50-75</v>
      </c>
      <c r="G1190">
        <v>1</v>
      </c>
      <c r="H1190" t="str">
        <f t="shared" si="472"/>
        <v>Pariente gordo</v>
      </c>
      <c r="I1190">
        <v>0</v>
      </c>
      <c r="J1190" t="str">
        <f t="shared" si="473"/>
        <v>Saludables</v>
      </c>
      <c r="K1190">
        <v>2942154</v>
      </c>
      <c r="L1190">
        <f t="shared" si="474"/>
        <v>1</v>
      </c>
      <c r="M1190" t="str">
        <f t="shared" si="475"/>
        <v>Suele comer</v>
      </c>
      <c r="N1190">
        <v>2667711</v>
      </c>
      <c r="O1190">
        <f t="shared" si="476"/>
        <v>2</v>
      </c>
      <c r="P1190" t="str">
        <f t="shared" si="477"/>
        <v>Mas de 3</v>
      </c>
      <c r="Q1190">
        <v>1</v>
      </c>
      <c r="R1190" t="str">
        <f t="shared" si="478"/>
        <v>A veces</v>
      </c>
      <c r="S1190">
        <v>0</v>
      </c>
      <c r="T1190" t="str">
        <f t="shared" si="479"/>
        <v>No fuma</v>
      </c>
      <c r="U1190">
        <v>2184768</v>
      </c>
      <c r="V1190">
        <f t="shared" si="480"/>
        <v>2</v>
      </c>
      <c r="W1190" t="str">
        <f t="shared" si="481"/>
        <v>Siempre</v>
      </c>
      <c r="X1190">
        <v>0</v>
      </c>
      <c r="Y1190" t="str">
        <f t="shared" si="482"/>
        <v>No controla</v>
      </c>
      <c r="Z1190">
        <v>1524405</v>
      </c>
      <c r="AA1190">
        <f t="shared" si="483"/>
        <v>3</v>
      </c>
      <c r="AB1190" t="str">
        <f t="shared" si="484"/>
        <v>Siempre</v>
      </c>
      <c r="AC1190">
        <v>0.80500799999999995</v>
      </c>
      <c r="AD1190">
        <f t="shared" si="485"/>
        <v>0</v>
      </c>
      <c r="AE1190" t="str">
        <f t="shared" si="486"/>
        <v>Nunca</v>
      </c>
      <c r="AF1190">
        <v>1</v>
      </c>
      <c r="AG1190" t="str">
        <f t="shared" si="487"/>
        <v>A veces</v>
      </c>
      <c r="AH1190">
        <v>0</v>
      </c>
      <c r="AI1190" t="str">
        <f t="shared" si="488"/>
        <v>No usa</v>
      </c>
      <c r="AJ1190">
        <v>0</v>
      </c>
      <c r="AK1190" t="str">
        <f t="shared" si="489"/>
        <v>No usa</v>
      </c>
      <c r="AL1190">
        <v>0</v>
      </c>
      <c r="AM1190" t="str">
        <f t="shared" si="490"/>
        <v>No usa</v>
      </c>
      <c r="AN1190">
        <v>1</v>
      </c>
      <c r="AO1190" t="str">
        <f t="shared" si="491"/>
        <v>Usa Transporte</v>
      </c>
      <c r="AP1190">
        <v>0</v>
      </c>
      <c r="AQ1190" t="str">
        <f t="shared" si="492"/>
        <v>No camina</v>
      </c>
      <c r="AR1190">
        <v>0</v>
      </c>
      <c r="AS1190" t="str">
        <f t="shared" si="493"/>
        <v>No es obeso</v>
      </c>
    </row>
    <row r="1191" spans="1:45" x14ac:dyDescent="0.25">
      <c r="A1191">
        <v>0</v>
      </c>
      <c r="B1191" t="str">
        <f t="shared" si="468"/>
        <v>F</v>
      </c>
      <c r="C1191">
        <v>18850466</v>
      </c>
      <c r="D1191">
        <f t="shared" si="469"/>
        <v>51</v>
      </c>
      <c r="E1191">
        <f t="shared" si="470"/>
        <v>51</v>
      </c>
      <c r="F1191" t="str">
        <f t="shared" si="471"/>
        <v>50-75</v>
      </c>
      <c r="G1191">
        <v>1</v>
      </c>
      <c r="H1191" t="str">
        <f t="shared" si="472"/>
        <v>Pariente gordo</v>
      </c>
      <c r="I1191">
        <v>0</v>
      </c>
      <c r="J1191" t="str">
        <f t="shared" si="473"/>
        <v>Saludables</v>
      </c>
      <c r="K1191">
        <v>3</v>
      </c>
      <c r="L1191">
        <f t="shared" si="474"/>
        <v>1</v>
      </c>
      <c r="M1191" t="str">
        <f t="shared" si="475"/>
        <v>Suele comer</v>
      </c>
      <c r="N1191">
        <v>3000974</v>
      </c>
      <c r="O1191">
        <f t="shared" si="476"/>
        <v>2</v>
      </c>
      <c r="P1191" t="str">
        <f t="shared" si="477"/>
        <v>Mas de 3</v>
      </c>
      <c r="Q1191">
        <v>1</v>
      </c>
      <c r="R1191" t="str">
        <f t="shared" si="478"/>
        <v>A veces</v>
      </c>
      <c r="S1191">
        <v>0</v>
      </c>
      <c r="T1191" t="str">
        <f t="shared" si="479"/>
        <v>No fuma</v>
      </c>
      <c r="U1191">
        <v>2</v>
      </c>
      <c r="V1191">
        <f t="shared" si="480"/>
        <v>2</v>
      </c>
      <c r="W1191" t="str">
        <f t="shared" si="481"/>
        <v>Siempre</v>
      </c>
      <c r="X1191">
        <v>0</v>
      </c>
      <c r="Y1191" t="str">
        <f t="shared" si="482"/>
        <v>No controla</v>
      </c>
      <c r="Z1191">
        <v>2274248</v>
      </c>
      <c r="AA1191">
        <f t="shared" si="483"/>
        <v>3</v>
      </c>
      <c r="AB1191" t="str">
        <f t="shared" si="484"/>
        <v>Siempre</v>
      </c>
      <c r="AC1191">
        <v>1</v>
      </c>
      <c r="AD1191">
        <f t="shared" si="485"/>
        <v>1</v>
      </c>
      <c r="AE1191" t="str">
        <f t="shared" si="486"/>
        <v>Usualmente</v>
      </c>
      <c r="AF1191">
        <v>1</v>
      </c>
      <c r="AG1191" t="str">
        <f t="shared" si="487"/>
        <v>A veces</v>
      </c>
      <c r="AH1191">
        <v>0</v>
      </c>
      <c r="AI1191" t="str">
        <f t="shared" si="488"/>
        <v>No usa</v>
      </c>
      <c r="AJ1191">
        <v>0</v>
      </c>
      <c r="AK1191" t="str">
        <f t="shared" si="489"/>
        <v>No usa</v>
      </c>
      <c r="AL1191">
        <v>0</v>
      </c>
      <c r="AM1191" t="str">
        <f t="shared" si="490"/>
        <v>No usa</v>
      </c>
      <c r="AN1191">
        <v>1</v>
      </c>
      <c r="AO1191" t="str">
        <f t="shared" si="491"/>
        <v>Usa Transporte</v>
      </c>
      <c r="AP1191">
        <v>0</v>
      </c>
      <c r="AQ1191" t="str">
        <f t="shared" si="492"/>
        <v>No camina</v>
      </c>
      <c r="AR1191">
        <v>0</v>
      </c>
      <c r="AS1191" t="str">
        <f t="shared" si="493"/>
        <v>No es obeso</v>
      </c>
    </row>
    <row r="1192" spans="1:45" x14ac:dyDescent="0.25">
      <c r="A1192">
        <v>1</v>
      </c>
      <c r="B1192" t="str">
        <f t="shared" si="468"/>
        <v>M</v>
      </c>
      <c r="C1192">
        <v>31540751</v>
      </c>
      <c r="D1192">
        <f t="shared" si="469"/>
        <v>86</v>
      </c>
      <c r="E1192">
        <f t="shared" si="470"/>
        <v>86</v>
      </c>
      <c r="F1192" t="str">
        <f t="shared" si="471"/>
        <v>75-100</v>
      </c>
      <c r="G1192">
        <v>1</v>
      </c>
      <c r="H1192" t="str">
        <f t="shared" si="472"/>
        <v>Pariente gordo</v>
      </c>
      <c r="I1192">
        <v>1</v>
      </c>
      <c r="J1192" t="str">
        <f t="shared" si="473"/>
        <v>Hipercaloricos</v>
      </c>
      <c r="K1192">
        <v>2</v>
      </c>
      <c r="L1192">
        <f t="shared" si="474"/>
        <v>1</v>
      </c>
      <c r="M1192" t="str">
        <f t="shared" si="475"/>
        <v>Suele comer</v>
      </c>
      <c r="N1192">
        <v>2698883</v>
      </c>
      <c r="O1192">
        <f t="shared" si="476"/>
        <v>2</v>
      </c>
      <c r="P1192" t="str">
        <f t="shared" si="477"/>
        <v>Mas de 3</v>
      </c>
      <c r="Q1192">
        <v>1</v>
      </c>
      <c r="R1192" t="str">
        <f t="shared" si="478"/>
        <v>A veces</v>
      </c>
      <c r="S1192">
        <v>0</v>
      </c>
      <c r="T1192" t="str">
        <f t="shared" si="479"/>
        <v>No fuma</v>
      </c>
      <c r="U1192">
        <v>2035104</v>
      </c>
      <c r="V1192">
        <f t="shared" si="480"/>
        <v>2</v>
      </c>
      <c r="W1192" t="str">
        <f t="shared" si="481"/>
        <v>Siempre</v>
      </c>
      <c r="X1192">
        <v>0</v>
      </c>
      <c r="Y1192" t="str">
        <f t="shared" si="482"/>
        <v>No controla</v>
      </c>
      <c r="Z1192">
        <v>0.59843800000000003</v>
      </c>
      <c r="AA1192">
        <f t="shared" si="483"/>
        <v>0</v>
      </c>
      <c r="AB1192" t="str">
        <f t="shared" si="484"/>
        <v>Nunca</v>
      </c>
      <c r="AC1192">
        <v>1.7016E-2</v>
      </c>
      <c r="AD1192">
        <f t="shared" si="485"/>
        <v>0</v>
      </c>
      <c r="AE1192" t="str">
        <f t="shared" si="486"/>
        <v>Nunca</v>
      </c>
      <c r="AF1192">
        <v>1</v>
      </c>
      <c r="AG1192" t="str">
        <f t="shared" si="487"/>
        <v>A veces</v>
      </c>
      <c r="AH1192">
        <v>1</v>
      </c>
      <c r="AI1192" t="str">
        <f t="shared" si="488"/>
        <v>Usa auto</v>
      </c>
      <c r="AJ1192">
        <v>0</v>
      </c>
      <c r="AK1192" t="str">
        <f t="shared" si="489"/>
        <v>No usa</v>
      </c>
      <c r="AL1192">
        <v>0</v>
      </c>
      <c r="AM1192" t="str">
        <f t="shared" si="490"/>
        <v>No usa</v>
      </c>
      <c r="AN1192">
        <v>0</v>
      </c>
      <c r="AO1192" t="str">
        <f t="shared" si="491"/>
        <v>No usa</v>
      </c>
      <c r="AP1192">
        <v>0</v>
      </c>
      <c r="AQ1192" t="str">
        <f t="shared" si="492"/>
        <v>No camina</v>
      </c>
      <c r="AR1192">
        <v>0</v>
      </c>
      <c r="AS1192" t="str">
        <f t="shared" si="493"/>
        <v>No es obeso</v>
      </c>
    </row>
    <row r="1193" spans="1:45" x14ac:dyDescent="0.25">
      <c r="A1193">
        <v>1</v>
      </c>
      <c r="B1193" t="str">
        <f t="shared" si="468"/>
        <v>M</v>
      </c>
      <c r="C1193">
        <v>23335391</v>
      </c>
      <c r="D1193">
        <f t="shared" si="469"/>
        <v>63</v>
      </c>
      <c r="E1193">
        <f t="shared" si="470"/>
        <v>63</v>
      </c>
      <c r="F1193" t="str">
        <f t="shared" si="471"/>
        <v>50-75</v>
      </c>
      <c r="G1193">
        <v>1</v>
      </c>
      <c r="H1193" t="str">
        <f t="shared" si="472"/>
        <v>Pariente gordo</v>
      </c>
      <c r="I1193">
        <v>1</v>
      </c>
      <c r="J1193" t="str">
        <f t="shared" si="473"/>
        <v>Hipercaloricos</v>
      </c>
      <c r="K1193">
        <v>2716909</v>
      </c>
      <c r="L1193">
        <f t="shared" si="474"/>
        <v>1</v>
      </c>
      <c r="M1193" t="str">
        <f t="shared" si="475"/>
        <v>Suele comer</v>
      </c>
      <c r="N1193">
        <v>2598079</v>
      </c>
      <c r="O1193">
        <f t="shared" si="476"/>
        <v>2</v>
      </c>
      <c r="P1193" t="str">
        <f t="shared" si="477"/>
        <v>Mas de 3</v>
      </c>
      <c r="Q1193">
        <v>1</v>
      </c>
      <c r="R1193" t="str">
        <f t="shared" si="478"/>
        <v>A veces</v>
      </c>
      <c r="S1193">
        <v>0</v>
      </c>
      <c r="T1193" t="str">
        <f t="shared" si="479"/>
        <v>No fuma</v>
      </c>
      <c r="U1193">
        <v>290545</v>
      </c>
      <c r="V1193">
        <f t="shared" si="480"/>
        <v>2</v>
      </c>
      <c r="W1193" t="str">
        <f t="shared" si="481"/>
        <v>Siempre</v>
      </c>
      <c r="X1193">
        <v>0</v>
      </c>
      <c r="Y1193" t="str">
        <f t="shared" si="482"/>
        <v>No controla</v>
      </c>
      <c r="Z1193">
        <v>1600431</v>
      </c>
      <c r="AA1193">
        <f t="shared" si="483"/>
        <v>3</v>
      </c>
      <c r="AB1193" t="str">
        <f t="shared" si="484"/>
        <v>Siempre</v>
      </c>
      <c r="AC1193">
        <v>0.17689199999999999</v>
      </c>
      <c r="AD1193">
        <f t="shared" si="485"/>
        <v>0</v>
      </c>
      <c r="AE1193" t="str">
        <f t="shared" si="486"/>
        <v>Nunca</v>
      </c>
      <c r="AF1193">
        <v>1</v>
      </c>
      <c r="AG1193" t="str">
        <f t="shared" si="487"/>
        <v>A veces</v>
      </c>
      <c r="AH1193">
        <v>0</v>
      </c>
      <c r="AI1193" t="str">
        <f t="shared" si="488"/>
        <v>No usa</v>
      </c>
      <c r="AJ1193">
        <v>0</v>
      </c>
      <c r="AK1193" t="str">
        <f t="shared" si="489"/>
        <v>No usa</v>
      </c>
      <c r="AL1193">
        <v>0</v>
      </c>
      <c r="AM1193" t="str">
        <f t="shared" si="490"/>
        <v>No usa</v>
      </c>
      <c r="AN1193">
        <v>1</v>
      </c>
      <c r="AO1193" t="str">
        <f t="shared" si="491"/>
        <v>Usa Transporte</v>
      </c>
      <c r="AP1193">
        <v>0</v>
      </c>
      <c r="AQ1193" t="str">
        <f t="shared" si="492"/>
        <v>No camina</v>
      </c>
      <c r="AR1193">
        <v>0</v>
      </c>
      <c r="AS1193" t="str">
        <f t="shared" si="493"/>
        <v>No es obeso</v>
      </c>
    </row>
    <row r="1194" spans="1:45" x14ac:dyDescent="0.25">
      <c r="A1194">
        <v>1</v>
      </c>
      <c r="B1194" t="str">
        <f t="shared" si="468"/>
        <v>M</v>
      </c>
      <c r="C1194">
        <v>19749627</v>
      </c>
      <c r="D1194">
        <f t="shared" si="469"/>
        <v>54</v>
      </c>
      <c r="E1194">
        <f t="shared" si="470"/>
        <v>54</v>
      </c>
      <c r="F1194" t="str">
        <f t="shared" si="471"/>
        <v>50-75</v>
      </c>
      <c r="G1194">
        <v>1</v>
      </c>
      <c r="H1194" t="str">
        <f t="shared" si="472"/>
        <v>Pariente gordo</v>
      </c>
      <c r="I1194">
        <v>0</v>
      </c>
      <c r="J1194" t="str">
        <f t="shared" si="473"/>
        <v>Saludables</v>
      </c>
      <c r="K1194">
        <v>183746</v>
      </c>
      <c r="L1194">
        <f t="shared" si="474"/>
        <v>1</v>
      </c>
      <c r="M1194" t="str">
        <f t="shared" si="475"/>
        <v>Suele comer</v>
      </c>
      <c r="N1194">
        <v>3</v>
      </c>
      <c r="O1194">
        <f t="shared" si="476"/>
        <v>2</v>
      </c>
      <c r="P1194" t="str">
        <f t="shared" si="477"/>
        <v>Mas de 3</v>
      </c>
      <c r="Q1194">
        <v>1</v>
      </c>
      <c r="R1194" t="str">
        <f t="shared" si="478"/>
        <v>A veces</v>
      </c>
      <c r="S1194">
        <v>0</v>
      </c>
      <c r="T1194" t="str">
        <f t="shared" si="479"/>
        <v>No fuma</v>
      </c>
      <c r="U1194">
        <v>2</v>
      </c>
      <c r="V1194">
        <f t="shared" si="480"/>
        <v>2</v>
      </c>
      <c r="W1194" t="str">
        <f t="shared" si="481"/>
        <v>Siempre</v>
      </c>
      <c r="X1194">
        <v>0</v>
      </c>
      <c r="Y1194" t="str">
        <f t="shared" si="482"/>
        <v>No controla</v>
      </c>
      <c r="Z1194">
        <v>1194519</v>
      </c>
      <c r="AA1194">
        <f t="shared" si="483"/>
        <v>3</v>
      </c>
      <c r="AB1194" t="str">
        <f t="shared" si="484"/>
        <v>Siempre</v>
      </c>
      <c r="AC1194">
        <v>1212762</v>
      </c>
      <c r="AD1194">
        <f t="shared" si="485"/>
        <v>2</v>
      </c>
      <c r="AE1194" t="str">
        <f t="shared" si="486"/>
        <v>Siempre</v>
      </c>
      <c r="AF1194">
        <v>0</v>
      </c>
      <c r="AG1194" t="str">
        <f t="shared" si="487"/>
        <v>Nunca</v>
      </c>
      <c r="AH1194">
        <v>0</v>
      </c>
      <c r="AI1194" t="str">
        <f t="shared" si="488"/>
        <v>No usa</v>
      </c>
      <c r="AJ1194">
        <v>0</v>
      </c>
      <c r="AK1194" t="str">
        <f t="shared" si="489"/>
        <v>No usa</v>
      </c>
      <c r="AL1194">
        <v>0</v>
      </c>
      <c r="AM1194" t="str">
        <f t="shared" si="490"/>
        <v>No usa</v>
      </c>
      <c r="AN1194">
        <v>1</v>
      </c>
      <c r="AO1194" t="str">
        <f t="shared" si="491"/>
        <v>Usa Transporte</v>
      </c>
      <c r="AP1194">
        <v>0</v>
      </c>
      <c r="AQ1194" t="str">
        <f t="shared" si="492"/>
        <v>No camina</v>
      </c>
      <c r="AR1194">
        <v>0</v>
      </c>
      <c r="AS1194" t="str">
        <f t="shared" si="493"/>
        <v>No es obeso</v>
      </c>
    </row>
    <row r="1195" spans="1:45" x14ac:dyDescent="0.25">
      <c r="A1195">
        <v>1</v>
      </c>
      <c r="B1195" t="str">
        <f t="shared" si="468"/>
        <v>M</v>
      </c>
      <c r="C1195">
        <v>19565496</v>
      </c>
      <c r="D1195">
        <f t="shared" si="469"/>
        <v>53</v>
      </c>
      <c r="E1195">
        <f t="shared" si="470"/>
        <v>53</v>
      </c>
      <c r="F1195" t="str">
        <f t="shared" si="471"/>
        <v>50-75</v>
      </c>
      <c r="G1195">
        <v>1</v>
      </c>
      <c r="H1195" t="str">
        <f t="shared" si="472"/>
        <v>Pariente gordo</v>
      </c>
      <c r="I1195">
        <v>0</v>
      </c>
      <c r="J1195" t="str">
        <f t="shared" si="473"/>
        <v>Saludables</v>
      </c>
      <c r="K1195">
        <v>1936479</v>
      </c>
      <c r="L1195">
        <f t="shared" si="474"/>
        <v>1</v>
      </c>
      <c r="M1195" t="str">
        <f t="shared" si="475"/>
        <v>Suele comer</v>
      </c>
      <c r="N1195">
        <v>2837388</v>
      </c>
      <c r="O1195">
        <f t="shared" si="476"/>
        <v>2</v>
      </c>
      <c r="P1195" t="str">
        <f t="shared" si="477"/>
        <v>Mas de 3</v>
      </c>
      <c r="Q1195">
        <v>1</v>
      </c>
      <c r="R1195" t="str">
        <f t="shared" si="478"/>
        <v>A veces</v>
      </c>
      <c r="S1195">
        <v>0</v>
      </c>
      <c r="T1195" t="str">
        <f t="shared" si="479"/>
        <v>No fuma</v>
      </c>
      <c r="U1195">
        <v>2159987</v>
      </c>
      <c r="V1195">
        <f t="shared" si="480"/>
        <v>2</v>
      </c>
      <c r="W1195" t="str">
        <f t="shared" si="481"/>
        <v>Siempre</v>
      </c>
      <c r="X1195">
        <v>0</v>
      </c>
      <c r="Y1195" t="str">
        <f t="shared" si="482"/>
        <v>No controla</v>
      </c>
      <c r="Z1195">
        <v>1475772</v>
      </c>
      <c r="AA1195">
        <f t="shared" si="483"/>
        <v>3</v>
      </c>
      <c r="AB1195" t="str">
        <f t="shared" si="484"/>
        <v>Siempre</v>
      </c>
      <c r="AC1195">
        <v>0.64651400000000003</v>
      </c>
      <c r="AD1195">
        <f t="shared" si="485"/>
        <v>0</v>
      </c>
      <c r="AE1195" t="str">
        <f t="shared" si="486"/>
        <v>Nunca</v>
      </c>
      <c r="AF1195">
        <v>1</v>
      </c>
      <c r="AG1195" t="str">
        <f t="shared" si="487"/>
        <v>A veces</v>
      </c>
      <c r="AH1195">
        <v>0</v>
      </c>
      <c r="AI1195" t="str">
        <f t="shared" si="488"/>
        <v>No usa</v>
      </c>
      <c r="AJ1195">
        <v>0</v>
      </c>
      <c r="AK1195" t="str">
        <f t="shared" si="489"/>
        <v>No usa</v>
      </c>
      <c r="AL1195">
        <v>0</v>
      </c>
      <c r="AM1195" t="str">
        <f t="shared" si="490"/>
        <v>No usa</v>
      </c>
      <c r="AN1195">
        <v>1</v>
      </c>
      <c r="AO1195" t="str">
        <f t="shared" si="491"/>
        <v>Usa Transporte</v>
      </c>
      <c r="AP1195">
        <v>0</v>
      </c>
      <c r="AQ1195" t="str">
        <f t="shared" si="492"/>
        <v>No camina</v>
      </c>
      <c r="AR1195">
        <v>0</v>
      </c>
      <c r="AS1195" t="str">
        <f t="shared" si="493"/>
        <v>No es obeso</v>
      </c>
    </row>
    <row r="1196" spans="1:45" x14ac:dyDescent="0.25">
      <c r="A1196">
        <v>1</v>
      </c>
      <c r="B1196" t="str">
        <f t="shared" si="468"/>
        <v>M</v>
      </c>
      <c r="C1196">
        <v>30357745</v>
      </c>
      <c r="D1196">
        <f t="shared" si="469"/>
        <v>83</v>
      </c>
      <c r="E1196">
        <f t="shared" si="470"/>
        <v>83</v>
      </c>
      <c r="F1196" t="str">
        <f t="shared" si="471"/>
        <v>75-100</v>
      </c>
      <c r="G1196">
        <v>1</v>
      </c>
      <c r="H1196" t="str">
        <f t="shared" si="472"/>
        <v>Pariente gordo</v>
      </c>
      <c r="I1196">
        <v>1</v>
      </c>
      <c r="J1196" t="str">
        <f t="shared" si="473"/>
        <v>Hipercaloricos</v>
      </c>
      <c r="K1196">
        <v>2045027</v>
      </c>
      <c r="L1196">
        <f t="shared" si="474"/>
        <v>1</v>
      </c>
      <c r="M1196" t="str">
        <f t="shared" si="475"/>
        <v>Suele comer</v>
      </c>
      <c r="N1196">
        <v>2946063</v>
      </c>
      <c r="O1196">
        <f t="shared" si="476"/>
        <v>2</v>
      </c>
      <c r="P1196" t="str">
        <f t="shared" si="477"/>
        <v>Mas de 3</v>
      </c>
      <c r="Q1196">
        <v>1</v>
      </c>
      <c r="R1196" t="str">
        <f t="shared" si="478"/>
        <v>A veces</v>
      </c>
      <c r="S1196">
        <v>0</v>
      </c>
      <c r="T1196" t="str">
        <f t="shared" si="479"/>
        <v>No fuma</v>
      </c>
      <c r="U1196">
        <v>1307563</v>
      </c>
      <c r="V1196">
        <f t="shared" si="480"/>
        <v>2</v>
      </c>
      <c r="W1196" t="str">
        <f t="shared" si="481"/>
        <v>Siempre</v>
      </c>
      <c r="X1196">
        <v>0</v>
      </c>
      <c r="Y1196" t="str">
        <f t="shared" si="482"/>
        <v>No controla</v>
      </c>
      <c r="Z1196">
        <v>1442485</v>
      </c>
      <c r="AA1196">
        <f t="shared" si="483"/>
        <v>3</v>
      </c>
      <c r="AB1196" t="str">
        <f t="shared" si="484"/>
        <v>Siempre</v>
      </c>
      <c r="AC1196">
        <v>0.93449300000000002</v>
      </c>
      <c r="AD1196">
        <f t="shared" si="485"/>
        <v>0</v>
      </c>
      <c r="AE1196" t="str">
        <f t="shared" si="486"/>
        <v>Nunca</v>
      </c>
      <c r="AF1196">
        <v>1</v>
      </c>
      <c r="AG1196" t="str">
        <f t="shared" si="487"/>
        <v>A veces</v>
      </c>
      <c r="AH1196">
        <v>0</v>
      </c>
      <c r="AI1196" t="str">
        <f t="shared" si="488"/>
        <v>No usa</v>
      </c>
      <c r="AJ1196">
        <v>0</v>
      </c>
      <c r="AK1196" t="str">
        <f t="shared" si="489"/>
        <v>No usa</v>
      </c>
      <c r="AL1196">
        <v>0</v>
      </c>
      <c r="AM1196" t="str">
        <f t="shared" si="490"/>
        <v>No usa</v>
      </c>
      <c r="AN1196">
        <v>1</v>
      </c>
      <c r="AO1196" t="str">
        <f t="shared" si="491"/>
        <v>Usa Transporte</v>
      </c>
      <c r="AP1196">
        <v>0</v>
      </c>
      <c r="AQ1196" t="str">
        <f t="shared" si="492"/>
        <v>No camina</v>
      </c>
      <c r="AR1196">
        <v>0</v>
      </c>
      <c r="AS1196" t="str">
        <f t="shared" si="493"/>
        <v>No es obeso</v>
      </c>
    </row>
    <row r="1197" spans="1:45" x14ac:dyDescent="0.25">
      <c r="A1197">
        <v>1</v>
      </c>
      <c r="B1197" t="str">
        <f t="shared" si="468"/>
        <v>M</v>
      </c>
      <c r="C1197">
        <v>27</v>
      </c>
      <c r="D1197">
        <f t="shared" si="469"/>
        <v>27</v>
      </c>
      <c r="E1197">
        <f t="shared" si="470"/>
        <v>27</v>
      </c>
      <c r="F1197" t="str">
        <f t="shared" si="471"/>
        <v>25-50</v>
      </c>
      <c r="G1197">
        <v>1</v>
      </c>
      <c r="H1197" t="str">
        <f t="shared" si="472"/>
        <v>Pariente gordo</v>
      </c>
      <c r="I1197">
        <v>1</v>
      </c>
      <c r="J1197" t="str">
        <f t="shared" si="473"/>
        <v>Hipercaloricos</v>
      </c>
      <c r="K1197">
        <v>2760607</v>
      </c>
      <c r="L1197">
        <f t="shared" si="474"/>
        <v>1</v>
      </c>
      <c r="M1197" t="str">
        <f t="shared" si="475"/>
        <v>Suele comer</v>
      </c>
      <c r="N1197">
        <v>1</v>
      </c>
      <c r="O1197">
        <f t="shared" si="476"/>
        <v>1</v>
      </c>
      <c r="P1197">
        <f t="shared" si="477"/>
        <v>3</v>
      </c>
      <c r="Q1197">
        <v>1</v>
      </c>
      <c r="R1197" t="str">
        <f t="shared" si="478"/>
        <v>A veces</v>
      </c>
      <c r="S1197">
        <v>0</v>
      </c>
      <c r="T1197" t="str">
        <f t="shared" si="479"/>
        <v>No fuma</v>
      </c>
      <c r="U1197">
        <v>1336378</v>
      </c>
      <c r="V1197">
        <f t="shared" si="480"/>
        <v>2</v>
      </c>
      <c r="W1197" t="str">
        <f t="shared" si="481"/>
        <v>Siempre</v>
      </c>
      <c r="X1197">
        <v>0</v>
      </c>
      <c r="Y1197" t="str">
        <f t="shared" si="482"/>
        <v>No controla</v>
      </c>
      <c r="Z1197">
        <v>1898889</v>
      </c>
      <c r="AA1197">
        <f t="shared" si="483"/>
        <v>3</v>
      </c>
      <c r="AB1197" t="str">
        <f t="shared" si="484"/>
        <v>Siempre</v>
      </c>
      <c r="AC1197">
        <v>0.487375</v>
      </c>
      <c r="AD1197">
        <f t="shared" si="485"/>
        <v>0</v>
      </c>
      <c r="AE1197" t="str">
        <f t="shared" si="486"/>
        <v>Nunca</v>
      </c>
      <c r="AF1197">
        <v>1</v>
      </c>
      <c r="AG1197" t="str">
        <f t="shared" si="487"/>
        <v>A veces</v>
      </c>
      <c r="AH1197">
        <v>0</v>
      </c>
      <c r="AI1197" t="str">
        <f t="shared" si="488"/>
        <v>No usa</v>
      </c>
      <c r="AJ1197">
        <v>0</v>
      </c>
      <c r="AK1197" t="str">
        <f t="shared" si="489"/>
        <v>No usa</v>
      </c>
      <c r="AL1197">
        <v>0</v>
      </c>
      <c r="AM1197" t="str">
        <f t="shared" si="490"/>
        <v>No usa</v>
      </c>
      <c r="AN1197">
        <v>1</v>
      </c>
      <c r="AO1197" t="str">
        <f t="shared" si="491"/>
        <v>Usa Transporte</v>
      </c>
      <c r="AP1197">
        <v>0</v>
      </c>
      <c r="AQ1197" t="str">
        <f t="shared" si="492"/>
        <v>No camina</v>
      </c>
      <c r="AR1197">
        <v>0</v>
      </c>
      <c r="AS1197" t="str">
        <f t="shared" si="493"/>
        <v>No es obeso</v>
      </c>
    </row>
    <row r="1198" spans="1:45" x14ac:dyDescent="0.25">
      <c r="A1198">
        <v>1</v>
      </c>
      <c r="B1198" t="str">
        <f t="shared" si="468"/>
        <v>M</v>
      </c>
      <c r="C1198">
        <v>21380336</v>
      </c>
      <c r="D1198">
        <f t="shared" si="469"/>
        <v>58</v>
      </c>
      <c r="E1198">
        <f t="shared" si="470"/>
        <v>58</v>
      </c>
      <c r="F1198" t="str">
        <f t="shared" si="471"/>
        <v>50-75</v>
      </c>
      <c r="G1198">
        <v>1</v>
      </c>
      <c r="H1198" t="str">
        <f t="shared" si="472"/>
        <v>Pariente gordo</v>
      </c>
      <c r="I1198">
        <v>1</v>
      </c>
      <c r="J1198" t="str">
        <f t="shared" si="473"/>
        <v>Hipercaloricos</v>
      </c>
      <c r="K1198">
        <v>209449</v>
      </c>
      <c r="L1198">
        <f t="shared" si="474"/>
        <v>1</v>
      </c>
      <c r="M1198" t="str">
        <f t="shared" si="475"/>
        <v>Suele comer</v>
      </c>
      <c r="N1198">
        <v>1873484</v>
      </c>
      <c r="O1198">
        <f t="shared" si="476"/>
        <v>2</v>
      </c>
      <c r="P1198" t="str">
        <f t="shared" si="477"/>
        <v>Mas de 3</v>
      </c>
      <c r="Q1198">
        <v>1</v>
      </c>
      <c r="R1198" t="str">
        <f t="shared" si="478"/>
        <v>A veces</v>
      </c>
      <c r="S1198">
        <v>0</v>
      </c>
      <c r="T1198" t="str">
        <f t="shared" si="479"/>
        <v>No fuma</v>
      </c>
      <c r="U1198">
        <v>2</v>
      </c>
      <c r="V1198">
        <f t="shared" si="480"/>
        <v>2</v>
      </c>
      <c r="W1198" t="str">
        <f t="shared" si="481"/>
        <v>Siempre</v>
      </c>
      <c r="X1198">
        <v>0</v>
      </c>
      <c r="Y1198" t="str">
        <f t="shared" si="482"/>
        <v>No controla</v>
      </c>
      <c r="Z1198">
        <v>2079709</v>
      </c>
      <c r="AA1198">
        <f t="shared" si="483"/>
        <v>3</v>
      </c>
      <c r="AB1198" t="str">
        <f t="shared" si="484"/>
        <v>Siempre</v>
      </c>
      <c r="AC1198">
        <v>0.88041400000000003</v>
      </c>
      <c r="AD1198">
        <f t="shared" si="485"/>
        <v>0</v>
      </c>
      <c r="AE1198" t="str">
        <f t="shared" si="486"/>
        <v>Nunca</v>
      </c>
      <c r="AF1198">
        <v>1</v>
      </c>
      <c r="AG1198" t="str">
        <f t="shared" si="487"/>
        <v>A veces</v>
      </c>
      <c r="AH1198">
        <v>0</v>
      </c>
      <c r="AI1198" t="str">
        <f t="shared" si="488"/>
        <v>No usa</v>
      </c>
      <c r="AJ1198">
        <v>0</v>
      </c>
      <c r="AK1198" t="str">
        <f t="shared" si="489"/>
        <v>No usa</v>
      </c>
      <c r="AL1198">
        <v>0</v>
      </c>
      <c r="AM1198" t="str">
        <f t="shared" si="490"/>
        <v>No usa</v>
      </c>
      <c r="AN1198">
        <v>1</v>
      </c>
      <c r="AO1198" t="str">
        <f t="shared" si="491"/>
        <v>Usa Transporte</v>
      </c>
      <c r="AP1198">
        <v>0</v>
      </c>
      <c r="AQ1198" t="str">
        <f t="shared" si="492"/>
        <v>No camina</v>
      </c>
      <c r="AR1198">
        <v>0</v>
      </c>
      <c r="AS1198" t="str">
        <f t="shared" si="493"/>
        <v>No es obeso</v>
      </c>
    </row>
    <row r="1199" spans="1:45" x14ac:dyDescent="0.25">
      <c r="A1199">
        <v>1</v>
      </c>
      <c r="B1199" t="str">
        <f t="shared" si="468"/>
        <v>M</v>
      </c>
      <c r="C1199">
        <v>33151905</v>
      </c>
      <c r="D1199">
        <f t="shared" si="469"/>
        <v>90</v>
      </c>
      <c r="E1199">
        <f t="shared" si="470"/>
        <v>90</v>
      </c>
      <c r="F1199" t="str">
        <f t="shared" si="471"/>
        <v>75-100</v>
      </c>
      <c r="G1199">
        <v>1</v>
      </c>
      <c r="H1199" t="str">
        <f t="shared" si="472"/>
        <v>Pariente gordo</v>
      </c>
      <c r="I1199">
        <v>1</v>
      </c>
      <c r="J1199" t="str">
        <f t="shared" si="473"/>
        <v>Hipercaloricos</v>
      </c>
      <c r="K1199">
        <v>2</v>
      </c>
      <c r="L1199">
        <f t="shared" si="474"/>
        <v>1</v>
      </c>
      <c r="M1199" t="str">
        <f t="shared" si="475"/>
        <v>Suele comer</v>
      </c>
      <c r="N1199">
        <v>2473911</v>
      </c>
      <c r="O1199">
        <f t="shared" si="476"/>
        <v>2</v>
      </c>
      <c r="P1199" t="str">
        <f t="shared" si="477"/>
        <v>Mas de 3</v>
      </c>
      <c r="Q1199">
        <v>1</v>
      </c>
      <c r="R1199" t="str">
        <f t="shared" si="478"/>
        <v>A veces</v>
      </c>
      <c r="S1199">
        <v>0</v>
      </c>
      <c r="T1199" t="str">
        <f t="shared" si="479"/>
        <v>No fuma</v>
      </c>
      <c r="U1199">
        <v>2452789</v>
      </c>
      <c r="V1199">
        <f t="shared" si="480"/>
        <v>2</v>
      </c>
      <c r="W1199" t="str">
        <f t="shared" si="481"/>
        <v>Siempre</v>
      </c>
      <c r="X1199">
        <v>0</v>
      </c>
      <c r="Y1199" t="str">
        <f t="shared" si="482"/>
        <v>No controla</v>
      </c>
      <c r="Z1199">
        <v>0.93279199999999995</v>
      </c>
      <c r="AA1199">
        <f t="shared" si="483"/>
        <v>0</v>
      </c>
      <c r="AB1199" t="str">
        <f t="shared" si="484"/>
        <v>Nunca</v>
      </c>
      <c r="AC1199">
        <v>0</v>
      </c>
      <c r="AD1199">
        <f t="shared" si="485"/>
        <v>0</v>
      </c>
      <c r="AE1199" t="str">
        <f t="shared" si="486"/>
        <v>Nunca</v>
      </c>
      <c r="AF1199">
        <v>0</v>
      </c>
      <c r="AG1199" t="str">
        <f t="shared" si="487"/>
        <v>Nunca</v>
      </c>
      <c r="AH1199">
        <v>1</v>
      </c>
      <c r="AI1199" t="str">
        <f t="shared" si="488"/>
        <v>Usa auto</v>
      </c>
      <c r="AJ1199">
        <v>0</v>
      </c>
      <c r="AK1199" t="str">
        <f t="shared" si="489"/>
        <v>No usa</v>
      </c>
      <c r="AL1199">
        <v>0</v>
      </c>
      <c r="AM1199" t="str">
        <f t="shared" si="490"/>
        <v>No usa</v>
      </c>
      <c r="AN1199">
        <v>0</v>
      </c>
      <c r="AO1199" t="str">
        <f t="shared" si="491"/>
        <v>No usa</v>
      </c>
      <c r="AP1199">
        <v>0</v>
      </c>
      <c r="AQ1199" t="str">
        <f t="shared" si="492"/>
        <v>No camina</v>
      </c>
      <c r="AR1199">
        <v>0</v>
      </c>
      <c r="AS1199" t="str">
        <f t="shared" si="493"/>
        <v>No es obeso</v>
      </c>
    </row>
    <row r="1200" spans="1:45" x14ac:dyDescent="0.25">
      <c r="A1200">
        <v>1</v>
      </c>
      <c r="B1200" t="str">
        <f t="shared" si="468"/>
        <v>M</v>
      </c>
      <c r="C1200">
        <v>18</v>
      </c>
      <c r="D1200">
        <f t="shared" si="469"/>
        <v>18</v>
      </c>
      <c r="E1200">
        <f t="shared" si="470"/>
        <v>18</v>
      </c>
      <c r="F1200" t="str">
        <f t="shared" si="471"/>
        <v>1-25</v>
      </c>
      <c r="G1200">
        <v>1</v>
      </c>
      <c r="H1200" t="str">
        <f t="shared" si="472"/>
        <v>Pariente gordo</v>
      </c>
      <c r="I1200">
        <v>1</v>
      </c>
      <c r="J1200" t="str">
        <f t="shared" si="473"/>
        <v>Hipercaloricos</v>
      </c>
      <c r="K1200">
        <v>2907062</v>
      </c>
      <c r="L1200">
        <f t="shared" si="474"/>
        <v>1</v>
      </c>
      <c r="M1200" t="str">
        <f t="shared" si="475"/>
        <v>Suele comer</v>
      </c>
      <c r="N1200">
        <v>3</v>
      </c>
      <c r="O1200">
        <f t="shared" si="476"/>
        <v>2</v>
      </c>
      <c r="P1200" t="str">
        <f t="shared" si="477"/>
        <v>Mas de 3</v>
      </c>
      <c r="Q1200">
        <v>1</v>
      </c>
      <c r="R1200" t="str">
        <f t="shared" si="478"/>
        <v>A veces</v>
      </c>
      <c r="S1200">
        <v>0</v>
      </c>
      <c r="T1200" t="str">
        <f t="shared" si="479"/>
        <v>No fuma</v>
      </c>
      <c r="U1200">
        <v>2740848</v>
      </c>
      <c r="V1200">
        <f t="shared" si="480"/>
        <v>2</v>
      </c>
      <c r="W1200" t="str">
        <f t="shared" si="481"/>
        <v>Siempre</v>
      </c>
      <c r="X1200">
        <v>0</v>
      </c>
      <c r="Y1200" t="str">
        <f t="shared" si="482"/>
        <v>No controla</v>
      </c>
      <c r="Z1200">
        <v>1219827</v>
      </c>
      <c r="AA1200">
        <f t="shared" si="483"/>
        <v>3</v>
      </c>
      <c r="AB1200" t="str">
        <f t="shared" si="484"/>
        <v>Siempre</v>
      </c>
      <c r="AC1200">
        <v>3.7634000000000001E-2</v>
      </c>
      <c r="AD1200">
        <f t="shared" si="485"/>
        <v>0</v>
      </c>
      <c r="AE1200" t="str">
        <f t="shared" si="486"/>
        <v>Nunca</v>
      </c>
      <c r="AF1200">
        <v>1</v>
      </c>
      <c r="AG1200" t="str">
        <f t="shared" si="487"/>
        <v>A veces</v>
      </c>
      <c r="AH1200">
        <v>0</v>
      </c>
      <c r="AI1200" t="str">
        <f t="shared" si="488"/>
        <v>No usa</v>
      </c>
      <c r="AJ1200">
        <v>0</v>
      </c>
      <c r="AK1200" t="str">
        <f t="shared" si="489"/>
        <v>No usa</v>
      </c>
      <c r="AL1200">
        <v>0</v>
      </c>
      <c r="AM1200" t="str">
        <f t="shared" si="490"/>
        <v>No usa</v>
      </c>
      <c r="AN1200">
        <v>1</v>
      </c>
      <c r="AO1200" t="str">
        <f t="shared" si="491"/>
        <v>Usa Transporte</v>
      </c>
      <c r="AP1200">
        <v>0</v>
      </c>
      <c r="AQ1200" t="str">
        <f t="shared" si="492"/>
        <v>No camina</v>
      </c>
      <c r="AR1200">
        <v>0</v>
      </c>
      <c r="AS1200" t="str">
        <f t="shared" si="493"/>
        <v>No es obeso</v>
      </c>
    </row>
    <row r="1201" spans="1:45" x14ac:dyDescent="0.25">
      <c r="A1201">
        <v>1</v>
      </c>
      <c r="B1201" t="str">
        <f t="shared" si="468"/>
        <v>M</v>
      </c>
      <c r="C1201">
        <v>32241587</v>
      </c>
      <c r="D1201">
        <f t="shared" si="469"/>
        <v>88</v>
      </c>
      <c r="E1201">
        <f t="shared" si="470"/>
        <v>88</v>
      </c>
      <c r="F1201" t="str">
        <f t="shared" si="471"/>
        <v>75-100</v>
      </c>
      <c r="G1201">
        <v>1</v>
      </c>
      <c r="H1201" t="str">
        <f t="shared" si="472"/>
        <v>Pariente gordo</v>
      </c>
      <c r="I1201">
        <v>1</v>
      </c>
      <c r="J1201" t="str">
        <f t="shared" si="473"/>
        <v>Hipercaloricos</v>
      </c>
      <c r="K1201">
        <v>2</v>
      </c>
      <c r="L1201">
        <f t="shared" si="474"/>
        <v>1</v>
      </c>
      <c r="M1201" t="str">
        <f t="shared" si="475"/>
        <v>Suele comer</v>
      </c>
      <c r="N1201">
        <v>179558</v>
      </c>
      <c r="O1201">
        <f t="shared" si="476"/>
        <v>2</v>
      </c>
      <c r="P1201" t="str">
        <f t="shared" si="477"/>
        <v>Mas de 3</v>
      </c>
      <c r="Q1201">
        <v>1</v>
      </c>
      <c r="R1201" t="str">
        <f t="shared" si="478"/>
        <v>A veces</v>
      </c>
      <c r="S1201">
        <v>0</v>
      </c>
      <c r="T1201" t="str">
        <f t="shared" si="479"/>
        <v>No fuma</v>
      </c>
      <c r="U1201">
        <v>1855054</v>
      </c>
      <c r="V1201">
        <f t="shared" si="480"/>
        <v>2</v>
      </c>
      <c r="W1201" t="str">
        <f t="shared" si="481"/>
        <v>Siempre</v>
      </c>
      <c r="X1201">
        <v>0</v>
      </c>
      <c r="Y1201" t="str">
        <f t="shared" si="482"/>
        <v>No controla</v>
      </c>
      <c r="Z1201">
        <v>1083572</v>
      </c>
      <c r="AA1201">
        <f t="shared" si="483"/>
        <v>3</v>
      </c>
      <c r="AB1201" t="str">
        <f t="shared" si="484"/>
        <v>Siempre</v>
      </c>
      <c r="AC1201">
        <v>0.21857399999999999</v>
      </c>
      <c r="AD1201">
        <f t="shared" si="485"/>
        <v>0</v>
      </c>
      <c r="AE1201" t="str">
        <f t="shared" si="486"/>
        <v>Nunca</v>
      </c>
      <c r="AF1201">
        <v>1</v>
      </c>
      <c r="AG1201" t="str">
        <f t="shared" si="487"/>
        <v>A veces</v>
      </c>
      <c r="AH1201">
        <v>0</v>
      </c>
      <c r="AI1201" t="str">
        <f t="shared" si="488"/>
        <v>No usa</v>
      </c>
      <c r="AJ1201">
        <v>0</v>
      </c>
      <c r="AK1201" t="str">
        <f t="shared" si="489"/>
        <v>No usa</v>
      </c>
      <c r="AL1201">
        <v>0</v>
      </c>
      <c r="AM1201" t="str">
        <f t="shared" si="490"/>
        <v>No usa</v>
      </c>
      <c r="AN1201">
        <v>1</v>
      </c>
      <c r="AO1201" t="str">
        <f t="shared" si="491"/>
        <v>Usa Transporte</v>
      </c>
      <c r="AP1201">
        <v>0</v>
      </c>
      <c r="AQ1201" t="str">
        <f t="shared" si="492"/>
        <v>No camina</v>
      </c>
      <c r="AR1201">
        <v>0</v>
      </c>
      <c r="AS1201" t="str">
        <f t="shared" si="493"/>
        <v>No es obeso</v>
      </c>
    </row>
    <row r="1202" spans="1:45" x14ac:dyDescent="0.25">
      <c r="A1202">
        <v>1</v>
      </c>
      <c r="B1202" t="str">
        <f t="shared" si="468"/>
        <v>M</v>
      </c>
      <c r="C1202">
        <v>31662814</v>
      </c>
      <c r="D1202">
        <f t="shared" si="469"/>
        <v>86</v>
      </c>
      <c r="E1202">
        <f t="shared" si="470"/>
        <v>86</v>
      </c>
      <c r="F1202" t="str">
        <f t="shared" si="471"/>
        <v>75-100</v>
      </c>
      <c r="G1202">
        <v>1</v>
      </c>
      <c r="H1202" t="str">
        <f t="shared" si="472"/>
        <v>Pariente gordo</v>
      </c>
      <c r="I1202">
        <v>1</v>
      </c>
      <c r="J1202" t="str">
        <f t="shared" si="473"/>
        <v>Hipercaloricos</v>
      </c>
      <c r="K1202">
        <v>2399531</v>
      </c>
      <c r="L1202">
        <f t="shared" si="474"/>
        <v>1</v>
      </c>
      <c r="M1202" t="str">
        <f t="shared" si="475"/>
        <v>Suele comer</v>
      </c>
      <c r="N1202">
        <v>2623079</v>
      </c>
      <c r="O1202">
        <f t="shared" si="476"/>
        <v>2</v>
      </c>
      <c r="P1202" t="str">
        <f t="shared" si="477"/>
        <v>Mas de 3</v>
      </c>
      <c r="Q1202">
        <v>1</v>
      </c>
      <c r="R1202" t="str">
        <f t="shared" si="478"/>
        <v>A veces</v>
      </c>
      <c r="S1202">
        <v>0</v>
      </c>
      <c r="T1202" t="str">
        <f t="shared" si="479"/>
        <v>No fuma</v>
      </c>
      <c r="U1202">
        <v>2535127</v>
      </c>
      <c r="V1202">
        <f t="shared" si="480"/>
        <v>2</v>
      </c>
      <c r="W1202" t="str">
        <f t="shared" si="481"/>
        <v>Siempre</v>
      </c>
      <c r="X1202">
        <v>0</v>
      </c>
      <c r="Y1202" t="str">
        <f t="shared" si="482"/>
        <v>No controla</v>
      </c>
      <c r="Z1202">
        <v>1030752</v>
      </c>
      <c r="AA1202">
        <f t="shared" si="483"/>
        <v>3</v>
      </c>
      <c r="AB1202" t="str">
        <f t="shared" si="484"/>
        <v>Siempre</v>
      </c>
      <c r="AC1202">
        <v>0.60626400000000003</v>
      </c>
      <c r="AD1202">
        <f t="shared" si="485"/>
        <v>0</v>
      </c>
      <c r="AE1202" t="str">
        <f t="shared" si="486"/>
        <v>Nunca</v>
      </c>
      <c r="AF1202">
        <v>1</v>
      </c>
      <c r="AG1202" t="str">
        <f t="shared" si="487"/>
        <v>A veces</v>
      </c>
      <c r="AH1202">
        <v>1</v>
      </c>
      <c r="AI1202" t="str">
        <f t="shared" si="488"/>
        <v>Usa auto</v>
      </c>
      <c r="AJ1202">
        <v>0</v>
      </c>
      <c r="AK1202" t="str">
        <f t="shared" si="489"/>
        <v>No usa</v>
      </c>
      <c r="AL1202">
        <v>0</v>
      </c>
      <c r="AM1202" t="str">
        <f t="shared" si="490"/>
        <v>No usa</v>
      </c>
      <c r="AN1202">
        <v>0</v>
      </c>
      <c r="AO1202" t="str">
        <f t="shared" si="491"/>
        <v>No usa</v>
      </c>
      <c r="AP1202">
        <v>0</v>
      </c>
      <c r="AQ1202" t="str">
        <f t="shared" si="492"/>
        <v>No camina</v>
      </c>
      <c r="AR1202">
        <v>0</v>
      </c>
      <c r="AS1202" t="str">
        <f t="shared" si="493"/>
        <v>No es obeso</v>
      </c>
    </row>
    <row r="1203" spans="1:45" x14ac:dyDescent="0.25">
      <c r="A1203">
        <v>1</v>
      </c>
      <c r="B1203" t="str">
        <f t="shared" si="468"/>
        <v>M</v>
      </c>
      <c r="C1203">
        <v>24347414</v>
      </c>
      <c r="D1203">
        <f t="shared" si="469"/>
        <v>66</v>
      </c>
      <c r="E1203">
        <f t="shared" si="470"/>
        <v>66</v>
      </c>
      <c r="F1203" t="str">
        <f t="shared" si="471"/>
        <v>50-75</v>
      </c>
      <c r="G1203">
        <v>1</v>
      </c>
      <c r="H1203" t="str">
        <f t="shared" si="472"/>
        <v>Pariente gordo</v>
      </c>
      <c r="I1203">
        <v>1</v>
      </c>
      <c r="J1203" t="str">
        <f t="shared" si="473"/>
        <v>Hipercaloricos</v>
      </c>
      <c r="K1203">
        <v>1521604</v>
      </c>
      <c r="L1203">
        <f t="shared" si="474"/>
        <v>1</v>
      </c>
      <c r="M1203" t="str">
        <f t="shared" si="475"/>
        <v>Suele comer</v>
      </c>
      <c r="N1203">
        <v>2174968</v>
      </c>
      <c r="O1203">
        <f t="shared" si="476"/>
        <v>2</v>
      </c>
      <c r="P1203" t="str">
        <f t="shared" si="477"/>
        <v>Mas de 3</v>
      </c>
      <c r="Q1203">
        <v>1</v>
      </c>
      <c r="R1203" t="str">
        <f t="shared" si="478"/>
        <v>A veces</v>
      </c>
      <c r="S1203">
        <v>0</v>
      </c>
      <c r="T1203" t="str">
        <f t="shared" si="479"/>
        <v>No fuma</v>
      </c>
      <c r="U1203">
        <v>2</v>
      </c>
      <c r="V1203">
        <f t="shared" si="480"/>
        <v>2</v>
      </c>
      <c r="W1203" t="str">
        <f t="shared" si="481"/>
        <v>Siempre</v>
      </c>
      <c r="X1203">
        <v>0</v>
      </c>
      <c r="Y1203" t="str">
        <f t="shared" si="482"/>
        <v>No controla</v>
      </c>
      <c r="Z1203">
        <v>0</v>
      </c>
      <c r="AA1203">
        <f t="shared" si="483"/>
        <v>0</v>
      </c>
      <c r="AB1203" t="str">
        <f t="shared" si="484"/>
        <v>Nunca</v>
      </c>
      <c r="AC1203">
        <v>0.632467</v>
      </c>
      <c r="AD1203">
        <f t="shared" si="485"/>
        <v>0</v>
      </c>
      <c r="AE1203" t="str">
        <f t="shared" si="486"/>
        <v>Nunca</v>
      </c>
      <c r="AF1203">
        <v>1</v>
      </c>
      <c r="AG1203" t="str">
        <f t="shared" si="487"/>
        <v>A veces</v>
      </c>
      <c r="AH1203">
        <v>0</v>
      </c>
      <c r="AI1203" t="str">
        <f t="shared" si="488"/>
        <v>No usa</v>
      </c>
      <c r="AJ1203">
        <v>0</v>
      </c>
      <c r="AK1203" t="str">
        <f t="shared" si="489"/>
        <v>No usa</v>
      </c>
      <c r="AL1203">
        <v>0</v>
      </c>
      <c r="AM1203" t="str">
        <f t="shared" si="490"/>
        <v>No usa</v>
      </c>
      <c r="AN1203">
        <v>1</v>
      </c>
      <c r="AO1203" t="str">
        <f t="shared" si="491"/>
        <v>Usa Transporte</v>
      </c>
      <c r="AP1203">
        <v>0</v>
      </c>
      <c r="AQ1203" t="str">
        <f t="shared" si="492"/>
        <v>No camina</v>
      </c>
      <c r="AR1203">
        <v>0</v>
      </c>
      <c r="AS1203" t="str">
        <f t="shared" si="493"/>
        <v>No es obeso</v>
      </c>
    </row>
    <row r="1204" spans="1:45" x14ac:dyDescent="0.25">
      <c r="A1204">
        <v>1</v>
      </c>
      <c r="B1204" t="str">
        <f t="shared" si="468"/>
        <v>M</v>
      </c>
      <c r="C1204">
        <v>24362124</v>
      </c>
      <c r="D1204">
        <f t="shared" si="469"/>
        <v>66</v>
      </c>
      <c r="E1204">
        <f t="shared" si="470"/>
        <v>66</v>
      </c>
      <c r="F1204" t="str">
        <f t="shared" si="471"/>
        <v>50-75</v>
      </c>
      <c r="G1204">
        <v>1</v>
      </c>
      <c r="H1204" t="str">
        <f t="shared" si="472"/>
        <v>Pariente gordo</v>
      </c>
      <c r="I1204">
        <v>1</v>
      </c>
      <c r="J1204" t="str">
        <f t="shared" si="473"/>
        <v>Hipercaloricos</v>
      </c>
      <c r="K1204">
        <v>2</v>
      </c>
      <c r="L1204">
        <f t="shared" si="474"/>
        <v>1</v>
      </c>
      <c r="M1204" t="str">
        <f t="shared" si="475"/>
        <v>Suele comer</v>
      </c>
      <c r="N1204">
        <v>2676148</v>
      </c>
      <c r="O1204">
        <f t="shared" si="476"/>
        <v>2</v>
      </c>
      <c r="P1204" t="str">
        <f t="shared" si="477"/>
        <v>Mas de 3</v>
      </c>
      <c r="Q1204">
        <v>1</v>
      </c>
      <c r="R1204" t="str">
        <f t="shared" si="478"/>
        <v>A veces</v>
      </c>
      <c r="S1204">
        <v>0</v>
      </c>
      <c r="T1204" t="str">
        <f t="shared" si="479"/>
        <v>No fuma</v>
      </c>
      <c r="U1204">
        <v>2083939</v>
      </c>
      <c r="V1204">
        <f t="shared" si="480"/>
        <v>2</v>
      </c>
      <c r="W1204" t="str">
        <f t="shared" si="481"/>
        <v>Siempre</v>
      </c>
      <c r="X1204">
        <v>0</v>
      </c>
      <c r="Y1204" t="str">
        <f t="shared" si="482"/>
        <v>No controla</v>
      </c>
      <c r="Z1204">
        <v>0.63216399999999995</v>
      </c>
      <c r="AA1204">
        <f t="shared" si="483"/>
        <v>0</v>
      </c>
      <c r="AB1204" t="str">
        <f t="shared" si="484"/>
        <v>Nunca</v>
      </c>
      <c r="AC1204">
        <v>0.99378599999999995</v>
      </c>
      <c r="AD1204">
        <f t="shared" si="485"/>
        <v>0</v>
      </c>
      <c r="AE1204" t="str">
        <f t="shared" si="486"/>
        <v>Nunca</v>
      </c>
      <c r="AF1204">
        <v>1</v>
      </c>
      <c r="AG1204" t="str">
        <f t="shared" si="487"/>
        <v>A veces</v>
      </c>
      <c r="AH1204">
        <v>0</v>
      </c>
      <c r="AI1204" t="str">
        <f t="shared" si="488"/>
        <v>No usa</v>
      </c>
      <c r="AJ1204">
        <v>0</v>
      </c>
      <c r="AK1204" t="str">
        <f t="shared" si="489"/>
        <v>No usa</v>
      </c>
      <c r="AL1204">
        <v>0</v>
      </c>
      <c r="AM1204" t="str">
        <f t="shared" si="490"/>
        <v>No usa</v>
      </c>
      <c r="AN1204">
        <v>1</v>
      </c>
      <c r="AO1204" t="str">
        <f t="shared" si="491"/>
        <v>Usa Transporte</v>
      </c>
      <c r="AP1204">
        <v>0</v>
      </c>
      <c r="AQ1204" t="str">
        <f t="shared" si="492"/>
        <v>No camina</v>
      </c>
      <c r="AR1204">
        <v>0</v>
      </c>
      <c r="AS1204" t="str">
        <f t="shared" si="493"/>
        <v>No es obeso</v>
      </c>
    </row>
    <row r="1205" spans="1:45" x14ac:dyDescent="0.25">
      <c r="A1205">
        <v>0</v>
      </c>
      <c r="B1205" t="str">
        <f t="shared" si="468"/>
        <v>F</v>
      </c>
      <c r="C1205">
        <v>19462713</v>
      </c>
      <c r="D1205">
        <f t="shared" si="469"/>
        <v>53</v>
      </c>
      <c r="E1205">
        <f t="shared" si="470"/>
        <v>53</v>
      </c>
      <c r="F1205" t="str">
        <f t="shared" si="471"/>
        <v>50-75</v>
      </c>
      <c r="G1205">
        <v>1</v>
      </c>
      <c r="H1205" t="str">
        <f t="shared" si="472"/>
        <v>Pariente gordo</v>
      </c>
      <c r="I1205">
        <v>0</v>
      </c>
      <c r="J1205" t="str">
        <f t="shared" si="473"/>
        <v>Saludables</v>
      </c>
      <c r="K1205">
        <v>2501683</v>
      </c>
      <c r="L1205">
        <f t="shared" si="474"/>
        <v>1</v>
      </c>
      <c r="M1205" t="str">
        <f t="shared" si="475"/>
        <v>Suele comer</v>
      </c>
      <c r="N1205">
        <v>3394788</v>
      </c>
      <c r="O1205">
        <f t="shared" si="476"/>
        <v>2</v>
      </c>
      <c r="P1205" t="str">
        <f t="shared" si="477"/>
        <v>Mas de 3</v>
      </c>
      <c r="Q1205">
        <v>1</v>
      </c>
      <c r="R1205" t="str">
        <f t="shared" si="478"/>
        <v>A veces</v>
      </c>
      <c r="S1205">
        <v>0</v>
      </c>
      <c r="T1205" t="str">
        <f t="shared" si="479"/>
        <v>No fuma</v>
      </c>
      <c r="U1205">
        <v>1337378</v>
      </c>
      <c r="V1205">
        <f t="shared" si="480"/>
        <v>2</v>
      </c>
      <c r="W1205" t="str">
        <f t="shared" si="481"/>
        <v>Siempre</v>
      </c>
      <c r="X1205">
        <v>0</v>
      </c>
      <c r="Y1205" t="str">
        <f t="shared" si="482"/>
        <v>No controla</v>
      </c>
      <c r="Z1205">
        <v>0.93288800000000005</v>
      </c>
      <c r="AA1205">
        <f t="shared" si="483"/>
        <v>0</v>
      </c>
      <c r="AB1205" t="str">
        <f t="shared" si="484"/>
        <v>Nunca</v>
      </c>
      <c r="AC1205">
        <v>1</v>
      </c>
      <c r="AD1205">
        <f t="shared" si="485"/>
        <v>1</v>
      </c>
      <c r="AE1205" t="str">
        <f t="shared" si="486"/>
        <v>Usualmente</v>
      </c>
      <c r="AF1205">
        <v>0</v>
      </c>
      <c r="AG1205" t="str">
        <f t="shared" si="487"/>
        <v>Nunca</v>
      </c>
      <c r="AH1205">
        <v>0</v>
      </c>
      <c r="AI1205" t="str">
        <f t="shared" si="488"/>
        <v>No usa</v>
      </c>
      <c r="AJ1205">
        <v>0</v>
      </c>
      <c r="AK1205" t="str">
        <f t="shared" si="489"/>
        <v>No usa</v>
      </c>
      <c r="AL1205">
        <v>0</v>
      </c>
      <c r="AM1205" t="str">
        <f t="shared" si="490"/>
        <v>No usa</v>
      </c>
      <c r="AN1205">
        <v>1</v>
      </c>
      <c r="AO1205" t="str">
        <f t="shared" si="491"/>
        <v>Usa Transporte</v>
      </c>
      <c r="AP1205">
        <v>0</v>
      </c>
      <c r="AQ1205" t="str">
        <f t="shared" si="492"/>
        <v>No camina</v>
      </c>
      <c r="AR1205">
        <v>0</v>
      </c>
      <c r="AS1205" t="str">
        <f t="shared" si="493"/>
        <v>No es obeso</v>
      </c>
    </row>
    <row r="1206" spans="1:45" x14ac:dyDescent="0.25">
      <c r="A1206">
        <v>0</v>
      </c>
      <c r="B1206" t="str">
        <f t="shared" si="468"/>
        <v>F</v>
      </c>
      <c r="C1206">
        <v>35432059</v>
      </c>
      <c r="D1206">
        <f t="shared" si="469"/>
        <v>97</v>
      </c>
      <c r="E1206">
        <f t="shared" si="470"/>
        <v>97</v>
      </c>
      <c r="F1206" t="str">
        <f t="shared" si="471"/>
        <v>75-100</v>
      </c>
      <c r="G1206">
        <v>1</v>
      </c>
      <c r="H1206" t="str">
        <f t="shared" si="472"/>
        <v>Pariente gordo</v>
      </c>
      <c r="I1206">
        <v>1</v>
      </c>
      <c r="J1206" t="str">
        <f t="shared" si="473"/>
        <v>Hipercaloricos</v>
      </c>
      <c r="K1206">
        <v>2</v>
      </c>
      <c r="L1206">
        <f t="shared" si="474"/>
        <v>1</v>
      </c>
      <c r="M1206" t="str">
        <f t="shared" si="475"/>
        <v>Suele comer</v>
      </c>
      <c r="N1206">
        <v>3</v>
      </c>
      <c r="O1206">
        <f t="shared" si="476"/>
        <v>2</v>
      </c>
      <c r="P1206" t="str">
        <f t="shared" si="477"/>
        <v>Mas de 3</v>
      </c>
      <c r="Q1206">
        <v>1</v>
      </c>
      <c r="R1206" t="str">
        <f t="shared" si="478"/>
        <v>A veces</v>
      </c>
      <c r="S1206">
        <v>0</v>
      </c>
      <c r="T1206" t="str">
        <f t="shared" si="479"/>
        <v>No fuma</v>
      </c>
      <c r="U1206">
        <v>1992548</v>
      </c>
      <c r="V1206">
        <f t="shared" si="480"/>
        <v>2</v>
      </c>
      <c r="W1206" t="str">
        <f t="shared" si="481"/>
        <v>Siempre</v>
      </c>
      <c r="X1206">
        <v>0</v>
      </c>
      <c r="Y1206" t="str">
        <f t="shared" si="482"/>
        <v>No controla</v>
      </c>
      <c r="Z1206">
        <v>3.9206999999999999E-2</v>
      </c>
      <c r="AA1206">
        <f t="shared" si="483"/>
        <v>0</v>
      </c>
      <c r="AB1206" t="str">
        <f t="shared" si="484"/>
        <v>Nunca</v>
      </c>
      <c r="AC1206">
        <v>1528714</v>
      </c>
      <c r="AD1206">
        <f t="shared" si="485"/>
        <v>2</v>
      </c>
      <c r="AE1206" t="str">
        <f t="shared" si="486"/>
        <v>Siempre</v>
      </c>
      <c r="AF1206">
        <v>0</v>
      </c>
      <c r="AG1206" t="str">
        <f t="shared" si="487"/>
        <v>Nunca</v>
      </c>
      <c r="AH1206">
        <v>1</v>
      </c>
      <c r="AI1206" t="str">
        <f t="shared" si="488"/>
        <v>Usa auto</v>
      </c>
      <c r="AJ1206">
        <v>0</v>
      </c>
      <c r="AK1206" t="str">
        <f t="shared" si="489"/>
        <v>No usa</v>
      </c>
      <c r="AL1206">
        <v>0</v>
      </c>
      <c r="AM1206" t="str">
        <f t="shared" si="490"/>
        <v>No usa</v>
      </c>
      <c r="AN1206">
        <v>0</v>
      </c>
      <c r="AO1206" t="str">
        <f t="shared" si="491"/>
        <v>No usa</v>
      </c>
      <c r="AP1206">
        <v>0</v>
      </c>
      <c r="AQ1206" t="str">
        <f t="shared" si="492"/>
        <v>No camina</v>
      </c>
      <c r="AR1206">
        <v>0</v>
      </c>
      <c r="AS1206" t="str">
        <f t="shared" si="493"/>
        <v>No es obeso</v>
      </c>
    </row>
    <row r="1207" spans="1:45" x14ac:dyDescent="0.25">
      <c r="A1207">
        <v>0</v>
      </c>
      <c r="B1207" t="str">
        <f t="shared" si="468"/>
        <v>F</v>
      </c>
      <c r="C1207">
        <v>33864257</v>
      </c>
      <c r="D1207">
        <f t="shared" si="469"/>
        <v>92</v>
      </c>
      <c r="E1207">
        <f t="shared" si="470"/>
        <v>92</v>
      </c>
      <c r="F1207" t="str">
        <f t="shared" si="471"/>
        <v>75-100</v>
      </c>
      <c r="G1207">
        <v>1</v>
      </c>
      <c r="H1207" t="str">
        <f t="shared" si="472"/>
        <v>Pariente gordo</v>
      </c>
      <c r="I1207">
        <v>1</v>
      </c>
      <c r="J1207" t="str">
        <f t="shared" si="473"/>
        <v>Hipercaloricos</v>
      </c>
      <c r="K1207">
        <v>276802</v>
      </c>
      <c r="L1207">
        <f t="shared" si="474"/>
        <v>1</v>
      </c>
      <c r="M1207" t="str">
        <f t="shared" si="475"/>
        <v>Suele comer</v>
      </c>
      <c r="N1207">
        <v>2137068</v>
      </c>
      <c r="O1207">
        <f t="shared" si="476"/>
        <v>2</v>
      </c>
      <c r="P1207" t="str">
        <f t="shared" si="477"/>
        <v>Mas de 3</v>
      </c>
      <c r="Q1207">
        <v>1</v>
      </c>
      <c r="R1207" t="str">
        <f t="shared" si="478"/>
        <v>A veces</v>
      </c>
      <c r="S1207">
        <v>0</v>
      </c>
      <c r="T1207" t="str">
        <f t="shared" si="479"/>
        <v>No fuma</v>
      </c>
      <c r="U1207">
        <v>1873591</v>
      </c>
      <c r="V1207">
        <f t="shared" si="480"/>
        <v>2</v>
      </c>
      <c r="W1207" t="str">
        <f t="shared" si="481"/>
        <v>Siempre</v>
      </c>
      <c r="X1207">
        <v>0</v>
      </c>
      <c r="Y1207" t="str">
        <f t="shared" si="482"/>
        <v>No controla</v>
      </c>
      <c r="Z1207">
        <v>0.96697299999999997</v>
      </c>
      <c r="AA1207">
        <f t="shared" si="483"/>
        <v>0</v>
      </c>
      <c r="AB1207" t="str">
        <f t="shared" si="484"/>
        <v>Nunca</v>
      </c>
      <c r="AC1207">
        <v>0.691944</v>
      </c>
      <c r="AD1207">
        <f t="shared" si="485"/>
        <v>0</v>
      </c>
      <c r="AE1207" t="str">
        <f t="shared" si="486"/>
        <v>Nunca</v>
      </c>
      <c r="AF1207">
        <v>0</v>
      </c>
      <c r="AG1207" t="str">
        <f t="shared" si="487"/>
        <v>Nunca</v>
      </c>
      <c r="AH1207">
        <v>1</v>
      </c>
      <c r="AI1207" t="str">
        <f t="shared" si="488"/>
        <v>Usa auto</v>
      </c>
      <c r="AJ1207">
        <v>0</v>
      </c>
      <c r="AK1207" t="str">
        <f t="shared" si="489"/>
        <v>No usa</v>
      </c>
      <c r="AL1207">
        <v>0</v>
      </c>
      <c r="AM1207" t="str">
        <f t="shared" si="490"/>
        <v>No usa</v>
      </c>
      <c r="AN1207">
        <v>0</v>
      </c>
      <c r="AO1207" t="str">
        <f t="shared" si="491"/>
        <v>No usa</v>
      </c>
      <c r="AP1207">
        <v>0</v>
      </c>
      <c r="AQ1207" t="str">
        <f t="shared" si="492"/>
        <v>No camina</v>
      </c>
      <c r="AR1207">
        <v>0</v>
      </c>
      <c r="AS1207" t="str">
        <f t="shared" si="493"/>
        <v>No es obeso</v>
      </c>
    </row>
    <row r="1208" spans="1:45" x14ac:dyDescent="0.25">
      <c r="A1208">
        <v>1</v>
      </c>
      <c r="B1208" t="str">
        <f t="shared" si="468"/>
        <v>M</v>
      </c>
      <c r="C1208">
        <v>23807181</v>
      </c>
      <c r="D1208">
        <f t="shared" si="469"/>
        <v>65</v>
      </c>
      <c r="E1208">
        <f t="shared" si="470"/>
        <v>65</v>
      </c>
      <c r="F1208" t="str">
        <f t="shared" si="471"/>
        <v>50-75</v>
      </c>
      <c r="G1208">
        <v>1</v>
      </c>
      <c r="H1208" t="str">
        <f t="shared" si="472"/>
        <v>Pariente gordo</v>
      </c>
      <c r="I1208">
        <v>1</v>
      </c>
      <c r="J1208" t="str">
        <f t="shared" si="473"/>
        <v>Hipercaloricos</v>
      </c>
      <c r="K1208">
        <v>2742796</v>
      </c>
      <c r="L1208">
        <f t="shared" si="474"/>
        <v>1</v>
      </c>
      <c r="M1208" t="str">
        <f t="shared" si="475"/>
        <v>Suele comer</v>
      </c>
      <c r="N1208">
        <v>2937607</v>
      </c>
      <c r="O1208">
        <f t="shared" si="476"/>
        <v>2</v>
      </c>
      <c r="P1208" t="str">
        <f t="shared" si="477"/>
        <v>Mas de 3</v>
      </c>
      <c r="Q1208">
        <v>1</v>
      </c>
      <c r="R1208" t="str">
        <f t="shared" si="478"/>
        <v>A veces</v>
      </c>
      <c r="S1208">
        <v>0</v>
      </c>
      <c r="T1208" t="str">
        <f t="shared" si="479"/>
        <v>No fuma</v>
      </c>
      <c r="U1208">
        <v>199467</v>
      </c>
      <c r="V1208">
        <f t="shared" si="480"/>
        <v>2</v>
      </c>
      <c r="W1208" t="str">
        <f t="shared" si="481"/>
        <v>Siempre</v>
      </c>
      <c r="X1208">
        <v>0</v>
      </c>
      <c r="Y1208" t="str">
        <f t="shared" si="482"/>
        <v>No controla</v>
      </c>
      <c r="Z1208">
        <v>1</v>
      </c>
      <c r="AA1208">
        <f t="shared" si="483"/>
        <v>1</v>
      </c>
      <c r="AB1208" t="str">
        <f t="shared" si="484"/>
        <v>A veces</v>
      </c>
      <c r="AC1208">
        <v>2.3564000000000002E-2</v>
      </c>
      <c r="AD1208">
        <f t="shared" si="485"/>
        <v>0</v>
      </c>
      <c r="AE1208" t="str">
        <f t="shared" si="486"/>
        <v>Nunca</v>
      </c>
      <c r="AF1208">
        <v>1</v>
      </c>
      <c r="AG1208" t="str">
        <f t="shared" si="487"/>
        <v>A veces</v>
      </c>
      <c r="AH1208">
        <v>0</v>
      </c>
      <c r="AI1208" t="str">
        <f t="shared" si="488"/>
        <v>No usa</v>
      </c>
      <c r="AJ1208">
        <v>0</v>
      </c>
      <c r="AK1208" t="str">
        <f t="shared" si="489"/>
        <v>No usa</v>
      </c>
      <c r="AL1208">
        <v>0</v>
      </c>
      <c r="AM1208" t="str">
        <f t="shared" si="490"/>
        <v>No usa</v>
      </c>
      <c r="AN1208">
        <v>1</v>
      </c>
      <c r="AO1208" t="str">
        <f t="shared" si="491"/>
        <v>Usa Transporte</v>
      </c>
      <c r="AP1208">
        <v>0</v>
      </c>
      <c r="AQ1208" t="str">
        <f t="shared" si="492"/>
        <v>No camina</v>
      </c>
      <c r="AR1208">
        <v>0</v>
      </c>
      <c r="AS1208" t="str">
        <f t="shared" si="493"/>
        <v>No es obeso</v>
      </c>
    </row>
    <row r="1209" spans="1:45" x14ac:dyDescent="0.25">
      <c r="A1209">
        <v>1</v>
      </c>
      <c r="B1209" t="str">
        <f t="shared" si="468"/>
        <v>M</v>
      </c>
      <c r="C1209">
        <v>39585811</v>
      </c>
      <c r="D1209">
        <f t="shared" si="469"/>
        <v>108</v>
      </c>
      <c r="E1209">
        <f t="shared" si="470"/>
        <v>100</v>
      </c>
      <c r="F1209" t="str">
        <f t="shared" si="471"/>
        <v>75-100</v>
      </c>
      <c r="G1209">
        <v>1</v>
      </c>
      <c r="H1209" t="str">
        <f t="shared" si="472"/>
        <v>Pariente gordo</v>
      </c>
      <c r="I1209">
        <v>1</v>
      </c>
      <c r="J1209" t="str">
        <f t="shared" si="473"/>
        <v>Hipercaloricos</v>
      </c>
      <c r="K1209">
        <v>2325623</v>
      </c>
      <c r="L1209">
        <f t="shared" si="474"/>
        <v>1</v>
      </c>
      <c r="M1209" t="str">
        <f t="shared" si="475"/>
        <v>Suele comer</v>
      </c>
      <c r="N1209">
        <v>1313403</v>
      </c>
      <c r="O1209">
        <f t="shared" si="476"/>
        <v>2</v>
      </c>
      <c r="P1209" t="str">
        <f t="shared" si="477"/>
        <v>Mas de 3</v>
      </c>
      <c r="Q1209">
        <v>1</v>
      </c>
      <c r="R1209" t="str">
        <f t="shared" si="478"/>
        <v>A veces</v>
      </c>
      <c r="S1209">
        <v>0</v>
      </c>
      <c r="T1209" t="str">
        <f t="shared" si="479"/>
        <v>No fuma</v>
      </c>
      <c r="U1209">
        <v>194609</v>
      </c>
      <c r="V1209">
        <f t="shared" si="480"/>
        <v>2</v>
      </c>
      <c r="W1209" t="str">
        <f t="shared" si="481"/>
        <v>Siempre</v>
      </c>
      <c r="X1209">
        <v>0</v>
      </c>
      <c r="Y1209" t="str">
        <f t="shared" si="482"/>
        <v>No controla</v>
      </c>
      <c r="Z1209">
        <v>0.60425899999999999</v>
      </c>
      <c r="AA1209">
        <f t="shared" si="483"/>
        <v>0</v>
      </c>
      <c r="AB1209" t="str">
        <f t="shared" si="484"/>
        <v>Nunca</v>
      </c>
      <c r="AC1209">
        <v>0</v>
      </c>
      <c r="AD1209">
        <f t="shared" si="485"/>
        <v>0</v>
      </c>
      <c r="AE1209" t="str">
        <f t="shared" si="486"/>
        <v>Nunca</v>
      </c>
      <c r="AF1209">
        <v>0</v>
      </c>
      <c r="AG1209" t="str">
        <f t="shared" si="487"/>
        <v>Nunca</v>
      </c>
      <c r="AH1209">
        <v>1</v>
      </c>
      <c r="AI1209" t="str">
        <f t="shared" si="488"/>
        <v>Usa auto</v>
      </c>
      <c r="AJ1209">
        <v>0</v>
      </c>
      <c r="AK1209" t="str">
        <f t="shared" si="489"/>
        <v>No usa</v>
      </c>
      <c r="AL1209">
        <v>0</v>
      </c>
      <c r="AM1209" t="str">
        <f t="shared" si="490"/>
        <v>No usa</v>
      </c>
      <c r="AN1209">
        <v>0</v>
      </c>
      <c r="AO1209" t="str">
        <f t="shared" si="491"/>
        <v>No usa</v>
      </c>
      <c r="AP1209">
        <v>0</v>
      </c>
      <c r="AQ1209" t="str">
        <f t="shared" si="492"/>
        <v>No camina</v>
      </c>
      <c r="AR1209">
        <v>0</v>
      </c>
      <c r="AS1209" t="str">
        <f t="shared" si="493"/>
        <v>No es obeso</v>
      </c>
    </row>
    <row r="1210" spans="1:45" x14ac:dyDescent="0.25">
      <c r="A1210">
        <v>0</v>
      </c>
      <c r="B1210" t="str">
        <f t="shared" si="468"/>
        <v>F</v>
      </c>
      <c r="C1210">
        <v>45821267</v>
      </c>
      <c r="D1210">
        <f t="shared" si="469"/>
        <v>125</v>
      </c>
      <c r="E1210">
        <f t="shared" si="470"/>
        <v>100</v>
      </c>
      <c r="F1210" t="str">
        <f t="shared" si="471"/>
        <v>75-100</v>
      </c>
      <c r="G1210">
        <v>1</v>
      </c>
      <c r="H1210" t="str">
        <f t="shared" si="472"/>
        <v>Pariente gordo</v>
      </c>
      <c r="I1210">
        <v>1</v>
      </c>
      <c r="J1210" t="str">
        <f t="shared" si="473"/>
        <v>Hipercaloricos</v>
      </c>
      <c r="K1210">
        <v>2076689</v>
      </c>
      <c r="L1210">
        <f t="shared" si="474"/>
        <v>1</v>
      </c>
      <c r="M1210" t="str">
        <f t="shared" si="475"/>
        <v>Suele comer</v>
      </c>
      <c r="N1210">
        <v>3</v>
      </c>
      <c r="O1210">
        <f t="shared" si="476"/>
        <v>2</v>
      </c>
      <c r="P1210" t="str">
        <f t="shared" si="477"/>
        <v>Mas de 3</v>
      </c>
      <c r="Q1210">
        <v>1</v>
      </c>
      <c r="R1210" t="str">
        <f t="shared" si="478"/>
        <v>A veces</v>
      </c>
      <c r="S1210">
        <v>0</v>
      </c>
      <c r="T1210" t="str">
        <f t="shared" si="479"/>
        <v>No fuma</v>
      </c>
      <c r="U1210">
        <v>1026729</v>
      </c>
      <c r="V1210">
        <f t="shared" si="480"/>
        <v>2</v>
      </c>
      <c r="W1210" t="str">
        <f t="shared" si="481"/>
        <v>Siempre</v>
      </c>
      <c r="X1210">
        <v>0</v>
      </c>
      <c r="Y1210" t="str">
        <f t="shared" si="482"/>
        <v>No controla</v>
      </c>
      <c r="Z1210">
        <v>0.64779799999999998</v>
      </c>
      <c r="AA1210">
        <f t="shared" si="483"/>
        <v>0</v>
      </c>
      <c r="AB1210" t="str">
        <f t="shared" si="484"/>
        <v>Nunca</v>
      </c>
      <c r="AC1210">
        <v>0</v>
      </c>
      <c r="AD1210">
        <f t="shared" si="485"/>
        <v>0</v>
      </c>
      <c r="AE1210" t="str">
        <f t="shared" si="486"/>
        <v>Nunca</v>
      </c>
      <c r="AF1210">
        <v>0</v>
      </c>
      <c r="AG1210" t="str">
        <f t="shared" si="487"/>
        <v>Nunca</v>
      </c>
      <c r="AH1210">
        <v>1</v>
      </c>
      <c r="AI1210" t="str">
        <f t="shared" si="488"/>
        <v>Usa auto</v>
      </c>
      <c r="AJ1210">
        <v>0</v>
      </c>
      <c r="AK1210" t="str">
        <f t="shared" si="489"/>
        <v>No usa</v>
      </c>
      <c r="AL1210">
        <v>0</v>
      </c>
      <c r="AM1210" t="str">
        <f t="shared" si="490"/>
        <v>No usa</v>
      </c>
      <c r="AN1210">
        <v>0</v>
      </c>
      <c r="AO1210" t="str">
        <f t="shared" si="491"/>
        <v>No usa</v>
      </c>
      <c r="AP1210">
        <v>0</v>
      </c>
      <c r="AQ1210" t="str">
        <f t="shared" si="492"/>
        <v>No camina</v>
      </c>
      <c r="AR1210">
        <v>0</v>
      </c>
      <c r="AS1210" t="str">
        <f t="shared" si="493"/>
        <v>No es obeso</v>
      </c>
    </row>
    <row r="1211" spans="1:45" x14ac:dyDescent="0.25">
      <c r="A1211">
        <v>1</v>
      </c>
      <c r="B1211" t="str">
        <f t="shared" si="468"/>
        <v>M</v>
      </c>
      <c r="C1211">
        <v>25929746</v>
      </c>
      <c r="D1211">
        <f t="shared" si="469"/>
        <v>71</v>
      </c>
      <c r="E1211">
        <f t="shared" si="470"/>
        <v>71</v>
      </c>
      <c r="F1211" t="str">
        <f t="shared" si="471"/>
        <v>50-75</v>
      </c>
      <c r="G1211">
        <v>1</v>
      </c>
      <c r="H1211" t="str">
        <f t="shared" si="472"/>
        <v>Pariente gordo</v>
      </c>
      <c r="I1211">
        <v>1</v>
      </c>
      <c r="J1211" t="str">
        <f t="shared" si="473"/>
        <v>Hipercaloricos</v>
      </c>
      <c r="K1211">
        <v>3</v>
      </c>
      <c r="L1211">
        <f t="shared" si="474"/>
        <v>1</v>
      </c>
      <c r="M1211" t="str">
        <f t="shared" si="475"/>
        <v>Suele comer</v>
      </c>
      <c r="N1211">
        <v>3</v>
      </c>
      <c r="O1211">
        <f t="shared" si="476"/>
        <v>2</v>
      </c>
      <c r="P1211" t="str">
        <f t="shared" si="477"/>
        <v>Mas de 3</v>
      </c>
      <c r="Q1211">
        <v>1</v>
      </c>
      <c r="R1211" t="str">
        <f t="shared" si="478"/>
        <v>A veces</v>
      </c>
      <c r="S1211">
        <v>0</v>
      </c>
      <c r="T1211" t="str">
        <f t="shared" si="479"/>
        <v>No fuma</v>
      </c>
      <c r="U1211">
        <v>2045069</v>
      </c>
      <c r="V1211">
        <f t="shared" si="480"/>
        <v>2</v>
      </c>
      <c r="W1211" t="str">
        <f t="shared" si="481"/>
        <v>Siempre</v>
      </c>
      <c r="X1211">
        <v>0</v>
      </c>
      <c r="Y1211" t="str">
        <f t="shared" si="482"/>
        <v>No controla</v>
      </c>
      <c r="Z1211">
        <v>1725931</v>
      </c>
      <c r="AA1211">
        <f t="shared" si="483"/>
        <v>3</v>
      </c>
      <c r="AB1211" t="str">
        <f t="shared" si="484"/>
        <v>Siempre</v>
      </c>
      <c r="AC1211">
        <v>1619596</v>
      </c>
      <c r="AD1211">
        <f t="shared" si="485"/>
        <v>2</v>
      </c>
      <c r="AE1211" t="str">
        <f t="shared" si="486"/>
        <v>Siempre</v>
      </c>
      <c r="AF1211">
        <v>1</v>
      </c>
      <c r="AG1211" t="str">
        <f t="shared" si="487"/>
        <v>A veces</v>
      </c>
      <c r="AH1211">
        <v>0</v>
      </c>
      <c r="AI1211" t="str">
        <f t="shared" si="488"/>
        <v>No usa</v>
      </c>
      <c r="AJ1211">
        <v>0</v>
      </c>
      <c r="AK1211" t="str">
        <f t="shared" si="489"/>
        <v>No usa</v>
      </c>
      <c r="AL1211">
        <v>0</v>
      </c>
      <c r="AM1211" t="str">
        <f t="shared" si="490"/>
        <v>No usa</v>
      </c>
      <c r="AN1211">
        <v>1</v>
      </c>
      <c r="AO1211" t="str">
        <f t="shared" si="491"/>
        <v>Usa Transporte</v>
      </c>
      <c r="AP1211">
        <v>0</v>
      </c>
      <c r="AQ1211" t="str">
        <f t="shared" si="492"/>
        <v>No camina</v>
      </c>
      <c r="AR1211">
        <v>1</v>
      </c>
      <c r="AS1211" t="str">
        <f t="shared" si="493"/>
        <v>Es Obeso</v>
      </c>
    </row>
    <row r="1212" spans="1:45" x14ac:dyDescent="0.25">
      <c r="A1212">
        <v>1</v>
      </c>
      <c r="B1212" t="str">
        <f t="shared" si="468"/>
        <v>M</v>
      </c>
      <c r="C1212">
        <v>26042738</v>
      </c>
      <c r="D1212">
        <f t="shared" si="469"/>
        <v>71</v>
      </c>
      <c r="E1212">
        <f t="shared" si="470"/>
        <v>71</v>
      </c>
      <c r="F1212" t="str">
        <f t="shared" si="471"/>
        <v>50-75</v>
      </c>
      <c r="G1212">
        <v>1</v>
      </c>
      <c r="H1212" t="str">
        <f t="shared" si="472"/>
        <v>Pariente gordo</v>
      </c>
      <c r="I1212">
        <v>1</v>
      </c>
      <c r="J1212" t="str">
        <f t="shared" si="473"/>
        <v>Hipercaloricos</v>
      </c>
      <c r="K1212">
        <v>3</v>
      </c>
      <c r="L1212">
        <f t="shared" si="474"/>
        <v>1</v>
      </c>
      <c r="M1212" t="str">
        <f t="shared" si="475"/>
        <v>Suele comer</v>
      </c>
      <c r="N1212">
        <v>3</v>
      </c>
      <c r="O1212">
        <f t="shared" si="476"/>
        <v>2</v>
      </c>
      <c r="P1212" t="str">
        <f t="shared" si="477"/>
        <v>Mas de 3</v>
      </c>
      <c r="Q1212">
        <v>1</v>
      </c>
      <c r="R1212" t="str">
        <f t="shared" si="478"/>
        <v>A veces</v>
      </c>
      <c r="S1212">
        <v>0</v>
      </c>
      <c r="T1212" t="str">
        <f t="shared" si="479"/>
        <v>No fuma</v>
      </c>
      <c r="U1212">
        <v>2509147</v>
      </c>
      <c r="V1212">
        <f t="shared" si="480"/>
        <v>2</v>
      </c>
      <c r="W1212" t="str">
        <f t="shared" si="481"/>
        <v>Siempre</v>
      </c>
      <c r="X1212">
        <v>0</v>
      </c>
      <c r="Y1212" t="str">
        <f t="shared" si="482"/>
        <v>No controla</v>
      </c>
      <c r="Z1212">
        <v>2</v>
      </c>
      <c r="AA1212">
        <f t="shared" si="483"/>
        <v>2</v>
      </c>
      <c r="AB1212" t="str">
        <f t="shared" si="484"/>
        <v>Usualmente</v>
      </c>
      <c r="AC1212">
        <v>1564796</v>
      </c>
      <c r="AD1212">
        <f t="shared" si="485"/>
        <v>2</v>
      </c>
      <c r="AE1212" t="str">
        <f t="shared" si="486"/>
        <v>Siempre</v>
      </c>
      <c r="AF1212">
        <v>1</v>
      </c>
      <c r="AG1212" t="str">
        <f t="shared" si="487"/>
        <v>A veces</v>
      </c>
      <c r="AH1212">
        <v>0</v>
      </c>
      <c r="AI1212" t="str">
        <f t="shared" si="488"/>
        <v>No usa</v>
      </c>
      <c r="AJ1212">
        <v>0</v>
      </c>
      <c r="AK1212" t="str">
        <f t="shared" si="489"/>
        <v>No usa</v>
      </c>
      <c r="AL1212">
        <v>0</v>
      </c>
      <c r="AM1212" t="str">
        <f t="shared" si="490"/>
        <v>No usa</v>
      </c>
      <c r="AN1212">
        <v>1</v>
      </c>
      <c r="AO1212" t="str">
        <f t="shared" si="491"/>
        <v>Usa Transporte</v>
      </c>
      <c r="AP1212">
        <v>0</v>
      </c>
      <c r="AQ1212" t="str">
        <f t="shared" si="492"/>
        <v>No camina</v>
      </c>
      <c r="AR1212">
        <v>1</v>
      </c>
      <c r="AS1212" t="str">
        <f t="shared" si="493"/>
        <v>Es Obeso</v>
      </c>
    </row>
    <row r="1213" spans="1:45" x14ac:dyDescent="0.25">
      <c r="A1213">
        <v>1</v>
      </c>
      <c r="B1213" t="str">
        <f t="shared" si="468"/>
        <v>M</v>
      </c>
      <c r="C1213">
        <v>30551762</v>
      </c>
      <c r="D1213">
        <f t="shared" si="469"/>
        <v>83</v>
      </c>
      <c r="E1213">
        <f t="shared" si="470"/>
        <v>83</v>
      </c>
      <c r="F1213" t="str">
        <f t="shared" si="471"/>
        <v>75-100</v>
      </c>
      <c r="G1213">
        <v>1</v>
      </c>
      <c r="H1213" t="str">
        <f t="shared" si="472"/>
        <v>Pariente gordo</v>
      </c>
      <c r="I1213">
        <v>1</v>
      </c>
      <c r="J1213" t="str">
        <f t="shared" si="473"/>
        <v>Hipercaloricos</v>
      </c>
      <c r="K1213">
        <v>2271306</v>
      </c>
      <c r="L1213">
        <f t="shared" si="474"/>
        <v>1</v>
      </c>
      <c r="M1213" t="str">
        <f t="shared" si="475"/>
        <v>Suele comer</v>
      </c>
      <c r="N1213">
        <v>3</v>
      </c>
      <c r="O1213">
        <f t="shared" si="476"/>
        <v>2</v>
      </c>
      <c r="P1213" t="str">
        <f t="shared" si="477"/>
        <v>Mas de 3</v>
      </c>
      <c r="Q1213">
        <v>1</v>
      </c>
      <c r="R1213" t="str">
        <f t="shared" si="478"/>
        <v>A veces</v>
      </c>
      <c r="S1213">
        <v>0</v>
      </c>
      <c r="T1213" t="str">
        <f t="shared" si="479"/>
        <v>No fuma</v>
      </c>
      <c r="U1213">
        <v>1771198</v>
      </c>
      <c r="V1213">
        <f t="shared" si="480"/>
        <v>2</v>
      </c>
      <c r="W1213" t="str">
        <f t="shared" si="481"/>
        <v>Siempre</v>
      </c>
      <c r="X1213">
        <v>0</v>
      </c>
      <c r="Y1213" t="str">
        <f t="shared" si="482"/>
        <v>No controla</v>
      </c>
      <c r="Z1213">
        <v>2</v>
      </c>
      <c r="AA1213">
        <f t="shared" si="483"/>
        <v>2</v>
      </c>
      <c r="AB1213" t="str">
        <f t="shared" si="484"/>
        <v>Usualmente</v>
      </c>
      <c r="AC1213">
        <v>0.41375200000000001</v>
      </c>
      <c r="AD1213">
        <f t="shared" si="485"/>
        <v>0</v>
      </c>
      <c r="AE1213" t="str">
        <f t="shared" si="486"/>
        <v>Nunca</v>
      </c>
      <c r="AF1213">
        <v>1</v>
      </c>
      <c r="AG1213" t="str">
        <f t="shared" si="487"/>
        <v>A veces</v>
      </c>
      <c r="AH1213">
        <v>1</v>
      </c>
      <c r="AI1213" t="str">
        <f t="shared" si="488"/>
        <v>Usa auto</v>
      </c>
      <c r="AJ1213">
        <v>0</v>
      </c>
      <c r="AK1213" t="str">
        <f t="shared" si="489"/>
        <v>No usa</v>
      </c>
      <c r="AL1213">
        <v>0</v>
      </c>
      <c r="AM1213" t="str">
        <f t="shared" si="490"/>
        <v>No usa</v>
      </c>
      <c r="AN1213">
        <v>0</v>
      </c>
      <c r="AO1213" t="str">
        <f t="shared" si="491"/>
        <v>No usa</v>
      </c>
      <c r="AP1213">
        <v>0</v>
      </c>
      <c r="AQ1213" t="str">
        <f t="shared" si="492"/>
        <v>No camina</v>
      </c>
      <c r="AR1213">
        <v>1</v>
      </c>
      <c r="AS1213" t="str">
        <f t="shared" si="493"/>
        <v>Es Obeso</v>
      </c>
    </row>
    <row r="1214" spans="1:45" x14ac:dyDescent="0.25">
      <c r="A1214">
        <v>1</v>
      </c>
      <c r="B1214" t="str">
        <f t="shared" si="468"/>
        <v>M</v>
      </c>
      <c r="C1214">
        <v>39759575</v>
      </c>
      <c r="D1214">
        <f t="shared" si="469"/>
        <v>108</v>
      </c>
      <c r="E1214">
        <f t="shared" si="470"/>
        <v>100</v>
      </c>
      <c r="F1214" t="str">
        <f t="shared" si="471"/>
        <v>75-100</v>
      </c>
      <c r="G1214">
        <v>1</v>
      </c>
      <c r="H1214" t="str">
        <f t="shared" si="472"/>
        <v>Pariente gordo</v>
      </c>
      <c r="I1214">
        <v>1</v>
      </c>
      <c r="J1214" t="str">
        <f t="shared" si="473"/>
        <v>Hipercaloricos</v>
      </c>
      <c r="K1214">
        <v>233361</v>
      </c>
      <c r="L1214">
        <f t="shared" si="474"/>
        <v>1</v>
      </c>
      <c r="M1214" t="str">
        <f t="shared" si="475"/>
        <v>Suele comer</v>
      </c>
      <c r="N1214">
        <v>2113575</v>
      </c>
      <c r="O1214">
        <f t="shared" si="476"/>
        <v>2</v>
      </c>
      <c r="P1214" t="str">
        <f t="shared" si="477"/>
        <v>Mas de 3</v>
      </c>
      <c r="Q1214">
        <v>1</v>
      </c>
      <c r="R1214" t="str">
        <f t="shared" si="478"/>
        <v>A veces</v>
      </c>
      <c r="S1214">
        <v>0</v>
      </c>
      <c r="T1214" t="str">
        <f t="shared" si="479"/>
        <v>No fuma</v>
      </c>
      <c r="U1214">
        <v>2504136</v>
      </c>
      <c r="V1214">
        <f t="shared" si="480"/>
        <v>2</v>
      </c>
      <c r="W1214" t="str">
        <f t="shared" si="481"/>
        <v>Siempre</v>
      </c>
      <c r="X1214">
        <v>0</v>
      </c>
      <c r="Y1214" t="str">
        <f t="shared" si="482"/>
        <v>No controla</v>
      </c>
      <c r="Z1214">
        <v>2998981</v>
      </c>
      <c r="AA1214">
        <f t="shared" si="483"/>
        <v>3</v>
      </c>
      <c r="AB1214" t="str">
        <f t="shared" si="484"/>
        <v>Siempre</v>
      </c>
      <c r="AC1214">
        <v>1</v>
      </c>
      <c r="AD1214">
        <f t="shared" si="485"/>
        <v>1</v>
      </c>
      <c r="AE1214" t="str">
        <f t="shared" si="486"/>
        <v>Usualmente</v>
      </c>
      <c r="AF1214">
        <v>1</v>
      </c>
      <c r="AG1214" t="str">
        <f t="shared" si="487"/>
        <v>A veces</v>
      </c>
      <c r="AH1214">
        <v>1</v>
      </c>
      <c r="AI1214" t="str">
        <f t="shared" si="488"/>
        <v>Usa auto</v>
      </c>
      <c r="AJ1214">
        <v>0</v>
      </c>
      <c r="AK1214" t="str">
        <f t="shared" si="489"/>
        <v>No usa</v>
      </c>
      <c r="AL1214">
        <v>0</v>
      </c>
      <c r="AM1214" t="str">
        <f t="shared" si="490"/>
        <v>No usa</v>
      </c>
      <c r="AN1214">
        <v>0</v>
      </c>
      <c r="AO1214" t="str">
        <f t="shared" si="491"/>
        <v>No usa</v>
      </c>
      <c r="AP1214">
        <v>0</v>
      </c>
      <c r="AQ1214" t="str">
        <f t="shared" si="492"/>
        <v>No camina</v>
      </c>
      <c r="AR1214">
        <v>1</v>
      </c>
      <c r="AS1214" t="str">
        <f t="shared" si="493"/>
        <v>Es Obeso</v>
      </c>
    </row>
    <row r="1215" spans="1:45" x14ac:dyDescent="0.25">
      <c r="A1215">
        <v>0</v>
      </c>
      <c r="B1215" t="str">
        <f t="shared" si="468"/>
        <v>F</v>
      </c>
      <c r="C1215">
        <v>31386405</v>
      </c>
      <c r="D1215">
        <f t="shared" si="469"/>
        <v>85</v>
      </c>
      <c r="E1215">
        <f t="shared" si="470"/>
        <v>85</v>
      </c>
      <c r="F1215" t="str">
        <f t="shared" si="471"/>
        <v>75-100</v>
      </c>
      <c r="G1215">
        <v>1</v>
      </c>
      <c r="H1215" t="str">
        <f t="shared" si="472"/>
        <v>Pariente gordo</v>
      </c>
      <c r="I1215">
        <v>1</v>
      </c>
      <c r="J1215" t="str">
        <f t="shared" si="473"/>
        <v>Hipercaloricos</v>
      </c>
      <c r="K1215">
        <v>213683</v>
      </c>
      <c r="L1215">
        <f t="shared" si="474"/>
        <v>1</v>
      </c>
      <c r="M1215" t="str">
        <f t="shared" si="475"/>
        <v>Suele comer</v>
      </c>
      <c r="N1215">
        <v>2092179</v>
      </c>
      <c r="O1215">
        <f t="shared" si="476"/>
        <v>2</v>
      </c>
      <c r="P1215" t="str">
        <f t="shared" si="477"/>
        <v>Mas de 3</v>
      </c>
      <c r="Q1215">
        <v>1</v>
      </c>
      <c r="R1215" t="str">
        <f t="shared" si="478"/>
        <v>A veces</v>
      </c>
      <c r="S1215">
        <v>0</v>
      </c>
      <c r="T1215" t="str">
        <f t="shared" si="479"/>
        <v>No fuma</v>
      </c>
      <c r="U1215">
        <v>1505381</v>
      </c>
      <c r="V1215">
        <f t="shared" si="480"/>
        <v>2</v>
      </c>
      <c r="W1215" t="str">
        <f t="shared" si="481"/>
        <v>Siempre</v>
      </c>
      <c r="X1215">
        <v>0</v>
      </c>
      <c r="Y1215" t="str">
        <f t="shared" si="482"/>
        <v>No controla</v>
      </c>
      <c r="Z1215">
        <v>0</v>
      </c>
      <c r="AA1215">
        <f t="shared" si="483"/>
        <v>0</v>
      </c>
      <c r="AB1215" t="str">
        <f t="shared" si="484"/>
        <v>Nunca</v>
      </c>
      <c r="AC1215">
        <v>0</v>
      </c>
      <c r="AD1215">
        <f t="shared" si="485"/>
        <v>0</v>
      </c>
      <c r="AE1215" t="str">
        <f t="shared" si="486"/>
        <v>Nunca</v>
      </c>
      <c r="AF1215">
        <v>1</v>
      </c>
      <c r="AG1215" t="str">
        <f t="shared" si="487"/>
        <v>A veces</v>
      </c>
      <c r="AH1215">
        <v>0</v>
      </c>
      <c r="AI1215" t="str">
        <f t="shared" si="488"/>
        <v>No usa</v>
      </c>
      <c r="AJ1215">
        <v>0</v>
      </c>
      <c r="AK1215" t="str">
        <f t="shared" si="489"/>
        <v>No usa</v>
      </c>
      <c r="AL1215">
        <v>0</v>
      </c>
      <c r="AM1215" t="str">
        <f t="shared" si="490"/>
        <v>No usa</v>
      </c>
      <c r="AN1215">
        <v>1</v>
      </c>
      <c r="AO1215" t="str">
        <f t="shared" si="491"/>
        <v>Usa Transporte</v>
      </c>
      <c r="AP1215">
        <v>0</v>
      </c>
      <c r="AQ1215" t="str">
        <f t="shared" si="492"/>
        <v>No camina</v>
      </c>
      <c r="AR1215">
        <v>1</v>
      </c>
      <c r="AS1215" t="str">
        <f t="shared" si="493"/>
        <v>Es Obeso</v>
      </c>
    </row>
    <row r="1216" spans="1:45" x14ac:dyDescent="0.25">
      <c r="A1216">
        <v>0</v>
      </c>
      <c r="B1216" t="str">
        <f t="shared" si="468"/>
        <v>F</v>
      </c>
      <c r="C1216">
        <v>25706285</v>
      </c>
      <c r="D1216">
        <f t="shared" si="469"/>
        <v>70</v>
      </c>
      <c r="E1216">
        <f t="shared" si="470"/>
        <v>70</v>
      </c>
      <c r="F1216" t="str">
        <f t="shared" si="471"/>
        <v>50-75</v>
      </c>
      <c r="G1216">
        <v>1</v>
      </c>
      <c r="H1216" t="str">
        <f t="shared" si="472"/>
        <v>Pariente gordo</v>
      </c>
      <c r="I1216">
        <v>1</v>
      </c>
      <c r="J1216" t="str">
        <f t="shared" si="473"/>
        <v>Hipercaloricos</v>
      </c>
      <c r="K1216">
        <v>2</v>
      </c>
      <c r="L1216">
        <f t="shared" si="474"/>
        <v>1</v>
      </c>
      <c r="M1216" t="str">
        <f t="shared" si="475"/>
        <v>Suele comer</v>
      </c>
      <c r="N1216">
        <v>1</v>
      </c>
      <c r="O1216">
        <f t="shared" si="476"/>
        <v>1</v>
      </c>
      <c r="P1216">
        <f t="shared" si="477"/>
        <v>3</v>
      </c>
      <c r="Q1216">
        <v>1</v>
      </c>
      <c r="R1216" t="str">
        <f t="shared" si="478"/>
        <v>A veces</v>
      </c>
      <c r="S1216">
        <v>0</v>
      </c>
      <c r="T1216" t="str">
        <f t="shared" si="479"/>
        <v>No fuma</v>
      </c>
      <c r="U1216">
        <v>2</v>
      </c>
      <c r="V1216">
        <f t="shared" si="480"/>
        <v>2</v>
      </c>
      <c r="W1216" t="str">
        <f t="shared" si="481"/>
        <v>Siempre</v>
      </c>
      <c r="X1216">
        <v>0</v>
      </c>
      <c r="Y1216" t="str">
        <f t="shared" si="482"/>
        <v>No controla</v>
      </c>
      <c r="Z1216">
        <v>0</v>
      </c>
      <c r="AA1216">
        <f t="shared" si="483"/>
        <v>0</v>
      </c>
      <c r="AB1216" t="str">
        <f t="shared" si="484"/>
        <v>Nunca</v>
      </c>
      <c r="AC1216">
        <v>0</v>
      </c>
      <c r="AD1216">
        <f t="shared" si="485"/>
        <v>0</v>
      </c>
      <c r="AE1216" t="str">
        <f t="shared" si="486"/>
        <v>Nunca</v>
      </c>
      <c r="AF1216">
        <v>1</v>
      </c>
      <c r="AG1216" t="str">
        <f t="shared" si="487"/>
        <v>A veces</v>
      </c>
      <c r="AH1216">
        <v>0</v>
      </c>
      <c r="AI1216" t="str">
        <f t="shared" si="488"/>
        <v>No usa</v>
      </c>
      <c r="AJ1216">
        <v>0</v>
      </c>
      <c r="AK1216" t="str">
        <f t="shared" si="489"/>
        <v>No usa</v>
      </c>
      <c r="AL1216">
        <v>0</v>
      </c>
      <c r="AM1216" t="str">
        <f t="shared" si="490"/>
        <v>No usa</v>
      </c>
      <c r="AN1216">
        <v>1</v>
      </c>
      <c r="AO1216" t="str">
        <f t="shared" si="491"/>
        <v>Usa Transporte</v>
      </c>
      <c r="AP1216">
        <v>0</v>
      </c>
      <c r="AQ1216" t="str">
        <f t="shared" si="492"/>
        <v>No camina</v>
      </c>
      <c r="AR1216">
        <v>1</v>
      </c>
      <c r="AS1216" t="str">
        <f t="shared" si="493"/>
        <v>Es Obeso</v>
      </c>
    </row>
    <row r="1217" spans="1:45" x14ac:dyDescent="0.25">
      <c r="A1217">
        <v>0</v>
      </c>
      <c r="B1217" t="str">
        <f t="shared" si="468"/>
        <v>F</v>
      </c>
      <c r="C1217">
        <v>43604901</v>
      </c>
      <c r="D1217">
        <f t="shared" si="469"/>
        <v>119</v>
      </c>
      <c r="E1217">
        <f t="shared" si="470"/>
        <v>100</v>
      </c>
      <c r="F1217" t="str">
        <f t="shared" si="471"/>
        <v>75-100</v>
      </c>
      <c r="G1217">
        <v>1</v>
      </c>
      <c r="H1217" t="str">
        <f t="shared" si="472"/>
        <v>Pariente gordo</v>
      </c>
      <c r="I1217">
        <v>1</v>
      </c>
      <c r="J1217" t="str">
        <f t="shared" si="473"/>
        <v>Hipercaloricos</v>
      </c>
      <c r="K1217">
        <v>2909853</v>
      </c>
      <c r="L1217">
        <f t="shared" si="474"/>
        <v>1</v>
      </c>
      <c r="M1217" t="str">
        <f t="shared" si="475"/>
        <v>Suele comer</v>
      </c>
      <c r="N1217">
        <v>1</v>
      </c>
      <c r="O1217">
        <f t="shared" si="476"/>
        <v>1</v>
      </c>
      <c r="P1217">
        <f t="shared" si="477"/>
        <v>3</v>
      </c>
      <c r="Q1217">
        <v>1</v>
      </c>
      <c r="R1217" t="str">
        <f t="shared" si="478"/>
        <v>A veces</v>
      </c>
      <c r="S1217">
        <v>0</v>
      </c>
      <c r="T1217" t="str">
        <f t="shared" si="479"/>
        <v>No fuma</v>
      </c>
      <c r="U1217">
        <v>2</v>
      </c>
      <c r="V1217">
        <f t="shared" si="480"/>
        <v>2</v>
      </c>
      <c r="W1217" t="str">
        <f t="shared" si="481"/>
        <v>Siempre</v>
      </c>
      <c r="X1217">
        <v>0</v>
      </c>
      <c r="Y1217" t="str">
        <f t="shared" si="482"/>
        <v>No controla</v>
      </c>
      <c r="Z1217">
        <v>1308852</v>
      </c>
      <c r="AA1217">
        <f t="shared" si="483"/>
        <v>3</v>
      </c>
      <c r="AB1217" t="str">
        <f t="shared" si="484"/>
        <v>Siempre</v>
      </c>
      <c r="AC1217">
        <v>0</v>
      </c>
      <c r="AD1217">
        <f t="shared" si="485"/>
        <v>0</v>
      </c>
      <c r="AE1217" t="str">
        <f t="shared" si="486"/>
        <v>Nunca</v>
      </c>
      <c r="AF1217">
        <v>0</v>
      </c>
      <c r="AG1217" t="str">
        <f t="shared" si="487"/>
        <v>Nunca</v>
      </c>
      <c r="AH1217">
        <v>1</v>
      </c>
      <c r="AI1217" t="str">
        <f t="shared" si="488"/>
        <v>Usa auto</v>
      </c>
      <c r="AJ1217">
        <v>0</v>
      </c>
      <c r="AK1217" t="str">
        <f t="shared" si="489"/>
        <v>No usa</v>
      </c>
      <c r="AL1217">
        <v>0</v>
      </c>
      <c r="AM1217" t="str">
        <f t="shared" si="490"/>
        <v>No usa</v>
      </c>
      <c r="AN1217">
        <v>0</v>
      </c>
      <c r="AO1217" t="str">
        <f t="shared" si="491"/>
        <v>No usa</v>
      </c>
      <c r="AP1217">
        <v>0</v>
      </c>
      <c r="AQ1217" t="str">
        <f t="shared" si="492"/>
        <v>No camina</v>
      </c>
      <c r="AR1217">
        <v>1</v>
      </c>
      <c r="AS1217" t="str">
        <f t="shared" si="493"/>
        <v>Es Obeso</v>
      </c>
    </row>
    <row r="1218" spans="1:45" x14ac:dyDescent="0.25">
      <c r="A1218">
        <v>0</v>
      </c>
      <c r="B1218" t="str">
        <f t="shared" si="468"/>
        <v>F</v>
      </c>
      <c r="C1218">
        <v>4231607</v>
      </c>
      <c r="D1218">
        <f t="shared" si="469"/>
        <v>11</v>
      </c>
      <c r="E1218">
        <f t="shared" si="470"/>
        <v>11</v>
      </c>
      <c r="F1218" t="str">
        <f t="shared" si="471"/>
        <v>1-25</v>
      </c>
      <c r="G1218">
        <v>1</v>
      </c>
      <c r="H1218" t="str">
        <f t="shared" si="472"/>
        <v>Pariente gordo</v>
      </c>
      <c r="I1218">
        <v>1</v>
      </c>
      <c r="J1218" t="str">
        <f t="shared" si="473"/>
        <v>Hipercaloricos</v>
      </c>
      <c r="K1218">
        <v>2490507</v>
      </c>
      <c r="L1218">
        <f t="shared" si="474"/>
        <v>1</v>
      </c>
      <c r="M1218" t="str">
        <f t="shared" si="475"/>
        <v>Suele comer</v>
      </c>
      <c r="N1218">
        <v>2974204</v>
      </c>
      <c r="O1218">
        <f t="shared" si="476"/>
        <v>2</v>
      </c>
      <c r="P1218" t="str">
        <f t="shared" si="477"/>
        <v>Mas de 3</v>
      </c>
      <c r="Q1218">
        <v>1</v>
      </c>
      <c r="R1218" t="str">
        <f t="shared" si="478"/>
        <v>A veces</v>
      </c>
      <c r="S1218">
        <v>0</v>
      </c>
      <c r="T1218" t="str">
        <f t="shared" si="479"/>
        <v>No fuma</v>
      </c>
      <c r="U1218">
        <v>1846754</v>
      </c>
      <c r="V1218">
        <f t="shared" si="480"/>
        <v>2</v>
      </c>
      <c r="W1218" t="str">
        <f t="shared" si="481"/>
        <v>Siempre</v>
      </c>
      <c r="X1218">
        <v>0</v>
      </c>
      <c r="Y1218" t="str">
        <f t="shared" si="482"/>
        <v>No controla</v>
      </c>
      <c r="Z1218">
        <v>0</v>
      </c>
      <c r="AA1218">
        <f t="shared" si="483"/>
        <v>0</v>
      </c>
      <c r="AB1218" t="str">
        <f t="shared" si="484"/>
        <v>Nunca</v>
      </c>
      <c r="AC1218">
        <v>0</v>
      </c>
      <c r="AD1218">
        <f t="shared" si="485"/>
        <v>0</v>
      </c>
      <c r="AE1218" t="str">
        <f t="shared" si="486"/>
        <v>Nunca</v>
      </c>
      <c r="AF1218">
        <v>0</v>
      </c>
      <c r="AG1218" t="str">
        <f t="shared" si="487"/>
        <v>Nunca</v>
      </c>
      <c r="AH1218">
        <v>1</v>
      </c>
      <c r="AI1218" t="str">
        <f t="shared" si="488"/>
        <v>Usa auto</v>
      </c>
      <c r="AJ1218">
        <v>0</v>
      </c>
      <c r="AK1218" t="str">
        <f t="shared" si="489"/>
        <v>No usa</v>
      </c>
      <c r="AL1218">
        <v>0</v>
      </c>
      <c r="AM1218" t="str">
        <f t="shared" si="490"/>
        <v>No usa</v>
      </c>
      <c r="AN1218">
        <v>0</v>
      </c>
      <c r="AO1218" t="str">
        <f t="shared" si="491"/>
        <v>No usa</v>
      </c>
      <c r="AP1218">
        <v>0</v>
      </c>
      <c r="AQ1218" t="str">
        <f t="shared" si="492"/>
        <v>No camina</v>
      </c>
      <c r="AR1218">
        <v>1</v>
      </c>
      <c r="AS1218" t="str">
        <f t="shared" si="493"/>
        <v>Es Obeso</v>
      </c>
    </row>
    <row r="1219" spans="1:45" x14ac:dyDescent="0.25">
      <c r="A1219">
        <v>0</v>
      </c>
      <c r="B1219" t="str">
        <f t="shared" ref="B1219:B1282" si="494">IF(A1219=1,"M","F")</f>
        <v>F</v>
      </c>
      <c r="C1219">
        <v>22654316</v>
      </c>
      <c r="D1219">
        <f t="shared" ref="D1219:D1282" si="495">IF(C1219&lt;100,C1219,ROUNDDOWN((C1219/1000)/365,0))</f>
        <v>62</v>
      </c>
      <c r="E1219">
        <f t="shared" ref="E1219:E1282" si="496">IF(AND(D1219&gt;1,D1219&lt;=100),D1219,IF(D1219&gt;100,100,5))</f>
        <v>62</v>
      </c>
      <c r="F1219" t="str">
        <f t="shared" ref="F1219:F1282" si="497">IF(AND(E1219&gt;=1,E1219&lt;=25),"1-25",IF(AND(E1219&gt;25,E1219&lt;=50),"25-50",IF(AND(E1219&gt;50,E1219&lt;=75),"50-75","75-100")))</f>
        <v>50-75</v>
      </c>
      <c r="G1219">
        <v>1</v>
      </c>
      <c r="H1219" t="str">
        <f t="shared" ref="H1219:H1282" si="498">IF(G1219=1,"Pariente gordo","Pariente normal")</f>
        <v>Pariente gordo</v>
      </c>
      <c r="I1219">
        <v>1</v>
      </c>
      <c r="J1219" t="str">
        <f t="shared" ref="J1219:J1282" si="499">IF(I1219=1,"Hipercaloricos","Saludables")</f>
        <v>Hipercaloricos</v>
      </c>
      <c r="K1219">
        <v>1063449</v>
      </c>
      <c r="L1219">
        <f t="shared" ref="L1219:L1282" si="500">IF(AND(K1219&gt;=1,K1219&lt;=3),1,IF(AND(K1219&gt;3,K1219&lt;3000000),1))</f>
        <v>1</v>
      </c>
      <c r="M1219" t="str">
        <f t="shared" ref="M1219:M1282" si="501">IF(L1219=1,"Suele comer","No come")</f>
        <v>Suele comer</v>
      </c>
      <c r="N1219">
        <v>1</v>
      </c>
      <c r="O1219">
        <f t="shared" ref="O1219:O1282" si="502">IF(N1219=1,N1219,IF(AND(N1219&gt;=2,N1219&lt;4000000),2))</f>
        <v>1</v>
      </c>
      <c r="P1219">
        <f t="shared" ref="P1219:P1282" si="503">IF(O1219=0,"1-2",IF(O1219=1,3,"Mas de 3"))</f>
        <v>3</v>
      </c>
      <c r="Q1219">
        <v>1</v>
      </c>
      <c r="R1219" t="str">
        <f t="shared" ref="R1219:R1282" si="504">IF(Q1219=0,"Nunca",IF(Q1219=1,"A veces",IF(Q1219=2,"Usualmente","Siempre")))</f>
        <v>A veces</v>
      </c>
      <c r="S1219">
        <v>0</v>
      </c>
      <c r="T1219" t="str">
        <f t="shared" ref="T1219:T1282" si="505">IF(S1219=1,"Fuma","No fuma")</f>
        <v>No fuma</v>
      </c>
      <c r="U1219">
        <v>2</v>
      </c>
      <c r="V1219">
        <f t="shared" ref="V1219:V1282" si="506">IF(U1219=1,U1219,IF(U1219=2,U1219,IF(AND(U1219&gt;=3,U1219&lt;3000000),2)))</f>
        <v>2</v>
      </c>
      <c r="W1219" t="str">
        <f t="shared" ref="W1219:W1282" si="507">IF(V1219=0,"Nunca",IF(V1219=1,"Usualmente","Siempre"))</f>
        <v>Siempre</v>
      </c>
      <c r="X1219">
        <v>0</v>
      </c>
      <c r="Y1219" t="str">
        <f t="shared" ref="Y1219:Y1282" si="508">IF(X1219=1,"Controla","No controla")</f>
        <v>No controla</v>
      </c>
      <c r="Z1219">
        <v>0</v>
      </c>
      <c r="AA1219">
        <f t="shared" ref="AA1219:AA1282" si="509">IF(Z1219=0,Z1219,IF(Z1219=1,Z1219,IF(Z1219=2,Z1219,IF(Z1219=3,Z1219,IF(AND(Z1219&gt;3,Z1219&lt;300000),2,IF(AND(Z1219&gt;300000,Z1219&lt;3000000),3,IF(AND(Z1219&gt;0,Z1219&lt;1),0)))))))</f>
        <v>0</v>
      </c>
      <c r="AB1219" t="str">
        <f t="shared" ref="AB1219:AB1282" si="510">IF(AA1219=0,"Nunca",IF(AA1219=1,"A veces",IF(AA1219=2,"Usualmente","Siempre")))</f>
        <v>Nunca</v>
      </c>
      <c r="AC1219">
        <v>1482016</v>
      </c>
      <c r="AD1219">
        <f t="shared" ref="AD1219:AD1282" si="511">IF(AC1219= 0,AC1219,IF(AC1219=1,AC1219,IF(AC1219=2,AC1219,IF(AND(AC1219&gt;2,AC1219&lt;200000),1,IF(AND(AC1219&gt;200000,AC1219&lt;2000000),2,IF(AND(AC1219&gt;0,AC1219&lt;1),0))))))</f>
        <v>2</v>
      </c>
      <c r="AE1219" t="str">
        <f t="shared" ref="AE1219:AE1282" si="512">IF(AD1219=0,"Nunca",IF(AD1219=1,"Usualmente","Siempre"))</f>
        <v>Siempre</v>
      </c>
      <c r="AF1219">
        <v>1</v>
      </c>
      <c r="AG1219" t="str">
        <f t="shared" ref="AG1219:AG1282" si="513">IF(AF1219=0,"Nunca",IF(AF1219=1,"A veces",IF(AF1219=2,"Usualmente","Siempre")))</f>
        <v>A veces</v>
      </c>
      <c r="AH1219">
        <v>0</v>
      </c>
      <c r="AI1219" t="str">
        <f t="shared" ref="AI1219:AI1282" si="514">IF(AH1219=1,"Usa auto","No usa")</f>
        <v>No usa</v>
      </c>
      <c r="AJ1219">
        <v>0</v>
      </c>
      <c r="AK1219" t="str">
        <f t="shared" ref="AK1219:AK1282" si="515">IF(AJ1219=1,"Usa Bici","No usa")</f>
        <v>No usa</v>
      </c>
      <c r="AL1219">
        <v>0</v>
      </c>
      <c r="AM1219" t="str">
        <f t="shared" ref="AM1219:AM1282" si="516">IF(AL1219=1,"Usa Moto","No usa")</f>
        <v>No usa</v>
      </c>
      <c r="AN1219">
        <v>1</v>
      </c>
      <c r="AO1219" t="str">
        <f t="shared" ref="AO1219:AO1282" si="517">IF(AN1219=1,"Usa Transporte","No usa")</f>
        <v>Usa Transporte</v>
      </c>
      <c r="AP1219">
        <v>0</v>
      </c>
      <c r="AQ1219" t="str">
        <f t="shared" ref="AQ1219:AQ1282" si="518">IF(AP1219=1,"Camina","No camina")</f>
        <v>No camina</v>
      </c>
      <c r="AR1219">
        <v>1</v>
      </c>
      <c r="AS1219" t="str">
        <f t="shared" ref="AS1219:AS1282" si="519">IF(AR1219=1,"Es Obeso","No es obeso")</f>
        <v>Es Obeso</v>
      </c>
    </row>
    <row r="1220" spans="1:45" x14ac:dyDescent="0.25">
      <c r="A1220">
        <v>0</v>
      </c>
      <c r="B1220" t="str">
        <f t="shared" si="494"/>
        <v>F</v>
      </c>
      <c r="C1220">
        <v>22679935</v>
      </c>
      <c r="D1220">
        <f t="shared" si="495"/>
        <v>62</v>
      </c>
      <c r="E1220">
        <f t="shared" si="496"/>
        <v>62</v>
      </c>
      <c r="F1220" t="str">
        <f t="shared" si="497"/>
        <v>50-75</v>
      </c>
      <c r="G1220">
        <v>1</v>
      </c>
      <c r="H1220" t="str">
        <f t="shared" si="498"/>
        <v>Pariente gordo</v>
      </c>
      <c r="I1220">
        <v>1</v>
      </c>
      <c r="J1220" t="str">
        <f t="shared" si="499"/>
        <v>Hipercaloricos</v>
      </c>
      <c r="K1220">
        <v>2699282</v>
      </c>
      <c r="L1220">
        <f t="shared" si="500"/>
        <v>1</v>
      </c>
      <c r="M1220" t="str">
        <f t="shared" si="501"/>
        <v>Suele comer</v>
      </c>
      <c r="N1220">
        <v>1</v>
      </c>
      <c r="O1220">
        <f t="shared" si="502"/>
        <v>1</v>
      </c>
      <c r="P1220">
        <f t="shared" si="503"/>
        <v>3</v>
      </c>
      <c r="Q1220">
        <v>1</v>
      </c>
      <c r="R1220" t="str">
        <f t="shared" si="504"/>
        <v>A veces</v>
      </c>
      <c r="S1220">
        <v>0</v>
      </c>
      <c r="T1220" t="str">
        <f t="shared" si="505"/>
        <v>No fuma</v>
      </c>
      <c r="U1220">
        <v>2598632</v>
      </c>
      <c r="V1220">
        <f t="shared" si="506"/>
        <v>2</v>
      </c>
      <c r="W1220" t="str">
        <f t="shared" si="507"/>
        <v>Siempre</v>
      </c>
      <c r="X1220">
        <v>0</v>
      </c>
      <c r="Y1220" t="str">
        <f t="shared" si="508"/>
        <v>No controla</v>
      </c>
      <c r="Z1220">
        <v>0.29209299999999999</v>
      </c>
      <c r="AA1220">
        <f t="shared" si="509"/>
        <v>0</v>
      </c>
      <c r="AB1220" t="str">
        <f t="shared" si="510"/>
        <v>Nunca</v>
      </c>
      <c r="AC1220">
        <v>2</v>
      </c>
      <c r="AD1220">
        <f t="shared" si="511"/>
        <v>2</v>
      </c>
      <c r="AE1220" t="str">
        <f t="shared" si="512"/>
        <v>Siempre</v>
      </c>
      <c r="AF1220">
        <v>1</v>
      </c>
      <c r="AG1220" t="str">
        <f t="shared" si="513"/>
        <v>A veces</v>
      </c>
      <c r="AH1220">
        <v>0</v>
      </c>
      <c r="AI1220" t="str">
        <f t="shared" si="514"/>
        <v>No usa</v>
      </c>
      <c r="AJ1220">
        <v>0</v>
      </c>
      <c r="AK1220" t="str">
        <f t="shared" si="515"/>
        <v>No usa</v>
      </c>
      <c r="AL1220">
        <v>0</v>
      </c>
      <c r="AM1220" t="str">
        <f t="shared" si="516"/>
        <v>No usa</v>
      </c>
      <c r="AN1220">
        <v>1</v>
      </c>
      <c r="AO1220" t="str">
        <f t="shared" si="517"/>
        <v>Usa Transporte</v>
      </c>
      <c r="AP1220">
        <v>0</v>
      </c>
      <c r="AQ1220" t="str">
        <f t="shared" si="518"/>
        <v>No camina</v>
      </c>
      <c r="AR1220">
        <v>1</v>
      </c>
      <c r="AS1220" t="str">
        <f t="shared" si="519"/>
        <v>Es Obeso</v>
      </c>
    </row>
    <row r="1221" spans="1:45" x14ac:dyDescent="0.25">
      <c r="A1221">
        <v>1</v>
      </c>
      <c r="B1221" t="str">
        <f t="shared" si="494"/>
        <v>M</v>
      </c>
      <c r="C1221">
        <v>24079524</v>
      </c>
      <c r="D1221">
        <f t="shared" si="495"/>
        <v>65</v>
      </c>
      <c r="E1221">
        <f t="shared" si="496"/>
        <v>65</v>
      </c>
      <c r="F1221" t="str">
        <f t="shared" si="497"/>
        <v>50-75</v>
      </c>
      <c r="G1221">
        <v>1</v>
      </c>
      <c r="H1221" t="str">
        <f t="shared" si="498"/>
        <v>Pariente gordo</v>
      </c>
      <c r="I1221">
        <v>1</v>
      </c>
      <c r="J1221" t="str">
        <f t="shared" si="499"/>
        <v>Hipercaloricos</v>
      </c>
      <c r="K1221">
        <v>2</v>
      </c>
      <c r="L1221">
        <f t="shared" si="500"/>
        <v>1</v>
      </c>
      <c r="M1221" t="str">
        <f t="shared" si="501"/>
        <v>Suele comer</v>
      </c>
      <c r="N1221">
        <v>3</v>
      </c>
      <c r="O1221">
        <f t="shared" si="502"/>
        <v>2</v>
      </c>
      <c r="P1221" t="str">
        <f t="shared" si="503"/>
        <v>Mas de 3</v>
      </c>
      <c r="Q1221">
        <v>1</v>
      </c>
      <c r="R1221" t="str">
        <f t="shared" si="504"/>
        <v>A veces</v>
      </c>
      <c r="S1221">
        <v>0</v>
      </c>
      <c r="T1221" t="str">
        <f t="shared" si="505"/>
        <v>No fuma</v>
      </c>
      <c r="U1221">
        <v>2843675</v>
      </c>
      <c r="V1221">
        <f t="shared" si="506"/>
        <v>2</v>
      </c>
      <c r="W1221" t="str">
        <f t="shared" si="507"/>
        <v>Siempre</v>
      </c>
      <c r="X1221">
        <v>0</v>
      </c>
      <c r="Y1221" t="str">
        <f t="shared" si="508"/>
        <v>No controla</v>
      </c>
      <c r="Z1221">
        <v>1309304</v>
      </c>
      <c r="AA1221">
        <f t="shared" si="509"/>
        <v>3</v>
      </c>
      <c r="AB1221" t="str">
        <f t="shared" si="510"/>
        <v>Siempre</v>
      </c>
      <c r="AC1221">
        <v>1338655</v>
      </c>
      <c r="AD1221">
        <f t="shared" si="511"/>
        <v>2</v>
      </c>
      <c r="AE1221" t="str">
        <f t="shared" si="512"/>
        <v>Siempre</v>
      </c>
      <c r="AF1221">
        <v>0</v>
      </c>
      <c r="AG1221" t="str">
        <f t="shared" si="513"/>
        <v>Nunca</v>
      </c>
      <c r="AH1221">
        <v>0</v>
      </c>
      <c r="AI1221" t="str">
        <f t="shared" si="514"/>
        <v>No usa</v>
      </c>
      <c r="AJ1221">
        <v>0</v>
      </c>
      <c r="AK1221" t="str">
        <f t="shared" si="515"/>
        <v>No usa</v>
      </c>
      <c r="AL1221">
        <v>0</v>
      </c>
      <c r="AM1221" t="str">
        <f t="shared" si="516"/>
        <v>No usa</v>
      </c>
      <c r="AN1221">
        <v>1</v>
      </c>
      <c r="AO1221" t="str">
        <f t="shared" si="517"/>
        <v>Usa Transporte</v>
      </c>
      <c r="AP1221">
        <v>0</v>
      </c>
      <c r="AQ1221" t="str">
        <f t="shared" si="518"/>
        <v>No camina</v>
      </c>
      <c r="AR1221">
        <v>1</v>
      </c>
      <c r="AS1221" t="str">
        <f t="shared" si="519"/>
        <v>Es Obeso</v>
      </c>
    </row>
    <row r="1222" spans="1:45" x14ac:dyDescent="0.25">
      <c r="A1222">
        <v>1</v>
      </c>
      <c r="B1222" t="str">
        <f t="shared" si="494"/>
        <v>M</v>
      </c>
      <c r="C1222">
        <v>21196152</v>
      </c>
      <c r="D1222">
        <f t="shared" si="495"/>
        <v>58</v>
      </c>
      <c r="E1222">
        <f t="shared" si="496"/>
        <v>58</v>
      </c>
      <c r="F1222" t="str">
        <f t="shared" si="497"/>
        <v>50-75</v>
      </c>
      <c r="G1222">
        <v>1</v>
      </c>
      <c r="H1222" t="str">
        <f t="shared" si="498"/>
        <v>Pariente gordo</v>
      </c>
      <c r="I1222">
        <v>1</v>
      </c>
      <c r="J1222" t="str">
        <f t="shared" si="499"/>
        <v>Hipercaloricos</v>
      </c>
      <c r="K1222">
        <v>24277</v>
      </c>
      <c r="L1222">
        <f t="shared" si="500"/>
        <v>1</v>
      </c>
      <c r="M1222" t="str">
        <f t="shared" si="501"/>
        <v>Suele comer</v>
      </c>
      <c r="N1222">
        <v>1001633</v>
      </c>
      <c r="O1222">
        <f t="shared" si="502"/>
        <v>2</v>
      </c>
      <c r="P1222" t="str">
        <f t="shared" si="503"/>
        <v>Mas de 3</v>
      </c>
      <c r="Q1222">
        <v>1</v>
      </c>
      <c r="R1222" t="str">
        <f t="shared" si="504"/>
        <v>A veces</v>
      </c>
      <c r="S1222">
        <v>0</v>
      </c>
      <c r="T1222" t="str">
        <f t="shared" si="505"/>
        <v>No fuma</v>
      </c>
      <c r="U1222">
        <v>3</v>
      </c>
      <c r="V1222">
        <f t="shared" si="506"/>
        <v>2</v>
      </c>
      <c r="W1222" t="str">
        <f t="shared" si="507"/>
        <v>Siempre</v>
      </c>
      <c r="X1222">
        <v>0</v>
      </c>
      <c r="Y1222" t="str">
        <f t="shared" si="508"/>
        <v>No controla</v>
      </c>
      <c r="Z1222">
        <v>1172641</v>
      </c>
      <c r="AA1222">
        <f t="shared" si="509"/>
        <v>3</v>
      </c>
      <c r="AB1222" t="str">
        <f t="shared" si="510"/>
        <v>Siempre</v>
      </c>
      <c r="AC1222">
        <v>1</v>
      </c>
      <c r="AD1222">
        <f t="shared" si="511"/>
        <v>1</v>
      </c>
      <c r="AE1222" t="str">
        <f t="shared" si="512"/>
        <v>Usualmente</v>
      </c>
      <c r="AF1222">
        <v>0</v>
      </c>
      <c r="AG1222" t="str">
        <f t="shared" si="513"/>
        <v>Nunca</v>
      </c>
      <c r="AH1222">
        <v>0</v>
      </c>
      <c r="AI1222" t="str">
        <f t="shared" si="514"/>
        <v>No usa</v>
      </c>
      <c r="AJ1222">
        <v>0</v>
      </c>
      <c r="AK1222" t="str">
        <f t="shared" si="515"/>
        <v>No usa</v>
      </c>
      <c r="AL1222">
        <v>0</v>
      </c>
      <c r="AM1222" t="str">
        <f t="shared" si="516"/>
        <v>No usa</v>
      </c>
      <c r="AN1222">
        <v>1</v>
      </c>
      <c r="AO1222" t="str">
        <f t="shared" si="517"/>
        <v>Usa Transporte</v>
      </c>
      <c r="AP1222">
        <v>0</v>
      </c>
      <c r="AQ1222" t="str">
        <f t="shared" si="518"/>
        <v>No camina</v>
      </c>
      <c r="AR1222">
        <v>1</v>
      </c>
      <c r="AS1222" t="str">
        <f t="shared" si="519"/>
        <v>Es Obeso</v>
      </c>
    </row>
    <row r="1223" spans="1:45" x14ac:dyDescent="0.25">
      <c r="A1223">
        <v>0</v>
      </c>
      <c r="B1223" t="str">
        <f t="shared" si="494"/>
        <v>F</v>
      </c>
      <c r="C1223">
        <v>22596576</v>
      </c>
      <c r="D1223">
        <f t="shared" si="495"/>
        <v>61</v>
      </c>
      <c r="E1223">
        <f t="shared" si="496"/>
        <v>61</v>
      </c>
      <c r="F1223" t="str">
        <f t="shared" si="497"/>
        <v>50-75</v>
      </c>
      <c r="G1223">
        <v>1</v>
      </c>
      <c r="H1223" t="str">
        <f t="shared" si="498"/>
        <v>Pariente gordo</v>
      </c>
      <c r="I1223">
        <v>1</v>
      </c>
      <c r="J1223" t="str">
        <f t="shared" si="499"/>
        <v>Hipercaloricos</v>
      </c>
      <c r="K1223">
        <v>287599</v>
      </c>
      <c r="L1223">
        <f t="shared" si="500"/>
        <v>1</v>
      </c>
      <c r="M1223" t="str">
        <f t="shared" si="501"/>
        <v>Suele comer</v>
      </c>
      <c r="N1223">
        <v>12919</v>
      </c>
      <c r="O1223">
        <f t="shared" si="502"/>
        <v>2</v>
      </c>
      <c r="P1223" t="str">
        <f t="shared" si="503"/>
        <v>Mas de 3</v>
      </c>
      <c r="Q1223">
        <v>1</v>
      </c>
      <c r="R1223" t="str">
        <f t="shared" si="504"/>
        <v>A veces</v>
      </c>
      <c r="S1223">
        <v>0</v>
      </c>
      <c r="T1223" t="str">
        <f t="shared" si="505"/>
        <v>No fuma</v>
      </c>
      <c r="U1223">
        <v>2777712</v>
      </c>
      <c r="V1223">
        <f t="shared" si="506"/>
        <v>2</v>
      </c>
      <c r="W1223" t="str">
        <f t="shared" si="507"/>
        <v>Siempre</v>
      </c>
      <c r="X1223">
        <v>0</v>
      </c>
      <c r="Y1223" t="str">
        <f t="shared" si="508"/>
        <v>No controla</v>
      </c>
      <c r="Z1223">
        <v>0.432813</v>
      </c>
      <c r="AA1223">
        <f t="shared" si="509"/>
        <v>0</v>
      </c>
      <c r="AB1223" t="str">
        <f t="shared" si="510"/>
        <v>Nunca</v>
      </c>
      <c r="AC1223">
        <v>1</v>
      </c>
      <c r="AD1223">
        <f t="shared" si="511"/>
        <v>1</v>
      </c>
      <c r="AE1223" t="str">
        <f t="shared" si="512"/>
        <v>Usualmente</v>
      </c>
      <c r="AF1223">
        <v>0</v>
      </c>
      <c r="AG1223" t="str">
        <f t="shared" si="513"/>
        <v>Nunca</v>
      </c>
      <c r="AH1223">
        <v>0</v>
      </c>
      <c r="AI1223" t="str">
        <f t="shared" si="514"/>
        <v>No usa</v>
      </c>
      <c r="AJ1223">
        <v>0</v>
      </c>
      <c r="AK1223" t="str">
        <f t="shared" si="515"/>
        <v>No usa</v>
      </c>
      <c r="AL1223">
        <v>0</v>
      </c>
      <c r="AM1223" t="str">
        <f t="shared" si="516"/>
        <v>No usa</v>
      </c>
      <c r="AN1223">
        <v>1</v>
      </c>
      <c r="AO1223" t="str">
        <f t="shared" si="517"/>
        <v>Usa Transporte</v>
      </c>
      <c r="AP1223">
        <v>0</v>
      </c>
      <c r="AQ1223" t="str">
        <f t="shared" si="518"/>
        <v>No camina</v>
      </c>
      <c r="AR1223">
        <v>1</v>
      </c>
      <c r="AS1223" t="str">
        <f t="shared" si="519"/>
        <v>Es Obeso</v>
      </c>
    </row>
    <row r="1224" spans="1:45" x14ac:dyDescent="0.25">
      <c r="A1224">
        <v>0</v>
      </c>
      <c r="B1224" t="str">
        <f t="shared" si="494"/>
        <v>F</v>
      </c>
      <c r="C1224">
        <v>23</v>
      </c>
      <c r="D1224">
        <f t="shared" si="495"/>
        <v>23</v>
      </c>
      <c r="E1224">
        <f t="shared" si="496"/>
        <v>23</v>
      </c>
      <c r="F1224" t="str">
        <f t="shared" si="497"/>
        <v>1-25</v>
      </c>
      <c r="G1224">
        <v>1</v>
      </c>
      <c r="H1224" t="str">
        <f t="shared" si="498"/>
        <v>Pariente gordo</v>
      </c>
      <c r="I1224">
        <v>1</v>
      </c>
      <c r="J1224" t="str">
        <f t="shared" si="499"/>
        <v>Hipercaloricos</v>
      </c>
      <c r="K1224">
        <v>2177243</v>
      </c>
      <c r="L1224">
        <f t="shared" si="500"/>
        <v>1</v>
      </c>
      <c r="M1224" t="str">
        <f t="shared" si="501"/>
        <v>Suele comer</v>
      </c>
      <c r="N1224">
        <v>3</v>
      </c>
      <c r="O1224">
        <f t="shared" si="502"/>
        <v>2</v>
      </c>
      <c r="P1224" t="str">
        <f t="shared" si="503"/>
        <v>Mas de 3</v>
      </c>
      <c r="Q1224">
        <v>1</v>
      </c>
      <c r="R1224" t="str">
        <f t="shared" si="504"/>
        <v>A veces</v>
      </c>
      <c r="S1224">
        <v>0</v>
      </c>
      <c r="T1224" t="str">
        <f t="shared" si="505"/>
        <v>No fuma</v>
      </c>
      <c r="U1224">
        <v>2715572</v>
      </c>
      <c r="V1224">
        <f t="shared" si="506"/>
        <v>2</v>
      </c>
      <c r="W1224" t="str">
        <f t="shared" si="507"/>
        <v>Siempre</v>
      </c>
      <c r="X1224">
        <v>0</v>
      </c>
      <c r="Y1224" t="str">
        <f t="shared" si="508"/>
        <v>No controla</v>
      </c>
      <c r="Z1224">
        <v>2230109</v>
      </c>
      <c r="AA1224">
        <f t="shared" si="509"/>
        <v>3</v>
      </c>
      <c r="AB1224" t="str">
        <f t="shared" si="510"/>
        <v>Siempre</v>
      </c>
      <c r="AC1224">
        <v>7.0897000000000002E-2</v>
      </c>
      <c r="AD1224">
        <f t="shared" si="511"/>
        <v>0</v>
      </c>
      <c r="AE1224" t="str">
        <f t="shared" si="512"/>
        <v>Nunca</v>
      </c>
      <c r="AF1224">
        <v>0</v>
      </c>
      <c r="AG1224" t="str">
        <f t="shared" si="513"/>
        <v>Nunca</v>
      </c>
      <c r="AH1224">
        <v>0</v>
      </c>
      <c r="AI1224" t="str">
        <f t="shared" si="514"/>
        <v>No usa</v>
      </c>
      <c r="AJ1224">
        <v>0</v>
      </c>
      <c r="AK1224" t="str">
        <f t="shared" si="515"/>
        <v>No usa</v>
      </c>
      <c r="AL1224">
        <v>0</v>
      </c>
      <c r="AM1224" t="str">
        <f t="shared" si="516"/>
        <v>No usa</v>
      </c>
      <c r="AN1224">
        <v>1</v>
      </c>
      <c r="AO1224" t="str">
        <f t="shared" si="517"/>
        <v>Usa Transporte</v>
      </c>
      <c r="AP1224">
        <v>0</v>
      </c>
      <c r="AQ1224" t="str">
        <f t="shared" si="518"/>
        <v>No camina</v>
      </c>
      <c r="AR1224">
        <v>1</v>
      </c>
      <c r="AS1224" t="str">
        <f t="shared" si="519"/>
        <v>Es Obeso</v>
      </c>
    </row>
    <row r="1225" spans="1:45" x14ac:dyDescent="0.25">
      <c r="A1225">
        <v>0</v>
      </c>
      <c r="B1225" t="str">
        <f t="shared" si="494"/>
        <v>F</v>
      </c>
      <c r="C1225">
        <v>37356288</v>
      </c>
      <c r="D1225">
        <f t="shared" si="495"/>
        <v>102</v>
      </c>
      <c r="E1225">
        <f t="shared" si="496"/>
        <v>100</v>
      </c>
      <c r="F1225" t="str">
        <f t="shared" si="497"/>
        <v>75-100</v>
      </c>
      <c r="G1225">
        <v>1</v>
      </c>
      <c r="H1225" t="str">
        <f t="shared" si="498"/>
        <v>Pariente gordo</v>
      </c>
      <c r="I1225">
        <v>1</v>
      </c>
      <c r="J1225" t="str">
        <f t="shared" si="499"/>
        <v>Hipercaloricos</v>
      </c>
      <c r="K1225">
        <v>2</v>
      </c>
      <c r="L1225">
        <f t="shared" si="500"/>
        <v>1</v>
      </c>
      <c r="M1225" t="str">
        <f t="shared" si="501"/>
        <v>Suele comer</v>
      </c>
      <c r="N1225">
        <v>3</v>
      </c>
      <c r="O1225">
        <f t="shared" si="502"/>
        <v>2</v>
      </c>
      <c r="P1225" t="str">
        <f t="shared" si="503"/>
        <v>Mas de 3</v>
      </c>
      <c r="Q1225">
        <v>1</v>
      </c>
      <c r="R1225" t="str">
        <f t="shared" si="504"/>
        <v>A veces</v>
      </c>
      <c r="S1225">
        <v>0</v>
      </c>
      <c r="T1225" t="str">
        <f t="shared" si="505"/>
        <v>No fuma</v>
      </c>
      <c r="U1225">
        <v>1630528</v>
      </c>
      <c r="V1225">
        <f t="shared" si="506"/>
        <v>2</v>
      </c>
      <c r="W1225" t="str">
        <f t="shared" si="507"/>
        <v>Siempre</v>
      </c>
      <c r="X1225">
        <v>0</v>
      </c>
      <c r="Y1225" t="str">
        <f t="shared" si="508"/>
        <v>No controla</v>
      </c>
      <c r="Z1225">
        <v>0</v>
      </c>
      <c r="AA1225">
        <f t="shared" si="509"/>
        <v>0</v>
      </c>
      <c r="AB1225" t="str">
        <f t="shared" si="510"/>
        <v>Nunca</v>
      </c>
      <c r="AC1225">
        <v>0</v>
      </c>
      <c r="AD1225">
        <f t="shared" si="511"/>
        <v>0</v>
      </c>
      <c r="AE1225" t="str">
        <f t="shared" si="512"/>
        <v>Nunca</v>
      </c>
      <c r="AF1225">
        <v>1</v>
      </c>
      <c r="AG1225" t="str">
        <f t="shared" si="513"/>
        <v>A veces</v>
      </c>
      <c r="AH1225">
        <v>1</v>
      </c>
      <c r="AI1225" t="str">
        <f t="shared" si="514"/>
        <v>Usa auto</v>
      </c>
      <c r="AJ1225">
        <v>0</v>
      </c>
      <c r="AK1225" t="str">
        <f t="shared" si="515"/>
        <v>No usa</v>
      </c>
      <c r="AL1225">
        <v>0</v>
      </c>
      <c r="AM1225" t="str">
        <f t="shared" si="516"/>
        <v>No usa</v>
      </c>
      <c r="AN1225">
        <v>0</v>
      </c>
      <c r="AO1225" t="str">
        <f t="shared" si="517"/>
        <v>No usa</v>
      </c>
      <c r="AP1225">
        <v>0</v>
      </c>
      <c r="AQ1225" t="str">
        <f t="shared" si="518"/>
        <v>No camina</v>
      </c>
      <c r="AR1225">
        <v>1</v>
      </c>
      <c r="AS1225" t="str">
        <f t="shared" si="519"/>
        <v>Es Obeso</v>
      </c>
    </row>
    <row r="1226" spans="1:45" x14ac:dyDescent="0.25">
      <c r="A1226">
        <v>1</v>
      </c>
      <c r="B1226" t="str">
        <f t="shared" si="494"/>
        <v>M</v>
      </c>
      <c r="C1226">
        <v>22754646</v>
      </c>
      <c r="D1226">
        <f t="shared" si="495"/>
        <v>62</v>
      </c>
      <c r="E1226">
        <f t="shared" si="496"/>
        <v>62</v>
      </c>
      <c r="F1226" t="str">
        <f t="shared" si="497"/>
        <v>50-75</v>
      </c>
      <c r="G1226">
        <v>1</v>
      </c>
      <c r="H1226" t="str">
        <f t="shared" si="498"/>
        <v>Pariente gordo</v>
      </c>
      <c r="I1226">
        <v>1</v>
      </c>
      <c r="J1226" t="str">
        <f t="shared" si="499"/>
        <v>Hipercaloricos</v>
      </c>
      <c r="K1226">
        <v>2</v>
      </c>
      <c r="L1226">
        <f t="shared" si="500"/>
        <v>1</v>
      </c>
      <c r="M1226" t="str">
        <f t="shared" si="501"/>
        <v>Suele comer</v>
      </c>
      <c r="N1226">
        <v>3</v>
      </c>
      <c r="O1226">
        <f t="shared" si="502"/>
        <v>2</v>
      </c>
      <c r="P1226" t="str">
        <f t="shared" si="503"/>
        <v>Mas de 3</v>
      </c>
      <c r="Q1226">
        <v>1</v>
      </c>
      <c r="R1226" t="str">
        <f t="shared" si="504"/>
        <v>A veces</v>
      </c>
      <c r="S1226">
        <v>0</v>
      </c>
      <c r="T1226" t="str">
        <f t="shared" si="505"/>
        <v>No fuma</v>
      </c>
      <c r="U1226">
        <v>2287248</v>
      </c>
      <c r="V1226">
        <f t="shared" si="506"/>
        <v>2</v>
      </c>
      <c r="W1226" t="str">
        <f t="shared" si="507"/>
        <v>Siempre</v>
      </c>
      <c r="X1226">
        <v>0</v>
      </c>
      <c r="Y1226" t="str">
        <f t="shared" si="508"/>
        <v>No controla</v>
      </c>
      <c r="Z1226">
        <v>2669179</v>
      </c>
      <c r="AA1226">
        <f t="shared" si="509"/>
        <v>3</v>
      </c>
      <c r="AB1226" t="str">
        <f t="shared" si="510"/>
        <v>Siempre</v>
      </c>
      <c r="AC1226">
        <v>1237867</v>
      </c>
      <c r="AD1226">
        <f t="shared" si="511"/>
        <v>2</v>
      </c>
      <c r="AE1226" t="str">
        <f t="shared" si="512"/>
        <v>Siempre</v>
      </c>
      <c r="AF1226">
        <v>0</v>
      </c>
      <c r="AG1226" t="str">
        <f t="shared" si="513"/>
        <v>Nunca</v>
      </c>
      <c r="AH1226">
        <v>0</v>
      </c>
      <c r="AI1226" t="str">
        <f t="shared" si="514"/>
        <v>No usa</v>
      </c>
      <c r="AJ1226">
        <v>0</v>
      </c>
      <c r="AK1226" t="str">
        <f t="shared" si="515"/>
        <v>No usa</v>
      </c>
      <c r="AL1226">
        <v>0</v>
      </c>
      <c r="AM1226" t="str">
        <f t="shared" si="516"/>
        <v>No usa</v>
      </c>
      <c r="AN1226">
        <v>1</v>
      </c>
      <c r="AO1226" t="str">
        <f t="shared" si="517"/>
        <v>Usa Transporte</v>
      </c>
      <c r="AP1226">
        <v>0</v>
      </c>
      <c r="AQ1226" t="str">
        <f t="shared" si="518"/>
        <v>No camina</v>
      </c>
      <c r="AR1226">
        <v>1</v>
      </c>
      <c r="AS1226" t="str">
        <f t="shared" si="519"/>
        <v>Es Obeso</v>
      </c>
    </row>
    <row r="1227" spans="1:45" x14ac:dyDescent="0.25">
      <c r="A1227">
        <v>1</v>
      </c>
      <c r="B1227" t="str">
        <f t="shared" si="494"/>
        <v>M</v>
      </c>
      <c r="C1227">
        <v>23252906</v>
      </c>
      <c r="D1227">
        <f t="shared" si="495"/>
        <v>63</v>
      </c>
      <c r="E1227">
        <f t="shared" si="496"/>
        <v>63</v>
      </c>
      <c r="F1227" t="str">
        <f t="shared" si="497"/>
        <v>50-75</v>
      </c>
      <c r="G1227">
        <v>1</v>
      </c>
      <c r="H1227" t="str">
        <f t="shared" si="498"/>
        <v>Pariente gordo</v>
      </c>
      <c r="I1227">
        <v>1</v>
      </c>
      <c r="J1227" t="str">
        <f t="shared" si="499"/>
        <v>Hipercaloricos</v>
      </c>
      <c r="K1227">
        <v>2</v>
      </c>
      <c r="L1227">
        <f t="shared" si="500"/>
        <v>1</v>
      </c>
      <c r="M1227" t="str">
        <f t="shared" si="501"/>
        <v>Suele comer</v>
      </c>
      <c r="N1227">
        <v>3</v>
      </c>
      <c r="O1227">
        <f t="shared" si="502"/>
        <v>2</v>
      </c>
      <c r="P1227" t="str">
        <f t="shared" si="503"/>
        <v>Mas de 3</v>
      </c>
      <c r="Q1227">
        <v>1</v>
      </c>
      <c r="R1227" t="str">
        <f t="shared" si="504"/>
        <v>A veces</v>
      </c>
      <c r="S1227">
        <v>0</v>
      </c>
      <c r="T1227" t="str">
        <f t="shared" si="505"/>
        <v>No fuma</v>
      </c>
      <c r="U1227">
        <v>3</v>
      </c>
      <c r="V1227">
        <f t="shared" si="506"/>
        <v>2</v>
      </c>
      <c r="W1227" t="str">
        <f t="shared" si="507"/>
        <v>Siempre</v>
      </c>
      <c r="X1227">
        <v>0</v>
      </c>
      <c r="Y1227" t="str">
        <f t="shared" si="508"/>
        <v>No controla</v>
      </c>
      <c r="Z1227">
        <v>3</v>
      </c>
      <c r="AA1227">
        <f t="shared" si="509"/>
        <v>3</v>
      </c>
      <c r="AB1227" t="str">
        <f t="shared" si="510"/>
        <v>Siempre</v>
      </c>
      <c r="AC1227">
        <v>2</v>
      </c>
      <c r="AD1227">
        <f t="shared" si="511"/>
        <v>2</v>
      </c>
      <c r="AE1227" t="str">
        <f t="shared" si="512"/>
        <v>Siempre</v>
      </c>
      <c r="AF1227">
        <v>0</v>
      </c>
      <c r="AG1227" t="str">
        <f t="shared" si="513"/>
        <v>Nunca</v>
      </c>
      <c r="AH1227">
        <v>0</v>
      </c>
      <c r="AI1227" t="str">
        <f t="shared" si="514"/>
        <v>No usa</v>
      </c>
      <c r="AJ1227">
        <v>0</v>
      </c>
      <c r="AK1227" t="str">
        <f t="shared" si="515"/>
        <v>No usa</v>
      </c>
      <c r="AL1227">
        <v>0</v>
      </c>
      <c r="AM1227" t="str">
        <f t="shared" si="516"/>
        <v>No usa</v>
      </c>
      <c r="AN1227">
        <v>1</v>
      </c>
      <c r="AO1227" t="str">
        <f t="shared" si="517"/>
        <v>Usa Transporte</v>
      </c>
      <c r="AP1227">
        <v>0</v>
      </c>
      <c r="AQ1227" t="str">
        <f t="shared" si="518"/>
        <v>No camina</v>
      </c>
      <c r="AR1227">
        <v>1</v>
      </c>
      <c r="AS1227" t="str">
        <f t="shared" si="519"/>
        <v>Es Obeso</v>
      </c>
    </row>
    <row r="1228" spans="1:45" x14ac:dyDescent="0.25">
      <c r="A1228">
        <v>0</v>
      </c>
      <c r="B1228" t="str">
        <f t="shared" si="494"/>
        <v>F</v>
      </c>
      <c r="C1228">
        <v>22025438</v>
      </c>
      <c r="D1228">
        <f t="shared" si="495"/>
        <v>60</v>
      </c>
      <c r="E1228">
        <f t="shared" si="496"/>
        <v>60</v>
      </c>
      <c r="F1228" t="str">
        <f t="shared" si="497"/>
        <v>50-75</v>
      </c>
      <c r="G1228">
        <v>1</v>
      </c>
      <c r="H1228" t="str">
        <f t="shared" si="498"/>
        <v>Pariente gordo</v>
      </c>
      <c r="I1228">
        <v>1</v>
      </c>
      <c r="J1228" t="str">
        <f t="shared" si="499"/>
        <v>Hipercaloricos</v>
      </c>
      <c r="K1228">
        <v>3</v>
      </c>
      <c r="L1228">
        <f t="shared" si="500"/>
        <v>1</v>
      </c>
      <c r="M1228" t="str">
        <f t="shared" si="501"/>
        <v>Suele comer</v>
      </c>
      <c r="N1228">
        <v>1</v>
      </c>
      <c r="O1228">
        <f t="shared" si="502"/>
        <v>1</v>
      </c>
      <c r="P1228">
        <f t="shared" si="503"/>
        <v>3</v>
      </c>
      <c r="Q1228">
        <v>1</v>
      </c>
      <c r="R1228" t="str">
        <f t="shared" si="504"/>
        <v>A veces</v>
      </c>
      <c r="S1228">
        <v>0</v>
      </c>
      <c r="T1228" t="str">
        <f t="shared" si="505"/>
        <v>No fuma</v>
      </c>
      <c r="U1228">
        <v>3</v>
      </c>
      <c r="V1228">
        <f t="shared" si="506"/>
        <v>2</v>
      </c>
      <c r="W1228" t="str">
        <f t="shared" si="507"/>
        <v>Siempre</v>
      </c>
      <c r="X1228">
        <v>0</v>
      </c>
      <c r="Y1228" t="str">
        <f t="shared" si="508"/>
        <v>No controla</v>
      </c>
      <c r="Z1228">
        <v>1280924</v>
      </c>
      <c r="AA1228">
        <f t="shared" si="509"/>
        <v>3</v>
      </c>
      <c r="AB1228" t="str">
        <f t="shared" si="510"/>
        <v>Siempre</v>
      </c>
      <c r="AC1228">
        <v>177795</v>
      </c>
      <c r="AD1228">
        <f t="shared" si="511"/>
        <v>1</v>
      </c>
      <c r="AE1228" t="str">
        <f t="shared" si="512"/>
        <v>Usualmente</v>
      </c>
      <c r="AF1228">
        <v>0</v>
      </c>
      <c r="AG1228" t="str">
        <f t="shared" si="513"/>
        <v>Nunca</v>
      </c>
      <c r="AH1228">
        <v>0</v>
      </c>
      <c r="AI1228" t="str">
        <f t="shared" si="514"/>
        <v>No usa</v>
      </c>
      <c r="AJ1228">
        <v>0</v>
      </c>
      <c r="AK1228" t="str">
        <f t="shared" si="515"/>
        <v>No usa</v>
      </c>
      <c r="AL1228">
        <v>0</v>
      </c>
      <c r="AM1228" t="str">
        <f t="shared" si="516"/>
        <v>No usa</v>
      </c>
      <c r="AN1228">
        <v>1</v>
      </c>
      <c r="AO1228" t="str">
        <f t="shared" si="517"/>
        <v>Usa Transporte</v>
      </c>
      <c r="AP1228">
        <v>0</v>
      </c>
      <c r="AQ1228" t="str">
        <f t="shared" si="518"/>
        <v>No camina</v>
      </c>
      <c r="AR1228">
        <v>1</v>
      </c>
      <c r="AS1228" t="str">
        <f t="shared" si="519"/>
        <v>Es Obeso</v>
      </c>
    </row>
    <row r="1229" spans="1:45" x14ac:dyDescent="0.25">
      <c r="A1229">
        <v>0</v>
      </c>
      <c r="B1229" t="str">
        <f t="shared" si="494"/>
        <v>F</v>
      </c>
      <c r="C1229">
        <v>18086772</v>
      </c>
      <c r="D1229">
        <f t="shared" si="495"/>
        <v>49</v>
      </c>
      <c r="E1229">
        <f t="shared" si="496"/>
        <v>49</v>
      </c>
      <c r="F1229" t="str">
        <f t="shared" si="497"/>
        <v>25-50</v>
      </c>
      <c r="G1229">
        <v>1</v>
      </c>
      <c r="H1229" t="str">
        <f t="shared" si="498"/>
        <v>Pariente gordo</v>
      </c>
      <c r="I1229">
        <v>1</v>
      </c>
      <c r="J1229" t="str">
        <f t="shared" si="499"/>
        <v>Hipercaloricos</v>
      </c>
      <c r="K1229">
        <v>3</v>
      </c>
      <c r="L1229">
        <f t="shared" si="500"/>
        <v>1</v>
      </c>
      <c r="M1229" t="str">
        <f t="shared" si="501"/>
        <v>Suele comer</v>
      </c>
      <c r="N1229">
        <v>3</v>
      </c>
      <c r="O1229">
        <f t="shared" si="502"/>
        <v>2</v>
      </c>
      <c r="P1229" t="str">
        <f t="shared" si="503"/>
        <v>Mas de 3</v>
      </c>
      <c r="Q1229">
        <v>1</v>
      </c>
      <c r="R1229" t="str">
        <f t="shared" si="504"/>
        <v>A veces</v>
      </c>
      <c r="S1229">
        <v>0</v>
      </c>
      <c r="T1229" t="str">
        <f t="shared" si="505"/>
        <v>No fuma</v>
      </c>
      <c r="U1229">
        <v>1</v>
      </c>
      <c r="V1229">
        <f t="shared" si="506"/>
        <v>1</v>
      </c>
      <c r="W1229" t="str">
        <f t="shared" si="507"/>
        <v>Usualmente</v>
      </c>
      <c r="X1229">
        <v>0</v>
      </c>
      <c r="Y1229" t="str">
        <f t="shared" si="508"/>
        <v>No controla</v>
      </c>
      <c r="Z1229">
        <v>102975</v>
      </c>
      <c r="AA1229">
        <f t="shared" si="509"/>
        <v>2</v>
      </c>
      <c r="AB1229" t="str">
        <f t="shared" si="510"/>
        <v>Usualmente</v>
      </c>
      <c r="AC1229">
        <v>1350099</v>
      </c>
      <c r="AD1229">
        <f t="shared" si="511"/>
        <v>2</v>
      </c>
      <c r="AE1229" t="str">
        <f t="shared" si="512"/>
        <v>Siempre</v>
      </c>
      <c r="AF1229">
        <v>1</v>
      </c>
      <c r="AG1229" t="str">
        <f t="shared" si="513"/>
        <v>A veces</v>
      </c>
      <c r="AH1229">
        <v>0</v>
      </c>
      <c r="AI1229" t="str">
        <f t="shared" si="514"/>
        <v>No usa</v>
      </c>
      <c r="AJ1229">
        <v>0</v>
      </c>
      <c r="AK1229" t="str">
        <f t="shared" si="515"/>
        <v>No usa</v>
      </c>
      <c r="AL1229">
        <v>0</v>
      </c>
      <c r="AM1229" t="str">
        <f t="shared" si="516"/>
        <v>No usa</v>
      </c>
      <c r="AN1229">
        <v>1</v>
      </c>
      <c r="AO1229" t="str">
        <f t="shared" si="517"/>
        <v>Usa Transporte</v>
      </c>
      <c r="AP1229">
        <v>0</v>
      </c>
      <c r="AQ1229" t="str">
        <f t="shared" si="518"/>
        <v>No camina</v>
      </c>
      <c r="AR1229">
        <v>1</v>
      </c>
      <c r="AS1229" t="str">
        <f t="shared" si="519"/>
        <v>Es Obeso</v>
      </c>
    </row>
    <row r="1230" spans="1:45" x14ac:dyDescent="0.25">
      <c r="A1230">
        <v>1</v>
      </c>
      <c r="B1230" t="str">
        <f t="shared" si="494"/>
        <v>M</v>
      </c>
      <c r="C1230">
        <v>25994393</v>
      </c>
      <c r="D1230">
        <f t="shared" si="495"/>
        <v>71</v>
      </c>
      <c r="E1230">
        <f t="shared" si="496"/>
        <v>71</v>
      </c>
      <c r="F1230" t="str">
        <f t="shared" si="497"/>
        <v>50-75</v>
      </c>
      <c r="G1230">
        <v>1</v>
      </c>
      <c r="H1230" t="str">
        <f t="shared" si="498"/>
        <v>Pariente gordo</v>
      </c>
      <c r="I1230">
        <v>1</v>
      </c>
      <c r="J1230" t="str">
        <f t="shared" si="499"/>
        <v>Hipercaloricos</v>
      </c>
      <c r="K1230">
        <v>3</v>
      </c>
      <c r="L1230">
        <f t="shared" si="500"/>
        <v>1</v>
      </c>
      <c r="M1230" t="str">
        <f t="shared" si="501"/>
        <v>Suele comer</v>
      </c>
      <c r="N1230">
        <v>3</v>
      </c>
      <c r="O1230">
        <f t="shared" si="502"/>
        <v>2</v>
      </c>
      <c r="P1230" t="str">
        <f t="shared" si="503"/>
        <v>Mas de 3</v>
      </c>
      <c r="Q1230">
        <v>1</v>
      </c>
      <c r="R1230" t="str">
        <f t="shared" si="504"/>
        <v>A veces</v>
      </c>
      <c r="S1230">
        <v>0</v>
      </c>
      <c r="T1230" t="str">
        <f t="shared" si="505"/>
        <v>No fuma</v>
      </c>
      <c r="U1230">
        <v>1776991</v>
      </c>
      <c r="V1230">
        <f t="shared" si="506"/>
        <v>2</v>
      </c>
      <c r="W1230" t="str">
        <f t="shared" si="507"/>
        <v>Siempre</v>
      </c>
      <c r="X1230">
        <v>0</v>
      </c>
      <c r="Y1230" t="str">
        <f t="shared" si="508"/>
        <v>No controla</v>
      </c>
      <c r="Z1230">
        <v>1757724</v>
      </c>
      <c r="AA1230">
        <f t="shared" si="509"/>
        <v>3</v>
      </c>
      <c r="AB1230" t="str">
        <f t="shared" si="510"/>
        <v>Siempre</v>
      </c>
      <c r="AC1230">
        <v>0</v>
      </c>
      <c r="AD1230">
        <f t="shared" si="511"/>
        <v>0</v>
      </c>
      <c r="AE1230" t="str">
        <f t="shared" si="512"/>
        <v>Nunca</v>
      </c>
      <c r="AF1230">
        <v>1</v>
      </c>
      <c r="AG1230" t="str">
        <f t="shared" si="513"/>
        <v>A veces</v>
      </c>
      <c r="AH1230">
        <v>1</v>
      </c>
      <c r="AI1230" t="str">
        <f t="shared" si="514"/>
        <v>Usa auto</v>
      </c>
      <c r="AJ1230">
        <v>0</v>
      </c>
      <c r="AK1230" t="str">
        <f t="shared" si="515"/>
        <v>No usa</v>
      </c>
      <c r="AL1230">
        <v>0</v>
      </c>
      <c r="AM1230" t="str">
        <f t="shared" si="516"/>
        <v>No usa</v>
      </c>
      <c r="AN1230">
        <v>0</v>
      </c>
      <c r="AO1230" t="str">
        <f t="shared" si="517"/>
        <v>No usa</v>
      </c>
      <c r="AP1230">
        <v>0</v>
      </c>
      <c r="AQ1230" t="str">
        <f t="shared" si="518"/>
        <v>No camina</v>
      </c>
      <c r="AR1230">
        <v>1</v>
      </c>
      <c r="AS1230" t="str">
        <f t="shared" si="519"/>
        <v>Es Obeso</v>
      </c>
    </row>
    <row r="1231" spans="1:45" x14ac:dyDescent="0.25">
      <c r="A1231">
        <v>0</v>
      </c>
      <c r="B1231" t="str">
        <f t="shared" si="494"/>
        <v>F</v>
      </c>
      <c r="C1231">
        <v>40821515</v>
      </c>
      <c r="D1231">
        <f t="shared" si="495"/>
        <v>111</v>
      </c>
      <c r="E1231">
        <f t="shared" si="496"/>
        <v>100</v>
      </c>
      <c r="F1231" t="str">
        <f t="shared" si="497"/>
        <v>75-100</v>
      </c>
      <c r="G1231">
        <v>1</v>
      </c>
      <c r="H1231" t="str">
        <f t="shared" si="498"/>
        <v>Pariente gordo</v>
      </c>
      <c r="I1231">
        <v>1</v>
      </c>
      <c r="J1231" t="str">
        <f t="shared" si="499"/>
        <v>Hipercaloricos</v>
      </c>
      <c r="K1231">
        <v>2</v>
      </c>
      <c r="L1231">
        <f t="shared" si="500"/>
        <v>1</v>
      </c>
      <c r="M1231" t="str">
        <f t="shared" si="501"/>
        <v>Suele comer</v>
      </c>
      <c r="N1231">
        <v>3</v>
      </c>
      <c r="O1231">
        <f t="shared" si="502"/>
        <v>2</v>
      </c>
      <c r="P1231" t="str">
        <f t="shared" si="503"/>
        <v>Mas de 3</v>
      </c>
      <c r="Q1231">
        <v>1</v>
      </c>
      <c r="R1231" t="str">
        <f t="shared" si="504"/>
        <v>A veces</v>
      </c>
      <c r="S1231">
        <v>0</v>
      </c>
      <c r="T1231" t="str">
        <f t="shared" si="505"/>
        <v>No fuma</v>
      </c>
      <c r="U1231">
        <v>1406115</v>
      </c>
      <c r="V1231">
        <f t="shared" si="506"/>
        <v>2</v>
      </c>
      <c r="W1231" t="str">
        <f t="shared" si="507"/>
        <v>Siempre</v>
      </c>
      <c r="X1231">
        <v>0</v>
      </c>
      <c r="Y1231" t="str">
        <f t="shared" si="508"/>
        <v>No controla</v>
      </c>
      <c r="Z1231">
        <v>0</v>
      </c>
      <c r="AA1231">
        <f t="shared" si="509"/>
        <v>0</v>
      </c>
      <c r="AB1231" t="str">
        <f t="shared" si="510"/>
        <v>Nunca</v>
      </c>
      <c r="AC1231">
        <v>0</v>
      </c>
      <c r="AD1231">
        <f t="shared" si="511"/>
        <v>0</v>
      </c>
      <c r="AE1231" t="str">
        <f t="shared" si="512"/>
        <v>Nunca</v>
      </c>
      <c r="AF1231">
        <v>1</v>
      </c>
      <c r="AG1231" t="str">
        <f t="shared" si="513"/>
        <v>A veces</v>
      </c>
      <c r="AH1231">
        <v>1</v>
      </c>
      <c r="AI1231" t="str">
        <f t="shared" si="514"/>
        <v>Usa auto</v>
      </c>
      <c r="AJ1231">
        <v>0</v>
      </c>
      <c r="AK1231" t="str">
        <f t="shared" si="515"/>
        <v>No usa</v>
      </c>
      <c r="AL1231">
        <v>0</v>
      </c>
      <c r="AM1231" t="str">
        <f t="shared" si="516"/>
        <v>No usa</v>
      </c>
      <c r="AN1231">
        <v>0</v>
      </c>
      <c r="AO1231" t="str">
        <f t="shared" si="517"/>
        <v>No usa</v>
      </c>
      <c r="AP1231">
        <v>0</v>
      </c>
      <c r="AQ1231" t="str">
        <f t="shared" si="518"/>
        <v>No camina</v>
      </c>
      <c r="AR1231">
        <v>1</v>
      </c>
      <c r="AS1231" t="str">
        <f t="shared" si="519"/>
        <v>Es Obeso</v>
      </c>
    </row>
    <row r="1232" spans="1:45" x14ac:dyDescent="0.25">
      <c r="A1232">
        <v>1</v>
      </c>
      <c r="B1232" t="str">
        <f t="shared" si="494"/>
        <v>M</v>
      </c>
      <c r="C1232">
        <v>23</v>
      </c>
      <c r="D1232">
        <f t="shared" si="495"/>
        <v>23</v>
      </c>
      <c r="E1232">
        <f t="shared" si="496"/>
        <v>23</v>
      </c>
      <c r="F1232" t="str">
        <f t="shared" si="497"/>
        <v>1-25</v>
      </c>
      <c r="G1232">
        <v>1</v>
      </c>
      <c r="H1232" t="str">
        <f t="shared" si="498"/>
        <v>Pariente gordo</v>
      </c>
      <c r="I1232">
        <v>1</v>
      </c>
      <c r="J1232" t="str">
        <f t="shared" si="499"/>
        <v>Hipercaloricos</v>
      </c>
      <c r="K1232">
        <v>2</v>
      </c>
      <c r="L1232">
        <f t="shared" si="500"/>
        <v>1</v>
      </c>
      <c r="M1232" t="str">
        <f t="shared" si="501"/>
        <v>Suele comer</v>
      </c>
      <c r="N1232">
        <v>3</v>
      </c>
      <c r="O1232">
        <f t="shared" si="502"/>
        <v>2</v>
      </c>
      <c r="P1232" t="str">
        <f t="shared" si="503"/>
        <v>Mas de 3</v>
      </c>
      <c r="Q1232">
        <v>1</v>
      </c>
      <c r="R1232" t="str">
        <f t="shared" si="504"/>
        <v>A veces</v>
      </c>
      <c r="S1232">
        <v>0</v>
      </c>
      <c r="T1232" t="str">
        <f t="shared" si="505"/>
        <v>No fuma</v>
      </c>
      <c r="U1232">
        <v>1530493</v>
      </c>
      <c r="V1232">
        <f t="shared" si="506"/>
        <v>2</v>
      </c>
      <c r="W1232" t="str">
        <f t="shared" si="507"/>
        <v>Siempre</v>
      </c>
      <c r="X1232">
        <v>0</v>
      </c>
      <c r="Y1232" t="str">
        <f t="shared" si="508"/>
        <v>No controla</v>
      </c>
      <c r="Z1232">
        <v>0.96762700000000001</v>
      </c>
      <c r="AA1232">
        <f t="shared" si="509"/>
        <v>0</v>
      </c>
      <c r="AB1232" t="str">
        <f t="shared" si="510"/>
        <v>Nunca</v>
      </c>
      <c r="AC1232">
        <v>1</v>
      </c>
      <c r="AD1232">
        <f t="shared" si="511"/>
        <v>1</v>
      </c>
      <c r="AE1232" t="str">
        <f t="shared" si="512"/>
        <v>Usualmente</v>
      </c>
      <c r="AF1232">
        <v>0</v>
      </c>
      <c r="AG1232" t="str">
        <f t="shared" si="513"/>
        <v>Nunca</v>
      </c>
      <c r="AH1232">
        <v>0</v>
      </c>
      <c r="AI1232" t="str">
        <f t="shared" si="514"/>
        <v>No usa</v>
      </c>
      <c r="AJ1232">
        <v>0</v>
      </c>
      <c r="AK1232" t="str">
        <f t="shared" si="515"/>
        <v>No usa</v>
      </c>
      <c r="AL1232">
        <v>0</v>
      </c>
      <c r="AM1232" t="str">
        <f t="shared" si="516"/>
        <v>No usa</v>
      </c>
      <c r="AN1232">
        <v>1</v>
      </c>
      <c r="AO1232" t="str">
        <f t="shared" si="517"/>
        <v>Usa Transporte</v>
      </c>
      <c r="AP1232">
        <v>0</v>
      </c>
      <c r="AQ1232" t="str">
        <f t="shared" si="518"/>
        <v>No camina</v>
      </c>
      <c r="AR1232">
        <v>1</v>
      </c>
      <c r="AS1232" t="str">
        <f t="shared" si="519"/>
        <v>Es Obeso</v>
      </c>
    </row>
    <row r="1233" spans="1:45" x14ac:dyDescent="0.25">
      <c r="A1233">
        <v>0</v>
      </c>
      <c r="B1233" t="str">
        <f t="shared" si="494"/>
        <v>F</v>
      </c>
      <c r="C1233">
        <v>37955371</v>
      </c>
      <c r="D1233">
        <f t="shared" si="495"/>
        <v>103</v>
      </c>
      <c r="E1233">
        <f t="shared" si="496"/>
        <v>100</v>
      </c>
      <c r="F1233" t="str">
        <f t="shared" si="497"/>
        <v>75-100</v>
      </c>
      <c r="G1233">
        <v>1</v>
      </c>
      <c r="H1233" t="str">
        <f t="shared" si="498"/>
        <v>Pariente gordo</v>
      </c>
      <c r="I1233">
        <v>1</v>
      </c>
      <c r="J1233" t="str">
        <f t="shared" si="499"/>
        <v>Hipercaloricos</v>
      </c>
      <c r="K1233">
        <v>2846452</v>
      </c>
      <c r="L1233">
        <f t="shared" si="500"/>
        <v>1</v>
      </c>
      <c r="M1233" t="str">
        <f t="shared" si="501"/>
        <v>Suele comer</v>
      </c>
      <c r="N1233">
        <v>1139317</v>
      </c>
      <c r="O1233">
        <f t="shared" si="502"/>
        <v>2</v>
      </c>
      <c r="P1233" t="str">
        <f t="shared" si="503"/>
        <v>Mas de 3</v>
      </c>
      <c r="Q1233">
        <v>1</v>
      </c>
      <c r="R1233" t="str">
        <f t="shared" si="504"/>
        <v>A veces</v>
      </c>
      <c r="S1233">
        <v>0</v>
      </c>
      <c r="T1233" t="str">
        <f t="shared" si="505"/>
        <v>No fuma</v>
      </c>
      <c r="U1233">
        <v>1459511</v>
      </c>
      <c r="V1233">
        <f t="shared" si="506"/>
        <v>2</v>
      </c>
      <c r="W1233" t="str">
        <f t="shared" si="507"/>
        <v>Siempre</v>
      </c>
      <c r="X1233">
        <v>0</v>
      </c>
      <c r="Y1233" t="str">
        <f t="shared" si="508"/>
        <v>No controla</v>
      </c>
      <c r="Z1233">
        <v>171807</v>
      </c>
      <c r="AA1233">
        <f t="shared" si="509"/>
        <v>2</v>
      </c>
      <c r="AB1233" t="str">
        <f t="shared" si="510"/>
        <v>Usualmente</v>
      </c>
      <c r="AC1233">
        <v>0</v>
      </c>
      <c r="AD1233">
        <f t="shared" si="511"/>
        <v>0</v>
      </c>
      <c r="AE1233" t="str">
        <f t="shared" si="512"/>
        <v>Nunca</v>
      </c>
      <c r="AF1233">
        <v>1</v>
      </c>
      <c r="AG1233" t="str">
        <f t="shared" si="513"/>
        <v>A veces</v>
      </c>
      <c r="AH1233">
        <v>1</v>
      </c>
      <c r="AI1233" t="str">
        <f t="shared" si="514"/>
        <v>Usa auto</v>
      </c>
      <c r="AJ1233">
        <v>0</v>
      </c>
      <c r="AK1233" t="str">
        <f t="shared" si="515"/>
        <v>No usa</v>
      </c>
      <c r="AL1233">
        <v>0</v>
      </c>
      <c r="AM1233" t="str">
        <f t="shared" si="516"/>
        <v>No usa</v>
      </c>
      <c r="AN1233">
        <v>0</v>
      </c>
      <c r="AO1233" t="str">
        <f t="shared" si="517"/>
        <v>No usa</v>
      </c>
      <c r="AP1233">
        <v>0</v>
      </c>
      <c r="AQ1233" t="str">
        <f t="shared" si="518"/>
        <v>No camina</v>
      </c>
      <c r="AR1233">
        <v>1</v>
      </c>
      <c r="AS1233" t="str">
        <f t="shared" si="519"/>
        <v>Es Obeso</v>
      </c>
    </row>
    <row r="1234" spans="1:45" x14ac:dyDescent="0.25">
      <c r="A1234">
        <v>1</v>
      </c>
      <c r="B1234" t="str">
        <f t="shared" si="494"/>
        <v>M</v>
      </c>
      <c r="C1234">
        <v>31315593</v>
      </c>
      <c r="D1234">
        <f t="shared" si="495"/>
        <v>85</v>
      </c>
      <c r="E1234">
        <f t="shared" si="496"/>
        <v>85</v>
      </c>
      <c r="F1234" t="str">
        <f t="shared" si="497"/>
        <v>75-100</v>
      </c>
      <c r="G1234">
        <v>1</v>
      </c>
      <c r="H1234" t="str">
        <f t="shared" si="498"/>
        <v>Pariente gordo</v>
      </c>
      <c r="I1234">
        <v>1</v>
      </c>
      <c r="J1234" t="str">
        <f t="shared" si="499"/>
        <v>Hipercaloricos</v>
      </c>
      <c r="K1234">
        <v>219011</v>
      </c>
      <c r="L1234">
        <f t="shared" si="500"/>
        <v>1</v>
      </c>
      <c r="M1234" t="str">
        <f t="shared" si="501"/>
        <v>Suele comer</v>
      </c>
      <c r="N1234">
        <v>2029858</v>
      </c>
      <c r="O1234">
        <f t="shared" si="502"/>
        <v>2</v>
      </c>
      <c r="P1234" t="str">
        <f t="shared" si="503"/>
        <v>Mas de 3</v>
      </c>
      <c r="Q1234">
        <v>1</v>
      </c>
      <c r="R1234" t="str">
        <f t="shared" si="504"/>
        <v>A veces</v>
      </c>
      <c r="S1234">
        <v>0</v>
      </c>
      <c r="T1234" t="str">
        <f t="shared" si="505"/>
        <v>No fuma</v>
      </c>
      <c r="U1234">
        <v>2348981</v>
      </c>
      <c r="V1234">
        <f t="shared" si="506"/>
        <v>2</v>
      </c>
      <c r="W1234" t="str">
        <f t="shared" si="507"/>
        <v>Siempre</v>
      </c>
      <c r="X1234">
        <v>0</v>
      </c>
      <c r="Y1234" t="str">
        <f t="shared" si="508"/>
        <v>No controla</v>
      </c>
      <c r="Z1234">
        <v>1946907</v>
      </c>
      <c r="AA1234">
        <f t="shared" si="509"/>
        <v>3</v>
      </c>
      <c r="AB1234" t="str">
        <f t="shared" si="510"/>
        <v>Siempre</v>
      </c>
      <c r="AC1234">
        <v>0</v>
      </c>
      <c r="AD1234">
        <f t="shared" si="511"/>
        <v>0</v>
      </c>
      <c r="AE1234" t="str">
        <f t="shared" si="512"/>
        <v>Nunca</v>
      </c>
      <c r="AF1234">
        <v>1</v>
      </c>
      <c r="AG1234" t="str">
        <f t="shared" si="513"/>
        <v>A veces</v>
      </c>
      <c r="AH1234">
        <v>1</v>
      </c>
      <c r="AI1234" t="str">
        <f t="shared" si="514"/>
        <v>Usa auto</v>
      </c>
      <c r="AJ1234">
        <v>0</v>
      </c>
      <c r="AK1234" t="str">
        <f t="shared" si="515"/>
        <v>No usa</v>
      </c>
      <c r="AL1234">
        <v>0</v>
      </c>
      <c r="AM1234" t="str">
        <f t="shared" si="516"/>
        <v>No usa</v>
      </c>
      <c r="AN1234">
        <v>0</v>
      </c>
      <c r="AO1234" t="str">
        <f t="shared" si="517"/>
        <v>No usa</v>
      </c>
      <c r="AP1234">
        <v>0</v>
      </c>
      <c r="AQ1234" t="str">
        <f t="shared" si="518"/>
        <v>No camina</v>
      </c>
      <c r="AR1234">
        <v>1</v>
      </c>
      <c r="AS1234" t="str">
        <f t="shared" si="519"/>
        <v>Es Obeso</v>
      </c>
    </row>
    <row r="1235" spans="1:45" x14ac:dyDescent="0.25">
      <c r="A1235">
        <v>1</v>
      </c>
      <c r="B1235" t="str">
        <f t="shared" si="494"/>
        <v>M</v>
      </c>
      <c r="C1235">
        <v>22661556</v>
      </c>
      <c r="D1235">
        <f t="shared" si="495"/>
        <v>62</v>
      </c>
      <c r="E1235">
        <f t="shared" si="496"/>
        <v>62</v>
      </c>
      <c r="F1235" t="str">
        <f t="shared" si="497"/>
        <v>50-75</v>
      </c>
      <c r="G1235">
        <v>1</v>
      </c>
      <c r="H1235" t="str">
        <f t="shared" si="498"/>
        <v>Pariente gordo</v>
      </c>
      <c r="I1235">
        <v>1</v>
      </c>
      <c r="J1235" t="str">
        <f t="shared" si="499"/>
        <v>Hipercaloricos</v>
      </c>
      <c r="K1235">
        <v>2</v>
      </c>
      <c r="L1235">
        <f t="shared" si="500"/>
        <v>1</v>
      </c>
      <c r="M1235" t="str">
        <f t="shared" si="501"/>
        <v>Suele comer</v>
      </c>
      <c r="N1235">
        <v>3</v>
      </c>
      <c r="O1235">
        <f t="shared" si="502"/>
        <v>2</v>
      </c>
      <c r="P1235" t="str">
        <f t="shared" si="503"/>
        <v>Mas de 3</v>
      </c>
      <c r="Q1235">
        <v>1</v>
      </c>
      <c r="R1235" t="str">
        <f t="shared" si="504"/>
        <v>A veces</v>
      </c>
      <c r="S1235">
        <v>0</v>
      </c>
      <c r="T1235" t="str">
        <f t="shared" si="505"/>
        <v>No fuma</v>
      </c>
      <c r="U1235">
        <v>2</v>
      </c>
      <c r="V1235">
        <f t="shared" si="506"/>
        <v>2</v>
      </c>
      <c r="W1235" t="str">
        <f t="shared" si="507"/>
        <v>Siempre</v>
      </c>
      <c r="X1235">
        <v>0</v>
      </c>
      <c r="Y1235" t="str">
        <f t="shared" si="508"/>
        <v>No controla</v>
      </c>
      <c r="Z1235">
        <v>0</v>
      </c>
      <c r="AA1235">
        <f t="shared" si="509"/>
        <v>0</v>
      </c>
      <c r="AB1235" t="str">
        <f t="shared" si="510"/>
        <v>Nunca</v>
      </c>
      <c r="AC1235">
        <v>0.105936</v>
      </c>
      <c r="AD1235">
        <f t="shared" si="511"/>
        <v>0</v>
      </c>
      <c r="AE1235" t="str">
        <f t="shared" si="512"/>
        <v>Nunca</v>
      </c>
      <c r="AF1235">
        <v>0</v>
      </c>
      <c r="AG1235" t="str">
        <f t="shared" si="513"/>
        <v>Nunca</v>
      </c>
      <c r="AH1235">
        <v>0</v>
      </c>
      <c r="AI1235" t="str">
        <f t="shared" si="514"/>
        <v>No usa</v>
      </c>
      <c r="AJ1235">
        <v>0</v>
      </c>
      <c r="AK1235" t="str">
        <f t="shared" si="515"/>
        <v>No usa</v>
      </c>
      <c r="AL1235">
        <v>0</v>
      </c>
      <c r="AM1235" t="str">
        <f t="shared" si="516"/>
        <v>No usa</v>
      </c>
      <c r="AN1235">
        <v>1</v>
      </c>
      <c r="AO1235" t="str">
        <f t="shared" si="517"/>
        <v>Usa Transporte</v>
      </c>
      <c r="AP1235">
        <v>0</v>
      </c>
      <c r="AQ1235" t="str">
        <f t="shared" si="518"/>
        <v>No camina</v>
      </c>
      <c r="AR1235">
        <v>1</v>
      </c>
      <c r="AS1235" t="str">
        <f t="shared" si="519"/>
        <v>Es Obeso</v>
      </c>
    </row>
    <row r="1236" spans="1:45" x14ac:dyDescent="0.25">
      <c r="A1236">
        <v>1</v>
      </c>
      <c r="B1236" t="str">
        <f t="shared" si="494"/>
        <v>M</v>
      </c>
      <c r="C1236">
        <v>40317787</v>
      </c>
      <c r="D1236">
        <f t="shared" si="495"/>
        <v>110</v>
      </c>
      <c r="E1236">
        <f t="shared" si="496"/>
        <v>100</v>
      </c>
      <c r="F1236" t="str">
        <f t="shared" si="497"/>
        <v>75-100</v>
      </c>
      <c r="G1236">
        <v>1</v>
      </c>
      <c r="H1236" t="str">
        <f t="shared" si="498"/>
        <v>Pariente gordo</v>
      </c>
      <c r="I1236">
        <v>1</v>
      </c>
      <c r="J1236" t="str">
        <f t="shared" si="499"/>
        <v>Hipercaloricos</v>
      </c>
      <c r="K1236">
        <v>2</v>
      </c>
      <c r="L1236">
        <f t="shared" si="500"/>
        <v>1</v>
      </c>
      <c r="M1236" t="str">
        <f t="shared" si="501"/>
        <v>Suele comer</v>
      </c>
      <c r="N1236">
        <v>3</v>
      </c>
      <c r="O1236">
        <f t="shared" si="502"/>
        <v>2</v>
      </c>
      <c r="P1236" t="str">
        <f t="shared" si="503"/>
        <v>Mas de 3</v>
      </c>
      <c r="Q1236">
        <v>1</v>
      </c>
      <c r="R1236" t="str">
        <f t="shared" si="504"/>
        <v>A veces</v>
      </c>
      <c r="S1236">
        <v>0</v>
      </c>
      <c r="T1236" t="str">
        <f t="shared" si="505"/>
        <v>No fuma</v>
      </c>
      <c r="U1236">
        <v>2680292</v>
      </c>
      <c r="V1236">
        <f t="shared" si="506"/>
        <v>2</v>
      </c>
      <c r="W1236" t="str">
        <f t="shared" si="507"/>
        <v>Siempre</v>
      </c>
      <c r="X1236">
        <v>0</v>
      </c>
      <c r="Y1236" t="str">
        <f t="shared" si="508"/>
        <v>No controla</v>
      </c>
      <c r="Z1236">
        <v>1549693</v>
      </c>
      <c r="AA1236">
        <f t="shared" si="509"/>
        <v>3</v>
      </c>
      <c r="AB1236" t="str">
        <f t="shared" si="510"/>
        <v>Siempre</v>
      </c>
      <c r="AC1236">
        <v>0.52225900000000003</v>
      </c>
      <c r="AD1236">
        <f t="shared" si="511"/>
        <v>0</v>
      </c>
      <c r="AE1236" t="str">
        <f t="shared" si="512"/>
        <v>Nunca</v>
      </c>
      <c r="AF1236">
        <v>1</v>
      </c>
      <c r="AG1236" t="str">
        <f t="shared" si="513"/>
        <v>A veces</v>
      </c>
      <c r="AH1236">
        <v>1</v>
      </c>
      <c r="AI1236" t="str">
        <f t="shared" si="514"/>
        <v>Usa auto</v>
      </c>
      <c r="AJ1236">
        <v>0</v>
      </c>
      <c r="AK1236" t="str">
        <f t="shared" si="515"/>
        <v>No usa</v>
      </c>
      <c r="AL1236">
        <v>0</v>
      </c>
      <c r="AM1236" t="str">
        <f t="shared" si="516"/>
        <v>No usa</v>
      </c>
      <c r="AN1236">
        <v>0</v>
      </c>
      <c r="AO1236" t="str">
        <f t="shared" si="517"/>
        <v>No usa</v>
      </c>
      <c r="AP1236">
        <v>0</v>
      </c>
      <c r="AQ1236" t="str">
        <f t="shared" si="518"/>
        <v>No camina</v>
      </c>
      <c r="AR1236">
        <v>1</v>
      </c>
      <c r="AS1236" t="str">
        <f t="shared" si="519"/>
        <v>Es Obeso</v>
      </c>
    </row>
    <row r="1237" spans="1:45" x14ac:dyDescent="0.25">
      <c r="A1237">
        <v>1</v>
      </c>
      <c r="B1237" t="str">
        <f t="shared" si="494"/>
        <v>M</v>
      </c>
      <c r="C1237">
        <v>23365649</v>
      </c>
      <c r="D1237">
        <f t="shared" si="495"/>
        <v>64</v>
      </c>
      <c r="E1237">
        <f t="shared" si="496"/>
        <v>64</v>
      </c>
      <c r="F1237" t="str">
        <f t="shared" si="497"/>
        <v>50-75</v>
      </c>
      <c r="G1237">
        <v>1</v>
      </c>
      <c r="H1237" t="str">
        <f t="shared" si="498"/>
        <v>Pariente gordo</v>
      </c>
      <c r="I1237">
        <v>1</v>
      </c>
      <c r="J1237" t="str">
        <f t="shared" si="499"/>
        <v>Hipercaloricos</v>
      </c>
      <c r="K1237">
        <v>2</v>
      </c>
      <c r="L1237">
        <f t="shared" si="500"/>
        <v>1</v>
      </c>
      <c r="M1237" t="str">
        <f t="shared" si="501"/>
        <v>Suele comer</v>
      </c>
      <c r="N1237">
        <v>3</v>
      </c>
      <c r="O1237">
        <f t="shared" si="502"/>
        <v>2</v>
      </c>
      <c r="P1237" t="str">
        <f t="shared" si="503"/>
        <v>Mas de 3</v>
      </c>
      <c r="Q1237">
        <v>1</v>
      </c>
      <c r="R1237" t="str">
        <f t="shared" si="504"/>
        <v>A veces</v>
      </c>
      <c r="S1237">
        <v>0</v>
      </c>
      <c r="T1237" t="str">
        <f t="shared" si="505"/>
        <v>No fuma</v>
      </c>
      <c r="U1237">
        <v>3</v>
      </c>
      <c r="V1237">
        <f t="shared" si="506"/>
        <v>2</v>
      </c>
      <c r="W1237" t="str">
        <f t="shared" si="507"/>
        <v>Siempre</v>
      </c>
      <c r="X1237">
        <v>0</v>
      </c>
      <c r="Y1237" t="str">
        <f t="shared" si="508"/>
        <v>No controla</v>
      </c>
      <c r="Z1237">
        <v>3</v>
      </c>
      <c r="AA1237">
        <f t="shared" si="509"/>
        <v>3</v>
      </c>
      <c r="AB1237" t="str">
        <f t="shared" si="510"/>
        <v>Siempre</v>
      </c>
      <c r="AC1237">
        <v>2</v>
      </c>
      <c r="AD1237">
        <f t="shared" si="511"/>
        <v>2</v>
      </c>
      <c r="AE1237" t="str">
        <f t="shared" si="512"/>
        <v>Siempre</v>
      </c>
      <c r="AF1237">
        <v>0</v>
      </c>
      <c r="AG1237" t="str">
        <f t="shared" si="513"/>
        <v>Nunca</v>
      </c>
      <c r="AH1237">
        <v>0</v>
      </c>
      <c r="AI1237" t="str">
        <f t="shared" si="514"/>
        <v>No usa</v>
      </c>
      <c r="AJ1237">
        <v>0</v>
      </c>
      <c r="AK1237" t="str">
        <f t="shared" si="515"/>
        <v>No usa</v>
      </c>
      <c r="AL1237">
        <v>0</v>
      </c>
      <c r="AM1237" t="str">
        <f t="shared" si="516"/>
        <v>No usa</v>
      </c>
      <c r="AN1237">
        <v>1</v>
      </c>
      <c r="AO1237" t="str">
        <f t="shared" si="517"/>
        <v>Usa Transporte</v>
      </c>
      <c r="AP1237">
        <v>0</v>
      </c>
      <c r="AQ1237" t="str">
        <f t="shared" si="518"/>
        <v>No camina</v>
      </c>
      <c r="AR1237">
        <v>1</v>
      </c>
      <c r="AS1237" t="str">
        <f t="shared" si="519"/>
        <v>Es Obeso</v>
      </c>
    </row>
    <row r="1238" spans="1:45" x14ac:dyDescent="0.25">
      <c r="A1238">
        <v>1</v>
      </c>
      <c r="B1238" t="str">
        <f t="shared" si="494"/>
        <v>M</v>
      </c>
      <c r="C1238">
        <v>2172127</v>
      </c>
      <c r="D1238">
        <f t="shared" si="495"/>
        <v>5</v>
      </c>
      <c r="E1238">
        <f t="shared" si="496"/>
        <v>5</v>
      </c>
      <c r="F1238" t="str">
        <f t="shared" si="497"/>
        <v>1-25</v>
      </c>
      <c r="G1238">
        <v>1</v>
      </c>
      <c r="H1238" t="str">
        <f t="shared" si="498"/>
        <v>Pariente gordo</v>
      </c>
      <c r="I1238">
        <v>1</v>
      </c>
      <c r="J1238" t="str">
        <f t="shared" si="499"/>
        <v>Hipercaloricos</v>
      </c>
      <c r="K1238">
        <v>2</v>
      </c>
      <c r="L1238">
        <f t="shared" si="500"/>
        <v>1</v>
      </c>
      <c r="M1238" t="str">
        <f t="shared" si="501"/>
        <v>Suele comer</v>
      </c>
      <c r="N1238">
        <v>2977543</v>
      </c>
      <c r="O1238">
        <f t="shared" si="502"/>
        <v>2</v>
      </c>
      <c r="P1238" t="str">
        <f t="shared" si="503"/>
        <v>Mas de 3</v>
      </c>
      <c r="Q1238">
        <v>1</v>
      </c>
      <c r="R1238" t="str">
        <f t="shared" si="504"/>
        <v>A veces</v>
      </c>
      <c r="S1238">
        <v>0</v>
      </c>
      <c r="T1238" t="str">
        <f t="shared" si="505"/>
        <v>No fuma</v>
      </c>
      <c r="U1238">
        <v>2205977</v>
      </c>
      <c r="V1238">
        <f t="shared" si="506"/>
        <v>2</v>
      </c>
      <c r="W1238" t="str">
        <f t="shared" si="507"/>
        <v>Siempre</v>
      </c>
      <c r="X1238">
        <v>0</v>
      </c>
      <c r="Y1238" t="str">
        <f t="shared" si="508"/>
        <v>No controla</v>
      </c>
      <c r="Z1238">
        <v>2698874</v>
      </c>
      <c r="AA1238">
        <f t="shared" si="509"/>
        <v>3</v>
      </c>
      <c r="AB1238" t="str">
        <f t="shared" si="510"/>
        <v>Siempre</v>
      </c>
      <c r="AC1238">
        <v>2</v>
      </c>
      <c r="AD1238">
        <f t="shared" si="511"/>
        <v>2</v>
      </c>
      <c r="AE1238" t="str">
        <f t="shared" si="512"/>
        <v>Siempre</v>
      </c>
      <c r="AF1238">
        <v>0</v>
      </c>
      <c r="AG1238" t="str">
        <f t="shared" si="513"/>
        <v>Nunca</v>
      </c>
      <c r="AH1238">
        <v>0</v>
      </c>
      <c r="AI1238" t="str">
        <f t="shared" si="514"/>
        <v>No usa</v>
      </c>
      <c r="AJ1238">
        <v>0</v>
      </c>
      <c r="AK1238" t="str">
        <f t="shared" si="515"/>
        <v>No usa</v>
      </c>
      <c r="AL1238">
        <v>0</v>
      </c>
      <c r="AM1238" t="str">
        <f t="shared" si="516"/>
        <v>No usa</v>
      </c>
      <c r="AN1238">
        <v>1</v>
      </c>
      <c r="AO1238" t="str">
        <f t="shared" si="517"/>
        <v>Usa Transporte</v>
      </c>
      <c r="AP1238">
        <v>0</v>
      </c>
      <c r="AQ1238" t="str">
        <f t="shared" si="518"/>
        <v>No camina</v>
      </c>
      <c r="AR1238">
        <v>1</v>
      </c>
      <c r="AS1238" t="str">
        <f t="shared" si="519"/>
        <v>Es Obeso</v>
      </c>
    </row>
    <row r="1239" spans="1:45" x14ac:dyDescent="0.25">
      <c r="A1239">
        <v>1</v>
      </c>
      <c r="B1239" t="str">
        <f t="shared" si="494"/>
        <v>M</v>
      </c>
      <c r="C1239">
        <v>35389491</v>
      </c>
      <c r="D1239">
        <f t="shared" si="495"/>
        <v>96</v>
      </c>
      <c r="E1239">
        <f t="shared" si="496"/>
        <v>96</v>
      </c>
      <c r="F1239" t="str">
        <f t="shared" si="497"/>
        <v>75-100</v>
      </c>
      <c r="G1239">
        <v>1</v>
      </c>
      <c r="H1239" t="str">
        <f t="shared" si="498"/>
        <v>Pariente gordo</v>
      </c>
      <c r="I1239">
        <v>1</v>
      </c>
      <c r="J1239" t="str">
        <f t="shared" si="499"/>
        <v>Hipercaloricos</v>
      </c>
      <c r="K1239">
        <v>2069267</v>
      </c>
      <c r="L1239">
        <f t="shared" si="500"/>
        <v>1</v>
      </c>
      <c r="M1239" t="str">
        <f t="shared" si="501"/>
        <v>Suele comer</v>
      </c>
      <c r="N1239">
        <v>1476204</v>
      </c>
      <c r="O1239">
        <f t="shared" si="502"/>
        <v>2</v>
      </c>
      <c r="P1239" t="str">
        <f t="shared" si="503"/>
        <v>Mas de 3</v>
      </c>
      <c r="Q1239">
        <v>1</v>
      </c>
      <c r="R1239" t="str">
        <f t="shared" si="504"/>
        <v>A veces</v>
      </c>
      <c r="S1239">
        <v>0</v>
      </c>
      <c r="T1239" t="str">
        <f t="shared" si="505"/>
        <v>No fuma</v>
      </c>
      <c r="U1239">
        <v>3</v>
      </c>
      <c r="V1239">
        <f t="shared" si="506"/>
        <v>2</v>
      </c>
      <c r="W1239" t="str">
        <f t="shared" si="507"/>
        <v>Siempre</v>
      </c>
      <c r="X1239">
        <v>0</v>
      </c>
      <c r="Y1239" t="str">
        <f t="shared" si="508"/>
        <v>No controla</v>
      </c>
      <c r="Z1239">
        <v>205252</v>
      </c>
      <c r="AA1239">
        <f t="shared" si="509"/>
        <v>2</v>
      </c>
      <c r="AB1239" t="str">
        <f t="shared" si="510"/>
        <v>Usualmente</v>
      </c>
      <c r="AC1239">
        <v>9.2735999999999999E-2</v>
      </c>
      <c r="AD1239">
        <f t="shared" si="511"/>
        <v>0</v>
      </c>
      <c r="AE1239" t="str">
        <f t="shared" si="512"/>
        <v>Nunca</v>
      </c>
      <c r="AF1239">
        <v>2</v>
      </c>
      <c r="AG1239" t="str">
        <f t="shared" si="513"/>
        <v>Usualmente</v>
      </c>
      <c r="AH1239">
        <v>1</v>
      </c>
      <c r="AI1239" t="str">
        <f t="shared" si="514"/>
        <v>Usa auto</v>
      </c>
      <c r="AJ1239">
        <v>0</v>
      </c>
      <c r="AK1239" t="str">
        <f t="shared" si="515"/>
        <v>No usa</v>
      </c>
      <c r="AL1239">
        <v>0</v>
      </c>
      <c r="AM1239" t="str">
        <f t="shared" si="516"/>
        <v>No usa</v>
      </c>
      <c r="AN1239">
        <v>0</v>
      </c>
      <c r="AO1239" t="str">
        <f t="shared" si="517"/>
        <v>No usa</v>
      </c>
      <c r="AP1239">
        <v>0</v>
      </c>
      <c r="AQ1239" t="str">
        <f t="shared" si="518"/>
        <v>No camina</v>
      </c>
      <c r="AR1239">
        <v>1</v>
      </c>
      <c r="AS1239" t="str">
        <f t="shared" si="519"/>
        <v>Es Obeso</v>
      </c>
    </row>
    <row r="1240" spans="1:45" x14ac:dyDescent="0.25">
      <c r="A1240">
        <v>0</v>
      </c>
      <c r="B1240" t="str">
        <f t="shared" si="494"/>
        <v>F</v>
      </c>
      <c r="C1240">
        <v>22061461</v>
      </c>
      <c r="D1240">
        <f t="shared" si="495"/>
        <v>60</v>
      </c>
      <c r="E1240">
        <f t="shared" si="496"/>
        <v>60</v>
      </c>
      <c r="F1240" t="str">
        <f t="shared" si="497"/>
        <v>50-75</v>
      </c>
      <c r="G1240">
        <v>1</v>
      </c>
      <c r="H1240" t="str">
        <f t="shared" si="498"/>
        <v>Pariente gordo</v>
      </c>
      <c r="I1240">
        <v>1</v>
      </c>
      <c r="J1240" t="str">
        <f t="shared" si="499"/>
        <v>Hipercaloricos</v>
      </c>
      <c r="K1240">
        <v>1362441</v>
      </c>
      <c r="L1240">
        <f t="shared" si="500"/>
        <v>1</v>
      </c>
      <c r="M1240" t="str">
        <f t="shared" si="501"/>
        <v>Suele comer</v>
      </c>
      <c r="N1240">
        <v>257038</v>
      </c>
      <c r="O1240">
        <f t="shared" si="502"/>
        <v>2</v>
      </c>
      <c r="P1240" t="str">
        <f t="shared" si="503"/>
        <v>Mas de 3</v>
      </c>
      <c r="Q1240">
        <v>1</v>
      </c>
      <c r="R1240" t="str">
        <f t="shared" si="504"/>
        <v>A veces</v>
      </c>
      <c r="S1240">
        <v>0</v>
      </c>
      <c r="T1240" t="str">
        <f t="shared" si="505"/>
        <v>No fuma</v>
      </c>
      <c r="U1240">
        <v>2166228</v>
      </c>
      <c r="V1240">
        <f t="shared" si="506"/>
        <v>2</v>
      </c>
      <c r="W1240" t="str">
        <f t="shared" si="507"/>
        <v>Siempre</v>
      </c>
      <c r="X1240">
        <v>0</v>
      </c>
      <c r="Y1240" t="str">
        <f t="shared" si="508"/>
        <v>No controla</v>
      </c>
      <c r="Z1240">
        <v>2232851</v>
      </c>
      <c r="AA1240">
        <f t="shared" si="509"/>
        <v>3</v>
      </c>
      <c r="AB1240" t="str">
        <f t="shared" si="510"/>
        <v>Siempre</v>
      </c>
      <c r="AC1240">
        <v>1281141</v>
      </c>
      <c r="AD1240">
        <f t="shared" si="511"/>
        <v>2</v>
      </c>
      <c r="AE1240" t="str">
        <f t="shared" si="512"/>
        <v>Siempre</v>
      </c>
      <c r="AF1240">
        <v>0</v>
      </c>
      <c r="AG1240" t="str">
        <f t="shared" si="513"/>
        <v>Nunca</v>
      </c>
      <c r="AH1240">
        <v>0</v>
      </c>
      <c r="AI1240" t="str">
        <f t="shared" si="514"/>
        <v>No usa</v>
      </c>
      <c r="AJ1240">
        <v>0</v>
      </c>
      <c r="AK1240" t="str">
        <f t="shared" si="515"/>
        <v>No usa</v>
      </c>
      <c r="AL1240">
        <v>0</v>
      </c>
      <c r="AM1240" t="str">
        <f t="shared" si="516"/>
        <v>No usa</v>
      </c>
      <c r="AN1240">
        <v>1</v>
      </c>
      <c r="AO1240" t="str">
        <f t="shared" si="517"/>
        <v>Usa Transporte</v>
      </c>
      <c r="AP1240">
        <v>0</v>
      </c>
      <c r="AQ1240" t="str">
        <f t="shared" si="518"/>
        <v>No camina</v>
      </c>
      <c r="AR1240">
        <v>1</v>
      </c>
      <c r="AS1240" t="str">
        <f t="shared" si="519"/>
        <v>Es Obeso</v>
      </c>
    </row>
    <row r="1241" spans="1:45" x14ac:dyDescent="0.25">
      <c r="A1241">
        <v>0</v>
      </c>
      <c r="B1241" t="str">
        <f t="shared" si="494"/>
        <v>F</v>
      </c>
      <c r="C1241">
        <v>23</v>
      </c>
      <c r="D1241">
        <f t="shared" si="495"/>
        <v>23</v>
      </c>
      <c r="E1241">
        <f t="shared" si="496"/>
        <v>23</v>
      </c>
      <c r="F1241" t="str">
        <f t="shared" si="497"/>
        <v>1-25</v>
      </c>
      <c r="G1241">
        <v>1</v>
      </c>
      <c r="H1241" t="str">
        <f t="shared" si="498"/>
        <v>Pariente gordo</v>
      </c>
      <c r="I1241">
        <v>1</v>
      </c>
      <c r="J1241" t="str">
        <f t="shared" si="499"/>
        <v>Hipercaloricos</v>
      </c>
      <c r="K1241">
        <v>209663</v>
      </c>
      <c r="L1241">
        <f t="shared" si="500"/>
        <v>1</v>
      </c>
      <c r="M1241" t="str">
        <f t="shared" si="501"/>
        <v>Suele comer</v>
      </c>
      <c r="N1241">
        <v>2879541</v>
      </c>
      <c r="O1241">
        <f t="shared" si="502"/>
        <v>2</v>
      </c>
      <c r="P1241" t="str">
        <f t="shared" si="503"/>
        <v>Mas de 3</v>
      </c>
      <c r="Q1241">
        <v>1</v>
      </c>
      <c r="R1241" t="str">
        <f t="shared" si="504"/>
        <v>A veces</v>
      </c>
      <c r="S1241">
        <v>0</v>
      </c>
      <c r="T1241" t="str">
        <f t="shared" si="505"/>
        <v>No fuma</v>
      </c>
      <c r="U1241">
        <v>2432967</v>
      </c>
      <c r="V1241">
        <f t="shared" si="506"/>
        <v>2</v>
      </c>
      <c r="W1241" t="str">
        <f t="shared" si="507"/>
        <v>Siempre</v>
      </c>
      <c r="X1241">
        <v>0</v>
      </c>
      <c r="Y1241" t="str">
        <f t="shared" si="508"/>
        <v>No controla</v>
      </c>
      <c r="Z1241">
        <v>1887012</v>
      </c>
      <c r="AA1241">
        <f t="shared" si="509"/>
        <v>3</v>
      </c>
      <c r="AB1241" t="str">
        <f t="shared" si="510"/>
        <v>Siempre</v>
      </c>
      <c r="AC1241">
        <v>0</v>
      </c>
      <c r="AD1241">
        <f t="shared" si="511"/>
        <v>0</v>
      </c>
      <c r="AE1241" t="str">
        <f t="shared" si="512"/>
        <v>Nunca</v>
      </c>
      <c r="AF1241">
        <v>0</v>
      </c>
      <c r="AG1241" t="str">
        <f t="shared" si="513"/>
        <v>Nunca</v>
      </c>
      <c r="AH1241">
        <v>0</v>
      </c>
      <c r="AI1241" t="str">
        <f t="shared" si="514"/>
        <v>No usa</v>
      </c>
      <c r="AJ1241">
        <v>0</v>
      </c>
      <c r="AK1241" t="str">
        <f t="shared" si="515"/>
        <v>No usa</v>
      </c>
      <c r="AL1241">
        <v>0</v>
      </c>
      <c r="AM1241" t="str">
        <f t="shared" si="516"/>
        <v>No usa</v>
      </c>
      <c r="AN1241">
        <v>1</v>
      </c>
      <c r="AO1241" t="str">
        <f t="shared" si="517"/>
        <v>Usa Transporte</v>
      </c>
      <c r="AP1241">
        <v>0</v>
      </c>
      <c r="AQ1241" t="str">
        <f t="shared" si="518"/>
        <v>No camina</v>
      </c>
      <c r="AR1241">
        <v>1</v>
      </c>
      <c r="AS1241" t="str">
        <f t="shared" si="519"/>
        <v>Es Obeso</v>
      </c>
    </row>
    <row r="1242" spans="1:45" x14ac:dyDescent="0.25">
      <c r="A1242">
        <v>0</v>
      </c>
      <c r="B1242" t="str">
        <f t="shared" si="494"/>
        <v>F</v>
      </c>
      <c r="C1242">
        <v>23</v>
      </c>
      <c r="D1242">
        <f t="shared" si="495"/>
        <v>23</v>
      </c>
      <c r="E1242">
        <f t="shared" si="496"/>
        <v>23</v>
      </c>
      <c r="F1242" t="str">
        <f t="shared" si="497"/>
        <v>1-25</v>
      </c>
      <c r="G1242">
        <v>1</v>
      </c>
      <c r="H1242" t="str">
        <f t="shared" si="498"/>
        <v>Pariente gordo</v>
      </c>
      <c r="I1242">
        <v>1</v>
      </c>
      <c r="J1242" t="str">
        <f t="shared" si="499"/>
        <v>Hipercaloricos</v>
      </c>
      <c r="K1242">
        <v>2928234</v>
      </c>
      <c r="L1242">
        <f t="shared" si="500"/>
        <v>1</v>
      </c>
      <c r="M1242" t="str">
        <f t="shared" si="501"/>
        <v>Suele comer</v>
      </c>
      <c r="N1242">
        <v>1458507</v>
      </c>
      <c r="O1242">
        <f t="shared" si="502"/>
        <v>2</v>
      </c>
      <c r="P1242" t="str">
        <f t="shared" si="503"/>
        <v>Mas de 3</v>
      </c>
      <c r="Q1242">
        <v>1</v>
      </c>
      <c r="R1242" t="str">
        <f t="shared" si="504"/>
        <v>A veces</v>
      </c>
      <c r="S1242">
        <v>0</v>
      </c>
      <c r="T1242" t="str">
        <f t="shared" si="505"/>
        <v>No fuma</v>
      </c>
      <c r="U1242">
        <v>2777379</v>
      </c>
      <c r="V1242">
        <f t="shared" si="506"/>
        <v>2</v>
      </c>
      <c r="W1242" t="str">
        <f t="shared" si="507"/>
        <v>Siempre</v>
      </c>
      <c r="X1242">
        <v>0</v>
      </c>
      <c r="Y1242" t="str">
        <f t="shared" si="508"/>
        <v>No controla</v>
      </c>
      <c r="Z1242">
        <v>0.354541</v>
      </c>
      <c r="AA1242">
        <f t="shared" si="509"/>
        <v>0</v>
      </c>
      <c r="AB1242" t="str">
        <f t="shared" si="510"/>
        <v>Nunca</v>
      </c>
      <c r="AC1242">
        <v>1707018</v>
      </c>
      <c r="AD1242">
        <f t="shared" si="511"/>
        <v>2</v>
      </c>
      <c r="AE1242" t="str">
        <f t="shared" si="512"/>
        <v>Siempre</v>
      </c>
      <c r="AF1242">
        <v>0</v>
      </c>
      <c r="AG1242" t="str">
        <f t="shared" si="513"/>
        <v>Nunca</v>
      </c>
      <c r="AH1242">
        <v>0</v>
      </c>
      <c r="AI1242" t="str">
        <f t="shared" si="514"/>
        <v>No usa</v>
      </c>
      <c r="AJ1242">
        <v>0</v>
      </c>
      <c r="AK1242" t="str">
        <f t="shared" si="515"/>
        <v>No usa</v>
      </c>
      <c r="AL1242">
        <v>0</v>
      </c>
      <c r="AM1242" t="str">
        <f t="shared" si="516"/>
        <v>No usa</v>
      </c>
      <c r="AN1242">
        <v>1</v>
      </c>
      <c r="AO1242" t="str">
        <f t="shared" si="517"/>
        <v>Usa Transporte</v>
      </c>
      <c r="AP1242">
        <v>0</v>
      </c>
      <c r="AQ1242" t="str">
        <f t="shared" si="518"/>
        <v>No camina</v>
      </c>
      <c r="AR1242">
        <v>1</v>
      </c>
      <c r="AS1242" t="str">
        <f t="shared" si="519"/>
        <v>Es Obeso</v>
      </c>
    </row>
    <row r="1243" spans="1:45" x14ac:dyDescent="0.25">
      <c r="A1243">
        <v>0</v>
      </c>
      <c r="B1243" t="str">
        <f t="shared" si="494"/>
        <v>F</v>
      </c>
      <c r="C1243">
        <v>40951591</v>
      </c>
      <c r="D1243">
        <f t="shared" si="495"/>
        <v>112</v>
      </c>
      <c r="E1243">
        <f t="shared" si="496"/>
        <v>100</v>
      </c>
      <c r="F1243" t="str">
        <f t="shared" si="497"/>
        <v>75-100</v>
      </c>
      <c r="G1243">
        <v>1</v>
      </c>
      <c r="H1243" t="str">
        <f t="shared" si="498"/>
        <v>Pariente gordo</v>
      </c>
      <c r="I1243">
        <v>1</v>
      </c>
      <c r="J1243" t="str">
        <f t="shared" si="499"/>
        <v>Hipercaloricos</v>
      </c>
      <c r="K1243">
        <v>2</v>
      </c>
      <c r="L1243">
        <f t="shared" si="500"/>
        <v>1</v>
      </c>
      <c r="M1243" t="str">
        <f t="shared" si="501"/>
        <v>Suele comer</v>
      </c>
      <c r="N1243">
        <v>1105617</v>
      </c>
      <c r="O1243">
        <f t="shared" si="502"/>
        <v>2</v>
      </c>
      <c r="P1243" t="str">
        <f t="shared" si="503"/>
        <v>Mas de 3</v>
      </c>
      <c r="Q1243">
        <v>1</v>
      </c>
      <c r="R1243" t="str">
        <f t="shared" si="504"/>
        <v>A veces</v>
      </c>
      <c r="S1243">
        <v>0</v>
      </c>
      <c r="T1243" t="str">
        <f t="shared" si="505"/>
        <v>No fuma</v>
      </c>
      <c r="U1243">
        <v>1372811</v>
      </c>
      <c r="V1243">
        <f t="shared" si="506"/>
        <v>2</v>
      </c>
      <c r="W1243" t="str">
        <f t="shared" si="507"/>
        <v>Siempre</v>
      </c>
      <c r="X1243">
        <v>0</v>
      </c>
      <c r="Y1243" t="str">
        <f t="shared" si="508"/>
        <v>No controla</v>
      </c>
      <c r="Z1243">
        <v>1629432</v>
      </c>
      <c r="AA1243">
        <f t="shared" si="509"/>
        <v>3</v>
      </c>
      <c r="AB1243" t="str">
        <f t="shared" si="510"/>
        <v>Siempre</v>
      </c>
      <c r="AC1243">
        <v>0</v>
      </c>
      <c r="AD1243">
        <f t="shared" si="511"/>
        <v>0</v>
      </c>
      <c r="AE1243" t="str">
        <f t="shared" si="512"/>
        <v>Nunca</v>
      </c>
      <c r="AF1243">
        <v>1</v>
      </c>
      <c r="AG1243" t="str">
        <f t="shared" si="513"/>
        <v>A veces</v>
      </c>
      <c r="AH1243">
        <v>1</v>
      </c>
      <c r="AI1243" t="str">
        <f t="shared" si="514"/>
        <v>Usa auto</v>
      </c>
      <c r="AJ1243">
        <v>0</v>
      </c>
      <c r="AK1243" t="str">
        <f t="shared" si="515"/>
        <v>No usa</v>
      </c>
      <c r="AL1243">
        <v>0</v>
      </c>
      <c r="AM1243" t="str">
        <f t="shared" si="516"/>
        <v>No usa</v>
      </c>
      <c r="AN1243">
        <v>0</v>
      </c>
      <c r="AO1243" t="str">
        <f t="shared" si="517"/>
        <v>No usa</v>
      </c>
      <c r="AP1243">
        <v>0</v>
      </c>
      <c r="AQ1243" t="str">
        <f t="shared" si="518"/>
        <v>No camina</v>
      </c>
      <c r="AR1243">
        <v>1</v>
      </c>
      <c r="AS1243" t="str">
        <f t="shared" si="519"/>
        <v>Es Obeso</v>
      </c>
    </row>
    <row r="1244" spans="1:45" x14ac:dyDescent="0.25">
      <c r="A1244">
        <v>0</v>
      </c>
      <c r="B1244" t="str">
        <f t="shared" si="494"/>
        <v>F</v>
      </c>
      <c r="C1244">
        <v>39135634</v>
      </c>
      <c r="D1244">
        <f t="shared" si="495"/>
        <v>107</v>
      </c>
      <c r="E1244">
        <f t="shared" si="496"/>
        <v>100</v>
      </c>
      <c r="F1244" t="str">
        <f t="shared" si="497"/>
        <v>75-100</v>
      </c>
      <c r="G1244">
        <v>1</v>
      </c>
      <c r="H1244" t="str">
        <f t="shared" si="498"/>
        <v>Pariente gordo</v>
      </c>
      <c r="I1244">
        <v>1</v>
      </c>
      <c r="J1244" t="str">
        <f t="shared" si="499"/>
        <v>Hipercaloricos</v>
      </c>
      <c r="K1244">
        <v>2</v>
      </c>
      <c r="L1244">
        <f t="shared" si="500"/>
        <v>1</v>
      </c>
      <c r="M1244" t="str">
        <f t="shared" si="501"/>
        <v>Suele comer</v>
      </c>
      <c r="N1244">
        <v>3</v>
      </c>
      <c r="O1244">
        <f t="shared" si="502"/>
        <v>2</v>
      </c>
      <c r="P1244" t="str">
        <f t="shared" si="503"/>
        <v>Mas de 3</v>
      </c>
      <c r="Q1244">
        <v>1</v>
      </c>
      <c r="R1244" t="str">
        <f t="shared" si="504"/>
        <v>A veces</v>
      </c>
      <c r="S1244">
        <v>0</v>
      </c>
      <c r="T1244" t="str">
        <f t="shared" si="505"/>
        <v>No fuma</v>
      </c>
      <c r="U1244">
        <v>1</v>
      </c>
      <c r="V1244">
        <f t="shared" si="506"/>
        <v>1</v>
      </c>
      <c r="W1244" t="str">
        <f t="shared" si="507"/>
        <v>Usualmente</v>
      </c>
      <c r="X1244">
        <v>0</v>
      </c>
      <c r="Y1244" t="str">
        <f t="shared" si="508"/>
        <v>No controla</v>
      </c>
      <c r="Z1244">
        <v>0</v>
      </c>
      <c r="AA1244">
        <f t="shared" si="509"/>
        <v>0</v>
      </c>
      <c r="AB1244" t="str">
        <f t="shared" si="510"/>
        <v>Nunca</v>
      </c>
      <c r="AC1244">
        <v>0</v>
      </c>
      <c r="AD1244">
        <f t="shared" si="511"/>
        <v>0</v>
      </c>
      <c r="AE1244" t="str">
        <f t="shared" si="512"/>
        <v>Nunca</v>
      </c>
      <c r="AF1244">
        <v>1</v>
      </c>
      <c r="AG1244" t="str">
        <f t="shared" si="513"/>
        <v>A veces</v>
      </c>
      <c r="AH1244">
        <v>1</v>
      </c>
      <c r="AI1244" t="str">
        <f t="shared" si="514"/>
        <v>Usa auto</v>
      </c>
      <c r="AJ1244">
        <v>0</v>
      </c>
      <c r="AK1244" t="str">
        <f t="shared" si="515"/>
        <v>No usa</v>
      </c>
      <c r="AL1244">
        <v>0</v>
      </c>
      <c r="AM1244" t="str">
        <f t="shared" si="516"/>
        <v>No usa</v>
      </c>
      <c r="AN1244">
        <v>0</v>
      </c>
      <c r="AO1244" t="str">
        <f t="shared" si="517"/>
        <v>No usa</v>
      </c>
      <c r="AP1244">
        <v>0</v>
      </c>
      <c r="AQ1244" t="str">
        <f t="shared" si="518"/>
        <v>No camina</v>
      </c>
      <c r="AR1244">
        <v>1</v>
      </c>
      <c r="AS1244" t="str">
        <f t="shared" si="519"/>
        <v>Es Obeso</v>
      </c>
    </row>
    <row r="1245" spans="1:45" x14ac:dyDescent="0.25">
      <c r="A1245">
        <v>1</v>
      </c>
      <c r="B1245" t="str">
        <f t="shared" si="494"/>
        <v>M</v>
      </c>
      <c r="C1245">
        <v>26271621</v>
      </c>
      <c r="D1245">
        <f t="shared" si="495"/>
        <v>71</v>
      </c>
      <c r="E1245">
        <f t="shared" si="496"/>
        <v>71</v>
      </c>
      <c r="F1245" t="str">
        <f t="shared" si="497"/>
        <v>50-75</v>
      </c>
      <c r="G1245">
        <v>1</v>
      </c>
      <c r="H1245" t="str">
        <f t="shared" si="498"/>
        <v>Pariente gordo</v>
      </c>
      <c r="I1245">
        <v>1</v>
      </c>
      <c r="J1245" t="str">
        <f t="shared" si="499"/>
        <v>Hipercaloricos</v>
      </c>
      <c r="K1245">
        <v>2</v>
      </c>
      <c r="L1245">
        <f t="shared" si="500"/>
        <v>1</v>
      </c>
      <c r="M1245" t="str">
        <f t="shared" si="501"/>
        <v>Suele comer</v>
      </c>
      <c r="N1245">
        <v>3</v>
      </c>
      <c r="O1245">
        <f t="shared" si="502"/>
        <v>2</v>
      </c>
      <c r="P1245" t="str">
        <f t="shared" si="503"/>
        <v>Mas de 3</v>
      </c>
      <c r="Q1245">
        <v>1</v>
      </c>
      <c r="R1245" t="str">
        <f t="shared" si="504"/>
        <v>A veces</v>
      </c>
      <c r="S1245">
        <v>0</v>
      </c>
      <c r="T1245" t="str">
        <f t="shared" si="505"/>
        <v>No fuma</v>
      </c>
      <c r="U1245">
        <v>3</v>
      </c>
      <c r="V1245">
        <f t="shared" si="506"/>
        <v>2</v>
      </c>
      <c r="W1245" t="str">
        <f t="shared" si="507"/>
        <v>Siempre</v>
      </c>
      <c r="X1245">
        <v>0</v>
      </c>
      <c r="Y1245" t="str">
        <f t="shared" si="508"/>
        <v>No controla</v>
      </c>
      <c r="Z1245">
        <v>0.66927800000000004</v>
      </c>
      <c r="AA1245">
        <f t="shared" si="509"/>
        <v>0</v>
      </c>
      <c r="AB1245" t="str">
        <f t="shared" si="510"/>
        <v>Nunca</v>
      </c>
      <c r="AC1245">
        <v>0.50526599999999999</v>
      </c>
      <c r="AD1245">
        <f t="shared" si="511"/>
        <v>0</v>
      </c>
      <c r="AE1245" t="str">
        <f t="shared" si="512"/>
        <v>Nunca</v>
      </c>
      <c r="AF1245">
        <v>1</v>
      </c>
      <c r="AG1245" t="str">
        <f t="shared" si="513"/>
        <v>A veces</v>
      </c>
      <c r="AH1245">
        <v>1</v>
      </c>
      <c r="AI1245" t="str">
        <f t="shared" si="514"/>
        <v>Usa auto</v>
      </c>
      <c r="AJ1245">
        <v>0</v>
      </c>
      <c r="AK1245" t="str">
        <f t="shared" si="515"/>
        <v>No usa</v>
      </c>
      <c r="AL1245">
        <v>0</v>
      </c>
      <c r="AM1245" t="str">
        <f t="shared" si="516"/>
        <v>No usa</v>
      </c>
      <c r="AN1245">
        <v>0</v>
      </c>
      <c r="AO1245" t="str">
        <f t="shared" si="517"/>
        <v>No usa</v>
      </c>
      <c r="AP1245">
        <v>0</v>
      </c>
      <c r="AQ1245" t="str">
        <f t="shared" si="518"/>
        <v>No camina</v>
      </c>
      <c r="AR1245">
        <v>1</v>
      </c>
      <c r="AS1245" t="str">
        <f t="shared" si="519"/>
        <v>Es Obeso</v>
      </c>
    </row>
    <row r="1246" spans="1:45" x14ac:dyDescent="0.25">
      <c r="A1246">
        <v>0</v>
      </c>
      <c r="B1246" t="str">
        <f t="shared" si="494"/>
        <v>F</v>
      </c>
      <c r="C1246">
        <v>23779235</v>
      </c>
      <c r="D1246">
        <f t="shared" si="495"/>
        <v>65</v>
      </c>
      <c r="E1246">
        <f t="shared" si="496"/>
        <v>65</v>
      </c>
      <c r="F1246" t="str">
        <f t="shared" si="497"/>
        <v>50-75</v>
      </c>
      <c r="G1246">
        <v>1</v>
      </c>
      <c r="H1246" t="str">
        <f t="shared" si="498"/>
        <v>Pariente gordo</v>
      </c>
      <c r="I1246">
        <v>1</v>
      </c>
      <c r="J1246" t="str">
        <f t="shared" si="499"/>
        <v>Hipercaloricos</v>
      </c>
      <c r="K1246">
        <v>2</v>
      </c>
      <c r="L1246">
        <f t="shared" si="500"/>
        <v>1</v>
      </c>
      <c r="M1246" t="str">
        <f t="shared" si="501"/>
        <v>Suele comer</v>
      </c>
      <c r="N1246">
        <v>1</v>
      </c>
      <c r="O1246">
        <f t="shared" si="502"/>
        <v>1</v>
      </c>
      <c r="P1246">
        <f t="shared" si="503"/>
        <v>3</v>
      </c>
      <c r="Q1246">
        <v>1</v>
      </c>
      <c r="R1246" t="str">
        <f t="shared" si="504"/>
        <v>A veces</v>
      </c>
      <c r="S1246">
        <v>0</v>
      </c>
      <c r="T1246" t="str">
        <f t="shared" si="505"/>
        <v>No fuma</v>
      </c>
      <c r="U1246">
        <v>2</v>
      </c>
      <c r="V1246">
        <f t="shared" si="506"/>
        <v>2</v>
      </c>
      <c r="W1246" t="str">
        <f t="shared" si="507"/>
        <v>Siempre</v>
      </c>
      <c r="X1246">
        <v>0</v>
      </c>
      <c r="Y1246" t="str">
        <f t="shared" si="508"/>
        <v>No controla</v>
      </c>
      <c r="Z1246">
        <v>0.82750199999999996</v>
      </c>
      <c r="AA1246">
        <f t="shared" si="509"/>
        <v>0</v>
      </c>
      <c r="AB1246" t="str">
        <f t="shared" si="510"/>
        <v>Nunca</v>
      </c>
      <c r="AC1246">
        <v>0</v>
      </c>
      <c r="AD1246">
        <f t="shared" si="511"/>
        <v>0</v>
      </c>
      <c r="AE1246" t="str">
        <f t="shared" si="512"/>
        <v>Nunca</v>
      </c>
      <c r="AF1246">
        <v>0</v>
      </c>
      <c r="AG1246" t="str">
        <f t="shared" si="513"/>
        <v>Nunca</v>
      </c>
      <c r="AH1246">
        <v>0</v>
      </c>
      <c r="AI1246" t="str">
        <f t="shared" si="514"/>
        <v>No usa</v>
      </c>
      <c r="AJ1246">
        <v>0</v>
      </c>
      <c r="AK1246" t="str">
        <f t="shared" si="515"/>
        <v>No usa</v>
      </c>
      <c r="AL1246">
        <v>0</v>
      </c>
      <c r="AM1246" t="str">
        <f t="shared" si="516"/>
        <v>No usa</v>
      </c>
      <c r="AN1246">
        <v>1</v>
      </c>
      <c r="AO1246" t="str">
        <f t="shared" si="517"/>
        <v>Usa Transporte</v>
      </c>
      <c r="AP1246">
        <v>0</v>
      </c>
      <c r="AQ1246" t="str">
        <f t="shared" si="518"/>
        <v>No camina</v>
      </c>
      <c r="AR1246">
        <v>1</v>
      </c>
      <c r="AS1246" t="str">
        <f t="shared" si="519"/>
        <v>Es Obeso</v>
      </c>
    </row>
    <row r="1247" spans="1:45" x14ac:dyDescent="0.25">
      <c r="A1247">
        <v>1</v>
      </c>
      <c r="B1247" t="str">
        <f t="shared" si="494"/>
        <v>M</v>
      </c>
      <c r="C1247">
        <v>20586978</v>
      </c>
      <c r="D1247">
        <f t="shared" si="495"/>
        <v>56</v>
      </c>
      <c r="E1247">
        <f t="shared" si="496"/>
        <v>56</v>
      </c>
      <c r="F1247" t="str">
        <f t="shared" si="497"/>
        <v>50-75</v>
      </c>
      <c r="G1247">
        <v>1</v>
      </c>
      <c r="H1247" t="str">
        <f t="shared" si="498"/>
        <v>Pariente gordo</v>
      </c>
      <c r="I1247">
        <v>1</v>
      </c>
      <c r="J1247" t="str">
        <f t="shared" si="499"/>
        <v>Hipercaloricos</v>
      </c>
      <c r="K1247">
        <v>2</v>
      </c>
      <c r="L1247">
        <f t="shared" si="500"/>
        <v>1</v>
      </c>
      <c r="M1247" t="str">
        <f t="shared" si="501"/>
        <v>Suele comer</v>
      </c>
      <c r="N1247">
        <v>3</v>
      </c>
      <c r="O1247">
        <f t="shared" si="502"/>
        <v>2</v>
      </c>
      <c r="P1247" t="str">
        <f t="shared" si="503"/>
        <v>Mas de 3</v>
      </c>
      <c r="Q1247">
        <v>1</v>
      </c>
      <c r="R1247" t="str">
        <f t="shared" si="504"/>
        <v>A veces</v>
      </c>
      <c r="S1247">
        <v>0</v>
      </c>
      <c r="T1247" t="str">
        <f t="shared" si="505"/>
        <v>No fuma</v>
      </c>
      <c r="U1247">
        <v>1689793</v>
      </c>
      <c r="V1247">
        <f t="shared" si="506"/>
        <v>2</v>
      </c>
      <c r="W1247" t="str">
        <f t="shared" si="507"/>
        <v>Siempre</v>
      </c>
      <c r="X1247">
        <v>0</v>
      </c>
      <c r="Y1247" t="str">
        <f t="shared" si="508"/>
        <v>No controla</v>
      </c>
      <c r="Z1247">
        <v>1464204</v>
      </c>
      <c r="AA1247">
        <f t="shared" si="509"/>
        <v>3</v>
      </c>
      <c r="AB1247" t="str">
        <f t="shared" si="510"/>
        <v>Siempre</v>
      </c>
      <c r="AC1247">
        <v>0</v>
      </c>
      <c r="AD1247">
        <f t="shared" si="511"/>
        <v>0</v>
      </c>
      <c r="AE1247" t="str">
        <f t="shared" si="512"/>
        <v>Nunca</v>
      </c>
      <c r="AF1247">
        <v>0</v>
      </c>
      <c r="AG1247" t="str">
        <f t="shared" si="513"/>
        <v>Nunca</v>
      </c>
      <c r="AH1247">
        <v>0</v>
      </c>
      <c r="AI1247" t="str">
        <f t="shared" si="514"/>
        <v>No usa</v>
      </c>
      <c r="AJ1247">
        <v>0</v>
      </c>
      <c r="AK1247" t="str">
        <f t="shared" si="515"/>
        <v>No usa</v>
      </c>
      <c r="AL1247">
        <v>0</v>
      </c>
      <c r="AM1247" t="str">
        <f t="shared" si="516"/>
        <v>No usa</v>
      </c>
      <c r="AN1247">
        <v>1</v>
      </c>
      <c r="AO1247" t="str">
        <f t="shared" si="517"/>
        <v>Usa Transporte</v>
      </c>
      <c r="AP1247">
        <v>0</v>
      </c>
      <c r="AQ1247" t="str">
        <f t="shared" si="518"/>
        <v>No camina</v>
      </c>
      <c r="AR1247">
        <v>1</v>
      </c>
      <c r="AS1247" t="str">
        <f t="shared" si="519"/>
        <v>Es Obeso</v>
      </c>
    </row>
    <row r="1248" spans="1:45" x14ac:dyDescent="0.25">
      <c r="A1248">
        <v>1</v>
      </c>
      <c r="B1248" t="str">
        <f t="shared" si="494"/>
        <v>M</v>
      </c>
      <c r="C1248">
        <v>21669478</v>
      </c>
      <c r="D1248">
        <f t="shared" si="495"/>
        <v>59</v>
      </c>
      <c r="E1248">
        <f t="shared" si="496"/>
        <v>59</v>
      </c>
      <c r="F1248" t="str">
        <f t="shared" si="497"/>
        <v>50-75</v>
      </c>
      <c r="G1248">
        <v>1</v>
      </c>
      <c r="H1248" t="str">
        <f t="shared" si="498"/>
        <v>Pariente gordo</v>
      </c>
      <c r="I1248">
        <v>1</v>
      </c>
      <c r="J1248" t="str">
        <f t="shared" si="499"/>
        <v>Hipercaloricos</v>
      </c>
      <c r="K1248">
        <v>2</v>
      </c>
      <c r="L1248">
        <f t="shared" si="500"/>
        <v>1</v>
      </c>
      <c r="M1248" t="str">
        <f t="shared" si="501"/>
        <v>Suele comer</v>
      </c>
      <c r="N1248">
        <v>3</v>
      </c>
      <c r="O1248">
        <f t="shared" si="502"/>
        <v>2</v>
      </c>
      <c r="P1248" t="str">
        <f t="shared" si="503"/>
        <v>Mas de 3</v>
      </c>
      <c r="Q1248">
        <v>1</v>
      </c>
      <c r="R1248" t="str">
        <f t="shared" si="504"/>
        <v>A veces</v>
      </c>
      <c r="S1248">
        <v>0</v>
      </c>
      <c r="T1248" t="str">
        <f t="shared" si="505"/>
        <v>No fuma</v>
      </c>
      <c r="U1248">
        <v>2771469</v>
      </c>
      <c r="V1248">
        <f t="shared" si="506"/>
        <v>2</v>
      </c>
      <c r="W1248" t="str">
        <f t="shared" si="507"/>
        <v>Siempre</v>
      </c>
      <c r="X1248">
        <v>0</v>
      </c>
      <c r="Y1248" t="str">
        <f t="shared" si="508"/>
        <v>No controla</v>
      </c>
      <c r="Z1248">
        <v>2359339</v>
      </c>
      <c r="AA1248">
        <f t="shared" si="509"/>
        <v>3</v>
      </c>
      <c r="AB1248" t="str">
        <f t="shared" si="510"/>
        <v>Siempre</v>
      </c>
      <c r="AC1248">
        <v>1206251</v>
      </c>
      <c r="AD1248">
        <f t="shared" si="511"/>
        <v>2</v>
      </c>
      <c r="AE1248" t="str">
        <f t="shared" si="512"/>
        <v>Siempre</v>
      </c>
      <c r="AF1248">
        <v>0</v>
      </c>
      <c r="AG1248" t="str">
        <f t="shared" si="513"/>
        <v>Nunca</v>
      </c>
      <c r="AH1248">
        <v>0</v>
      </c>
      <c r="AI1248" t="str">
        <f t="shared" si="514"/>
        <v>No usa</v>
      </c>
      <c r="AJ1248">
        <v>0</v>
      </c>
      <c r="AK1248" t="str">
        <f t="shared" si="515"/>
        <v>No usa</v>
      </c>
      <c r="AL1248">
        <v>0</v>
      </c>
      <c r="AM1248" t="str">
        <f t="shared" si="516"/>
        <v>No usa</v>
      </c>
      <c r="AN1248">
        <v>1</v>
      </c>
      <c r="AO1248" t="str">
        <f t="shared" si="517"/>
        <v>Usa Transporte</v>
      </c>
      <c r="AP1248">
        <v>0</v>
      </c>
      <c r="AQ1248" t="str">
        <f t="shared" si="518"/>
        <v>No camina</v>
      </c>
      <c r="AR1248">
        <v>1</v>
      </c>
      <c r="AS1248" t="str">
        <f t="shared" si="519"/>
        <v>Es Obeso</v>
      </c>
    </row>
    <row r="1249" spans="1:45" x14ac:dyDescent="0.25">
      <c r="A1249">
        <v>0</v>
      </c>
      <c r="B1249" t="str">
        <f t="shared" si="494"/>
        <v>F</v>
      </c>
      <c r="C1249">
        <v>23</v>
      </c>
      <c r="D1249">
        <f t="shared" si="495"/>
        <v>23</v>
      </c>
      <c r="E1249">
        <f t="shared" si="496"/>
        <v>23</v>
      </c>
      <c r="F1249" t="str">
        <f t="shared" si="497"/>
        <v>1-25</v>
      </c>
      <c r="G1249">
        <v>1</v>
      </c>
      <c r="H1249" t="str">
        <f t="shared" si="498"/>
        <v>Pariente gordo</v>
      </c>
      <c r="I1249">
        <v>1</v>
      </c>
      <c r="J1249" t="str">
        <f t="shared" si="499"/>
        <v>Hipercaloricos</v>
      </c>
      <c r="K1249">
        <v>2</v>
      </c>
      <c r="L1249">
        <f t="shared" si="500"/>
        <v>1</v>
      </c>
      <c r="M1249" t="str">
        <f t="shared" si="501"/>
        <v>Suele comer</v>
      </c>
      <c r="N1249">
        <v>1</v>
      </c>
      <c r="O1249">
        <f t="shared" si="502"/>
        <v>1</v>
      </c>
      <c r="P1249">
        <f t="shared" si="503"/>
        <v>3</v>
      </c>
      <c r="Q1249">
        <v>1</v>
      </c>
      <c r="R1249" t="str">
        <f t="shared" si="504"/>
        <v>A veces</v>
      </c>
      <c r="S1249">
        <v>0</v>
      </c>
      <c r="T1249" t="str">
        <f t="shared" si="505"/>
        <v>No fuma</v>
      </c>
      <c r="U1249">
        <v>2</v>
      </c>
      <c r="V1249">
        <f t="shared" si="506"/>
        <v>2</v>
      </c>
      <c r="W1249" t="str">
        <f t="shared" si="507"/>
        <v>Siempre</v>
      </c>
      <c r="X1249">
        <v>0</v>
      </c>
      <c r="Y1249" t="str">
        <f t="shared" si="508"/>
        <v>No controla</v>
      </c>
      <c r="Z1249">
        <v>2.6141999999999999E-2</v>
      </c>
      <c r="AA1249">
        <f t="shared" si="509"/>
        <v>0</v>
      </c>
      <c r="AB1249" t="str">
        <f t="shared" si="510"/>
        <v>Nunca</v>
      </c>
      <c r="AC1249">
        <v>0</v>
      </c>
      <c r="AD1249">
        <f t="shared" si="511"/>
        <v>0</v>
      </c>
      <c r="AE1249" t="str">
        <f t="shared" si="512"/>
        <v>Nunca</v>
      </c>
      <c r="AF1249">
        <v>0</v>
      </c>
      <c r="AG1249" t="str">
        <f t="shared" si="513"/>
        <v>Nunca</v>
      </c>
      <c r="AH1249">
        <v>0</v>
      </c>
      <c r="AI1249" t="str">
        <f t="shared" si="514"/>
        <v>No usa</v>
      </c>
      <c r="AJ1249">
        <v>0</v>
      </c>
      <c r="AK1249" t="str">
        <f t="shared" si="515"/>
        <v>No usa</v>
      </c>
      <c r="AL1249">
        <v>0</v>
      </c>
      <c r="AM1249" t="str">
        <f t="shared" si="516"/>
        <v>No usa</v>
      </c>
      <c r="AN1249">
        <v>1</v>
      </c>
      <c r="AO1249" t="str">
        <f t="shared" si="517"/>
        <v>Usa Transporte</v>
      </c>
      <c r="AP1249">
        <v>0</v>
      </c>
      <c r="AQ1249" t="str">
        <f t="shared" si="518"/>
        <v>No camina</v>
      </c>
      <c r="AR1249">
        <v>1</v>
      </c>
      <c r="AS1249" t="str">
        <f t="shared" si="519"/>
        <v>Es Obeso</v>
      </c>
    </row>
    <row r="1250" spans="1:45" x14ac:dyDescent="0.25">
      <c r="A1250">
        <v>1</v>
      </c>
      <c r="B1250" t="str">
        <f t="shared" si="494"/>
        <v>M</v>
      </c>
      <c r="C1250">
        <v>20825962</v>
      </c>
      <c r="D1250">
        <f t="shared" si="495"/>
        <v>57</v>
      </c>
      <c r="E1250">
        <f t="shared" si="496"/>
        <v>57</v>
      </c>
      <c r="F1250" t="str">
        <f t="shared" si="497"/>
        <v>50-75</v>
      </c>
      <c r="G1250">
        <v>1</v>
      </c>
      <c r="H1250" t="str">
        <f t="shared" si="498"/>
        <v>Pariente gordo</v>
      </c>
      <c r="I1250">
        <v>1</v>
      </c>
      <c r="J1250" t="str">
        <f t="shared" si="499"/>
        <v>Hipercaloricos</v>
      </c>
      <c r="K1250">
        <v>2</v>
      </c>
      <c r="L1250">
        <f t="shared" si="500"/>
        <v>1</v>
      </c>
      <c r="M1250" t="str">
        <f t="shared" si="501"/>
        <v>Suele comer</v>
      </c>
      <c r="N1250">
        <v>3</v>
      </c>
      <c r="O1250">
        <f t="shared" si="502"/>
        <v>2</v>
      </c>
      <c r="P1250" t="str">
        <f t="shared" si="503"/>
        <v>Mas de 3</v>
      </c>
      <c r="Q1250">
        <v>1</v>
      </c>
      <c r="R1250" t="str">
        <f t="shared" si="504"/>
        <v>A veces</v>
      </c>
      <c r="S1250">
        <v>0</v>
      </c>
      <c r="T1250" t="str">
        <f t="shared" si="505"/>
        <v>No fuma</v>
      </c>
      <c r="U1250">
        <v>1155384</v>
      </c>
      <c r="V1250">
        <f t="shared" si="506"/>
        <v>2</v>
      </c>
      <c r="W1250" t="str">
        <f t="shared" si="507"/>
        <v>Siempre</v>
      </c>
      <c r="X1250">
        <v>0</v>
      </c>
      <c r="Y1250" t="str">
        <f t="shared" si="508"/>
        <v>No controla</v>
      </c>
      <c r="Z1250">
        <v>3.9379999999999997E-3</v>
      </c>
      <c r="AA1250">
        <f t="shared" si="509"/>
        <v>0</v>
      </c>
      <c r="AB1250" t="str">
        <f t="shared" si="510"/>
        <v>Nunca</v>
      </c>
      <c r="AC1250">
        <v>0.526999</v>
      </c>
      <c r="AD1250">
        <f t="shared" si="511"/>
        <v>0</v>
      </c>
      <c r="AE1250" t="str">
        <f t="shared" si="512"/>
        <v>Nunca</v>
      </c>
      <c r="AF1250">
        <v>1</v>
      </c>
      <c r="AG1250" t="str">
        <f t="shared" si="513"/>
        <v>A veces</v>
      </c>
      <c r="AH1250">
        <v>0</v>
      </c>
      <c r="AI1250" t="str">
        <f t="shared" si="514"/>
        <v>No usa</v>
      </c>
      <c r="AJ1250">
        <v>0</v>
      </c>
      <c r="AK1250" t="str">
        <f t="shared" si="515"/>
        <v>No usa</v>
      </c>
      <c r="AL1250">
        <v>0</v>
      </c>
      <c r="AM1250" t="str">
        <f t="shared" si="516"/>
        <v>No usa</v>
      </c>
      <c r="AN1250">
        <v>1</v>
      </c>
      <c r="AO1250" t="str">
        <f t="shared" si="517"/>
        <v>Usa Transporte</v>
      </c>
      <c r="AP1250">
        <v>0</v>
      </c>
      <c r="AQ1250" t="str">
        <f t="shared" si="518"/>
        <v>No camina</v>
      </c>
      <c r="AR1250">
        <v>1</v>
      </c>
      <c r="AS1250" t="str">
        <f t="shared" si="519"/>
        <v>Es Obeso</v>
      </c>
    </row>
    <row r="1251" spans="1:45" x14ac:dyDescent="0.25">
      <c r="A1251">
        <v>1</v>
      </c>
      <c r="B1251" t="str">
        <f t="shared" si="494"/>
        <v>M</v>
      </c>
      <c r="C1251">
        <v>18178023</v>
      </c>
      <c r="D1251">
        <f t="shared" si="495"/>
        <v>49</v>
      </c>
      <c r="E1251">
        <f t="shared" si="496"/>
        <v>49</v>
      </c>
      <c r="F1251" t="str">
        <f t="shared" si="497"/>
        <v>25-50</v>
      </c>
      <c r="G1251">
        <v>1</v>
      </c>
      <c r="H1251" t="str">
        <f t="shared" si="498"/>
        <v>Pariente gordo</v>
      </c>
      <c r="I1251">
        <v>1</v>
      </c>
      <c r="J1251" t="str">
        <f t="shared" si="499"/>
        <v>Hipercaloricos</v>
      </c>
      <c r="K1251">
        <v>2</v>
      </c>
      <c r="L1251">
        <f t="shared" si="500"/>
        <v>1</v>
      </c>
      <c r="M1251" t="str">
        <f t="shared" si="501"/>
        <v>Suele comer</v>
      </c>
      <c r="N1251">
        <v>1854536</v>
      </c>
      <c r="O1251">
        <f t="shared" si="502"/>
        <v>2</v>
      </c>
      <c r="P1251" t="str">
        <f t="shared" si="503"/>
        <v>Mas de 3</v>
      </c>
      <c r="Q1251">
        <v>1</v>
      </c>
      <c r="R1251" t="str">
        <f t="shared" si="504"/>
        <v>A veces</v>
      </c>
      <c r="S1251">
        <v>0</v>
      </c>
      <c r="T1251" t="str">
        <f t="shared" si="505"/>
        <v>No fuma</v>
      </c>
      <c r="U1251">
        <v>2160169</v>
      </c>
      <c r="V1251">
        <f t="shared" si="506"/>
        <v>2</v>
      </c>
      <c r="W1251" t="str">
        <f t="shared" si="507"/>
        <v>Siempre</v>
      </c>
      <c r="X1251">
        <v>0</v>
      </c>
      <c r="Y1251" t="str">
        <f t="shared" si="508"/>
        <v>No controla</v>
      </c>
      <c r="Z1251">
        <v>1</v>
      </c>
      <c r="AA1251">
        <f t="shared" si="509"/>
        <v>1</v>
      </c>
      <c r="AB1251" t="str">
        <f t="shared" si="510"/>
        <v>A veces</v>
      </c>
      <c r="AC1251">
        <v>2</v>
      </c>
      <c r="AD1251">
        <f t="shared" si="511"/>
        <v>2</v>
      </c>
      <c r="AE1251" t="str">
        <f t="shared" si="512"/>
        <v>Siempre</v>
      </c>
      <c r="AF1251">
        <v>1</v>
      </c>
      <c r="AG1251" t="str">
        <f t="shared" si="513"/>
        <v>A veces</v>
      </c>
      <c r="AH1251">
        <v>0</v>
      </c>
      <c r="AI1251" t="str">
        <f t="shared" si="514"/>
        <v>No usa</v>
      </c>
      <c r="AJ1251">
        <v>0</v>
      </c>
      <c r="AK1251" t="str">
        <f t="shared" si="515"/>
        <v>No usa</v>
      </c>
      <c r="AL1251">
        <v>0</v>
      </c>
      <c r="AM1251" t="str">
        <f t="shared" si="516"/>
        <v>No usa</v>
      </c>
      <c r="AN1251">
        <v>1</v>
      </c>
      <c r="AO1251" t="str">
        <f t="shared" si="517"/>
        <v>Usa Transporte</v>
      </c>
      <c r="AP1251">
        <v>0</v>
      </c>
      <c r="AQ1251" t="str">
        <f t="shared" si="518"/>
        <v>No camina</v>
      </c>
      <c r="AR1251">
        <v>1</v>
      </c>
      <c r="AS1251" t="str">
        <f t="shared" si="519"/>
        <v>Es Obeso</v>
      </c>
    </row>
    <row r="1252" spans="1:45" x14ac:dyDescent="0.25">
      <c r="A1252">
        <v>0</v>
      </c>
      <c r="B1252" t="str">
        <f t="shared" si="494"/>
        <v>F</v>
      </c>
      <c r="C1252">
        <v>18</v>
      </c>
      <c r="D1252">
        <f t="shared" si="495"/>
        <v>18</v>
      </c>
      <c r="E1252">
        <f t="shared" si="496"/>
        <v>18</v>
      </c>
      <c r="F1252" t="str">
        <f t="shared" si="497"/>
        <v>1-25</v>
      </c>
      <c r="G1252">
        <v>1</v>
      </c>
      <c r="H1252" t="str">
        <f t="shared" si="498"/>
        <v>Pariente gordo</v>
      </c>
      <c r="I1252">
        <v>1</v>
      </c>
      <c r="J1252" t="str">
        <f t="shared" si="499"/>
        <v>Hipercaloricos</v>
      </c>
      <c r="K1252">
        <v>2496455</v>
      </c>
      <c r="L1252">
        <f t="shared" si="500"/>
        <v>1</v>
      </c>
      <c r="M1252" t="str">
        <f t="shared" si="501"/>
        <v>Suele comer</v>
      </c>
      <c r="N1252">
        <v>3</v>
      </c>
      <c r="O1252">
        <f t="shared" si="502"/>
        <v>2</v>
      </c>
      <c r="P1252" t="str">
        <f t="shared" si="503"/>
        <v>Mas de 3</v>
      </c>
      <c r="Q1252">
        <v>1</v>
      </c>
      <c r="R1252" t="str">
        <f t="shared" si="504"/>
        <v>A veces</v>
      </c>
      <c r="S1252">
        <v>0</v>
      </c>
      <c r="T1252" t="str">
        <f t="shared" si="505"/>
        <v>No fuma</v>
      </c>
      <c r="U1252">
        <v>1850344</v>
      </c>
      <c r="V1252">
        <f t="shared" si="506"/>
        <v>2</v>
      </c>
      <c r="W1252" t="str">
        <f t="shared" si="507"/>
        <v>Siempre</v>
      </c>
      <c r="X1252">
        <v>0</v>
      </c>
      <c r="Y1252" t="str">
        <f t="shared" si="508"/>
        <v>No controla</v>
      </c>
      <c r="Z1252">
        <v>1066101</v>
      </c>
      <c r="AA1252">
        <f t="shared" si="509"/>
        <v>3</v>
      </c>
      <c r="AB1252" t="str">
        <f t="shared" si="510"/>
        <v>Siempre</v>
      </c>
      <c r="AC1252">
        <v>0.73226500000000005</v>
      </c>
      <c r="AD1252">
        <f t="shared" si="511"/>
        <v>0</v>
      </c>
      <c r="AE1252" t="str">
        <f t="shared" si="512"/>
        <v>Nunca</v>
      </c>
      <c r="AF1252">
        <v>1</v>
      </c>
      <c r="AG1252" t="str">
        <f t="shared" si="513"/>
        <v>A veces</v>
      </c>
      <c r="AH1252">
        <v>0</v>
      </c>
      <c r="AI1252" t="str">
        <f t="shared" si="514"/>
        <v>No usa</v>
      </c>
      <c r="AJ1252">
        <v>0</v>
      </c>
      <c r="AK1252" t="str">
        <f t="shared" si="515"/>
        <v>No usa</v>
      </c>
      <c r="AL1252">
        <v>0</v>
      </c>
      <c r="AM1252" t="str">
        <f t="shared" si="516"/>
        <v>No usa</v>
      </c>
      <c r="AN1252">
        <v>1</v>
      </c>
      <c r="AO1252" t="str">
        <f t="shared" si="517"/>
        <v>Usa Transporte</v>
      </c>
      <c r="AP1252">
        <v>0</v>
      </c>
      <c r="AQ1252" t="str">
        <f t="shared" si="518"/>
        <v>No camina</v>
      </c>
      <c r="AR1252">
        <v>1</v>
      </c>
      <c r="AS1252" t="str">
        <f t="shared" si="519"/>
        <v>Es Obeso</v>
      </c>
    </row>
    <row r="1253" spans="1:45" x14ac:dyDescent="0.25">
      <c r="A1253">
        <v>0</v>
      </c>
      <c r="B1253" t="str">
        <f t="shared" si="494"/>
        <v>F</v>
      </c>
      <c r="C1253">
        <v>18267696</v>
      </c>
      <c r="D1253">
        <f t="shared" si="495"/>
        <v>50</v>
      </c>
      <c r="E1253">
        <f t="shared" si="496"/>
        <v>50</v>
      </c>
      <c r="F1253" t="str">
        <f t="shared" si="497"/>
        <v>25-50</v>
      </c>
      <c r="G1253">
        <v>1</v>
      </c>
      <c r="H1253" t="str">
        <f t="shared" si="498"/>
        <v>Pariente gordo</v>
      </c>
      <c r="I1253">
        <v>1</v>
      </c>
      <c r="J1253" t="str">
        <f t="shared" si="499"/>
        <v>Hipercaloricos</v>
      </c>
      <c r="K1253">
        <v>170825</v>
      </c>
      <c r="L1253">
        <f t="shared" si="500"/>
        <v>1</v>
      </c>
      <c r="M1253" t="str">
        <f t="shared" si="501"/>
        <v>Suele comer</v>
      </c>
      <c r="N1253">
        <v>3</v>
      </c>
      <c r="O1253">
        <f t="shared" si="502"/>
        <v>2</v>
      </c>
      <c r="P1253" t="str">
        <f t="shared" si="503"/>
        <v>Mas de 3</v>
      </c>
      <c r="Q1253">
        <v>1</v>
      </c>
      <c r="R1253" t="str">
        <f t="shared" si="504"/>
        <v>A veces</v>
      </c>
      <c r="S1253">
        <v>0</v>
      </c>
      <c r="T1253" t="str">
        <f t="shared" si="505"/>
        <v>No fuma</v>
      </c>
      <c r="U1253">
        <v>1</v>
      </c>
      <c r="V1253">
        <f t="shared" si="506"/>
        <v>1</v>
      </c>
      <c r="W1253" t="str">
        <f t="shared" si="507"/>
        <v>Usualmente</v>
      </c>
      <c r="X1253">
        <v>0</v>
      </c>
      <c r="Y1253" t="str">
        <f t="shared" si="508"/>
        <v>No controla</v>
      </c>
      <c r="Z1253">
        <v>0.899864</v>
      </c>
      <c r="AA1253">
        <f t="shared" si="509"/>
        <v>0</v>
      </c>
      <c r="AB1253" t="str">
        <f t="shared" si="510"/>
        <v>Nunca</v>
      </c>
      <c r="AC1253">
        <v>1</v>
      </c>
      <c r="AD1253">
        <f t="shared" si="511"/>
        <v>1</v>
      </c>
      <c r="AE1253" t="str">
        <f t="shared" si="512"/>
        <v>Usualmente</v>
      </c>
      <c r="AF1253">
        <v>1</v>
      </c>
      <c r="AG1253" t="str">
        <f t="shared" si="513"/>
        <v>A veces</v>
      </c>
      <c r="AH1253">
        <v>0</v>
      </c>
      <c r="AI1253" t="str">
        <f t="shared" si="514"/>
        <v>No usa</v>
      </c>
      <c r="AJ1253">
        <v>0</v>
      </c>
      <c r="AK1253" t="str">
        <f t="shared" si="515"/>
        <v>No usa</v>
      </c>
      <c r="AL1253">
        <v>0</v>
      </c>
      <c r="AM1253" t="str">
        <f t="shared" si="516"/>
        <v>No usa</v>
      </c>
      <c r="AN1253">
        <v>1</v>
      </c>
      <c r="AO1253" t="str">
        <f t="shared" si="517"/>
        <v>Usa Transporte</v>
      </c>
      <c r="AP1253">
        <v>0</v>
      </c>
      <c r="AQ1253" t="str">
        <f t="shared" si="518"/>
        <v>No camina</v>
      </c>
      <c r="AR1253">
        <v>1</v>
      </c>
      <c r="AS1253" t="str">
        <f t="shared" si="519"/>
        <v>Es Obeso</v>
      </c>
    </row>
    <row r="1254" spans="1:45" x14ac:dyDescent="0.25">
      <c r="A1254">
        <v>1</v>
      </c>
      <c r="B1254" t="str">
        <f t="shared" si="494"/>
        <v>M</v>
      </c>
      <c r="C1254">
        <v>23</v>
      </c>
      <c r="D1254">
        <f t="shared" si="495"/>
        <v>23</v>
      </c>
      <c r="E1254">
        <f t="shared" si="496"/>
        <v>23</v>
      </c>
      <c r="F1254" t="str">
        <f t="shared" si="497"/>
        <v>1-25</v>
      </c>
      <c r="G1254">
        <v>1</v>
      </c>
      <c r="H1254" t="str">
        <f t="shared" si="498"/>
        <v>Pariente gordo</v>
      </c>
      <c r="I1254">
        <v>1</v>
      </c>
      <c r="J1254" t="str">
        <f t="shared" si="499"/>
        <v>Hipercaloricos</v>
      </c>
      <c r="K1254">
        <v>2262171</v>
      </c>
      <c r="L1254">
        <f t="shared" si="500"/>
        <v>1</v>
      </c>
      <c r="M1254" t="str">
        <f t="shared" si="501"/>
        <v>Suele comer</v>
      </c>
      <c r="N1254">
        <v>3</v>
      </c>
      <c r="O1254">
        <f t="shared" si="502"/>
        <v>2</v>
      </c>
      <c r="P1254" t="str">
        <f t="shared" si="503"/>
        <v>Mas de 3</v>
      </c>
      <c r="Q1254">
        <v>1</v>
      </c>
      <c r="R1254" t="str">
        <f t="shared" si="504"/>
        <v>A veces</v>
      </c>
      <c r="S1254">
        <v>0</v>
      </c>
      <c r="T1254" t="str">
        <f t="shared" si="505"/>
        <v>No fuma</v>
      </c>
      <c r="U1254">
        <v>203415</v>
      </c>
      <c r="V1254">
        <f t="shared" si="506"/>
        <v>2</v>
      </c>
      <c r="W1254" t="str">
        <f t="shared" si="507"/>
        <v>Siempre</v>
      </c>
      <c r="X1254">
        <v>0</v>
      </c>
      <c r="Y1254" t="str">
        <f t="shared" si="508"/>
        <v>No controla</v>
      </c>
      <c r="Z1254">
        <v>0.31736300000000001</v>
      </c>
      <c r="AA1254">
        <f t="shared" si="509"/>
        <v>0</v>
      </c>
      <c r="AB1254" t="str">
        <f t="shared" si="510"/>
        <v>Nunca</v>
      </c>
      <c r="AC1254">
        <v>0.50866299999999998</v>
      </c>
      <c r="AD1254">
        <f t="shared" si="511"/>
        <v>0</v>
      </c>
      <c r="AE1254" t="str">
        <f t="shared" si="512"/>
        <v>Nunca</v>
      </c>
      <c r="AF1254">
        <v>1</v>
      </c>
      <c r="AG1254" t="str">
        <f t="shared" si="513"/>
        <v>A veces</v>
      </c>
      <c r="AH1254">
        <v>0</v>
      </c>
      <c r="AI1254" t="str">
        <f t="shared" si="514"/>
        <v>No usa</v>
      </c>
      <c r="AJ1254">
        <v>0</v>
      </c>
      <c r="AK1254" t="str">
        <f t="shared" si="515"/>
        <v>No usa</v>
      </c>
      <c r="AL1254">
        <v>0</v>
      </c>
      <c r="AM1254" t="str">
        <f t="shared" si="516"/>
        <v>No usa</v>
      </c>
      <c r="AN1254">
        <v>1</v>
      </c>
      <c r="AO1254" t="str">
        <f t="shared" si="517"/>
        <v>Usa Transporte</v>
      </c>
      <c r="AP1254">
        <v>0</v>
      </c>
      <c r="AQ1254" t="str">
        <f t="shared" si="518"/>
        <v>No camina</v>
      </c>
      <c r="AR1254">
        <v>1</v>
      </c>
      <c r="AS1254" t="str">
        <f t="shared" si="519"/>
        <v>Es Obeso</v>
      </c>
    </row>
    <row r="1255" spans="1:45" x14ac:dyDescent="0.25">
      <c r="A1255">
        <v>1</v>
      </c>
      <c r="B1255" t="str">
        <f t="shared" si="494"/>
        <v>M</v>
      </c>
      <c r="C1255">
        <v>23</v>
      </c>
      <c r="D1255">
        <f t="shared" si="495"/>
        <v>23</v>
      </c>
      <c r="E1255">
        <f t="shared" si="496"/>
        <v>23</v>
      </c>
      <c r="F1255" t="str">
        <f t="shared" si="497"/>
        <v>1-25</v>
      </c>
      <c r="G1255">
        <v>1</v>
      </c>
      <c r="H1255" t="str">
        <f t="shared" si="498"/>
        <v>Pariente gordo</v>
      </c>
      <c r="I1255">
        <v>1</v>
      </c>
      <c r="J1255" t="str">
        <f t="shared" si="499"/>
        <v>Hipercaloricos</v>
      </c>
      <c r="K1255">
        <v>2740633</v>
      </c>
      <c r="L1255">
        <f t="shared" si="500"/>
        <v>1</v>
      </c>
      <c r="M1255" t="str">
        <f t="shared" si="501"/>
        <v>Suele comer</v>
      </c>
      <c r="N1255">
        <v>3</v>
      </c>
      <c r="O1255">
        <f t="shared" si="502"/>
        <v>2</v>
      </c>
      <c r="P1255" t="str">
        <f t="shared" si="503"/>
        <v>Mas de 3</v>
      </c>
      <c r="Q1255">
        <v>1</v>
      </c>
      <c r="R1255" t="str">
        <f t="shared" si="504"/>
        <v>A veces</v>
      </c>
      <c r="S1255">
        <v>0</v>
      </c>
      <c r="T1255" t="str">
        <f t="shared" si="505"/>
        <v>No fuma</v>
      </c>
      <c r="U1255">
        <v>2081005</v>
      </c>
      <c r="V1255">
        <f t="shared" si="506"/>
        <v>2</v>
      </c>
      <c r="W1255" t="str">
        <f t="shared" si="507"/>
        <v>Siempre</v>
      </c>
      <c r="X1255">
        <v>0</v>
      </c>
      <c r="Y1255" t="str">
        <f t="shared" si="508"/>
        <v>No controla</v>
      </c>
      <c r="Z1255">
        <v>0.65023500000000001</v>
      </c>
      <c r="AA1255">
        <f t="shared" si="509"/>
        <v>0</v>
      </c>
      <c r="AB1255" t="str">
        <f t="shared" si="510"/>
        <v>Nunca</v>
      </c>
      <c r="AC1255">
        <v>0.76905999999999997</v>
      </c>
      <c r="AD1255">
        <f t="shared" si="511"/>
        <v>0</v>
      </c>
      <c r="AE1255" t="str">
        <f t="shared" si="512"/>
        <v>Nunca</v>
      </c>
      <c r="AF1255">
        <v>1</v>
      </c>
      <c r="AG1255" t="str">
        <f t="shared" si="513"/>
        <v>A veces</v>
      </c>
      <c r="AH1255">
        <v>0</v>
      </c>
      <c r="AI1255" t="str">
        <f t="shared" si="514"/>
        <v>No usa</v>
      </c>
      <c r="AJ1255">
        <v>0</v>
      </c>
      <c r="AK1255" t="str">
        <f t="shared" si="515"/>
        <v>No usa</v>
      </c>
      <c r="AL1255">
        <v>0</v>
      </c>
      <c r="AM1255" t="str">
        <f t="shared" si="516"/>
        <v>No usa</v>
      </c>
      <c r="AN1255">
        <v>1</v>
      </c>
      <c r="AO1255" t="str">
        <f t="shared" si="517"/>
        <v>Usa Transporte</v>
      </c>
      <c r="AP1255">
        <v>0</v>
      </c>
      <c r="AQ1255" t="str">
        <f t="shared" si="518"/>
        <v>No camina</v>
      </c>
      <c r="AR1255">
        <v>1</v>
      </c>
      <c r="AS1255" t="str">
        <f t="shared" si="519"/>
        <v>Es Obeso</v>
      </c>
    </row>
    <row r="1256" spans="1:45" x14ac:dyDescent="0.25">
      <c r="A1256">
        <v>1</v>
      </c>
      <c r="B1256" t="str">
        <f t="shared" si="494"/>
        <v>M</v>
      </c>
      <c r="C1256">
        <v>209859</v>
      </c>
      <c r="D1256">
        <f t="shared" si="495"/>
        <v>0</v>
      </c>
      <c r="E1256">
        <f t="shared" si="496"/>
        <v>5</v>
      </c>
      <c r="F1256" t="str">
        <f t="shared" si="497"/>
        <v>1-25</v>
      </c>
      <c r="G1256">
        <v>1</v>
      </c>
      <c r="H1256" t="str">
        <f t="shared" si="498"/>
        <v>Pariente gordo</v>
      </c>
      <c r="I1256">
        <v>1</v>
      </c>
      <c r="J1256" t="str">
        <f t="shared" si="499"/>
        <v>Hipercaloricos</v>
      </c>
      <c r="K1256">
        <v>2</v>
      </c>
      <c r="L1256">
        <f t="shared" si="500"/>
        <v>1</v>
      </c>
      <c r="M1256" t="str">
        <f t="shared" si="501"/>
        <v>Suele comer</v>
      </c>
      <c r="N1256">
        <v>3</v>
      </c>
      <c r="O1256">
        <f t="shared" si="502"/>
        <v>2</v>
      </c>
      <c r="P1256" t="str">
        <f t="shared" si="503"/>
        <v>Mas de 3</v>
      </c>
      <c r="Q1256">
        <v>1</v>
      </c>
      <c r="R1256" t="str">
        <f t="shared" si="504"/>
        <v>A veces</v>
      </c>
      <c r="S1256">
        <v>0</v>
      </c>
      <c r="T1256" t="str">
        <f t="shared" si="505"/>
        <v>No fuma</v>
      </c>
      <c r="U1256">
        <v>1608128</v>
      </c>
      <c r="V1256">
        <f t="shared" si="506"/>
        <v>2</v>
      </c>
      <c r="W1256" t="str">
        <f t="shared" si="507"/>
        <v>Siempre</v>
      </c>
      <c r="X1256">
        <v>0</v>
      </c>
      <c r="Y1256" t="str">
        <f t="shared" si="508"/>
        <v>No controla</v>
      </c>
      <c r="Z1256">
        <v>0.478134</v>
      </c>
      <c r="AA1256">
        <f t="shared" si="509"/>
        <v>0</v>
      </c>
      <c r="AB1256" t="str">
        <f t="shared" si="510"/>
        <v>Nunca</v>
      </c>
      <c r="AC1256">
        <v>0</v>
      </c>
      <c r="AD1256">
        <f t="shared" si="511"/>
        <v>0</v>
      </c>
      <c r="AE1256" t="str">
        <f t="shared" si="512"/>
        <v>Nunca</v>
      </c>
      <c r="AF1256">
        <v>0</v>
      </c>
      <c r="AG1256" t="str">
        <f t="shared" si="513"/>
        <v>Nunca</v>
      </c>
      <c r="AH1256">
        <v>0</v>
      </c>
      <c r="AI1256" t="str">
        <f t="shared" si="514"/>
        <v>No usa</v>
      </c>
      <c r="AJ1256">
        <v>0</v>
      </c>
      <c r="AK1256" t="str">
        <f t="shared" si="515"/>
        <v>No usa</v>
      </c>
      <c r="AL1256">
        <v>0</v>
      </c>
      <c r="AM1256" t="str">
        <f t="shared" si="516"/>
        <v>No usa</v>
      </c>
      <c r="AN1256">
        <v>1</v>
      </c>
      <c r="AO1256" t="str">
        <f t="shared" si="517"/>
        <v>Usa Transporte</v>
      </c>
      <c r="AP1256">
        <v>0</v>
      </c>
      <c r="AQ1256" t="str">
        <f t="shared" si="518"/>
        <v>No camina</v>
      </c>
      <c r="AR1256">
        <v>1</v>
      </c>
      <c r="AS1256" t="str">
        <f t="shared" si="519"/>
        <v>Es Obeso</v>
      </c>
    </row>
    <row r="1257" spans="1:45" x14ac:dyDescent="0.25">
      <c r="A1257">
        <v>1</v>
      </c>
      <c r="B1257" t="str">
        <f t="shared" si="494"/>
        <v>M</v>
      </c>
      <c r="C1257">
        <v>21504943</v>
      </c>
      <c r="D1257">
        <f t="shared" si="495"/>
        <v>58</v>
      </c>
      <c r="E1257">
        <f t="shared" si="496"/>
        <v>58</v>
      </c>
      <c r="F1257" t="str">
        <f t="shared" si="497"/>
        <v>50-75</v>
      </c>
      <c r="G1257">
        <v>1</v>
      </c>
      <c r="H1257" t="str">
        <f t="shared" si="498"/>
        <v>Pariente gordo</v>
      </c>
      <c r="I1257">
        <v>1</v>
      </c>
      <c r="J1257" t="str">
        <f t="shared" si="499"/>
        <v>Hipercaloricos</v>
      </c>
      <c r="K1257">
        <v>2</v>
      </c>
      <c r="L1257">
        <f t="shared" si="500"/>
        <v>1</v>
      </c>
      <c r="M1257" t="str">
        <f t="shared" si="501"/>
        <v>Suele comer</v>
      </c>
      <c r="N1257">
        <v>3</v>
      </c>
      <c r="O1257">
        <f t="shared" si="502"/>
        <v>2</v>
      </c>
      <c r="P1257" t="str">
        <f t="shared" si="503"/>
        <v>Mas de 3</v>
      </c>
      <c r="Q1257">
        <v>1</v>
      </c>
      <c r="R1257" t="str">
        <f t="shared" si="504"/>
        <v>A veces</v>
      </c>
      <c r="S1257">
        <v>0</v>
      </c>
      <c r="T1257" t="str">
        <f t="shared" si="505"/>
        <v>No fuma</v>
      </c>
      <c r="U1257">
        <v>2715252</v>
      </c>
      <c r="V1257">
        <f t="shared" si="506"/>
        <v>2</v>
      </c>
      <c r="W1257" t="str">
        <f t="shared" si="507"/>
        <v>Siempre</v>
      </c>
      <c r="X1257">
        <v>0</v>
      </c>
      <c r="Y1257" t="str">
        <f t="shared" si="508"/>
        <v>No controla</v>
      </c>
      <c r="Z1257">
        <v>0</v>
      </c>
      <c r="AA1257">
        <f t="shared" si="509"/>
        <v>0</v>
      </c>
      <c r="AB1257" t="str">
        <f t="shared" si="510"/>
        <v>Nunca</v>
      </c>
      <c r="AC1257">
        <v>0.62160499999999996</v>
      </c>
      <c r="AD1257">
        <f t="shared" si="511"/>
        <v>0</v>
      </c>
      <c r="AE1257" t="str">
        <f t="shared" si="512"/>
        <v>Nunca</v>
      </c>
      <c r="AF1257">
        <v>0</v>
      </c>
      <c r="AG1257" t="str">
        <f t="shared" si="513"/>
        <v>Nunca</v>
      </c>
      <c r="AH1257">
        <v>0</v>
      </c>
      <c r="AI1257" t="str">
        <f t="shared" si="514"/>
        <v>No usa</v>
      </c>
      <c r="AJ1257">
        <v>0</v>
      </c>
      <c r="AK1257" t="str">
        <f t="shared" si="515"/>
        <v>No usa</v>
      </c>
      <c r="AL1257">
        <v>0</v>
      </c>
      <c r="AM1257" t="str">
        <f t="shared" si="516"/>
        <v>No usa</v>
      </c>
      <c r="AN1257">
        <v>1</v>
      </c>
      <c r="AO1257" t="str">
        <f t="shared" si="517"/>
        <v>Usa Transporte</v>
      </c>
      <c r="AP1257">
        <v>0</v>
      </c>
      <c r="AQ1257" t="str">
        <f t="shared" si="518"/>
        <v>No camina</v>
      </c>
      <c r="AR1257">
        <v>1</v>
      </c>
      <c r="AS1257" t="str">
        <f t="shared" si="519"/>
        <v>Es Obeso</v>
      </c>
    </row>
    <row r="1258" spans="1:45" x14ac:dyDescent="0.25">
      <c r="A1258">
        <v>1</v>
      </c>
      <c r="B1258" t="str">
        <f t="shared" si="494"/>
        <v>M</v>
      </c>
      <c r="C1258">
        <v>18</v>
      </c>
      <c r="D1258">
        <f t="shared" si="495"/>
        <v>18</v>
      </c>
      <c r="E1258">
        <f t="shared" si="496"/>
        <v>18</v>
      </c>
      <c r="F1258" t="str">
        <f t="shared" si="497"/>
        <v>1-25</v>
      </c>
      <c r="G1258">
        <v>1</v>
      </c>
      <c r="H1258" t="str">
        <f t="shared" si="498"/>
        <v>Pariente gordo</v>
      </c>
      <c r="I1258">
        <v>1</v>
      </c>
      <c r="J1258" t="str">
        <f t="shared" si="499"/>
        <v>Hipercaloricos</v>
      </c>
      <c r="K1258">
        <v>2</v>
      </c>
      <c r="L1258">
        <f t="shared" si="500"/>
        <v>1</v>
      </c>
      <c r="M1258" t="str">
        <f t="shared" si="501"/>
        <v>Suele comer</v>
      </c>
      <c r="N1258">
        <v>108687</v>
      </c>
      <c r="O1258">
        <f t="shared" si="502"/>
        <v>2</v>
      </c>
      <c r="P1258" t="str">
        <f t="shared" si="503"/>
        <v>Mas de 3</v>
      </c>
      <c r="Q1258">
        <v>1</v>
      </c>
      <c r="R1258" t="str">
        <f t="shared" si="504"/>
        <v>A veces</v>
      </c>
      <c r="S1258">
        <v>0</v>
      </c>
      <c r="T1258" t="str">
        <f t="shared" si="505"/>
        <v>No fuma</v>
      </c>
      <c r="U1258">
        <v>2279124</v>
      </c>
      <c r="V1258">
        <f t="shared" si="506"/>
        <v>2</v>
      </c>
      <c r="W1258" t="str">
        <f t="shared" si="507"/>
        <v>Siempre</v>
      </c>
      <c r="X1258">
        <v>0</v>
      </c>
      <c r="Y1258" t="str">
        <f t="shared" si="508"/>
        <v>No controla</v>
      </c>
      <c r="Z1258">
        <v>1</v>
      </c>
      <c r="AA1258">
        <f t="shared" si="509"/>
        <v>1</v>
      </c>
      <c r="AB1258" t="str">
        <f t="shared" si="510"/>
        <v>A veces</v>
      </c>
      <c r="AC1258">
        <v>1609773</v>
      </c>
      <c r="AD1258">
        <f t="shared" si="511"/>
        <v>2</v>
      </c>
      <c r="AE1258" t="str">
        <f t="shared" si="512"/>
        <v>Siempre</v>
      </c>
      <c r="AF1258">
        <v>0</v>
      </c>
      <c r="AG1258" t="str">
        <f t="shared" si="513"/>
        <v>Nunca</v>
      </c>
      <c r="AH1258">
        <v>0</v>
      </c>
      <c r="AI1258" t="str">
        <f t="shared" si="514"/>
        <v>No usa</v>
      </c>
      <c r="AJ1258">
        <v>0</v>
      </c>
      <c r="AK1258" t="str">
        <f t="shared" si="515"/>
        <v>No usa</v>
      </c>
      <c r="AL1258">
        <v>0</v>
      </c>
      <c r="AM1258" t="str">
        <f t="shared" si="516"/>
        <v>No usa</v>
      </c>
      <c r="AN1258">
        <v>1</v>
      </c>
      <c r="AO1258" t="str">
        <f t="shared" si="517"/>
        <v>Usa Transporte</v>
      </c>
      <c r="AP1258">
        <v>0</v>
      </c>
      <c r="AQ1258" t="str">
        <f t="shared" si="518"/>
        <v>No camina</v>
      </c>
      <c r="AR1258">
        <v>1</v>
      </c>
      <c r="AS1258" t="str">
        <f t="shared" si="519"/>
        <v>Es Obeso</v>
      </c>
    </row>
    <row r="1259" spans="1:45" x14ac:dyDescent="0.25">
      <c r="A1259">
        <v>1</v>
      </c>
      <c r="B1259" t="str">
        <f t="shared" si="494"/>
        <v>M</v>
      </c>
      <c r="C1259">
        <v>18</v>
      </c>
      <c r="D1259">
        <f t="shared" si="495"/>
        <v>18</v>
      </c>
      <c r="E1259">
        <f t="shared" si="496"/>
        <v>18</v>
      </c>
      <c r="F1259" t="str">
        <f t="shared" si="497"/>
        <v>1-25</v>
      </c>
      <c r="G1259">
        <v>1</v>
      </c>
      <c r="H1259" t="str">
        <f t="shared" si="498"/>
        <v>Pariente gordo</v>
      </c>
      <c r="I1259">
        <v>1</v>
      </c>
      <c r="J1259" t="str">
        <f t="shared" si="499"/>
        <v>Hipercaloricos</v>
      </c>
      <c r="K1259">
        <v>2</v>
      </c>
      <c r="L1259">
        <f t="shared" si="500"/>
        <v>1</v>
      </c>
      <c r="M1259" t="str">
        <f t="shared" si="501"/>
        <v>Suele comer</v>
      </c>
      <c r="N1259">
        <v>125535</v>
      </c>
      <c r="O1259">
        <f t="shared" si="502"/>
        <v>2</v>
      </c>
      <c r="P1259" t="str">
        <f t="shared" si="503"/>
        <v>Mas de 3</v>
      </c>
      <c r="Q1259">
        <v>1</v>
      </c>
      <c r="R1259" t="str">
        <f t="shared" si="504"/>
        <v>A veces</v>
      </c>
      <c r="S1259">
        <v>0</v>
      </c>
      <c r="T1259" t="str">
        <f t="shared" si="505"/>
        <v>No fuma</v>
      </c>
      <c r="U1259">
        <v>2497065</v>
      </c>
      <c r="V1259">
        <f t="shared" si="506"/>
        <v>2</v>
      </c>
      <c r="W1259" t="str">
        <f t="shared" si="507"/>
        <v>Siempre</v>
      </c>
      <c r="X1259">
        <v>0</v>
      </c>
      <c r="Y1259" t="str">
        <f t="shared" si="508"/>
        <v>No controla</v>
      </c>
      <c r="Z1259">
        <v>1</v>
      </c>
      <c r="AA1259">
        <f t="shared" si="509"/>
        <v>1</v>
      </c>
      <c r="AB1259" t="str">
        <f t="shared" si="510"/>
        <v>A veces</v>
      </c>
      <c r="AC1259">
        <v>1441605</v>
      </c>
      <c r="AD1259">
        <f t="shared" si="511"/>
        <v>2</v>
      </c>
      <c r="AE1259" t="str">
        <f t="shared" si="512"/>
        <v>Siempre</v>
      </c>
      <c r="AF1259">
        <v>0</v>
      </c>
      <c r="AG1259" t="str">
        <f t="shared" si="513"/>
        <v>Nunca</v>
      </c>
      <c r="AH1259">
        <v>0</v>
      </c>
      <c r="AI1259" t="str">
        <f t="shared" si="514"/>
        <v>No usa</v>
      </c>
      <c r="AJ1259">
        <v>0</v>
      </c>
      <c r="AK1259" t="str">
        <f t="shared" si="515"/>
        <v>No usa</v>
      </c>
      <c r="AL1259">
        <v>0</v>
      </c>
      <c r="AM1259" t="str">
        <f t="shared" si="516"/>
        <v>No usa</v>
      </c>
      <c r="AN1259">
        <v>1</v>
      </c>
      <c r="AO1259" t="str">
        <f t="shared" si="517"/>
        <v>Usa Transporte</v>
      </c>
      <c r="AP1259">
        <v>0</v>
      </c>
      <c r="AQ1259" t="str">
        <f t="shared" si="518"/>
        <v>No camina</v>
      </c>
      <c r="AR1259">
        <v>1</v>
      </c>
      <c r="AS1259" t="str">
        <f t="shared" si="519"/>
        <v>Es Obeso</v>
      </c>
    </row>
    <row r="1260" spans="1:45" x14ac:dyDescent="0.25">
      <c r="A1260">
        <v>0</v>
      </c>
      <c r="B1260" t="str">
        <f t="shared" si="494"/>
        <v>F</v>
      </c>
      <c r="C1260">
        <v>19442663</v>
      </c>
      <c r="D1260">
        <f t="shared" si="495"/>
        <v>53</v>
      </c>
      <c r="E1260">
        <f t="shared" si="496"/>
        <v>53</v>
      </c>
      <c r="F1260" t="str">
        <f t="shared" si="497"/>
        <v>50-75</v>
      </c>
      <c r="G1260">
        <v>1</v>
      </c>
      <c r="H1260" t="str">
        <f t="shared" si="498"/>
        <v>Pariente gordo</v>
      </c>
      <c r="I1260">
        <v>1</v>
      </c>
      <c r="J1260" t="str">
        <f t="shared" si="499"/>
        <v>Hipercaloricos</v>
      </c>
      <c r="K1260">
        <v>1081585</v>
      </c>
      <c r="L1260">
        <f t="shared" si="500"/>
        <v>1</v>
      </c>
      <c r="M1260" t="str">
        <f t="shared" si="501"/>
        <v>Suele comer</v>
      </c>
      <c r="N1260">
        <v>2870661</v>
      </c>
      <c r="O1260">
        <f t="shared" si="502"/>
        <v>2</v>
      </c>
      <c r="P1260" t="str">
        <f t="shared" si="503"/>
        <v>Mas de 3</v>
      </c>
      <c r="Q1260">
        <v>1</v>
      </c>
      <c r="R1260" t="str">
        <f t="shared" si="504"/>
        <v>A veces</v>
      </c>
      <c r="S1260">
        <v>0</v>
      </c>
      <c r="T1260" t="str">
        <f t="shared" si="505"/>
        <v>No fuma</v>
      </c>
      <c r="U1260">
        <v>111756</v>
      </c>
      <c r="V1260">
        <f t="shared" si="506"/>
        <v>2</v>
      </c>
      <c r="W1260" t="str">
        <f t="shared" si="507"/>
        <v>Siempre</v>
      </c>
      <c r="X1260">
        <v>0</v>
      </c>
      <c r="Y1260" t="str">
        <f t="shared" si="508"/>
        <v>No controla</v>
      </c>
      <c r="Z1260">
        <v>0</v>
      </c>
      <c r="AA1260">
        <f t="shared" si="509"/>
        <v>0</v>
      </c>
      <c r="AB1260" t="str">
        <f t="shared" si="510"/>
        <v>Nunca</v>
      </c>
      <c r="AC1260">
        <v>1616826</v>
      </c>
      <c r="AD1260">
        <f t="shared" si="511"/>
        <v>2</v>
      </c>
      <c r="AE1260" t="str">
        <f t="shared" si="512"/>
        <v>Siempre</v>
      </c>
      <c r="AF1260">
        <v>1</v>
      </c>
      <c r="AG1260" t="str">
        <f t="shared" si="513"/>
        <v>A veces</v>
      </c>
      <c r="AH1260">
        <v>0</v>
      </c>
      <c r="AI1260" t="str">
        <f t="shared" si="514"/>
        <v>No usa</v>
      </c>
      <c r="AJ1260">
        <v>0</v>
      </c>
      <c r="AK1260" t="str">
        <f t="shared" si="515"/>
        <v>No usa</v>
      </c>
      <c r="AL1260">
        <v>0</v>
      </c>
      <c r="AM1260" t="str">
        <f t="shared" si="516"/>
        <v>No usa</v>
      </c>
      <c r="AN1260">
        <v>1</v>
      </c>
      <c r="AO1260" t="str">
        <f t="shared" si="517"/>
        <v>Usa Transporte</v>
      </c>
      <c r="AP1260">
        <v>0</v>
      </c>
      <c r="AQ1260" t="str">
        <f t="shared" si="518"/>
        <v>No camina</v>
      </c>
      <c r="AR1260">
        <v>1</v>
      </c>
      <c r="AS1260" t="str">
        <f t="shared" si="519"/>
        <v>Es Obeso</v>
      </c>
    </row>
    <row r="1261" spans="1:45" x14ac:dyDescent="0.25">
      <c r="A1261">
        <v>0</v>
      </c>
      <c r="B1261" t="str">
        <f t="shared" si="494"/>
        <v>F</v>
      </c>
      <c r="C1261">
        <v>22865018</v>
      </c>
      <c r="D1261">
        <f t="shared" si="495"/>
        <v>62</v>
      </c>
      <c r="E1261">
        <f t="shared" si="496"/>
        <v>62</v>
      </c>
      <c r="F1261" t="str">
        <f t="shared" si="497"/>
        <v>50-75</v>
      </c>
      <c r="G1261">
        <v>1</v>
      </c>
      <c r="H1261" t="str">
        <f t="shared" si="498"/>
        <v>Pariente gordo</v>
      </c>
      <c r="I1261">
        <v>1</v>
      </c>
      <c r="J1261" t="str">
        <f t="shared" si="499"/>
        <v>Hipercaloricos</v>
      </c>
      <c r="K1261">
        <v>2587789</v>
      </c>
      <c r="L1261">
        <f t="shared" si="500"/>
        <v>1</v>
      </c>
      <c r="M1261" t="str">
        <f t="shared" si="501"/>
        <v>Suele comer</v>
      </c>
      <c r="N1261">
        <v>1482103</v>
      </c>
      <c r="O1261">
        <f t="shared" si="502"/>
        <v>2</v>
      </c>
      <c r="P1261" t="str">
        <f t="shared" si="503"/>
        <v>Mas de 3</v>
      </c>
      <c r="Q1261">
        <v>1</v>
      </c>
      <c r="R1261" t="str">
        <f t="shared" si="504"/>
        <v>A veces</v>
      </c>
      <c r="S1261">
        <v>0</v>
      </c>
      <c r="T1261" t="str">
        <f t="shared" si="505"/>
        <v>No fuma</v>
      </c>
      <c r="U1261">
        <v>1911664</v>
      </c>
      <c r="V1261">
        <f t="shared" si="506"/>
        <v>2</v>
      </c>
      <c r="W1261" t="str">
        <f t="shared" si="507"/>
        <v>Siempre</v>
      </c>
      <c r="X1261">
        <v>0</v>
      </c>
      <c r="Y1261" t="str">
        <f t="shared" si="508"/>
        <v>No controla</v>
      </c>
      <c r="Z1261">
        <v>0</v>
      </c>
      <c r="AA1261">
        <f t="shared" si="509"/>
        <v>0</v>
      </c>
      <c r="AB1261" t="str">
        <f t="shared" si="510"/>
        <v>Nunca</v>
      </c>
      <c r="AC1261">
        <v>0.12868099999999999</v>
      </c>
      <c r="AD1261">
        <f t="shared" si="511"/>
        <v>0</v>
      </c>
      <c r="AE1261" t="str">
        <f t="shared" si="512"/>
        <v>Nunca</v>
      </c>
      <c r="AF1261">
        <v>1</v>
      </c>
      <c r="AG1261" t="str">
        <f t="shared" si="513"/>
        <v>A veces</v>
      </c>
      <c r="AH1261">
        <v>0</v>
      </c>
      <c r="AI1261" t="str">
        <f t="shared" si="514"/>
        <v>No usa</v>
      </c>
      <c r="AJ1261">
        <v>0</v>
      </c>
      <c r="AK1261" t="str">
        <f t="shared" si="515"/>
        <v>No usa</v>
      </c>
      <c r="AL1261">
        <v>0</v>
      </c>
      <c r="AM1261" t="str">
        <f t="shared" si="516"/>
        <v>No usa</v>
      </c>
      <c r="AN1261">
        <v>1</v>
      </c>
      <c r="AO1261" t="str">
        <f t="shared" si="517"/>
        <v>Usa Transporte</v>
      </c>
      <c r="AP1261">
        <v>0</v>
      </c>
      <c r="AQ1261" t="str">
        <f t="shared" si="518"/>
        <v>No camina</v>
      </c>
      <c r="AR1261">
        <v>1</v>
      </c>
      <c r="AS1261" t="str">
        <f t="shared" si="519"/>
        <v>Es Obeso</v>
      </c>
    </row>
    <row r="1262" spans="1:45" x14ac:dyDescent="0.25">
      <c r="A1262">
        <v>1</v>
      </c>
      <c r="B1262" t="str">
        <f t="shared" si="494"/>
        <v>M</v>
      </c>
      <c r="C1262">
        <v>21948577</v>
      </c>
      <c r="D1262">
        <f t="shared" si="495"/>
        <v>60</v>
      </c>
      <c r="E1262">
        <f t="shared" si="496"/>
        <v>60</v>
      </c>
      <c r="F1262" t="str">
        <f t="shared" si="497"/>
        <v>50-75</v>
      </c>
      <c r="G1262">
        <v>1</v>
      </c>
      <c r="H1262" t="str">
        <f t="shared" si="498"/>
        <v>Pariente gordo</v>
      </c>
      <c r="I1262">
        <v>1</v>
      </c>
      <c r="J1262" t="str">
        <f t="shared" si="499"/>
        <v>Hipercaloricos</v>
      </c>
      <c r="K1262">
        <v>2252653</v>
      </c>
      <c r="L1262">
        <f t="shared" si="500"/>
        <v>1</v>
      </c>
      <c r="M1262" t="str">
        <f t="shared" si="501"/>
        <v>Suele comer</v>
      </c>
      <c r="N1262">
        <v>3</v>
      </c>
      <c r="O1262">
        <f t="shared" si="502"/>
        <v>2</v>
      </c>
      <c r="P1262" t="str">
        <f t="shared" si="503"/>
        <v>Mas de 3</v>
      </c>
      <c r="Q1262">
        <v>1</v>
      </c>
      <c r="R1262" t="str">
        <f t="shared" si="504"/>
        <v>A veces</v>
      </c>
      <c r="S1262">
        <v>0</v>
      </c>
      <c r="T1262" t="str">
        <f t="shared" si="505"/>
        <v>No fuma</v>
      </c>
      <c r="U1262">
        <v>2962371</v>
      </c>
      <c r="V1262">
        <f t="shared" si="506"/>
        <v>2</v>
      </c>
      <c r="W1262" t="str">
        <f t="shared" si="507"/>
        <v>Siempre</v>
      </c>
      <c r="X1262">
        <v>0</v>
      </c>
      <c r="Y1262" t="str">
        <f t="shared" si="508"/>
        <v>No controla</v>
      </c>
      <c r="Z1262">
        <v>1</v>
      </c>
      <c r="AA1262">
        <f t="shared" si="509"/>
        <v>1</v>
      </c>
      <c r="AB1262" t="str">
        <f t="shared" si="510"/>
        <v>A veces</v>
      </c>
      <c r="AC1262">
        <v>0</v>
      </c>
      <c r="AD1262">
        <f t="shared" si="511"/>
        <v>0</v>
      </c>
      <c r="AE1262" t="str">
        <f t="shared" si="512"/>
        <v>Nunca</v>
      </c>
      <c r="AF1262">
        <v>1</v>
      </c>
      <c r="AG1262" t="str">
        <f t="shared" si="513"/>
        <v>A veces</v>
      </c>
      <c r="AH1262">
        <v>0</v>
      </c>
      <c r="AI1262" t="str">
        <f t="shared" si="514"/>
        <v>No usa</v>
      </c>
      <c r="AJ1262">
        <v>0</v>
      </c>
      <c r="AK1262" t="str">
        <f t="shared" si="515"/>
        <v>No usa</v>
      </c>
      <c r="AL1262">
        <v>0</v>
      </c>
      <c r="AM1262" t="str">
        <f t="shared" si="516"/>
        <v>No usa</v>
      </c>
      <c r="AN1262">
        <v>1</v>
      </c>
      <c r="AO1262" t="str">
        <f t="shared" si="517"/>
        <v>Usa Transporte</v>
      </c>
      <c r="AP1262">
        <v>0</v>
      </c>
      <c r="AQ1262" t="str">
        <f t="shared" si="518"/>
        <v>No camina</v>
      </c>
      <c r="AR1262">
        <v>1</v>
      </c>
      <c r="AS1262" t="str">
        <f t="shared" si="519"/>
        <v>Es Obeso</v>
      </c>
    </row>
    <row r="1263" spans="1:45" x14ac:dyDescent="0.25">
      <c r="A1263">
        <v>1</v>
      </c>
      <c r="B1263" t="str">
        <f t="shared" si="494"/>
        <v>M</v>
      </c>
      <c r="C1263">
        <v>21214617</v>
      </c>
      <c r="D1263">
        <f t="shared" si="495"/>
        <v>58</v>
      </c>
      <c r="E1263">
        <f t="shared" si="496"/>
        <v>58</v>
      </c>
      <c r="F1263" t="str">
        <f t="shared" si="497"/>
        <v>50-75</v>
      </c>
      <c r="G1263">
        <v>1</v>
      </c>
      <c r="H1263" t="str">
        <f t="shared" si="498"/>
        <v>Pariente gordo</v>
      </c>
      <c r="I1263">
        <v>1</v>
      </c>
      <c r="J1263" t="str">
        <f t="shared" si="499"/>
        <v>Hipercaloricos</v>
      </c>
      <c r="K1263">
        <v>2</v>
      </c>
      <c r="L1263">
        <f t="shared" si="500"/>
        <v>1</v>
      </c>
      <c r="M1263" t="str">
        <f t="shared" si="501"/>
        <v>Suele comer</v>
      </c>
      <c r="N1263">
        <v>3</v>
      </c>
      <c r="O1263">
        <f t="shared" si="502"/>
        <v>2</v>
      </c>
      <c r="P1263" t="str">
        <f t="shared" si="503"/>
        <v>Mas de 3</v>
      </c>
      <c r="Q1263">
        <v>1</v>
      </c>
      <c r="R1263" t="str">
        <f t="shared" si="504"/>
        <v>A veces</v>
      </c>
      <c r="S1263">
        <v>0</v>
      </c>
      <c r="T1263" t="str">
        <f t="shared" si="505"/>
        <v>No fuma</v>
      </c>
      <c r="U1263">
        <v>3</v>
      </c>
      <c r="V1263">
        <f t="shared" si="506"/>
        <v>2</v>
      </c>
      <c r="W1263" t="str">
        <f t="shared" si="507"/>
        <v>Siempre</v>
      </c>
      <c r="X1263">
        <v>0</v>
      </c>
      <c r="Y1263" t="str">
        <f t="shared" si="508"/>
        <v>No controla</v>
      </c>
      <c r="Z1263">
        <v>0.732186</v>
      </c>
      <c r="AA1263">
        <f t="shared" si="509"/>
        <v>0</v>
      </c>
      <c r="AB1263" t="str">
        <f t="shared" si="510"/>
        <v>Nunca</v>
      </c>
      <c r="AC1263">
        <v>1</v>
      </c>
      <c r="AD1263">
        <f t="shared" si="511"/>
        <v>1</v>
      </c>
      <c r="AE1263" t="str">
        <f t="shared" si="512"/>
        <v>Usualmente</v>
      </c>
      <c r="AF1263">
        <v>1</v>
      </c>
      <c r="AG1263" t="str">
        <f t="shared" si="513"/>
        <v>A veces</v>
      </c>
      <c r="AH1263">
        <v>0</v>
      </c>
      <c r="AI1263" t="str">
        <f t="shared" si="514"/>
        <v>No usa</v>
      </c>
      <c r="AJ1263">
        <v>0</v>
      </c>
      <c r="AK1263" t="str">
        <f t="shared" si="515"/>
        <v>No usa</v>
      </c>
      <c r="AL1263">
        <v>0</v>
      </c>
      <c r="AM1263" t="str">
        <f t="shared" si="516"/>
        <v>No usa</v>
      </c>
      <c r="AN1263">
        <v>1</v>
      </c>
      <c r="AO1263" t="str">
        <f t="shared" si="517"/>
        <v>Usa Transporte</v>
      </c>
      <c r="AP1263">
        <v>0</v>
      </c>
      <c r="AQ1263" t="str">
        <f t="shared" si="518"/>
        <v>No camina</v>
      </c>
      <c r="AR1263">
        <v>1</v>
      </c>
      <c r="AS1263" t="str">
        <f t="shared" si="519"/>
        <v>Es Obeso</v>
      </c>
    </row>
    <row r="1264" spans="1:45" x14ac:dyDescent="0.25">
      <c r="A1264">
        <v>1</v>
      </c>
      <c r="B1264" t="str">
        <f t="shared" si="494"/>
        <v>M</v>
      </c>
      <c r="C1264">
        <v>22277859</v>
      </c>
      <c r="D1264">
        <f t="shared" si="495"/>
        <v>61</v>
      </c>
      <c r="E1264">
        <f t="shared" si="496"/>
        <v>61</v>
      </c>
      <c r="F1264" t="str">
        <f t="shared" si="497"/>
        <v>50-75</v>
      </c>
      <c r="G1264">
        <v>1</v>
      </c>
      <c r="H1264" t="str">
        <f t="shared" si="498"/>
        <v>Pariente gordo</v>
      </c>
      <c r="I1264">
        <v>1</v>
      </c>
      <c r="J1264" t="str">
        <f t="shared" si="499"/>
        <v>Hipercaloricos</v>
      </c>
      <c r="K1264">
        <v>2</v>
      </c>
      <c r="L1264">
        <f t="shared" si="500"/>
        <v>1</v>
      </c>
      <c r="M1264" t="str">
        <f t="shared" si="501"/>
        <v>Suele comer</v>
      </c>
      <c r="N1264">
        <v>3</v>
      </c>
      <c r="O1264">
        <f t="shared" si="502"/>
        <v>2</v>
      </c>
      <c r="P1264" t="str">
        <f t="shared" si="503"/>
        <v>Mas de 3</v>
      </c>
      <c r="Q1264">
        <v>1</v>
      </c>
      <c r="R1264" t="str">
        <f t="shared" si="504"/>
        <v>A veces</v>
      </c>
      <c r="S1264">
        <v>0</v>
      </c>
      <c r="T1264" t="str">
        <f t="shared" si="505"/>
        <v>No fuma</v>
      </c>
      <c r="U1264">
        <v>3</v>
      </c>
      <c r="V1264">
        <f t="shared" si="506"/>
        <v>2</v>
      </c>
      <c r="W1264" t="str">
        <f t="shared" si="507"/>
        <v>Siempre</v>
      </c>
      <c r="X1264">
        <v>0</v>
      </c>
      <c r="Y1264" t="str">
        <f t="shared" si="508"/>
        <v>No controla</v>
      </c>
      <c r="Z1264">
        <v>0.97518700000000003</v>
      </c>
      <c r="AA1264">
        <f t="shared" si="509"/>
        <v>0</v>
      </c>
      <c r="AB1264" t="str">
        <f t="shared" si="510"/>
        <v>Nunca</v>
      </c>
      <c r="AC1264">
        <v>1</v>
      </c>
      <c r="AD1264">
        <f t="shared" si="511"/>
        <v>1</v>
      </c>
      <c r="AE1264" t="str">
        <f t="shared" si="512"/>
        <v>Usualmente</v>
      </c>
      <c r="AF1264">
        <v>1</v>
      </c>
      <c r="AG1264" t="str">
        <f t="shared" si="513"/>
        <v>A veces</v>
      </c>
      <c r="AH1264">
        <v>0</v>
      </c>
      <c r="AI1264" t="str">
        <f t="shared" si="514"/>
        <v>No usa</v>
      </c>
      <c r="AJ1264">
        <v>0</v>
      </c>
      <c r="AK1264" t="str">
        <f t="shared" si="515"/>
        <v>No usa</v>
      </c>
      <c r="AL1264">
        <v>0</v>
      </c>
      <c r="AM1264" t="str">
        <f t="shared" si="516"/>
        <v>No usa</v>
      </c>
      <c r="AN1264">
        <v>1</v>
      </c>
      <c r="AO1264" t="str">
        <f t="shared" si="517"/>
        <v>Usa Transporte</v>
      </c>
      <c r="AP1264">
        <v>0</v>
      </c>
      <c r="AQ1264" t="str">
        <f t="shared" si="518"/>
        <v>No camina</v>
      </c>
      <c r="AR1264">
        <v>1</v>
      </c>
      <c r="AS1264" t="str">
        <f t="shared" si="519"/>
        <v>Es Obeso</v>
      </c>
    </row>
    <row r="1265" spans="1:45" x14ac:dyDescent="0.25">
      <c r="A1265">
        <v>0</v>
      </c>
      <c r="B1265" t="str">
        <f t="shared" si="494"/>
        <v>F</v>
      </c>
      <c r="C1265">
        <v>37832949</v>
      </c>
      <c r="D1265">
        <f t="shared" si="495"/>
        <v>103</v>
      </c>
      <c r="E1265">
        <f t="shared" si="496"/>
        <v>100</v>
      </c>
      <c r="F1265" t="str">
        <f t="shared" si="497"/>
        <v>75-100</v>
      </c>
      <c r="G1265">
        <v>1</v>
      </c>
      <c r="H1265" t="str">
        <f t="shared" si="498"/>
        <v>Pariente gordo</v>
      </c>
      <c r="I1265">
        <v>1</v>
      </c>
      <c r="J1265" t="str">
        <f t="shared" si="499"/>
        <v>Hipercaloricos</v>
      </c>
      <c r="K1265">
        <v>2036613</v>
      </c>
      <c r="L1265">
        <f t="shared" si="500"/>
        <v>1</v>
      </c>
      <c r="M1265" t="str">
        <f t="shared" si="501"/>
        <v>Suele comer</v>
      </c>
      <c r="N1265">
        <v>181698</v>
      </c>
      <c r="O1265">
        <f t="shared" si="502"/>
        <v>2</v>
      </c>
      <c r="P1265" t="str">
        <f t="shared" si="503"/>
        <v>Mas de 3</v>
      </c>
      <c r="Q1265">
        <v>1</v>
      </c>
      <c r="R1265" t="str">
        <f t="shared" si="504"/>
        <v>A veces</v>
      </c>
      <c r="S1265">
        <v>0</v>
      </c>
      <c r="T1265" t="str">
        <f t="shared" si="505"/>
        <v>No fuma</v>
      </c>
      <c r="U1265">
        <v>193059</v>
      </c>
      <c r="V1265">
        <f t="shared" si="506"/>
        <v>2</v>
      </c>
      <c r="W1265" t="str">
        <f t="shared" si="507"/>
        <v>Siempre</v>
      </c>
      <c r="X1265">
        <v>0</v>
      </c>
      <c r="Y1265" t="str">
        <f t="shared" si="508"/>
        <v>No controla</v>
      </c>
      <c r="Z1265">
        <v>1851404</v>
      </c>
      <c r="AA1265">
        <f t="shared" si="509"/>
        <v>3</v>
      </c>
      <c r="AB1265" t="str">
        <f t="shared" si="510"/>
        <v>Siempre</v>
      </c>
      <c r="AC1265">
        <v>0</v>
      </c>
      <c r="AD1265">
        <f t="shared" si="511"/>
        <v>0</v>
      </c>
      <c r="AE1265" t="str">
        <f t="shared" si="512"/>
        <v>Nunca</v>
      </c>
      <c r="AF1265">
        <v>1</v>
      </c>
      <c r="AG1265" t="str">
        <f t="shared" si="513"/>
        <v>A veces</v>
      </c>
      <c r="AH1265">
        <v>1</v>
      </c>
      <c r="AI1265" t="str">
        <f t="shared" si="514"/>
        <v>Usa auto</v>
      </c>
      <c r="AJ1265">
        <v>0</v>
      </c>
      <c r="AK1265" t="str">
        <f t="shared" si="515"/>
        <v>No usa</v>
      </c>
      <c r="AL1265">
        <v>0</v>
      </c>
      <c r="AM1265" t="str">
        <f t="shared" si="516"/>
        <v>No usa</v>
      </c>
      <c r="AN1265">
        <v>0</v>
      </c>
      <c r="AO1265" t="str">
        <f t="shared" si="517"/>
        <v>No usa</v>
      </c>
      <c r="AP1265">
        <v>0</v>
      </c>
      <c r="AQ1265" t="str">
        <f t="shared" si="518"/>
        <v>No camina</v>
      </c>
      <c r="AR1265">
        <v>1</v>
      </c>
      <c r="AS1265" t="str">
        <f t="shared" si="519"/>
        <v>Es Obeso</v>
      </c>
    </row>
    <row r="1266" spans="1:45" x14ac:dyDescent="0.25">
      <c r="A1266">
        <v>0</v>
      </c>
      <c r="B1266" t="str">
        <f t="shared" si="494"/>
        <v>F</v>
      </c>
      <c r="C1266">
        <v>37631769</v>
      </c>
      <c r="D1266">
        <f t="shared" si="495"/>
        <v>103</v>
      </c>
      <c r="E1266">
        <f t="shared" si="496"/>
        <v>100</v>
      </c>
      <c r="F1266" t="str">
        <f t="shared" si="497"/>
        <v>75-100</v>
      </c>
      <c r="G1266">
        <v>1</v>
      </c>
      <c r="H1266" t="str">
        <f t="shared" si="498"/>
        <v>Pariente gordo</v>
      </c>
      <c r="I1266">
        <v>1</v>
      </c>
      <c r="J1266" t="str">
        <f t="shared" si="499"/>
        <v>Hipercaloricos</v>
      </c>
      <c r="K1266">
        <v>2</v>
      </c>
      <c r="L1266">
        <f t="shared" si="500"/>
        <v>1</v>
      </c>
      <c r="M1266" t="str">
        <f t="shared" si="501"/>
        <v>Suele comer</v>
      </c>
      <c r="N1266">
        <v>2582591</v>
      </c>
      <c r="O1266">
        <f t="shared" si="502"/>
        <v>2</v>
      </c>
      <c r="P1266" t="str">
        <f t="shared" si="503"/>
        <v>Mas de 3</v>
      </c>
      <c r="Q1266">
        <v>1</v>
      </c>
      <c r="R1266" t="str">
        <f t="shared" si="504"/>
        <v>A veces</v>
      </c>
      <c r="S1266">
        <v>0</v>
      </c>
      <c r="T1266" t="str">
        <f t="shared" si="505"/>
        <v>No fuma</v>
      </c>
      <c r="U1266">
        <v>1535134</v>
      </c>
      <c r="V1266">
        <f t="shared" si="506"/>
        <v>2</v>
      </c>
      <c r="W1266" t="str">
        <f t="shared" si="507"/>
        <v>Siempre</v>
      </c>
      <c r="X1266">
        <v>0</v>
      </c>
      <c r="Y1266" t="str">
        <f t="shared" si="508"/>
        <v>No controla</v>
      </c>
      <c r="Z1266">
        <v>188452</v>
      </c>
      <c r="AA1266">
        <f t="shared" si="509"/>
        <v>2</v>
      </c>
      <c r="AB1266" t="str">
        <f t="shared" si="510"/>
        <v>Usualmente</v>
      </c>
      <c r="AC1266">
        <v>0</v>
      </c>
      <c r="AD1266">
        <f t="shared" si="511"/>
        <v>0</v>
      </c>
      <c r="AE1266" t="str">
        <f t="shared" si="512"/>
        <v>Nunca</v>
      </c>
      <c r="AF1266">
        <v>1</v>
      </c>
      <c r="AG1266" t="str">
        <f t="shared" si="513"/>
        <v>A veces</v>
      </c>
      <c r="AH1266">
        <v>1</v>
      </c>
      <c r="AI1266" t="str">
        <f t="shared" si="514"/>
        <v>Usa auto</v>
      </c>
      <c r="AJ1266">
        <v>0</v>
      </c>
      <c r="AK1266" t="str">
        <f t="shared" si="515"/>
        <v>No usa</v>
      </c>
      <c r="AL1266">
        <v>0</v>
      </c>
      <c r="AM1266" t="str">
        <f t="shared" si="516"/>
        <v>No usa</v>
      </c>
      <c r="AN1266">
        <v>0</v>
      </c>
      <c r="AO1266" t="str">
        <f t="shared" si="517"/>
        <v>No usa</v>
      </c>
      <c r="AP1266">
        <v>0</v>
      </c>
      <c r="AQ1266" t="str">
        <f t="shared" si="518"/>
        <v>No camina</v>
      </c>
      <c r="AR1266">
        <v>1</v>
      </c>
      <c r="AS1266" t="str">
        <f t="shared" si="519"/>
        <v>Es Obeso</v>
      </c>
    </row>
    <row r="1267" spans="1:45" x14ac:dyDescent="0.25">
      <c r="A1267">
        <v>1</v>
      </c>
      <c r="B1267" t="str">
        <f t="shared" si="494"/>
        <v>M</v>
      </c>
      <c r="C1267">
        <v>176739</v>
      </c>
      <c r="D1267">
        <f t="shared" si="495"/>
        <v>0</v>
      </c>
      <c r="E1267">
        <f t="shared" si="496"/>
        <v>5</v>
      </c>
      <c r="F1267" t="str">
        <f t="shared" si="497"/>
        <v>1-25</v>
      </c>
      <c r="G1267">
        <v>1</v>
      </c>
      <c r="H1267" t="str">
        <f t="shared" si="498"/>
        <v>Pariente gordo</v>
      </c>
      <c r="I1267">
        <v>1</v>
      </c>
      <c r="J1267" t="str">
        <f t="shared" si="499"/>
        <v>Hipercaloricos</v>
      </c>
      <c r="K1267">
        <v>2</v>
      </c>
      <c r="L1267">
        <f t="shared" si="500"/>
        <v>1</v>
      </c>
      <c r="M1267" t="str">
        <f t="shared" si="501"/>
        <v>Suele comer</v>
      </c>
      <c r="N1267">
        <v>3</v>
      </c>
      <c r="O1267">
        <f t="shared" si="502"/>
        <v>2</v>
      </c>
      <c r="P1267" t="str">
        <f t="shared" si="503"/>
        <v>Mas de 3</v>
      </c>
      <c r="Q1267">
        <v>1</v>
      </c>
      <c r="R1267" t="str">
        <f t="shared" si="504"/>
        <v>A veces</v>
      </c>
      <c r="S1267">
        <v>0</v>
      </c>
      <c r="T1267" t="str">
        <f t="shared" si="505"/>
        <v>No fuma</v>
      </c>
      <c r="U1267">
        <v>2</v>
      </c>
      <c r="V1267">
        <f t="shared" si="506"/>
        <v>2</v>
      </c>
      <c r="W1267" t="str">
        <f t="shared" si="507"/>
        <v>Siempre</v>
      </c>
      <c r="X1267">
        <v>0</v>
      </c>
      <c r="Y1267" t="str">
        <f t="shared" si="508"/>
        <v>No controla</v>
      </c>
      <c r="Z1267">
        <v>0</v>
      </c>
      <c r="AA1267">
        <f t="shared" si="509"/>
        <v>0</v>
      </c>
      <c r="AB1267" t="str">
        <f t="shared" si="510"/>
        <v>Nunca</v>
      </c>
      <c r="AC1267">
        <v>0.23331399999999999</v>
      </c>
      <c r="AD1267">
        <f t="shared" si="511"/>
        <v>0</v>
      </c>
      <c r="AE1267" t="str">
        <f t="shared" si="512"/>
        <v>Nunca</v>
      </c>
      <c r="AF1267">
        <v>0</v>
      </c>
      <c r="AG1267" t="str">
        <f t="shared" si="513"/>
        <v>Nunca</v>
      </c>
      <c r="AH1267">
        <v>0</v>
      </c>
      <c r="AI1267" t="str">
        <f t="shared" si="514"/>
        <v>No usa</v>
      </c>
      <c r="AJ1267">
        <v>0</v>
      </c>
      <c r="AK1267" t="str">
        <f t="shared" si="515"/>
        <v>No usa</v>
      </c>
      <c r="AL1267">
        <v>0</v>
      </c>
      <c r="AM1267" t="str">
        <f t="shared" si="516"/>
        <v>No usa</v>
      </c>
      <c r="AN1267">
        <v>1</v>
      </c>
      <c r="AO1267" t="str">
        <f t="shared" si="517"/>
        <v>Usa Transporte</v>
      </c>
      <c r="AP1267">
        <v>0</v>
      </c>
      <c r="AQ1267" t="str">
        <f t="shared" si="518"/>
        <v>No camina</v>
      </c>
      <c r="AR1267">
        <v>1</v>
      </c>
      <c r="AS1267" t="str">
        <f t="shared" si="519"/>
        <v>Es Obeso</v>
      </c>
    </row>
    <row r="1268" spans="1:45" x14ac:dyDescent="0.25">
      <c r="A1268">
        <v>0</v>
      </c>
      <c r="B1268" t="str">
        <f t="shared" si="494"/>
        <v>F</v>
      </c>
      <c r="C1268">
        <v>37524551</v>
      </c>
      <c r="D1268">
        <f t="shared" si="495"/>
        <v>102</v>
      </c>
      <c r="E1268">
        <f t="shared" si="496"/>
        <v>100</v>
      </c>
      <c r="F1268" t="str">
        <f t="shared" si="497"/>
        <v>75-100</v>
      </c>
      <c r="G1268">
        <v>1</v>
      </c>
      <c r="H1268" t="str">
        <f t="shared" si="498"/>
        <v>Pariente gordo</v>
      </c>
      <c r="I1268">
        <v>1</v>
      </c>
      <c r="J1268" t="str">
        <f t="shared" si="499"/>
        <v>Hipercaloricos</v>
      </c>
      <c r="K1268">
        <v>2</v>
      </c>
      <c r="L1268">
        <f t="shared" si="500"/>
        <v>1</v>
      </c>
      <c r="M1268" t="str">
        <f t="shared" si="501"/>
        <v>Suele comer</v>
      </c>
      <c r="N1268">
        <v>3</v>
      </c>
      <c r="O1268">
        <f t="shared" si="502"/>
        <v>2</v>
      </c>
      <c r="P1268" t="str">
        <f t="shared" si="503"/>
        <v>Mas de 3</v>
      </c>
      <c r="Q1268">
        <v>1</v>
      </c>
      <c r="R1268" t="str">
        <f t="shared" si="504"/>
        <v>A veces</v>
      </c>
      <c r="S1268">
        <v>0</v>
      </c>
      <c r="T1268" t="str">
        <f t="shared" si="505"/>
        <v>No fuma</v>
      </c>
      <c r="U1268">
        <v>2102976</v>
      </c>
      <c r="V1268">
        <f t="shared" si="506"/>
        <v>2</v>
      </c>
      <c r="W1268" t="str">
        <f t="shared" si="507"/>
        <v>Siempre</v>
      </c>
      <c r="X1268">
        <v>0</v>
      </c>
      <c r="Y1268" t="str">
        <f t="shared" si="508"/>
        <v>No controla</v>
      </c>
      <c r="Z1268">
        <v>0</v>
      </c>
      <c r="AA1268">
        <f t="shared" si="509"/>
        <v>0</v>
      </c>
      <c r="AB1268" t="str">
        <f t="shared" si="510"/>
        <v>Nunca</v>
      </c>
      <c r="AC1268">
        <v>0</v>
      </c>
      <c r="AD1268">
        <f t="shared" si="511"/>
        <v>0</v>
      </c>
      <c r="AE1268" t="str">
        <f t="shared" si="512"/>
        <v>Nunca</v>
      </c>
      <c r="AF1268">
        <v>1</v>
      </c>
      <c r="AG1268" t="str">
        <f t="shared" si="513"/>
        <v>A veces</v>
      </c>
      <c r="AH1268">
        <v>1</v>
      </c>
      <c r="AI1268" t="str">
        <f t="shared" si="514"/>
        <v>Usa auto</v>
      </c>
      <c r="AJ1268">
        <v>0</v>
      </c>
      <c r="AK1268" t="str">
        <f t="shared" si="515"/>
        <v>No usa</v>
      </c>
      <c r="AL1268">
        <v>0</v>
      </c>
      <c r="AM1268" t="str">
        <f t="shared" si="516"/>
        <v>No usa</v>
      </c>
      <c r="AN1268">
        <v>0</v>
      </c>
      <c r="AO1268" t="str">
        <f t="shared" si="517"/>
        <v>No usa</v>
      </c>
      <c r="AP1268">
        <v>0</v>
      </c>
      <c r="AQ1268" t="str">
        <f t="shared" si="518"/>
        <v>No camina</v>
      </c>
      <c r="AR1268">
        <v>1</v>
      </c>
      <c r="AS1268" t="str">
        <f t="shared" si="519"/>
        <v>Es Obeso</v>
      </c>
    </row>
    <row r="1269" spans="1:45" x14ac:dyDescent="0.25">
      <c r="A1269">
        <v>0</v>
      </c>
      <c r="B1269" t="str">
        <f t="shared" si="494"/>
        <v>F</v>
      </c>
      <c r="C1269">
        <v>43510672</v>
      </c>
      <c r="D1269">
        <f t="shared" si="495"/>
        <v>119</v>
      </c>
      <c r="E1269">
        <f t="shared" si="496"/>
        <v>100</v>
      </c>
      <c r="F1269" t="str">
        <f t="shared" si="497"/>
        <v>75-100</v>
      </c>
      <c r="G1269">
        <v>1</v>
      </c>
      <c r="H1269" t="str">
        <f t="shared" si="498"/>
        <v>Pariente gordo</v>
      </c>
      <c r="I1269">
        <v>1</v>
      </c>
      <c r="J1269" t="str">
        <f t="shared" si="499"/>
        <v>Hipercaloricos</v>
      </c>
      <c r="K1269">
        <v>2</v>
      </c>
      <c r="L1269">
        <f t="shared" si="500"/>
        <v>1</v>
      </c>
      <c r="M1269" t="str">
        <f t="shared" si="501"/>
        <v>Suele comer</v>
      </c>
      <c r="N1269">
        <v>3</v>
      </c>
      <c r="O1269">
        <f t="shared" si="502"/>
        <v>2</v>
      </c>
      <c r="P1269" t="str">
        <f t="shared" si="503"/>
        <v>Mas de 3</v>
      </c>
      <c r="Q1269">
        <v>1</v>
      </c>
      <c r="R1269" t="str">
        <f t="shared" si="504"/>
        <v>A veces</v>
      </c>
      <c r="S1269">
        <v>0</v>
      </c>
      <c r="T1269" t="str">
        <f t="shared" si="505"/>
        <v>No fuma</v>
      </c>
      <c r="U1269">
        <v>2091934</v>
      </c>
      <c r="V1269">
        <f t="shared" si="506"/>
        <v>2</v>
      </c>
      <c r="W1269" t="str">
        <f t="shared" si="507"/>
        <v>Siempre</v>
      </c>
      <c r="X1269">
        <v>0</v>
      </c>
      <c r="Y1269" t="str">
        <f t="shared" si="508"/>
        <v>No controla</v>
      </c>
      <c r="Z1269">
        <v>0</v>
      </c>
      <c r="AA1269">
        <f t="shared" si="509"/>
        <v>0</v>
      </c>
      <c r="AB1269" t="str">
        <f t="shared" si="510"/>
        <v>Nunca</v>
      </c>
      <c r="AC1269">
        <v>0</v>
      </c>
      <c r="AD1269">
        <f t="shared" si="511"/>
        <v>0</v>
      </c>
      <c r="AE1269" t="str">
        <f t="shared" si="512"/>
        <v>Nunca</v>
      </c>
      <c r="AF1269">
        <v>1</v>
      </c>
      <c r="AG1269" t="str">
        <f t="shared" si="513"/>
        <v>A veces</v>
      </c>
      <c r="AH1269">
        <v>1</v>
      </c>
      <c r="AI1269" t="str">
        <f t="shared" si="514"/>
        <v>Usa auto</v>
      </c>
      <c r="AJ1269">
        <v>0</v>
      </c>
      <c r="AK1269" t="str">
        <f t="shared" si="515"/>
        <v>No usa</v>
      </c>
      <c r="AL1269">
        <v>0</v>
      </c>
      <c r="AM1269" t="str">
        <f t="shared" si="516"/>
        <v>No usa</v>
      </c>
      <c r="AN1269">
        <v>0</v>
      </c>
      <c r="AO1269" t="str">
        <f t="shared" si="517"/>
        <v>No usa</v>
      </c>
      <c r="AP1269">
        <v>0</v>
      </c>
      <c r="AQ1269" t="str">
        <f t="shared" si="518"/>
        <v>No camina</v>
      </c>
      <c r="AR1269">
        <v>1</v>
      </c>
      <c r="AS1269" t="str">
        <f t="shared" si="519"/>
        <v>Es Obeso</v>
      </c>
    </row>
    <row r="1270" spans="1:45" x14ac:dyDescent="0.25">
      <c r="A1270">
        <v>1</v>
      </c>
      <c r="B1270" t="str">
        <f t="shared" si="494"/>
        <v>M</v>
      </c>
      <c r="C1270">
        <v>18</v>
      </c>
      <c r="D1270">
        <f t="shared" si="495"/>
        <v>18</v>
      </c>
      <c r="E1270">
        <f t="shared" si="496"/>
        <v>18</v>
      </c>
      <c r="F1270" t="str">
        <f t="shared" si="497"/>
        <v>1-25</v>
      </c>
      <c r="G1270">
        <v>1</v>
      </c>
      <c r="H1270" t="str">
        <f t="shared" si="498"/>
        <v>Pariente gordo</v>
      </c>
      <c r="I1270">
        <v>1</v>
      </c>
      <c r="J1270" t="str">
        <f t="shared" si="499"/>
        <v>Hipercaloricos</v>
      </c>
      <c r="K1270">
        <v>2</v>
      </c>
      <c r="L1270">
        <f t="shared" si="500"/>
        <v>1</v>
      </c>
      <c r="M1270" t="str">
        <f t="shared" si="501"/>
        <v>Suele comer</v>
      </c>
      <c r="N1270">
        <v>2164839</v>
      </c>
      <c r="O1270">
        <f t="shared" si="502"/>
        <v>2</v>
      </c>
      <c r="P1270" t="str">
        <f t="shared" si="503"/>
        <v>Mas de 3</v>
      </c>
      <c r="Q1270">
        <v>1</v>
      </c>
      <c r="R1270" t="str">
        <f t="shared" si="504"/>
        <v>A veces</v>
      </c>
      <c r="S1270">
        <v>0</v>
      </c>
      <c r="T1270" t="str">
        <f t="shared" si="505"/>
        <v>No fuma</v>
      </c>
      <c r="U1270">
        <v>2094479</v>
      </c>
      <c r="V1270">
        <f t="shared" si="506"/>
        <v>2</v>
      </c>
      <c r="W1270" t="str">
        <f t="shared" si="507"/>
        <v>Siempre</v>
      </c>
      <c r="X1270">
        <v>0</v>
      </c>
      <c r="Y1270" t="str">
        <f t="shared" si="508"/>
        <v>No controla</v>
      </c>
      <c r="Z1270">
        <v>1</v>
      </c>
      <c r="AA1270">
        <f t="shared" si="509"/>
        <v>1</v>
      </c>
      <c r="AB1270" t="str">
        <f t="shared" si="510"/>
        <v>A veces</v>
      </c>
      <c r="AC1270">
        <v>0.67655699999999996</v>
      </c>
      <c r="AD1270">
        <f t="shared" si="511"/>
        <v>0</v>
      </c>
      <c r="AE1270" t="str">
        <f t="shared" si="512"/>
        <v>Nunca</v>
      </c>
      <c r="AF1270">
        <v>1</v>
      </c>
      <c r="AG1270" t="str">
        <f t="shared" si="513"/>
        <v>A veces</v>
      </c>
      <c r="AH1270">
        <v>0</v>
      </c>
      <c r="AI1270" t="str">
        <f t="shared" si="514"/>
        <v>No usa</v>
      </c>
      <c r="AJ1270">
        <v>0</v>
      </c>
      <c r="AK1270" t="str">
        <f t="shared" si="515"/>
        <v>No usa</v>
      </c>
      <c r="AL1270">
        <v>0</v>
      </c>
      <c r="AM1270" t="str">
        <f t="shared" si="516"/>
        <v>No usa</v>
      </c>
      <c r="AN1270">
        <v>1</v>
      </c>
      <c r="AO1270" t="str">
        <f t="shared" si="517"/>
        <v>Usa Transporte</v>
      </c>
      <c r="AP1270">
        <v>0</v>
      </c>
      <c r="AQ1270" t="str">
        <f t="shared" si="518"/>
        <v>No camina</v>
      </c>
      <c r="AR1270">
        <v>1</v>
      </c>
      <c r="AS1270" t="str">
        <f t="shared" si="519"/>
        <v>Es Obeso</v>
      </c>
    </row>
    <row r="1271" spans="1:45" x14ac:dyDescent="0.25">
      <c r="A1271">
        <v>1</v>
      </c>
      <c r="B1271" t="str">
        <f t="shared" si="494"/>
        <v>M</v>
      </c>
      <c r="C1271">
        <v>18</v>
      </c>
      <c r="D1271">
        <f t="shared" si="495"/>
        <v>18</v>
      </c>
      <c r="E1271">
        <f t="shared" si="496"/>
        <v>18</v>
      </c>
      <c r="F1271" t="str">
        <f t="shared" si="497"/>
        <v>1-25</v>
      </c>
      <c r="G1271">
        <v>1</v>
      </c>
      <c r="H1271" t="str">
        <f t="shared" si="498"/>
        <v>Pariente gordo</v>
      </c>
      <c r="I1271">
        <v>1</v>
      </c>
      <c r="J1271" t="str">
        <f t="shared" si="499"/>
        <v>Hipercaloricos</v>
      </c>
      <c r="K1271">
        <v>2</v>
      </c>
      <c r="L1271">
        <f t="shared" si="500"/>
        <v>1</v>
      </c>
      <c r="M1271" t="str">
        <f t="shared" si="501"/>
        <v>Suele comer</v>
      </c>
      <c r="N1271">
        <v>2141839</v>
      </c>
      <c r="O1271">
        <f t="shared" si="502"/>
        <v>2</v>
      </c>
      <c r="P1271" t="str">
        <f t="shared" si="503"/>
        <v>Mas de 3</v>
      </c>
      <c r="Q1271">
        <v>1</v>
      </c>
      <c r="R1271" t="str">
        <f t="shared" si="504"/>
        <v>A veces</v>
      </c>
      <c r="S1271">
        <v>0</v>
      </c>
      <c r="T1271" t="str">
        <f t="shared" si="505"/>
        <v>No fuma</v>
      </c>
      <c r="U1271">
        <v>2939847</v>
      </c>
      <c r="V1271">
        <f t="shared" si="506"/>
        <v>2</v>
      </c>
      <c r="W1271" t="str">
        <f t="shared" si="507"/>
        <v>Siempre</v>
      </c>
      <c r="X1271">
        <v>0</v>
      </c>
      <c r="Y1271" t="str">
        <f t="shared" si="508"/>
        <v>No controla</v>
      </c>
      <c r="Z1271">
        <v>1</v>
      </c>
      <c r="AA1271">
        <f t="shared" si="509"/>
        <v>1</v>
      </c>
      <c r="AB1271" t="str">
        <f t="shared" si="510"/>
        <v>A veces</v>
      </c>
      <c r="AC1271">
        <v>0.10305599999999999</v>
      </c>
      <c r="AD1271">
        <f t="shared" si="511"/>
        <v>0</v>
      </c>
      <c r="AE1271" t="str">
        <f t="shared" si="512"/>
        <v>Nunca</v>
      </c>
      <c r="AF1271">
        <v>1</v>
      </c>
      <c r="AG1271" t="str">
        <f t="shared" si="513"/>
        <v>A veces</v>
      </c>
      <c r="AH1271">
        <v>0</v>
      </c>
      <c r="AI1271" t="str">
        <f t="shared" si="514"/>
        <v>No usa</v>
      </c>
      <c r="AJ1271">
        <v>0</v>
      </c>
      <c r="AK1271" t="str">
        <f t="shared" si="515"/>
        <v>No usa</v>
      </c>
      <c r="AL1271">
        <v>0</v>
      </c>
      <c r="AM1271" t="str">
        <f t="shared" si="516"/>
        <v>No usa</v>
      </c>
      <c r="AN1271">
        <v>1</v>
      </c>
      <c r="AO1271" t="str">
        <f t="shared" si="517"/>
        <v>Usa Transporte</v>
      </c>
      <c r="AP1271">
        <v>0</v>
      </c>
      <c r="AQ1271" t="str">
        <f t="shared" si="518"/>
        <v>No camina</v>
      </c>
      <c r="AR1271">
        <v>1</v>
      </c>
      <c r="AS1271" t="str">
        <f t="shared" si="519"/>
        <v>Es Obeso</v>
      </c>
    </row>
    <row r="1272" spans="1:45" x14ac:dyDescent="0.25">
      <c r="A1272">
        <v>1</v>
      </c>
      <c r="B1272" t="str">
        <f t="shared" si="494"/>
        <v>M</v>
      </c>
      <c r="C1272">
        <v>29506287</v>
      </c>
      <c r="D1272">
        <f t="shared" si="495"/>
        <v>80</v>
      </c>
      <c r="E1272">
        <f t="shared" si="496"/>
        <v>80</v>
      </c>
      <c r="F1272" t="str">
        <f t="shared" si="497"/>
        <v>75-100</v>
      </c>
      <c r="G1272">
        <v>1</v>
      </c>
      <c r="H1272" t="str">
        <f t="shared" si="498"/>
        <v>Pariente gordo</v>
      </c>
      <c r="I1272">
        <v>1</v>
      </c>
      <c r="J1272" t="str">
        <f t="shared" si="499"/>
        <v>Hipercaloricos</v>
      </c>
      <c r="K1272">
        <v>2</v>
      </c>
      <c r="L1272">
        <f t="shared" si="500"/>
        <v>1</v>
      </c>
      <c r="M1272" t="str">
        <f t="shared" si="501"/>
        <v>Suele comer</v>
      </c>
      <c r="N1272">
        <v>2877583</v>
      </c>
      <c r="O1272">
        <f t="shared" si="502"/>
        <v>2</v>
      </c>
      <c r="P1272" t="str">
        <f t="shared" si="503"/>
        <v>Mas de 3</v>
      </c>
      <c r="Q1272">
        <v>1</v>
      </c>
      <c r="R1272" t="str">
        <f t="shared" si="504"/>
        <v>A veces</v>
      </c>
      <c r="S1272">
        <v>0</v>
      </c>
      <c r="T1272" t="str">
        <f t="shared" si="505"/>
        <v>No fuma</v>
      </c>
      <c r="U1272">
        <v>2358038</v>
      </c>
      <c r="V1272">
        <f t="shared" si="506"/>
        <v>2</v>
      </c>
      <c r="W1272" t="str">
        <f t="shared" si="507"/>
        <v>Siempre</v>
      </c>
      <c r="X1272">
        <v>0</v>
      </c>
      <c r="Y1272" t="str">
        <f t="shared" si="508"/>
        <v>No controla</v>
      </c>
      <c r="Z1272">
        <v>0.87729500000000005</v>
      </c>
      <c r="AA1272">
        <f t="shared" si="509"/>
        <v>0</v>
      </c>
      <c r="AB1272" t="str">
        <f t="shared" si="510"/>
        <v>Nunca</v>
      </c>
      <c r="AC1272">
        <v>1817146</v>
      </c>
      <c r="AD1272">
        <f t="shared" si="511"/>
        <v>2</v>
      </c>
      <c r="AE1272" t="str">
        <f t="shared" si="512"/>
        <v>Siempre</v>
      </c>
      <c r="AF1272">
        <v>1</v>
      </c>
      <c r="AG1272" t="str">
        <f t="shared" si="513"/>
        <v>A veces</v>
      </c>
      <c r="AH1272">
        <v>1</v>
      </c>
      <c r="AI1272" t="str">
        <f t="shared" si="514"/>
        <v>Usa auto</v>
      </c>
      <c r="AJ1272">
        <v>0</v>
      </c>
      <c r="AK1272" t="str">
        <f t="shared" si="515"/>
        <v>No usa</v>
      </c>
      <c r="AL1272">
        <v>0</v>
      </c>
      <c r="AM1272" t="str">
        <f t="shared" si="516"/>
        <v>No usa</v>
      </c>
      <c r="AN1272">
        <v>0</v>
      </c>
      <c r="AO1272" t="str">
        <f t="shared" si="517"/>
        <v>No usa</v>
      </c>
      <c r="AP1272">
        <v>0</v>
      </c>
      <c r="AQ1272" t="str">
        <f t="shared" si="518"/>
        <v>No camina</v>
      </c>
      <c r="AR1272">
        <v>1</v>
      </c>
      <c r="AS1272" t="str">
        <f t="shared" si="519"/>
        <v>Es Obeso</v>
      </c>
    </row>
    <row r="1273" spans="1:45" x14ac:dyDescent="0.25">
      <c r="A1273">
        <v>0</v>
      </c>
      <c r="B1273" t="str">
        <f t="shared" si="494"/>
        <v>F</v>
      </c>
      <c r="C1273">
        <v>18</v>
      </c>
      <c r="D1273">
        <f t="shared" si="495"/>
        <v>18</v>
      </c>
      <c r="E1273">
        <f t="shared" si="496"/>
        <v>18</v>
      </c>
      <c r="F1273" t="str">
        <f t="shared" si="497"/>
        <v>1-25</v>
      </c>
      <c r="G1273">
        <v>1</v>
      </c>
      <c r="H1273" t="str">
        <f t="shared" si="498"/>
        <v>Pariente gordo</v>
      </c>
      <c r="I1273">
        <v>1</v>
      </c>
      <c r="J1273" t="str">
        <f t="shared" si="499"/>
        <v>Hipercaloricos</v>
      </c>
      <c r="K1273">
        <v>2609123</v>
      </c>
      <c r="L1273">
        <f t="shared" si="500"/>
        <v>1</v>
      </c>
      <c r="M1273" t="str">
        <f t="shared" si="501"/>
        <v>Suele comer</v>
      </c>
      <c r="N1273">
        <v>3</v>
      </c>
      <c r="O1273">
        <f t="shared" si="502"/>
        <v>2</v>
      </c>
      <c r="P1273" t="str">
        <f t="shared" si="503"/>
        <v>Mas de 3</v>
      </c>
      <c r="Q1273">
        <v>1</v>
      </c>
      <c r="R1273" t="str">
        <f t="shared" si="504"/>
        <v>A veces</v>
      </c>
      <c r="S1273">
        <v>0</v>
      </c>
      <c r="T1273" t="str">
        <f t="shared" si="505"/>
        <v>No fuma</v>
      </c>
      <c r="U1273">
        <v>1955053</v>
      </c>
      <c r="V1273">
        <f t="shared" si="506"/>
        <v>2</v>
      </c>
      <c r="W1273" t="str">
        <f t="shared" si="507"/>
        <v>Siempre</v>
      </c>
      <c r="X1273">
        <v>0</v>
      </c>
      <c r="Y1273" t="str">
        <f t="shared" si="508"/>
        <v>No controla</v>
      </c>
      <c r="Z1273">
        <v>1186013</v>
      </c>
      <c r="AA1273">
        <f t="shared" si="509"/>
        <v>3</v>
      </c>
      <c r="AB1273" t="str">
        <f t="shared" si="510"/>
        <v>Siempre</v>
      </c>
      <c r="AC1273">
        <v>0</v>
      </c>
      <c r="AD1273">
        <f t="shared" si="511"/>
        <v>0</v>
      </c>
      <c r="AE1273" t="str">
        <f t="shared" si="512"/>
        <v>Nunca</v>
      </c>
      <c r="AF1273">
        <v>0</v>
      </c>
      <c r="AG1273" t="str">
        <f t="shared" si="513"/>
        <v>Nunca</v>
      </c>
      <c r="AH1273">
        <v>0</v>
      </c>
      <c r="AI1273" t="str">
        <f t="shared" si="514"/>
        <v>No usa</v>
      </c>
      <c r="AJ1273">
        <v>0</v>
      </c>
      <c r="AK1273" t="str">
        <f t="shared" si="515"/>
        <v>No usa</v>
      </c>
      <c r="AL1273">
        <v>0</v>
      </c>
      <c r="AM1273" t="str">
        <f t="shared" si="516"/>
        <v>No usa</v>
      </c>
      <c r="AN1273">
        <v>1</v>
      </c>
      <c r="AO1273" t="str">
        <f t="shared" si="517"/>
        <v>Usa Transporte</v>
      </c>
      <c r="AP1273">
        <v>0</v>
      </c>
      <c r="AQ1273" t="str">
        <f t="shared" si="518"/>
        <v>No camina</v>
      </c>
      <c r="AR1273">
        <v>1</v>
      </c>
      <c r="AS1273" t="str">
        <f t="shared" si="519"/>
        <v>Es Obeso</v>
      </c>
    </row>
    <row r="1274" spans="1:45" x14ac:dyDescent="0.25">
      <c r="A1274">
        <v>1</v>
      </c>
      <c r="B1274" t="str">
        <f t="shared" si="494"/>
        <v>M</v>
      </c>
      <c r="C1274">
        <v>24733308</v>
      </c>
      <c r="D1274">
        <f t="shared" si="495"/>
        <v>67</v>
      </c>
      <c r="E1274">
        <f t="shared" si="496"/>
        <v>67</v>
      </c>
      <c r="F1274" t="str">
        <f t="shared" si="497"/>
        <v>50-75</v>
      </c>
      <c r="G1274">
        <v>1</v>
      </c>
      <c r="H1274" t="str">
        <f t="shared" si="498"/>
        <v>Pariente gordo</v>
      </c>
      <c r="I1274">
        <v>1</v>
      </c>
      <c r="J1274" t="str">
        <f t="shared" si="499"/>
        <v>Hipercaloricos</v>
      </c>
      <c r="K1274">
        <v>1036159</v>
      </c>
      <c r="L1274">
        <f t="shared" si="500"/>
        <v>1</v>
      </c>
      <c r="M1274" t="str">
        <f t="shared" si="501"/>
        <v>Suele comer</v>
      </c>
      <c r="N1274">
        <v>3</v>
      </c>
      <c r="O1274">
        <f t="shared" si="502"/>
        <v>2</v>
      </c>
      <c r="P1274" t="str">
        <f t="shared" si="503"/>
        <v>Mas de 3</v>
      </c>
      <c r="Q1274">
        <v>1</v>
      </c>
      <c r="R1274" t="str">
        <f t="shared" si="504"/>
        <v>A veces</v>
      </c>
      <c r="S1274">
        <v>0</v>
      </c>
      <c r="T1274" t="str">
        <f t="shared" si="505"/>
        <v>No fuma</v>
      </c>
      <c r="U1274">
        <v>1</v>
      </c>
      <c r="V1274">
        <f t="shared" si="506"/>
        <v>1</v>
      </c>
      <c r="W1274" t="str">
        <f t="shared" si="507"/>
        <v>Usualmente</v>
      </c>
      <c r="X1274">
        <v>0</v>
      </c>
      <c r="Y1274" t="str">
        <f t="shared" si="508"/>
        <v>No controla</v>
      </c>
      <c r="Z1274">
        <v>0.34401300000000001</v>
      </c>
      <c r="AA1274">
        <f t="shared" si="509"/>
        <v>0</v>
      </c>
      <c r="AB1274" t="str">
        <f t="shared" si="510"/>
        <v>Nunca</v>
      </c>
      <c r="AC1274">
        <v>0.32936700000000002</v>
      </c>
      <c r="AD1274">
        <f t="shared" si="511"/>
        <v>0</v>
      </c>
      <c r="AE1274" t="str">
        <f t="shared" si="512"/>
        <v>Nunca</v>
      </c>
      <c r="AF1274">
        <v>1</v>
      </c>
      <c r="AG1274" t="str">
        <f t="shared" si="513"/>
        <v>A veces</v>
      </c>
      <c r="AH1274">
        <v>1</v>
      </c>
      <c r="AI1274" t="str">
        <f t="shared" si="514"/>
        <v>Usa auto</v>
      </c>
      <c r="AJ1274">
        <v>0</v>
      </c>
      <c r="AK1274" t="str">
        <f t="shared" si="515"/>
        <v>No usa</v>
      </c>
      <c r="AL1274">
        <v>0</v>
      </c>
      <c r="AM1274" t="str">
        <f t="shared" si="516"/>
        <v>No usa</v>
      </c>
      <c r="AN1274">
        <v>0</v>
      </c>
      <c r="AO1274" t="str">
        <f t="shared" si="517"/>
        <v>No usa</v>
      </c>
      <c r="AP1274">
        <v>0</v>
      </c>
      <c r="AQ1274" t="str">
        <f t="shared" si="518"/>
        <v>No camina</v>
      </c>
      <c r="AR1274">
        <v>1</v>
      </c>
      <c r="AS1274" t="str">
        <f t="shared" si="519"/>
        <v>Es Obeso</v>
      </c>
    </row>
    <row r="1275" spans="1:45" x14ac:dyDescent="0.25">
      <c r="A1275">
        <v>1</v>
      </c>
      <c r="B1275" t="str">
        <f t="shared" si="494"/>
        <v>M</v>
      </c>
      <c r="C1275">
        <v>29</v>
      </c>
      <c r="D1275">
        <f t="shared" si="495"/>
        <v>29</v>
      </c>
      <c r="E1275">
        <f t="shared" si="496"/>
        <v>29</v>
      </c>
      <c r="F1275" t="str">
        <f t="shared" si="497"/>
        <v>25-50</v>
      </c>
      <c r="G1275">
        <v>1</v>
      </c>
      <c r="H1275" t="str">
        <f t="shared" si="498"/>
        <v>Pariente gordo</v>
      </c>
      <c r="I1275">
        <v>1</v>
      </c>
      <c r="J1275" t="str">
        <f t="shared" si="499"/>
        <v>Hipercaloricos</v>
      </c>
      <c r="K1275">
        <v>1851262</v>
      </c>
      <c r="L1275">
        <f t="shared" si="500"/>
        <v>1</v>
      </c>
      <c r="M1275" t="str">
        <f t="shared" si="501"/>
        <v>Suele comer</v>
      </c>
      <c r="N1275">
        <v>3</v>
      </c>
      <c r="O1275">
        <f t="shared" si="502"/>
        <v>2</v>
      </c>
      <c r="P1275" t="str">
        <f t="shared" si="503"/>
        <v>Mas de 3</v>
      </c>
      <c r="Q1275">
        <v>1</v>
      </c>
      <c r="R1275" t="str">
        <f t="shared" si="504"/>
        <v>A veces</v>
      </c>
      <c r="S1275">
        <v>0</v>
      </c>
      <c r="T1275" t="str">
        <f t="shared" si="505"/>
        <v>No fuma</v>
      </c>
      <c r="U1275">
        <v>211267</v>
      </c>
      <c r="V1275">
        <f t="shared" si="506"/>
        <v>2</v>
      </c>
      <c r="W1275" t="str">
        <f t="shared" si="507"/>
        <v>Siempre</v>
      </c>
      <c r="X1275">
        <v>0</v>
      </c>
      <c r="Y1275" t="str">
        <f t="shared" si="508"/>
        <v>No controla</v>
      </c>
      <c r="Z1275">
        <v>0.38826899999999998</v>
      </c>
      <c r="AA1275">
        <f t="shared" si="509"/>
        <v>0</v>
      </c>
      <c r="AB1275" t="str">
        <f t="shared" si="510"/>
        <v>Nunca</v>
      </c>
      <c r="AC1275">
        <v>0</v>
      </c>
      <c r="AD1275">
        <f t="shared" si="511"/>
        <v>0</v>
      </c>
      <c r="AE1275" t="str">
        <f t="shared" si="512"/>
        <v>Nunca</v>
      </c>
      <c r="AF1275">
        <v>1</v>
      </c>
      <c r="AG1275" t="str">
        <f t="shared" si="513"/>
        <v>A veces</v>
      </c>
      <c r="AH1275">
        <v>1</v>
      </c>
      <c r="AI1275" t="str">
        <f t="shared" si="514"/>
        <v>Usa auto</v>
      </c>
      <c r="AJ1275">
        <v>0</v>
      </c>
      <c r="AK1275" t="str">
        <f t="shared" si="515"/>
        <v>No usa</v>
      </c>
      <c r="AL1275">
        <v>0</v>
      </c>
      <c r="AM1275" t="str">
        <f t="shared" si="516"/>
        <v>No usa</v>
      </c>
      <c r="AN1275">
        <v>0</v>
      </c>
      <c r="AO1275" t="str">
        <f t="shared" si="517"/>
        <v>No usa</v>
      </c>
      <c r="AP1275">
        <v>0</v>
      </c>
      <c r="AQ1275" t="str">
        <f t="shared" si="518"/>
        <v>No camina</v>
      </c>
      <c r="AR1275">
        <v>1</v>
      </c>
      <c r="AS1275" t="str">
        <f t="shared" si="519"/>
        <v>Es Obeso</v>
      </c>
    </row>
    <row r="1276" spans="1:45" x14ac:dyDescent="0.25">
      <c r="A1276">
        <v>0</v>
      </c>
      <c r="B1276" t="str">
        <f t="shared" si="494"/>
        <v>F</v>
      </c>
      <c r="C1276">
        <v>18</v>
      </c>
      <c r="D1276">
        <f t="shared" si="495"/>
        <v>18</v>
      </c>
      <c r="E1276">
        <f t="shared" si="496"/>
        <v>18</v>
      </c>
      <c r="F1276" t="str">
        <f t="shared" si="497"/>
        <v>1-25</v>
      </c>
      <c r="G1276">
        <v>1</v>
      </c>
      <c r="H1276" t="str">
        <f t="shared" si="498"/>
        <v>Pariente gordo</v>
      </c>
      <c r="I1276">
        <v>1</v>
      </c>
      <c r="J1276" t="str">
        <f t="shared" si="499"/>
        <v>Hipercaloricos</v>
      </c>
      <c r="K1276">
        <v>2</v>
      </c>
      <c r="L1276">
        <f t="shared" si="500"/>
        <v>1</v>
      </c>
      <c r="M1276" t="str">
        <f t="shared" si="501"/>
        <v>Suele comer</v>
      </c>
      <c r="N1276">
        <v>3</v>
      </c>
      <c r="O1276">
        <f t="shared" si="502"/>
        <v>2</v>
      </c>
      <c r="P1276" t="str">
        <f t="shared" si="503"/>
        <v>Mas de 3</v>
      </c>
      <c r="Q1276">
        <v>1</v>
      </c>
      <c r="R1276" t="str">
        <f t="shared" si="504"/>
        <v>A veces</v>
      </c>
      <c r="S1276">
        <v>0</v>
      </c>
      <c r="T1276" t="str">
        <f t="shared" si="505"/>
        <v>No fuma</v>
      </c>
      <c r="U1276">
        <v>1051735</v>
      </c>
      <c r="V1276">
        <f t="shared" si="506"/>
        <v>2</v>
      </c>
      <c r="W1276" t="str">
        <f t="shared" si="507"/>
        <v>Siempre</v>
      </c>
      <c r="X1276">
        <v>0</v>
      </c>
      <c r="Y1276" t="str">
        <f t="shared" si="508"/>
        <v>No controla</v>
      </c>
      <c r="Z1276">
        <v>1</v>
      </c>
      <c r="AA1276">
        <f t="shared" si="509"/>
        <v>1</v>
      </c>
      <c r="AB1276" t="str">
        <f t="shared" si="510"/>
        <v>A veces</v>
      </c>
      <c r="AC1276">
        <v>0</v>
      </c>
      <c r="AD1276">
        <f t="shared" si="511"/>
        <v>0</v>
      </c>
      <c r="AE1276" t="str">
        <f t="shared" si="512"/>
        <v>Nunca</v>
      </c>
      <c r="AF1276">
        <v>0</v>
      </c>
      <c r="AG1276" t="str">
        <f t="shared" si="513"/>
        <v>Nunca</v>
      </c>
      <c r="AH1276">
        <v>0</v>
      </c>
      <c r="AI1276" t="str">
        <f t="shared" si="514"/>
        <v>No usa</v>
      </c>
      <c r="AJ1276">
        <v>0</v>
      </c>
      <c r="AK1276" t="str">
        <f t="shared" si="515"/>
        <v>No usa</v>
      </c>
      <c r="AL1276">
        <v>0</v>
      </c>
      <c r="AM1276" t="str">
        <f t="shared" si="516"/>
        <v>No usa</v>
      </c>
      <c r="AN1276">
        <v>1</v>
      </c>
      <c r="AO1276" t="str">
        <f t="shared" si="517"/>
        <v>Usa Transporte</v>
      </c>
      <c r="AP1276">
        <v>0</v>
      </c>
      <c r="AQ1276" t="str">
        <f t="shared" si="518"/>
        <v>No camina</v>
      </c>
      <c r="AR1276">
        <v>1</v>
      </c>
      <c r="AS1276" t="str">
        <f t="shared" si="519"/>
        <v>Es Obeso</v>
      </c>
    </row>
    <row r="1277" spans="1:45" x14ac:dyDescent="0.25">
      <c r="A1277">
        <v>1</v>
      </c>
      <c r="B1277" t="str">
        <f t="shared" si="494"/>
        <v>M</v>
      </c>
      <c r="C1277">
        <v>21098035</v>
      </c>
      <c r="D1277">
        <f t="shared" si="495"/>
        <v>57</v>
      </c>
      <c r="E1277">
        <f t="shared" si="496"/>
        <v>57</v>
      </c>
      <c r="F1277" t="str">
        <f t="shared" si="497"/>
        <v>50-75</v>
      </c>
      <c r="G1277">
        <v>1</v>
      </c>
      <c r="H1277" t="str">
        <f t="shared" si="498"/>
        <v>Pariente gordo</v>
      </c>
      <c r="I1277">
        <v>1</v>
      </c>
      <c r="J1277" t="str">
        <f t="shared" si="499"/>
        <v>Hipercaloricos</v>
      </c>
      <c r="K1277">
        <v>2</v>
      </c>
      <c r="L1277">
        <f t="shared" si="500"/>
        <v>1</v>
      </c>
      <c r="M1277" t="str">
        <f t="shared" si="501"/>
        <v>Suele comer</v>
      </c>
      <c r="N1277">
        <v>295833</v>
      </c>
      <c r="O1277">
        <f t="shared" si="502"/>
        <v>2</v>
      </c>
      <c r="P1277" t="str">
        <f t="shared" si="503"/>
        <v>Mas de 3</v>
      </c>
      <c r="Q1277">
        <v>1</v>
      </c>
      <c r="R1277" t="str">
        <f t="shared" si="504"/>
        <v>A veces</v>
      </c>
      <c r="S1277">
        <v>0</v>
      </c>
      <c r="T1277" t="str">
        <f t="shared" si="505"/>
        <v>No fuma</v>
      </c>
      <c r="U1277">
        <v>2</v>
      </c>
      <c r="V1277">
        <f t="shared" si="506"/>
        <v>2</v>
      </c>
      <c r="W1277" t="str">
        <f t="shared" si="507"/>
        <v>Siempre</v>
      </c>
      <c r="X1277">
        <v>0</v>
      </c>
      <c r="Y1277" t="str">
        <f t="shared" si="508"/>
        <v>No controla</v>
      </c>
      <c r="Z1277">
        <v>0</v>
      </c>
      <c r="AA1277">
        <f t="shared" si="509"/>
        <v>0</v>
      </c>
      <c r="AB1277" t="str">
        <f t="shared" si="510"/>
        <v>Nunca</v>
      </c>
      <c r="AC1277">
        <v>1595306</v>
      </c>
      <c r="AD1277">
        <f t="shared" si="511"/>
        <v>2</v>
      </c>
      <c r="AE1277" t="str">
        <f t="shared" si="512"/>
        <v>Siempre</v>
      </c>
      <c r="AF1277">
        <v>0</v>
      </c>
      <c r="AG1277" t="str">
        <f t="shared" si="513"/>
        <v>Nunca</v>
      </c>
      <c r="AH1277">
        <v>0</v>
      </c>
      <c r="AI1277" t="str">
        <f t="shared" si="514"/>
        <v>No usa</v>
      </c>
      <c r="AJ1277">
        <v>0</v>
      </c>
      <c r="AK1277" t="str">
        <f t="shared" si="515"/>
        <v>No usa</v>
      </c>
      <c r="AL1277">
        <v>0</v>
      </c>
      <c r="AM1277" t="str">
        <f t="shared" si="516"/>
        <v>No usa</v>
      </c>
      <c r="AN1277">
        <v>1</v>
      </c>
      <c r="AO1277" t="str">
        <f t="shared" si="517"/>
        <v>Usa Transporte</v>
      </c>
      <c r="AP1277">
        <v>0</v>
      </c>
      <c r="AQ1277" t="str">
        <f t="shared" si="518"/>
        <v>No camina</v>
      </c>
      <c r="AR1277">
        <v>1</v>
      </c>
      <c r="AS1277" t="str">
        <f t="shared" si="519"/>
        <v>Es Obeso</v>
      </c>
    </row>
    <row r="1278" spans="1:45" x14ac:dyDescent="0.25">
      <c r="A1278">
        <v>1</v>
      </c>
      <c r="B1278" t="str">
        <f t="shared" si="494"/>
        <v>M</v>
      </c>
      <c r="C1278">
        <v>19089595</v>
      </c>
      <c r="D1278">
        <f t="shared" si="495"/>
        <v>52</v>
      </c>
      <c r="E1278">
        <f t="shared" si="496"/>
        <v>52</v>
      </c>
      <c r="F1278" t="str">
        <f t="shared" si="497"/>
        <v>50-75</v>
      </c>
      <c r="G1278">
        <v>1</v>
      </c>
      <c r="H1278" t="str">
        <f t="shared" si="498"/>
        <v>Pariente gordo</v>
      </c>
      <c r="I1278">
        <v>1</v>
      </c>
      <c r="J1278" t="str">
        <f t="shared" si="499"/>
        <v>Hipercaloricos</v>
      </c>
      <c r="K1278">
        <v>2</v>
      </c>
      <c r="L1278">
        <f t="shared" si="500"/>
        <v>1</v>
      </c>
      <c r="M1278" t="str">
        <f t="shared" si="501"/>
        <v>Suele comer</v>
      </c>
      <c r="N1278">
        <v>2119826</v>
      </c>
      <c r="O1278">
        <f t="shared" si="502"/>
        <v>2</v>
      </c>
      <c r="P1278" t="str">
        <f t="shared" si="503"/>
        <v>Mas de 3</v>
      </c>
      <c r="Q1278">
        <v>1</v>
      </c>
      <c r="R1278" t="str">
        <f t="shared" si="504"/>
        <v>A veces</v>
      </c>
      <c r="S1278">
        <v>0</v>
      </c>
      <c r="T1278" t="str">
        <f t="shared" si="505"/>
        <v>No fuma</v>
      </c>
      <c r="U1278">
        <v>2</v>
      </c>
      <c r="V1278">
        <f t="shared" si="506"/>
        <v>2</v>
      </c>
      <c r="W1278" t="str">
        <f t="shared" si="507"/>
        <v>Siempre</v>
      </c>
      <c r="X1278">
        <v>0</v>
      </c>
      <c r="Y1278" t="str">
        <f t="shared" si="508"/>
        <v>No controla</v>
      </c>
      <c r="Z1278">
        <v>0</v>
      </c>
      <c r="AA1278">
        <f t="shared" si="509"/>
        <v>0</v>
      </c>
      <c r="AB1278" t="str">
        <f t="shared" si="510"/>
        <v>Nunca</v>
      </c>
      <c r="AC1278">
        <v>1882539</v>
      </c>
      <c r="AD1278">
        <f t="shared" si="511"/>
        <v>2</v>
      </c>
      <c r="AE1278" t="str">
        <f t="shared" si="512"/>
        <v>Siempre</v>
      </c>
      <c r="AF1278">
        <v>0</v>
      </c>
      <c r="AG1278" t="str">
        <f t="shared" si="513"/>
        <v>Nunca</v>
      </c>
      <c r="AH1278">
        <v>0</v>
      </c>
      <c r="AI1278" t="str">
        <f t="shared" si="514"/>
        <v>No usa</v>
      </c>
      <c r="AJ1278">
        <v>0</v>
      </c>
      <c r="AK1278" t="str">
        <f t="shared" si="515"/>
        <v>No usa</v>
      </c>
      <c r="AL1278">
        <v>0</v>
      </c>
      <c r="AM1278" t="str">
        <f t="shared" si="516"/>
        <v>No usa</v>
      </c>
      <c r="AN1278">
        <v>1</v>
      </c>
      <c r="AO1278" t="str">
        <f t="shared" si="517"/>
        <v>Usa Transporte</v>
      </c>
      <c r="AP1278">
        <v>0</v>
      </c>
      <c r="AQ1278" t="str">
        <f t="shared" si="518"/>
        <v>No camina</v>
      </c>
      <c r="AR1278">
        <v>1</v>
      </c>
      <c r="AS1278" t="str">
        <f t="shared" si="519"/>
        <v>Es Obeso</v>
      </c>
    </row>
    <row r="1279" spans="1:45" x14ac:dyDescent="0.25">
      <c r="A1279">
        <v>0</v>
      </c>
      <c r="B1279" t="str">
        <f t="shared" si="494"/>
        <v>F</v>
      </c>
      <c r="C1279">
        <v>18312665</v>
      </c>
      <c r="D1279">
        <f t="shared" si="495"/>
        <v>50</v>
      </c>
      <c r="E1279">
        <f t="shared" si="496"/>
        <v>50</v>
      </c>
      <c r="F1279" t="str">
        <f t="shared" si="497"/>
        <v>25-50</v>
      </c>
      <c r="G1279">
        <v>1</v>
      </c>
      <c r="H1279" t="str">
        <f t="shared" si="498"/>
        <v>Pariente gordo</v>
      </c>
      <c r="I1279">
        <v>1</v>
      </c>
      <c r="J1279" t="str">
        <f t="shared" si="499"/>
        <v>Hipercaloricos</v>
      </c>
      <c r="K1279">
        <v>2501236</v>
      </c>
      <c r="L1279">
        <f t="shared" si="500"/>
        <v>1</v>
      </c>
      <c r="M1279" t="str">
        <f t="shared" si="501"/>
        <v>Suele comer</v>
      </c>
      <c r="N1279">
        <v>3</v>
      </c>
      <c r="O1279">
        <f t="shared" si="502"/>
        <v>2</v>
      </c>
      <c r="P1279" t="str">
        <f t="shared" si="503"/>
        <v>Mas de 3</v>
      </c>
      <c r="Q1279">
        <v>1</v>
      </c>
      <c r="R1279" t="str">
        <f t="shared" si="504"/>
        <v>A veces</v>
      </c>
      <c r="S1279">
        <v>0</v>
      </c>
      <c r="T1279" t="str">
        <f t="shared" si="505"/>
        <v>No fuma</v>
      </c>
      <c r="U1279">
        <v>1220331</v>
      </c>
      <c r="V1279">
        <f t="shared" si="506"/>
        <v>2</v>
      </c>
      <c r="W1279" t="str">
        <f t="shared" si="507"/>
        <v>Siempre</v>
      </c>
      <c r="X1279">
        <v>0</v>
      </c>
      <c r="Y1279" t="str">
        <f t="shared" si="508"/>
        <v>No controla</v>
      </c>
      <c r="Z1279">
        <v>0.245003</v>
      </c>
      <c r="AA1279">
        <f t="shared" si="509"/>
        <v>0</v>
      </c>
      <c r="AB1279" t="str">
        <f t="shared" si="510"/>
        <v>Nunca</v>
      </c>
      <c r="AC1279">
        <v>0.53720199999999996</v>
      </c>
      <c r="AD1279">
        <f t="shared" si="511"/>
        <v>0</v>
      </c>
      <c r="AE1279" t="str">
        <f t="shared" si="512"/>
        <v>Nunca</v>
      </c>
      <c r="AF1279">
        <v>0</v>
      </c>
      <c r="AG1279" t="str">
        <f t="shared" si="513"/>
        <v>Nunca</v>
      </c>
      <c r="AH1279">
        <v>0</v>
      </c>
      <c r="AI1279" t="str">
        <f t="shared" si="514"/>
        <v>No usa</v>
      </c>
      <c r="AJ1279">
        <v>0</v>
      </c>
      <c r="AK1279" t="str">
        <f t="shared" si="515"/>
        <v>No usa</v>
      </c>
      <c r="AL1279">
        <v>0</v>
      </c>
      <c r="AM1279" t="str">
        <f t="shared" si="516"/>
        <v>No usa</v>
      </c>
      <c r="AN1279">
        <v>1</v>
      </c>
      <c r="AO1279" t="str">
        <f t="shared" si="517"/>
        <v>Usa Transporte</v>
      </c>
      <c r="AP1279">
        <v>0</v>
      </c>
      <c r="AQ1279" t="str">
        <f t="shared" si="518"/>
        <v>No camina</v>
      </c>
      <c r="AR1279">
        <v>1</v>
      </c>
      <c r="AS1279" t="str">
        <f t="shared" si="519"/>
        <v>Es Obeso</v>
      </c>
    </row>
    <row r="1280" spans="1:45" x14ac:dyDescent="0.25">
      <c r="A1280">
        <v>1</v>
      </c>
      <c r="B1280" t="str">
        <f t="shared" si="494"/>
        <v>M</v>
      </c>
      <c r="C1280">
        <v>18260079</v>
      </c>
      <c r="D1280">
        <f t="shared" si="495"/>
        <v>50</v>
      </c>
      <c r="E1280">
        <f t="shared" si="496"/>
        <v>50</v>
      </c>
      <c r="F1280" t="str">
        <f t="shared" si="497"/>
        <v>25-50</v>
      </c>
      <c r="G1280">
        <v>1</v>
      </c>
      <c r="H1280" t="str">
        <f t="shared" si="498"/>
        <v>Pariente gordo</v>
      </c>
      <c r="I1280">
        <v>1</v>
      </c>
      <c r="J1280" t="str">
        <f t="shared" si="499"/>
        <v>Hipercaloricos</v>
      </c>
      <c r="K1280">
        <v>2</v>
      </c>
      <c r="L1280">
        <f t="shared" si="500"/>
        <v>1</v>
      </c>
      <c r="M1280" t="str">
        <f t="shared" si="501"/>
        <v>Suele comer</v>
      </c>
      <c r="N1280">
        <v>3</v>
      </c>
      <c r="O1280">
        <f t="shared" si="502"/>
        <v>2</v>
      </c>
      <c r="P1280" t="str">
        <f t="shared" si="503"/>
        <v>Mas de 3</v>
      </c>
      <c r="Q1280">
        <v>1</v>
      </c>
      <c r="R1280" t="str">
        <f t="shared" si="504"/>
        <v>A veces</v>
      </c>
      <c r="S1280">
        <v>0</v>
      </c>
      <c r="T1280" t="str">
        <f t="shared" si="505"/>
        <v>No fuma</v>
      </c>
      <c r="U1280">
        <v>3</v>
      </c>
      <c r="V1280">
        <f t="shared" si="506"/>
        <v>2</v>
      </c>
      <c r="W1280" t="str">
        <f t="shared" si="507"/>
        <v>Siempre</v>
      </c>
      <c r="X1280">
        <v>0</v>
      </c>
      <c r="Y1280" t="str">
        <f t="shared" si="508"/>
        <v>No controla</v>
      </c>
      <c r="Z1280">
        <v>1783858</v>
      </c>
      <c r="AA1280">
        <f t="shared" si="509"/>
        <v>3</v>
      </c>
      <c r="AB1280" t="str">
        <f t="shared" si="510"/>
        <v>Siempre</v>
      </c>
      <c r="AC1280">
        <v>0</v>
      </c>
      <c r="AD1280">
        <f t="shared" si="511"/>
        <v>0</v>
      </c>
      <c r="AE1280" t="str">
        <f t="shared" si="512"/>
        <v>Nunca</v>
      </c>
      <c r="AF1280">
        <v>0</v>
      </c>
      <c r="AG1280" t="str">
        <f t="shared" si="513"/>
        <v>Nunca</v>
      </c>
      <c r="AH1280">
        <v>0</v>
      </c>
      <c r="AI1280" t="str">
        <f t="shared" si="514"/>
        <v>No usa</v>
      </c>
      <c r="AJ1280">
        <v>0</v>
      </c>
      <c r="AK1280" t="str">
        <f t="shared" si="515"/>
        <v>No usa</v>
      </c>
      <c r="AL1280">
        <v>0</v>
      </c>
      <c r="AM1280" t="str">
        <f t="shared" si="516"/>
        <v>No usa</v>
      </c>
      <c r="AN1280">
        <v>1</v>
      </c>
      <c r="AO1280" t="str">
        <f t="shared" si="517"/>
        <v>Usa Transporte</v>
      </c>
      <c r="AP1280">
        <v>0</v>
      </c>
      <c r="AQ1280" t="str">
        <f t="shared" si="518"/>
        <v>No camina</v>
      </c>
      <c r="AR1280">
        <v>1</v>
      </c>
      <c r="AS1280" t="str">
        <f t="shared" si="519"/>
        <v>Es Obeso</v>
      </c>
    </row>
    <row r="1281" spans="1:45" x14ac:dyDescent="0.25">
      <c r="A1281">
        <v>1</v>
      </c>
      <c r="B1281" t="str">
        <f t="shared" si="494"/>
        <v>M</v>
      </c>
      <c r="C1281">
        <v>26004294</v>
      </c>
      <c r="D1281">
        <f t="shared" si="495"/>
        <v>71</v>
      </c>
      <c r="E1281">
        <f t="shared" si="496"/>
        <v>71</v>
      </c>
      <c r="F1281" t="str">
        <f t="shared" si="497"/>
        <v>50-75</v>
      </c>
      <c r="G1281">
        <v>1</v>
      </c>
      <c r="H1281" t="str">
        <f t="shared" si="498"/>
        <v>Pariente gordo</v>
      </c>
      <c r="I1281">
        <v>1</v>
      </c>
      <c r="J1281" t="str">
        <f t="shared" si="499"/>
        <v>Hipercaloricos</v>
      </c>
      <c r="K1281">
        <v>3</v>
      </c>
      <c r="L1281">
        <f t="shared" si="500"/>
        <v>1</v>
      </c>
      <c r="M1281" t="str">
        <f t="shared" si="501"/>
        <v>Suele comer</v>
      </c>
      <c r="N1281">
        <v>3</v>
      </c>
      <c r="O1281">
        <f t="shared" si="502"/>
        <v>2</v>
      </c>
      <c r="P1281" t="str">
        <f t="shared" si="503"/>
        <v>Mas de 3</v>
      </c>
      <c r="Q1281">
        <v>1</v>
      </c>
      <c r="R1281" t="str">
        <f t="shared" si="504"/>
        <v>A veces</v>
      </c>
      <c r="S1281">
        <v>0</v>
      </c>
      <c r="T1281" t="str">
        <f t="shared" si="505"/>
        <v>No fuma</v>
      </c>
      <c r="U1281">
        <v>2925029</v>
      </c>
      <c r="V1281">
        <f t="shared" si="506"/>
        <v>2</v>
      </c>
      <c r="W1281" t="str">
        <f t="shared" si="507"/>
        <v>Siempre</v>
      </c>
      <c r="X1281">
        <v>0</v>
      </c>
      <c r="Y1281" t="str">
        <f t="shared" si="508"/>
        <v>No controla</v>
      </c>
      <c r="Z1281">
        <v>2</v>
      </c>
      <c r="AA1281">
        <f t="shared" si="509"/>
        <v>2</v>
      </c>
      <c r="AB1281" t="str">
        <f t="shared" si="510"/>
        <v>Usualmente</v>
      </c>
      <c r="AC1281">
        <v>1758865</v>
      </c>
      <c r="AD1281">
        <f t="shared" si="511"/>
        <v>2</v>
      </c>
      <c r="AE1281" t="str">
        <f t="shared" si="512"/>
        <v>Siempre</v>
      </c>
      <c r="AF1281">
        <v>1</v>
      </c>
      <c r="AG1281" t="str">
        <f t="shared" si="513"/>
        <v>A veces</v>
      </c>
      <c r="AH1281">
        <v>0</v>
      </c>
      <c r="AI1281" t="str">
        <f t="shared" si="514"/>
        <v>No usa</v>
      </c>
      <c r="AJ1281">
        <v>0</v>
      </c>
      <c r="AK1281" t="str">
        <f t="shared" si="515"/>
        <v>No usa</v>
      </c>
      <c r="AL1281">
        <v>0</v>
      </c>
      <c r="AM1281" t="str">
        <f t="shared" si="516"/>
        <v>No usa</v>
      </c>
      <c r="AN1281">
        <v>1</v>
      </c>
      <c r="AO1281" t="str">
        <f t="shared" si="517"/>
        <v>Usa Transporte</v>
      </c>
      <c r="AP1281">
        <v>0</v>
      </c>
      <c r="AQ1281" t="str">
        <f t="shared" si="518"/>
        <v>No camina</v>
      </c>
      <c r="AR1281">
        <v>1</v>
      </c>
      <c r="AS1281" t="str">
        <f t="shared" si="519"/>
        <v>Es Obeso</v>
      </c>
    </row>
    <row r="1282" spans="1:45" x14ac:dyDescent="0.25">
      <c r="A1282">
        <v>1</v>
      </c>
      <c r="B1282" t="str">
        <f t="shared" si="494"/>
        <v>M</v>
      </c>
      <c r="C1282">
        <v>25994746</v>
      </c>
      <c r="D1282">
        <f t="shared" si="495"/>
        <v>71</v>
      </c>
      <c r="E1282">
        <f t="shared" si="496"/>
        <v>71</v>
      </c>
      <c r="F1282" t="str">
        <f t="shared" si="497"/>
        <v>50-75</v>
      </c>
      <c r="G1282">
        <v>1</v>
      </c>
      <c r="H1282" t="str">
        <f t="shared" si="498"/>
        <v>Pariente gordo</v>
      </c>
      <c r="I1282">
        <v>1</v>
      </c>
      <c r="J1282" t="str">
        <f t="shared" si="499"/>
        <v>Hipercaloricos</v>
      </c>
      <c r="K1282">
        <v>3</v>
      </c>
      <c r="L1282">
        <f t="shared" si="500"/>
        <v>1</v>
      </c>
      <c r="M1282" t="str">
        <f t="shared" si="501"/>
        <v>Suele comer</v>
      </c>
      <c r="N1282">
        <v>3</v>
      </c>
      <c r="O1282">
        <f t="shared" si="502"/>
        <v>2</v>
      </c>
      <c r="P1282" t="str">
        <f t="shared" si="503"/>
        <v>Mas de 3</v>
      </c>
      <c r="Q1282">
        <v>1</v>
      </c>
      <c r="R1282" t="str">
        <f t="shared" si="504"/>
        <v>A veces</v>
      </c>
      <c r="S1282">
        <v>0</v>
      </c>
      <c r="T1282" t="str">
        <f t="shared" si="505"/>
        <v>No fuma</v>
      </c>
      <c r="U1282">
        <v>2858171</v>
      </c>
      <c r="V1282">
        <f t="shared" si="506"/>
        <v>2</v>
      </c>
      <c r="W1282" t="str">
        <f t="shared" si="507"/>
        <v>Siempre</v>
      </c>
      <c r="X1282">
        <v>0</v>
      </c>
      <c r="Y1282" t="str">
        <f t="shared" si="508"/>
        <v>No controla</v>
      </c>
      <c r="Z1282">
        <v>1813318</v>
      </c>
      <c r="AA1282">
        <f t="shared" si="509"/>
        <v>3</v>
      </c>
      <c r="AB1282" t="str">
        <f t="shared" si="510"/>
        <v>Siempre</v>
      </c>
      <c r="AC1282">
        <v>0.68021500000000001</v>
      </c>
      <c r="AD1282">
        <f t="shared" si="511"/>
        <v>0</v>
      </c>
      <c r="AE1282" t="str">
        <f t="shared" si="512"/>
        <v>Nunca</v>
      </c>
      <c r="AF1282">
        <v>1</v>
      </c>
      <c r="AG1282" t="str">
        <f t="shared" si="513"/>
        <v>A veces</v>
      </c>
      <c r="AH1282">
        <v>0</v>
      </c>
      <c r="AI1282" t="str">
        <f t="shared" si="514"/>
        <v>No usa</v>
      </c>
      <c r="AJ1282">
        <v>0</v>
      </c>
      <c r="AK1282" t="str">
        <f t="shared" si="515"/>
        <v>No usa</v>
      </c>
      <c r="AL1282">
        <v>0</v>
      </c>
      <c r="AM1282" t="str">
        <f t="shared" si="516"/>
        <v>No usa</v>
      </c>
      <c r="AN1282">
        <v>1</v>
      </c>
      <c r="AO1282" t="str">
        <f t="shared" si="517"/>
        <v>Usa Transporte</v>
      </c>
      <c r="AP1282">
        <v>0</v>
      </c>
      <c r="AQ1282" t="str">
        <f t="shared" si="518"/>
        <v>No camina</v>
      </c>
      <c r="AR1282">
        <v>1</v>
      </c>
      <c r="AS1282" t="str">
        <f t="shared" si="519"/>
        <v>Es Obeso</v>
      </c>
    </row>
    <row r="1283" spans="1:45" x14ac:dyDescent="0.25">
      <c r="A1283">
        <v>1</v>
      </c>
      <c r="B1283" t="str">
        <f t="shared" ref="B1283:B1346" si="520">IF(A1283=1,"M","F")</f>
        <v>M</v>
      </c>
      <c r="C1283">
        <v>36726617</v>
      </c>
      <c r="D1283">
        <f t="shared" ref="D1283:D1346" si="521">IF(C1283&lt;100,C1283,ROUNDDOWN((C1283/1000)/365,0))</f>
        <v>100</v>
      </c>
      <c r="E1283">
        <f t="shared" ref="E1283:E1346" si="522">IF(AND(D1283&gt;1,D1283&lt;=100),D1283,IF(D1283&gt;100,100,5))</f>
        <v>100</v>
      </c>
      <c r="F1283" t="str">
        <f t="shared" ref="F1283:F1346" si="523">IF(AND(E1283&gt;=1,E1283&lt;=25),"1-25",IF(AND(E1283&gt;25,E1283&lt;=50),"25-50",IF(AND(E1283&gt;50,E1283&lt;=75),"50-75","75-100")))</f>
        <v>75-100</v>
      </c>
      <c r="G1283">
        <v>1</v>
      </c>
      <c r="H1283" t="str">
        <f t="shared" ref="H1283:H1346" si="524">IF(G1283=1,"Pariente gordo","Pariente normal")</f>
        <v>Pariente gordo</v>
      </c>
      <c r="I1283">
        <v>1</v>
      </c>
      <c r="J1283" t="str">
        <f t="shared" ref="J1283:J1346" si="525">IF(I1283=1,"Hipercaloricos","Saludables")</f>
        <v>Hipercaloricos</v>
      </c>
      <c r="K1283">
        <v>2031185</v>
      </c>
      <c r="L1283">
        <f t="shared" ref="L1283:L1346" si="526">IF(AND(K1283&gt;=1,K1283&lt;=3),1,IF(AND(K1283&gt;3,K1283&lt;3000000),1))</f>
        <v>1</v>
      </c>
      <c r="M1283" t="str">
        <f t="shared" ref="M1283:M1346" si="527">IF(L1283=1,"Suele comer","No come")</f>
        <v>Suele comer</v>
      </c>
      <c r="N1283">
        <v>2992606</v>
      </c>
      <c r="O1283">
        <f t="shared" ref="O1283:O1346" si="528">IF(N1283=1,N1283,IF(AND(N1283&gt;=2,N1283&lt;4000000),2))</f>
        <v>2</v>
      </c>
      <c r="P1283" t="str">
        <f t="shared" ref="P1283:P1346" si="529">IF(O1283=0,"1-2",IF(O1283=1,3,"Mas de 3"))</f>
        <v>Mas de 3</v>
      </c>
      <c r="Q1283">
        <v>1</v>
      </c>
      <c r="R1283" t="str">
        <f t="shared" ref="R1283:R1346" si="530">IF(Q1283=0,"Nunca",IF(Q1283=1,"A veces",IF(Q1283=2,"Usualmente","Siempre")))</f>
        <v>A veces</v>
      </c>
      <c r="S1283">
        <v>0</v>
      </c>
      <c r="T1283" t="str">
        <f t="shared" ref="T1283:T1346" si="531">IF(S1283=1,"Fuma","No fuma")</f>
        <v>No fuma</v>
      </c>
      <c r="U1283">
        <v>2852254</v>
      </c>
      <c r="V1283">
        <f t="shared" ref="V1283:V1346" si="532">IF(U1283=1,U1283,IF(U1283=2,U1283,IF(AND(U1283&gt;=3,U1283&lt;3000000),2)))</f>
        <v>2</v>
      </c>
      <c r="W1283" t="str">
        <f t="shared" ref="W1283:W1346" si="533">IF(V1283=0,"Nunca",IF(V1283=1,"Usualmente","Siempre"))</f>
        <v>Siempre</v>
      </c>
      <c r="X1283">
        <v>0</v>
      </c>
      <c r="Y1283" t="str">
        <f t="shared" ref="Y1283:Y1346" si="534">IF(X1283=1,"Controla","No controla")</f>
        <v>No controla</v>
      </c>
      <c r="Z1283">
        <v>200123</v>
      </c>
      <c r="AA1283">
        <f t="shared" ref="AA1283:AA1346" si="535">IF(Z1283=0,Z1283,IF(Z1283=1,Z1283,IF(Z1283=2,Z1283,IF(Z1283=3,Z1283,IF(AND(Z1283&gt;3,Z1283&lt;300000),2,IF(AND(Z1283&gt;300000,Z1283&lt;3000000),3,IF(AND(Z1283&gt;0,Z1283&lt;1),0)))))))</f>
        <v>2</v>
      </c>
      <c r="AB1283" t="str">
        <f t="shared" ref="AB1283:AB1346" si="536">IF(AA1283=0,"Nunca",IF(AA1283=1,"A veces",IF(AA1283=2,"Usualmente","Siempre")))</f>
        <v>Usualmente</v>
      </c>
      <c r="AC1283">
        <v>0.36037000000000002</v>
      </c>
      <c r="AD1283">
        <f t="shared" ref="AD1283:AD1346" si="537">IF(AC1283= 0,AC1283,IF(AC1283=1,AC1283,IF(AC1283=2,AC1283,IF(AND(AC1283&gt;2,AC1283&lt;200000),1,IF(AND(AC1283&gt;200000,AC1283&lt;2000000),2,IF(AND(AC1283&gt;0,AC1283&lt;1),0))))))</f>
        <v>0</v>
      </c>
      <c r="AE1283" t="str">
        <f t="shared" ref="AE1283:AE1346" si="538">IF(AD1283=0,"Nunca",IF(AD1283=1,"Usualmente","Siempre"))</f>
        <v>Nunca</v>
      </c>
      <c r="AF1283">
        <v>2</v>
      </c>
      <c r="AG1283" t="str">
        <f t="shared" ref="AG1283:AG1346" si="539">IF(AF1283=0,"Nunca",IF(AF1283=1,"A veces",IF(AF1283=2,"Usualmente","Siempre")))</f>
        <v>Usualmente</v>
      </c>
      <c r="AH1283">
        <v>1</v>
      </c>
      <c r="AI1283" t="str">
        <f t="shared" ref="AI1283:AI1346" si="540">IF(AH1283=1,"Usa auto","No usa")</f>
        <v>Usa auto</v>
      </c>
      <c r="AJ1283">
        <v>0</v>
      </c>
      <c r="AK1283" t="str">
        <f t="shared" ref="AK1283:AK1346" si="541">IF(AJ1283=1,"Usa Bici","No usa")</f>
        <v>No usa</v>
      </c>
      <c r="AL1283">
        <v>0</v>
      </c>
      <c r="AM1283" t="str">
        <f t="shared" ref="AM1283:AM1346" si="542">IF(AL1283=1,"Usa Moto","No usa")</f>
        <v>No usa</v>
      </c>
      <c r="AN1283">
        <v>0</v>
      </c>
      <c r="AO1283" t="str">
        <f t="shared" ref="AO1283:AO1346" si="543">IF(AN1283=1,"Usa Transporte","No usa")</f>
        <v>No usa</v>
      </c>
      <c r="AP1283">
        <v>0</v>
      </c>
      <c r="AQ1283" t="str">
        <f t="shared" ref="AQ1283:AQ1346" si="544">IF(AP1283=1,"Camina","No camina")</f>
        <v>No camina</v>
      </c>
      <c r="AR1283">
        <v>1</v>
      </c>
      <c r="AS1283" t="str">
        <f t="shared" ref="AS1283:AS1346" si="545">IF(AR1283=1,"Es Obeso","No es obeso")</f>
        <v>Es Obeso</v>
      </c>
    </row>
    <row r="1284" spans="1:45" x14ac:dyDescent="0.25">
      <c r="A1284">
        <v>1</v>
      </c>
      <c r="B1284" t="str">
        <f t="shared" si="520"/>
        <v>M</v>
      </c>
      <c r="C1284">
        <v>38297259</v>
      </c>
      <c r="D1284">
        <f t="shared" si="521"/>
        <v>104</v>
      </c>
      <c r="E1284">
        <f t="shared" si="522"/>
        <v>100</v>
      </c>
      <c r="F1284" t="str">
        <f t="shared" si="523"/>
        <v>75-100</v>
      </c>
      <c r="G1284">
        <v>1</v>
      </c>
      <c r="H1284" t="str">
        <f t="shared" si="524"/>
        <v>Pariente gordo</v>
      </c>
      <c r="I1284">
        <v>1</v>
      </c>
      <c r="J1284" t="str">
        <f t="shared" si="525"/>
        <v>Hipercaloricos</v>
      </c>
      <c r="K1284">
        <v>2014194</v>
      </c>
      <c r="L1284">
        <f t="shared" si="526"/>
        <v>1</v>
      </c>
      <c r="M1284" t="str">
        <f t="shared" si="527"/>
        <v>Suele comer</v>
      </c>
      <c r="N1284">
        <v>2050121</v>
      </c>
      <c r="O1284">
        <f t="shared" si="528"/>
        <v>2</v>
      </c>
      <c r="P1284" t="str">
        <f t="shared" si="529"/>
        <v>Mas de 3</v>
      </c>
      <c r="Q1284">
        <v>1</v>
      </c>
      <c r="R1284" t="str">
        <f t="shared" si="530"/>
        <v>A veces</v>
      </c>
      <c r="S1284">
        <v>0</v>
      </c>
      <c r="T1284" t="str">
        <f t="shared" si="531"/>
        <v>No fuma</v>
      </c>
      <c r="U1284">
        <v>2184707</v>
      </c>
      <c r="V1284">
        <f t="shared" si="532"/>
        <v>2</v>
      </c>
      <c r="W1284" t="str">
        <f t="shared" si="533"/>
        <v>Siempre</v>
      </c>
      <c r="X1284">
        <v>0</v>
      </c>
      <c r="Y1284" t="str">
        <f t="shared" si="534"/>
        <v>No controla</v>
      </c>
      <c r="Z1284">
        <v>2000561</v>
      </c>
      <c r="AA1284">
        <f t="shared" si="535"/>
        <v>3</v>
      </c>
      <c r="AB1284" t="str">
        <f t="shared" si="536"/>
        <v>Siempre</v>
      </c>
      <c r="AC1284">
        <v>0.85389099999999996</v>
      </c>
      <c r="AD1284">
        <f t="shared" si="537"/>
        <v>0</v>
      </c>
      <c r="AE1284" t="str">
        <f t="shared" si="538"/>
        <v>Nunca</v>
      </c>
      <c r="AF1284">
        <v>2</v>
      </c>
      <c r="AG1284" t="str">
        <f t="shared" si="539"/>
        <v>Usualmente</v>
      </c>
      <c r="AH1284">
        <v>1</v>
      </c>
      <c r="AI1284" t="str">
        <f t="shared" si="540"/>
        <v>Usa auto</v>
      </c>
      <c r="AJ1284">
        <v>0</v>
      </c>
      <c r="AK1284" t="str">
        <f t="shared" si="541"/>
        <v>No usa</v>
      </c>
      <c r="AL1284">
        <v>0</v>
      </c>
      <c r="AM1284" t="str">
        <f t="shared" si="542"/>
        <v>No usa</v>
      </c>
      <c r="AN1284">
        <v>0</v>
      </c>
      <c r="AO1284" t="str">
        <f t="shared" si="543"/>
        <v>No usa</v>
      </c>
      <c r="AP1284">
        <v>0</v>
      </c>
      <c r="AQ1284" t="str">
        <f t="shared" si="544"/>
        <v>No camina</v>
      </c>
      <c r="AR1284">
        <v>1</v>
      </c>
      <c r="AS1284" t="str">
        <f t="shared" si="545"/>
        <v>Es Obeso</v>
      </c>
    </row>
    <row r="1285" spans="1:45" x14ac:dyDescent="0.25">
      <c r="A1285">
        <v>0</v>
      </c>
      <c r="B1285" t="str">
        <f t="shared" si="520"/>
        <v>F</v>
      </c>
      <c r="C1285">
        <v>30163408</v>
      </c>
      <c r="D1285">
        <f t="shared" si="521"/>
        <v>82</v>
      </c>
      <c r="E1285">
        <f t="shared" si="522"/>
        <v>82</v>
      </c>
      <c r="F1285" t="str">
        <f t="shared" si="523"/>
        <v>75-100</v>
      </c>
      <c r="G1285">
        <v>1</v>
      </c>
      <c r="H1285" t="str">
        <f t="shared" si="524"/>
        <v>Pariente gordo</v>
      </c>
      <c r="I1285">
        <v>1</v>
      </c>
      <c r="J1285" t="str">
        <f t="shared" si="525"/>
        <v>Hipercaloricos</v>
      </c>
      <c r="K1285">
        <v>2028225</v>
      </c>
      <c r="L1285">
        <f t="shared" si="526"/>
        <v>1</v>
      </c>
      <c r="M1285" t="str">
        <f t="shared" si="527"/>
        <v>Suele comer</v>
      </c>
      <c r="N1285">
        <v>1923607</v>
      </c>
      <c r="O1285">
        <f t="shared" si="528"/>
        <v>2</v>
      </c>
      <c r="P1285" t="str">
        <f t="shared" si="529"/>
        <v>Mas de 3</v>
      </c>
      <c r="Q1285">
        <v>1</v>
      </c>
      <c r="R1285" t="str">
        <f t="shared" si="530"/>
        <v>A veces</v>
      </c>
      <c r="S1285">
        <v>0</v>
      </c>
      <c r="T1285" t="str">
        <f t="shared" si="531"/>
        <v>No fuma</v>
      </c>
      <c r="U1285">
        <v>1798917</v>
      </c>
      <c r="V1285">
        <f t="shared" si="532"/>
        <v>2</v>
      </c>
      <c r="W1285" t="str">
        <f t="shared" si="533"/>
        <v>Siempre</v>
      </c>
      <c r="X1285">
        <v>0</v>
      </c>
      <c r="Y1285" t="str">
        <f t="shared" si="534"/>
        <v>No controla</v>
      </c>
      <c r="Z1285">
        <v>0</v>
      </c>
      <c r="AA1285">
        <f t="shared" si="535"/>
        <v>0</v>
      </c>
      <c r="AB1285" t="str">
        <f t="shared" si="536"/>
        <v>Nunca</v>
      </c>
      <c r="AC1285">
        <v>0</v>
      </c>
      <c r="AD1285">
        <f t="shared" si="537"/>
        <v>0</v>
      </c>
      <c r="AE1285" t="str">
        <f t="shared" si="538"/>
        <v>Nunca</v>
      </c>
      <c r="AF1285">
        <v>0</v>
      </c>
      <c r="AG1285" t="str">
        <f t="shared" si="539"/>
        <v>Nunca</v>
      </c>
      <c r="AH1285">
        <v>0</v>
      </c>
      <c r="AI1285" t="str">
        <f t="shared" si="540"/>
        <v>No usa</v>
      </c>
      <c r="AJ1285">
        <v>0</v>
      </c>
      <c r="AK1285" t="str">
        <f t="shared" si="541"/>
        <v>No usa</v>
      </c>
      <c r="AL1285">
        <v>0</v>
      </c>
      <c r="AM1285" t="str">
        <f t="shared" si="542"/>
        <v>No usa</v>
      </c>
      <c r="AN1285">
        <v>1</v>
      </c>
      <c r="AO1285" t="str">
        <f t="shared" si="543"/>
        <v>Usa Transporte</v>
      </c>
      <c r="AP1285">
        <v>0</v>
      </c>
      <c r="AQ1285" t="str">
        <f t="shared" si="544"/>
        <v>No camina</v>
      </c>
      <c r="AR1285">
        <v>1</v>
      </c>
      <c r="AS1285" t="str">
        <f t="shared" si="545"/>
        <v>Es Obeso</v>
      </c>
    </row>
    <row r="1286" spans="1:45" x14ac:dyDescent="0.25">
      <c r="A1286">
        <v>0</v>
      </c>
      <c r="B1286" t="str">
        <f t="shared" si="520"/>
        <v>F</v>
      </c>
      <c r="C1286">
        <v>28770039</v>
      </c>
      <c r="D1286">
        <f t="shared" si="521"/>
        <v>78</v>
      </c>
      <c r="E1286">
        <f t="shared" si="522"/>
        <v>78</v>
      </c>
      <c r="F1286" t="str">
        <f t="shared" si="523"/>
        <v>75-100</v>
      </c>
      <c r="G1286">
        <v>1</v>
      </c>
      <c r="H1286" t="str">
        <f t="shared" si="524"/>
        <v>Pariente gordo</v>
      </c>
      <c r="I1286">
        <v>1</v>
      </c>
      <c r="J1286" t="str">
        <f t="shared" si="525"/>
        <v>Hipercaloricos</v>
      </c>
      <c r="K1286">
        <v>2</v>
      </c>
      <c r="L1286">
        <f t="shared" si="526"/>
        <v>1</v>
      </c>
      <c r="M1286" t="str">
        <f t="shared" si="527"/>
        <v>Suele comer</v>
      </c>
      <c r="N1286">
        <v>1</v>
      </c>
      <c r="O1286">
        <f t="shared" si="528"/>
        <v>1</v>
      </c>
      <c r="P1286">
        <f t="shared" si="529"/>
        <v>3</v>
      </c>
      <c r="Q1286">
        <v>1</v>
      </c>
      <c r="R1286" t="str">
        <f t="shared" si="530"/>
        <v>A veces</v>
      </c>
      <c r="S1286">
        <v>0</v>
      </c>
      <c r="T1286" t="str">
        <f t="shared" si="531"/>
        <v>No fuma</v>
      </c>
      <c r="U1286">
        <v>2</v>
      </c>
      <c r="V1286">
        <f t="shared" si="532"/>
        <v>2</v>
      </c>
      <c r="W1286" t="str">
        <f t="shared" si="533"/>
        <v>Siempre</v>
      </c>
      <c r="X1286">
        <v>0</v>
      </c>
      <c r="Y1286" t="str">
        <f t="shared" si="534"/>
        <v>No controla</v>
      </c>
      <c r="Z1286">
        <v>5.4050000000000001E-3</v>
      </c>
      <c r="AA1286">
        <f t="shared" si="535"/>
        <v>0</v>
      </c>
      <c r="AB1286" t="str">
        <f t="shared" si="536"/>
        <v>Nunca</v>
      </c>
      <c r="AC1286">
        <v>0</v>
      </c>
      <c r="AD1286">
        <f t="shared" si="537"/>
        <v>0</v>
      </c>
      <c r="AE1286" t="str">
        <f t="shared" si="538"/>
        <v>Nunca</v>
      </c>
      <c r="AF1286">
        <v>0</v>
      </c>
      <c r="AG1286" t="str">
        <f t="shared" si="539"/>
        <v>Nunca</v>
      </c>
      <c r="AH1286">
        <v>0</v>
      </c>
      <c r="AI1286" t="str">
        <f t="shared" si="540"/>
        <v>No usa</v>
      </c>
      <c r="AJ1286">
        <v>0</v>
      </c>
      <c r="AK1286" t="str">
        <f t="shared" si="541"/>
        <v>No usa</v>
      </c>
      <c r="AL1286">
        <v>0</v>
      </c>
      <c r="AM1286" t="str">
        <f t="shared" si="542"/>
        <v>No usa</v>
      </c>
      <c r="AN1286">
        <v>1</v>
      </c>
      <c r="AO1286" t="str">
        <f t="shared" si="543"/>
        <v>Usa Transporte</v>
      </c>
      <c r="AP1286">
        <v>0</v>
      </c>
      <c r="AQ1286" t="str">
        <f t="shared" si="544"/>
        <v>No camina</v>
      </c>
      <c r="AR1286">
        <v>1</v>
      </c>
      <c r="AS1286" t="str">
        <f t="shared" si="545"/>
        <v>Es Obeso</v>
      </c>
    </row>
    <row r="1287" spans="1:45" x14ac:dyDescent="0.25">
      <c r="A1287">
        <v>0</v>
      </c>
      <c r="B1287" t="str">
        <f t="shared" si="520"/>
        <v>F</v>
      </c>
      <c r="C1287">
        <v>42337283</v>
      </c>
      <c r="D1287">
        <f t="shared" si="521"/>
        <v>115</v>
      </c>
      <c r="E1287">
        <f t="shared" si="522"/>
        <v>100</v>
      </c>
      <c r="F1287" t="str">
        <f t="shared" si="523"/>
        <v>75-100</v>
      </c>
      <c r="G1287">
        <v>1</v>
      </c>
      <c r="H1287" t="str">
        <f t="shared" si="524"/>
        <v>Pariente gordo</v>
      </c>
      <c r="I1287">
        <v>1</v>
      </c>
      <c r="J1287" t="str">
        <f t="shared" si="525"/>
        <v>Hipercaloricos</v>
      </c>
      <c r="K1287">
        <v>281646</v>
      </c>
      <c r="L1287">
        <f t="shared" si="526"/>
        <v>1</v>
      </c>
      <c r="M1287" t="str">
        <f t="shared" si="527"/>
        <v>Suele comer</v>
      </c>
      <c r="N1287">
        <v>227374</v>
      </c>
      <c r="O1287">
        <f t="shared" si="528"/>
        <v>2</v>
      </c>
      <c r="P1287" t="str">
        <f t="shared" si="529"/>
        <v>Mas de 3</v>
      </c>
      <c r="Q1287">
        <v>1</v>
      </c>
      <c r="R1287" t="str">
        <f t="shared" si="530"/>
        <v>A veces</v>
      </c>
      <c r="S1287">
        <v>0</v>
      </c>
      <c r="T1287" t="str">
        <f t="shared" si="531"/>
        <v>No fuma</v>
      </c>
      <c r="U1287">
        <v>1722063</v>
      </c>
      <c r="V1287">
        <f t="shared" si="532"/>
        <v>2</v>
      </c>
      <c r="W1287" t="str">
        <f t="shared" si="533"/>
        <v>Siempre</v>
      </c>
      <c r="X1287">
        <v>0</v>
      </c>
      <c r="Y1287" t="str">
        <f t="shared" si="534"/>
        <v>No controla</v>
      </c>
      <c r="Z1287">
        <v>0</v>
      </c>
      <c r="AA1287">
        <f t="shared" si="535"/>
        <v>0</v>
      </c>
      <c r="AB1287" t="str">
        <f t="shared" si="536"/>
        <v>Nunca</v>
      </c>
      <c r="AC1287">
        <v>0</v>
      </c>
      <c r="AD1287">
        <f t="shared" si="537"/>
        <v>0</v>
      </c>
      <c r="AE1287" t="str">
        <f t="shared" si="538"/>
        <v>Nunca</v>
      </c>
      <c r="AF1287">
        <v>0</v>
      </c>
      <c r="AG1287" t="str">
        <f t="shared" si="539"/>
        <v>Nunca</v>
      </c>
      <c r="AH1287">
        <v>1</v>
      </c>
      <c r="AI1287" t="str">
        <f t="shared" si="540"/>
        <v>Usa auto</v>
      </c>
      <c r="AJ1287">
        <v>0</v>
      </c>
      <c r="AK1287" t="str">
        <f t="shared" si="541"/>
        <v>No usa</v>
      </c>
      <c r="AL1287">
        <v>0</v>
      </c>
      <c r="AM1287" t="str">
        <f t="shared" si="542"/>
        <v>No usa</v>
      </c>
      <c r="AN1287">
        <v>0</v>
      </c>
      <c r="AO1287" t="str">
        <f t="shared" si="543"/>
        <v>No usa</v>
      </c>
      <c r="AP1287">
        <v>0</v>
      </c>
      <c r="AQ1287" t="str">
        <f t="shared" si="544"/>
        <v>No camina</v>
      </c>
      <c r="AR1287">
        <v>1</v>
      </c>
      <c r="AS1287" t="str">
        <f t="shared" si="545"/>
        <v>Es Obeso</v>
      </c>
    </row>
    <row r="1288" spans="1:45" x14ac:dyDescent="0.25">
      <c r="A1288">
        <v>0</v>
      </c>
      <c r="B1288" t="str">
        <f t="shared" si="520"/>
        <v>F</v>
      </c>
      <c r="C1288">
        <v>47283374</v>
      </c>
      <c r="D1288">
        <f t="shared" si="521"/>
        <v>129</v>
      </c>
      <c r="E1288">
        <f t="shared" si="522"/>
        <v>100</v>
      </c>
      <c r="F1288" t="str">
        <f t="shared" si="523"/>
        <v>75-100</v>
      </c>
      <c r="G1288">
        <v>1</v>
      </c>
      <c r="H1288" t="str">
        <f t="shared" si="524"/>
        <v>Pariente gordo</v>
      </c>
      <c r="I1288">
        <v>1</v>
      </c>
      <c r="J1288" t="str">
        <f t="shared" si="525"/>
        <v>Hipercaloricos</v>
      </c>
      <c r="K1288">
        <v>2037585</v>
      </c>
      <c r="L1288">
        <f t="shared" si="526"/>
        <v>1</v>
      </c>
      <c r="M1288" t="str">
        <f t="shared" si="527"/>
        <v>Suele comer</v>
      </c>
      <c r="N1288">
        <v>1418985</v>
      </c>
      <c r="O1288">
        <f t="shared" si="528"/>
        <v>2</v>
      </c>
      <c r="P1288" t="str">
        <f t="shared" si="529"/>
        <v>Mas de 3</v>
      </c>
      <c r="Q1288">
        <v>1</v>
      </c>
      <c r="R1288" t="str">
        <f t="shared" si="530"/>
        <v>A veces</v>
      </c>
      <c r="S1288">
        <v>0</v>
      </c>
      <c r="T1288" t="str">
        <f t="shared" si="531"/>
        <v>No fuma</v>
      </c>
      <c r="U1288">
        <v>1827351</v>
      </c>
      <c r="V1288">
        <f t="shared" si="532"/>
        <v>2</v>
      </c>
      <c r="W1288" t="str">
        <f t="shared" si="533"/>
        <v>Siempre</v>
      </c>
      <c r="X1288">
        <v>0</v>
      </c>
      <c r="Y1288" t="str">
        <f t="shared" si="534"/>
        <v>No controla</v>
      </c>
      <c r="Z1288">
        <v>0</v>
      </c>
      <c r="AA1288">
        <f t="shared" si="535"/>
        <v>0</v>
      </c>
      <c r="AB1288" t="str">
        <f t="shared" si="536"/>
        <v>Nunca</v>
      </c>
      <c r="AC1288">
        <v>0</v>
      </c>
      <c r="AD1288">
        <f t="shared" si="537"/>
        <v>0</v>
      </c>
      <c r="AE1288" t="str">
        <f t="shared" si="538"/>
        <v>Nunca</v>
      </c>
      <c r="AF1288">
        <v>0</v>
      </c>
      <c r="AG1288" t="str">
        <f t="shared" si="539"/>
        <v>Nunca</v>
      </c>
      <c r="AH1288">
        <v>1</v>
      </c>
      <c r="AI1288" t="str">
        <f t="shared" si="540"/>
        <v>Usa auto</v>
      </c>
      <c r="AJ1288">
        <v>0</v>
      </c>
      <c r="AK1288" t="str">
        <f t="shared" si="541"/>
        <v>No usa</v>
      </c>
      <c r="AL1288">
        <v>0</v>
      </c>
      <c r="AM1288" t="str">
        <f t="shared" si="542"/>
        <v>No usa</v>
      </c>
      <c r="AN1288">
        <v>0</v>
      </c>
      <c r="AO1288" t="str">
        <f t="shared" si="543"/>
        <v>No usa</v>
      </c>
      <c r="AP1288">
        <v>0</v>
      </c>
      <c r="AQ1288" t="str">
        <f t="shared" si="544"/>
        <v>No camina</v>
      </c>
      <c r="AR1288">
        <v>1</v>
      </c>
      <c r="AS1288" t="str">
        <f t="shared" si="545"/>
        <v>Es Obeso</v>
      </c>
    </row>
    <row r="1289" spans="1:45" x14ac:dyDescent="0.25">
      <c r="A1289">
        <v>0</v>
      </c>
      <c r="B1289" t="str">
        <f t="shared" si="520"/>
        <v>F</v>
      </c>
      <c r="C1289">
        <v>22518787</v>
      </c>
      <c r="D1289">
        <f t="shared" si="521"/>
        <v>61</v>
      </c>
      <c r="E1289">
        <f t="shared" si="522"/>
        <v>61</v>
      </c>
      <c r="F1289" t="str">
        <f t="shared" si="523"/>
        <v>50-75</v>
      </c>
      <c r="G1289">
        <v>1</v>
      </c>
      <c r="H1289" t="str">
        <f t="shared" si="524"/>
        <v>Pariente gordo</v>
      </c>
      <c r="I1289">
        <v>1</v>
      </c>
      <c r="J1289" t="str">
        <f t="shared" si="525"/>
        <v>Hipercaloricos</v>
      </c>
      <c r="K1289">
        <v>1853314</v>
      </c>
      <c r="L1289">
        <f t="shared" si="526"/>
        <v>1</v>
      </c>
      <c r="M1289" t="str">
        <f t="shared" si="527"/>
        <v>Suele comer</v>
      </c>
      <c r="N1289">
        <v>1320768</v>
      </c>
      <c r="O1289">
        <f t="shared" si="528"/>
        <v>2</v>
      </c>
      <c r="P1289" t="str">
        <f t="shared" si="529"/>
        <v>Mas de 3</v>
      </c>
      <c r="Q1289">
        <v>1</v>
      </c>
      <c r="R1289" t="str">
        <f t="shared" si="530"/>
        <v>A veces</v>
      </c>
      <c r="S1289">
        <v>0</v>
      </c>
      <c r="T1289" t="str">
        <f t="shared" si="531"/>
        <v>No fuma</v>
      </c>
      <c r="U1289">
        <v>2135552</v>
      </c>
      <c r="V1289">
        <f t="shared" si="532"/>
        <v>2</v>
      </c>
      <c r="W1289" t="str">
        <f t="shared" si="533"/>
        <v>Siempre</v>
      </c>
      <c r="X1289">
        <v>0</v>
      </c>
      <c r="Y1289" t="str">
        <f t="shared" si="534"/>
        <v>No controla</v>
      </c>
      <c r="Z1289">
        <v>0.248034</v>
      </c>
      <c r="AA1289">
        <f t="shared" si="535"/>
        <v>0</v>
      </c>
      <c r="AB1289" t="str">
        <f t="shared" si="536"/>
        <v>Nunca</v>
      </c>
      <c r="AC1289">
        <v>1727828</v>
      </c>
      <c r="AD1289">
        <f t="shared" si="537"/>
        <v>2</v>
      </c>
      <c r="AE1289" t="str">
        <f t="shared" si="538"/>
        <v>Siempre</v>
      </c>
      <c r="AF1289">
        <v>1</v>
      </c>
      <c r="AG1289" t="str">
        <f t="shared" si="539"/>
        <v>A veces</v>
      </c>
      <c r="AH1289">
        <v>0</v>
      </c>
      <c r="AI1289" t="str">
        <f t="shared" si="540"/>
        <v>No usa</v>
      </c>
      <c r="AJ1289">
        <v>0</v>
      </c>
      <c r="AK1289" t="str">
        <f t="shared" si="541"/>
        <v>No usa</v>
      </c>
      <c r="AL1289">
        <v>0</v>
      </c>
      <c r="AM1289" t="str">
        <f t="shared" si="542"/>
        <v>No usa</v>
      </c>
      <c r="AN1289">
        <v>1</v>
      </c>
      <c r="AO1289" t="str">
        <f t="shared" si="543"/>
        <v>Usa Transporte</v>
      </c>
      <c r="AP1289">
        <v>0</v>
      </c>
      <c r="AQ1289" t="str">
        <f t="shared" si="544"/>
        <v>No camina</v>
      </c>
      <c r="AR1289">
        <v>1</v>
      </c>
      <c r="AS1289" t="str">
        <f t="shared" si="545"/>
        <v>Es Obeso</v>
      </c>
    </row>
    <row r="1290" spans="1:45" x14ac:dyDescent="0.25">
      <c r="A1290">
        <v>0</v>
      </c>
      <c r="B1290" t="str">
        <f t="shared" si="520"/>
        <v>F</v>
      </c>
      <c r="C1290">
        <v>22836315</v>
      </c>
      <c r="D1290">
        <f t="shared" si="521"/>
        <v>62</v>
      </c>
      <c r="E1290">
        <f t="shared" si="522"/>
        <v>62</v>
      </c>
      <c r="F1290" t="str">
        <f t="shared" si="523"/>
        <v>50-75</v>
      </c>
      <c r="G1290">
        <v>1</v>
      </c>
      <c r="H1290" t="str">
        <f t="shared" si="524"/>
        <v>Pariente gordo</v>
      </c>
      <c r="I1290">
        <v>1</v>
      </c>
      <c r="J1290" t="str">
        <f t="shared" si="525"/>
        <v>Hipercaloricos</v>
      </c>
      <c r="K1290">
        <v>100876</v>
      </c>
      <c r="L1290">
        <f t="shared" si="526"/>
        <v>1</v>
      </c>
      <c r="M1290" t="str">
        <f t="shared" si="527"/>
        <v>Suele comer</v>
      </c>
      <c r="N1290">
        <v>1</v>
      </c>
      <c r="O1290">
        <f t="shared" si="528"/>
        <v>1</v>
      </c>
      <c r="P1290">
        <f t="shared" si="529"/>
        <v>3</v>
      </c>
      <c r="Q1290">
        <v>1</v>
      </c>
      <c r="R1290" t="str">
        <f t="shared" si="530"/>
        <v>A veces</v>
      </c>
      <c r="S1290">
        <v>0</v>
      </c>
      <c r="T1290" t="str">
        <f t="shared" si="531"/>
        <v>No fuma</v>
      </c>
      <c r="U1290">
        <v>2</v>
      </c>
      <c r="V1290">
        <f t="shared" si="532"/>
        <v>2</v>
      </c>
      <c r="W1290" t="str">
        <f t="shared" si="533"/>
        <v>Siempre</v>
      </c>
      <c r="X1290">
        <v>0</v>
      </c>
      <c r="Y1290" t="str">
        <f t="shared" si="534"/>
        <v>No controla</v>
      </c>
      <c r="Z1290">
        <v>0</v>
      </c>
      <c r="AA1290">
        <f t="shared" si="535"/>
        <v>0</v>
      </c>
      <c r="AB1290" t="str">
        <f t="shared" si="536"/>
        <v>Nunca</v>
      </c>
      <c r="AC1290">
        <v>0.58591199999999999</v>
      </c>
      <c r="AD1290">
        <f t="shared" si="537"/>
        <v>0</v>
      </c>
      <c r="AE1290" t="str">
        <f t="shared" si="538"/>
        <v>Nunca</v>
      </c>
      <c r="AF1290">
        <v>1</v>
      </c>
      <c r="AG1290" t="str">
        <f t="shared" si="539"/>
        <v>A veces</v>
      </c>
      <c r="AH1290">
        <v>0</v>
      </c>
      <c r="AI1290" t="str">
        <f t="shared" si="540"/>
        <v>No usa</v>
      </c>
      <c r="AJ1290">
        <v>0</v>
      </c>
      <c r="AK1290" t="str">
        <f t="shared" si="541"/>
        <v>No usa</v>
      </c>
      <c r="AL1290">
        <v>0</v>
      </c>
      <c r="AM1290" t="str">
        <f t="shared" si="542"/>
        <v>No usa</v>
      </c>
      <c r="AN1290">
        <v>1</v>
      </c>
      <c r="AO1290" t="str">
        <f t="shared" si="543"/>
        <v>Usa Transporte</v>
      </c>
      <c r="AP1290">
        <v>0</v>
      </c>
      <c r="AQ1290" t="str">
        <f t="shared" si="544"/>
        <v>No camina</v>
      </c>
      <c r="AR1290">
        <v>1</v>
      </c>
      <c r="AS1290" t="str">
        <f t="shared" si="545"/>
        <v>Es Obeso</v>
      </c>
    </row>
    <row r="1291" spans="1:45" x14ac:dyDescent="0.25">
      <c r="A1291">
        <v>1</v>
      </c>
      <c r="B1291" t="str">
        <f t="shared" si="520"/>
        <v>M</v>
      </c>
      <c r="C1291">
        <v>23</v>
      </c>
      <c r="D1291">
        <f t="shared" si="521"/>
        <v>23</v>
      </c>
      <c r="E1291">
        <f t="shared" si="522"/>
        <v>23</v>
      </c>
      <c r="F1291" t="str">
        <f t="shared" si="523"/>
        <v>1-25</v>
      </c>
      <c r="G1291">
        <v>1</v>
      </c>
      <c r="H1291" t="str">
        <f t="shared" si="524"/>
        <v>Pariente gordo</v>
      </c>
      <c r="I1291">
        <v>1</v>
      </c>
      <c r="J1291" t="str">
        <f t="shared" si="525"/>
        <v>Hipercaloricos</v>
      </c>
      <c r="K1291">
        <v>2</v>
      </c>
      <c r="L1291">
        <f t="shared" si="526"/>
        <v>1</v>
      </c>
      <c r="M1291" t="str">
        <f t="shared" si="527"/>
        <v>Suele comer</v>
      </c>
      <c r="N1291">
        <v>3</v>
      </c>
      <c r="O1291">
        <f t="shared" si="528"/>
        <v>2</v>
      </c>
      <c r="P1291" t="str">
        <f t="shared" si="529"/>
        <v>Mas de 3</v>
      </c>
      <c r="Q1291">
        <v>1</v>
      </c>
      <c r="R1291" t="str">
        <f t="shared" si="530"/>
        <v>A veces</v>
      </c>
      <c r="S1291">
        <v>0</v>
      </c>
      <c r="T1291" t="str">
        <f t="shared" si="531"/>
        <v>No fuma</v>
      </c>
      <c r="U1291">
        <v>1490613</v>
      </c>
      <c r="V1291">
        <f t="shared" si="532"/>
        <v>2</v>
      </c>
      <c r="W1291" t="str">
        <f t="shared" si="533"/>
        <v>Siempre</v>
      </c>
      <c r="X1291">
        <v>0</v>
      </c>
      <c r="Y1291" t="str">
        <f t="shared" si="534"/>
        <v>No controla</v>
      </c>
      <c r="Z1291">
        <v>0.65431600000000001</v>
      </c>
      <c r="AA1291">
        <f t="shared" si="535"/>
        <v>0</v>
      </c>
      <c r="AB1291" t="str">
        <f t="shared" si="536"/>
        <v>Nunca</v>
      </c>
      <c r="AC1291">
        <v>1</v>
      </c>
      <c r="AD1291">
        <f t="shared" si="537"/>
        <v>1</v>
      </c>
      <c r="AE1291" t="str">
        <f t="shared" si="538"/>
        <v>Usualmente</v>
      </c>
      <c r="AF1291">
        <v>0</v>
      </c>
      <c r="AG1291" t="str">
        <f t="shared" si="539"/>
        <v>Nunca</v>
      </c>
      <c r="AH1291">
        <v>0</v>
      </c>
      <c r="AI1291" t="str">
        <f t="shared" si="540"/>
        <v>No usa</v>
      </c>
      <c r="AJ1291">
        <v>0</v>
      </c>
      <c r="AK1291" t="str">
        <f t="shared" si="541"/>
        <v>No usa</v>
      </c>
      <c r="AL1291">
        <v>0</v>
      </c>
      <c r="AM1291" t="str">
        <f t="shared" si="542"/>
        <v>No usa</v>
      </c>
      <c r="AN1291">
        <v>1</v>
      </c>
      <c r="AO1291" t="str">
        <f t="shared" si="543"/>
        <v>Usa Transporte</v>
      </c>
      <c r="AP1291">
        <v>0</v>
      </c>
      <c r="AQ1291" t="str">
        <f t="shared" si="544"/>
        <v>No camina</v>
      </c>
      <c r="AR1291">
        <v>1</v>
      </c>
      <c r="AS1291" t="str">
        <f t="shared" si="545"/>
        <v>Es Obeso</v>
      </c>
    </row>
    <row r="1292" spans="1:45" x14ac:dyDescent="0.25">
      <c r="A1292">
        <v>1</v>
      </c>
      <c r="B1292" t="str">
        <f t="shared" si="520"/>
        <v>M</v>
      </c>
      <c r="C1292">
        <v>22975526</v>
      </c>
      <c r="D1292">
        <f t="shared" si="521"/>
        <v>62</v>
      </c>
      <c r="E1292">
        <f t="shared" si="522"/>
        <v>62</v>
      </c>
      <c r="F1292" t="str">
        <f t="shared" si="523"/>
        <v>50-75</v>
      </c>
      <c r="G1292">
        <v>1</v>
      </c>
      <c r="H1292" t="str">
        <f t="shared" si="524"/>
        <v>Pariente gordo</v>
      </c>
      <c r="I1292">
        <v>1</v>
      </c>
      <c r="J1292" t="str">
        <f t="shared" si="525"/>
        <v>Hipercaloricos</v>
      </c>
      <c r="K1292">
        <v>2</v>
      </c>
      <c r="L1292">
        <f t="shared" si="526"/>
        <v>1</v>
      </c>
      <c r="M1292" t="str">
        <f t="shared" si="527"/>
        <v>Suele comer</v>
      </c>
      <c r="N1292">
        <v>3</v>
      </c>
      <c r="O1292">
        <f t="shared" si="528"/>
        <v>2</v>
      </c>
      <c r="P1292" t="str">
        <f t="shared" si="529"/>
        <v>Mas de 3</v>
      </c>
      <c r="Q1292">
        <v>1</v>
      </c>
      <c r="R1292" t="str">
        <f t="shared" si="530"/>
        <v>A veces</v>
      </c>
      <c r="S1292">
        <v>0</v>
      </c>
      <c r="T1292" t="str">
        <f t="shared" si="531"/>
        <v>No fuma</v>
      </c>
      <c r="U1292">
        <v>202127</v>
      </c>
      <c r="V1292">
        <f t="shared" si="532"/>
        <v>2</v>
      </c>
      <c r="W1292" t="str">
        <f t="shared" si="533"/>
        <v>Siempre</v>
      </c>
      <c r="X1292">
        <v>0</v>
      </c>
      <c r="Y1292" t="str">
        <f t="shared" si="534"/>
        <v>No controla</v>
      </c>
      <c r="Z1292">
        <v>1814869</v>
      </c>
      <c r="AA1292">
        <f t="shared" si="535"/>
        <v>3</v>
      </c>
      <c r="AB1292" t="str">
        <f t="shared" si="536"/>
        <v>Siempre</v>
      </c>
      <c r="AC1292">
        <v>1066603</v>
      </c>
      <c r="AD1292">
        <f t="shared" si="537"/>
        <v>2</v>
      </c>
      <c r="AE1292" t="str">
        <f t="shared" si="538"/>
        <v>Siempre</v>
      </c>
      <c r="AF1292">
        <v>0</v>
      </c>
      <c r="AG1292" t="str">
        <f t="shared" si="539"/>
        <v>Nunca</v>
      </c>
      <c r="AH1292">
        <v>0</v>
      </c>
      <c r="AI1292" t="str">
        <f t="shared" si="540"/>
        <v>No usa</v>
      </c>
      <c r="AJ1292">
        <v>0</v>
      </c>
      <c r="AK1292" t="str">
        <f t="shared" si="541"/>
        <v>No usa</v>
      </c>
      <c r="AL1292">
        <v>0</v>
      </c>
      <c r="AM1292" t="str">
        <f t="shared" si="542"/>
        <v>No usa</v>
      </c>
      <c r="AN1292">
        <v>1</v>
      </c>
      <c r="AO1292" t="str">
        <f t="shared" si="543"/>
        <v>Usa Transporte</v>
      </c>
      <c r="AP1292">
        <v>0</v>
      </c>
      <c r="AQ1292" t="str">
        <f t="shared" si="544"/>
        <v>No camina</v>
      </c>
      <c r="AR1292">
        <v>1</v>
      </c>
      <c r="AS1292" t="str">
        <f t="shared" si="545"/>
        <v>Es Obeso</v>
      </c>
    </row>
    <row r="1293" spans="1:45" x14ac:dyDescent="0.25">
      <c r="A1293">
        <v>1</v>
      </c>
      <c r="B1293" t="str">
        <f t="shared" si="520"/>
        <v>M</v>
      </c>
      <c r="C1293">
        <v>22720449</v>
      </c>
      <c r="D1293">
        <f t="shared" si="521"/>
        <v>62</v>
      </c>
      <c r="E1293">
        <f t="shared" si="522"/>
        <v>62</v>
      </c>
      <c r="F1293" t="str">
        <f t="shared" si="523"/>
        <v>50-75</v>
      </c>
      <c r="G1293">
        <v>1</v>
      </c>
      <c r="H1293" t="str">
        <f t="shared" si="524"/>
        <v>Pariente gordo</v>
      </c>
      <c r="I1293">
        <v>1</v>
      </c>
      <c r="J1293" t="str">
        <f t="shared" si="525"/>
        <v>Hipercaloricos</v>
      </c>
      <c r="K1293">
        <v>2103335</v>
      </c>
      <c r="L1293">
        <f t="shared" si="526"/>
        <v>1</v>
      </c>
      <c r="M1293" t="str">
        <f t="shared" si="527"/>
        <v>Suele comer</v>
      </c>
      <c r="N1293">
        <v>2964024</v>
      </c>
      <c r="O1293">
        <f t="shared" si="528"/>
        <v>2</v>
      </c>
      <c r="P1293" t="str">
        <f t="shared" si="529"/>
        <v>Mas de 3</v>
      </c>
      <c r="Q1293">
        <v>1</v>
      </c>
      <c r="R1293" t="str">
        <f t="shared" si="530"/>
        <v>A veces</v>
      </c>
      <c r="S1293">
        <v>0</v>
      </c>
      <c r="T1293" t="str">
        <f t="shared" si="531"/>
        <v>No fuma</v>
      </c>
      <c r="U1293">
        <v>3</v>
      </c>
      <c r="V1293">
        <f t="shared" si="532"/>
        <v>2</v>
      </c>
      <c r="W1293" t="str">
        <f t="shared" si="533"/>
        <v>Siempre</v>
      </c>
      <c r="X1293">
        <v>0</v>
      </c>
      <c r="Y1293" t="str">
        <f t="shared" si="534"/>
        <v>No controla</v>
      </c>
      <c r="Z1293">
        <v>0.63294700000000004</v>
      </c>
      <c r="AA1293">
        <f t="shared" si="535"/>
        <v>0</v>
      </c>
      <c r="AB1293" t="str">
        <f t="shared" si="536"/>
        <v>Nunca</v>
      </c>
      <c r="AC1293">
        <v>1</v>
      </c>
      <c r="AD1293">
        <f t="shared" si="537"/>
        <v>1</v>
      </c>
      <c r="AE1293" t="str">
        <f t="shared" si="538"/>
        <v>Usualmente</v>
      </c>
      <c r="AF1293">
        <v>0</v>
      </c>
      <c r="AG1293" t="str">
        <f t="shared" si="539"/>
        <v>Nunca</v>
      </c>
      <c r="AH1293">
        <v>0</v>
      </c>
      <c r="AI1293" t="str">
        <f t="shared" si="540"/>
        <v>No usa</v>
      </c>
      <c r="AJ1293">
        <v>0</v>
      </c>
      <c r="AK1293" t="str">
        <f t="shared" si="541"/>
        <v>No usa</v>
      </c>
      <c r="AL1293">
        <v>0</v>
      </c>
      <c r="AM1293" t="str">
        <f t="shared" si="542"/>
        <v>No usa</v>
      </c>
      <c r="AN1293">
        <v>1</v>
      </c>
      <c r="AO1293" t="str">
        <f t="shared" si="543"/>
        <v>Usa Transporte</v>
      </c>
      <c r="AP1293">
        <v>0</v>
      </c>
      <c r="AQ1293" t="str">
        <f t="shared" si="544"/>
        <v>No camina</v>
      </c>
      <c r="AR1293">
        <v>1</v>
      </c>
      <c r="AS1293" t="str">
        <f t="shared" si="545"/>
        <v>Es Obeso</v>
      </c>
    </row>
    <row r="1294" spans="1:45" x14ac:dyDescent="0.25">
      <c r="A1294">
        <v>1</v>
      </c>
      <c r="B1294" t="str">
        <f t="shared" si="520"/>
        <v>M</v>
      </c>
      <c r="C1294">
        <v>23887569</v>
      </c>
      <c r="D1294">
        <f t="shared" si="521"/>
        <v>65</v>
      </c>
      <c r="E1294">
        <f t="shared" si="522"/>
        <v>65</v>
      </c>
      <c r="F1294" t="str">
        <f t="shared" si="523"/>
        <v>50-75</v>
      </c>
      <c r="G1294">
        <v>1</v>
      </c>
      <c r="H1294" t="str">
        <f t="shared" si="524"/>
        <v>Pariente gordo</v>
      </c>
      <c r="I1294">
        <v>1</v>
      </c>
      <c r="J1294" t="str">
        <f t="shared" si="525"/>
        <v>Hipercaloricos</v>
      </c>
      <c r="K1294">
        <v>2</v>
      </c>
      <c r="L1294">
        <f t="shared" si="526"/>
        <v>1</v>
      </c>
      <c r="M1294" t="str">
        <f t="shared" si="527"/>
        <v>Suele comer</v>
      </c>
      <c r="N1294">
        <v>3</v>
      </c>
      <c r="O1294">
        <f t="shared" si="528"/>
        <v>2</v>
      </c>
      <c r="P1294" t="str">
        <f t="shared" si="529"/>
        <v>Mas de 3</v>
      </c>
      <c r="Q1294">
        <v>1</v>
      </c>
      <c r="R1294" t="str">
        <f t="shared" si="530"/>
        <v>A veces</v>
      </c>
      <c r="S1294">
        <v>0</v>
      </c>
      <c r="T1294" t="str">
        <f t="shared" si="531"/>
        <v>No fuma</v>
      </c>
      <c r="U1294">
        <v>3</v>
      </c>
      <c r="V1294">
        <f t="shared" si="532"/>
        <v>2</v>
      </c>
      <c r="W1294" t="str">
        <f t="shared" si="533"/>
        <v>Siempre</v>
      </c>
      <c r="X1294">
        <v>0</v>
      </c>
      <c r="Y1294" t="str">
        <f t="shared" si="534"/>
        <v>No controla</v>
      </c>
      <c r="Z1294">
        <v>0.60363800000000001</v>
      </c>
      <c r="AA1294">
        <f t="shared" si="535"/>
        <v>0</v>
      </c>
      <c r="AB1294" t="str">
        <f t="shared" si="536"/>
        <v>Nunca</v>
      </c>
      <c r="AC1294">
        <v>0.96908499999999997</v>
      </c>
      <c r="AD1294">
        <f t="shared" si="537"/>
        <v>0</v>
      </c>
      <c r="AE1294" t="str">
        <f t="shared" si="538"/>
        <v>Nunca</v>
      </c>
      <c r="AF1294">
        <v>0</v>
      </c>
      <c r="AG1294" t="str">
        <f t="shared" si="539"/>
        <v>Nunca</v>
      </c>
      <c r="AH1294">
        <v>0</v>
      </c>
      <c r="AI1294" t="str">
        <f t="shared" si="540"/>
        <v>No usa</v>
      </c>
      <c r="AJ1294">
        <v>0</v>
      </c>
      <c r="AK1294" t="str">
        <f t="shared" si="541"/>
        <v>No usa</v>
      </c>
      <c r="AL1294">
        <v>0</v>
      </c>
      <c r="AM1294" t="str">
        <f t="shared" si="542"/>
        <v>No usa</v>
      </c>
      <c r="AN1294">
        <v>1</v>
      </c>
      <c r="AO1294" t="str">
        <f t="shared" si="543"/>
        <v>Usa Transporte</v>
      </c>
      <c r="AP1294">
        <v>0</v>
      </c>
      <c r="AQ1294" t="str">
        <f t="shared" si="544"/>
        <v>No camina</v>
      </c>
      <c r="AR1294">
        <v>1</v>
      </c>
      <c r="AS1294" t="str">
        <f t="shared" si="545"/>
        <v>Es Obeso</v>
      </c>
    </row>
    <row r="1295" spans="1:45" x14ac:dyDescent="0.25">
      <c r="A1295">
        <v>0</v>
      </c>
      <c r="B1295" t="str">
        <f t="shared" si="520"/>
        <v>F</v>
      </c>
      <c r="C1295">
        <v>23</v>
      </c>
      <c r="D1295">
        <f t="shared" si="521"/>
        <v>23</v>
      </c>
      <c r="E1295">
        <f t="shared" si="522"/>
        <v>23</v>
      </c>
      <c r="F1295" t="str">
        <f t="shared" si="523"/>
        <v>1-25</v>
      </c>
      <c r="G1295">
        <v>1</v>
      </c>
      <c r="H1295" t="str">
        <f t="shared" si="524"/>
        <v>Pariente gordo</v>
      </c>
      <c r="I1295">
        <v>1</v>
      </c>
      <c r="J1295" t="str">
        <f t="shared" si="525"/>
        <v>Hipercaloricos</v>
      </c>
      <c r="K1295">
        <v>2060922</v>
      </c>
      <c r="L1295">
        <f t="shared" si="526"/>
        <v>1</v>
      </c>
      <c r="M1295" t="str">
        <f t="shared" si="527"/>
        <v>Suele comer</v>
      </c>
      <c r="N1295">
        <v>2933409</v>
      </c>
      <c r="O1295">
        <f t="shared" si="528"/>
        <v>2</v>
      </c>
      <c r="P1295" t="str">
        <f t="shared" si="529"/>
        <v>Mas de 3</v>
      </c>
      <c r="Q1295">
        <v>1</v>
      </c>
      <c r="R1295" t="str">
        <f t="shared" si="530"/>
        <v>A veces</v>
      </c>
      <c r="S1295">
        <v>0</v>
      </c>
      <c r="T1295" t="str">
        <f t="shared" si="531"/>
        <v>No fuma</v>
      </c>
      <c r="U1295">
        <v>2235282</v>
      </c>
      <c r="V1295">
        <f t="shared" si="532"/>
        <v>2</v>
      </c>
      <c r="W1295" t="str">
        <f t="shared" si="533"/>
        <v>Siempre</v>
      </c>
      <c r="X1295">
        <v>0</v>
      </c>
      <c r="Y1295" t="str">
        <f t="shared" si="534"/>
        <v>No controla</v>
      </c>
      <c r="Z1295">
        <v>0.380633</v>
      </c>
      <c r="AA1295">
        <f t="shared" si="535"/>
        <v>0</v>
      </c>
      <c r="AB1295" t="str">
        <f t="shared" si="536"/>
        <v>Nunca</v>
      </c>
      <c r="AC1295">
        <v>2.5999999999999999E-3</v>
      </c>
      <c r="AD1295">
        <f t="shared" si="537"/>
        <v>0</v>
      </c>
      <c r="AE1295" t="str">
        <f t="shared" si="538"/>
        <v>Nunca</v>
      </c>
      <c r="AF1295">
        <v>0</v>
      </c>
      <c r="AG1295" t="str">
        <f t="shared" si="539"/>
        <v>Nunca</v>
      </c>
      <c r="AH1295">
        <v>0</v>
      </c>
      <c r="AI1295" t="str">
        <f t="shared" si="540"/>
        <v>No usa</v>
      </c>
      <c r="AJ1295">
        <v>0</v>
      </c>
      <c r="AK1295" t="str">
        <f t="shared" si="541"/>
        <v>No usa</v>
      </c>
      <c r="AL1295">
        <v>0</v>
      </c>
      <c r="AM1295" t="str">
        <f t="shared" si="542"/>
        <v>No usa</v>
      </c>
      <c r="AN1295">
        <v>1</v>
      </c>
      <c r="AO1295" t="str">
        <f t="shared" si="543"/>
        <v>Usa Transporte</v>
      </c>
      <c r="AP1295">
        <v>0</v>
      </c>
      <c r="AQ1295" t="str">
        <f t="shared" si="544"/>
        <v>No camina</v>
      </c>
      <c r="AR1295">
        <v>1</v>
      </c>
      <c r="AS1295" t="str">
        <f t="shared" si="545"/>
        <v>Es Obeso</v>
      </c>
    </row>
    <row r="1296" spans="1:45" x14ac:dyDescent="0.25">
      <c r="A1296">
        <v>0</v>
      </c>
      <c r="B1296" t="str">
        <f t="shared" si="520"/>
        <v>F</v>
      </c>
      <c r="C1296">
        <v>23</v>
      </c>
      <c r="D1296">
        <f t="shared" si="521"/>
        <v>23</v>
      </c>
      <c r="E1296">
        <f t="shared" si="522"/>
        <v>23</v>
      </c>
      <c r="F1296" t="str">
        <f t="shared" si="523"/>
        <v>1-25</v>
      </c>
      <c r="G1296">
        <v>1</v>
      </c>
      <c r="H1296" t="str">
        <f t="shared" si="524"/>
        <v>Pariente gordo</v>
      </c>
      <c r="I1296">
        <v>1</v>
      </c>
      <c r="J1296" t="str">
        <f t="shared" si="525"/>
        <v>Hipercaloricos</v>
      </c>
      <c r="K1296">
        <v>2058687</v>
      </c>
      <c r="L1296">
        <f t="shared" si="526"/>
        <v>1</v>
      </c>
      <c r="M1296" t="str">
        <f t="shared" si="527"/>
        <v>Suele comer</v>
      </c>
      <c r="N1296">
        <v>2962004</v>
      </c>
      <c r="O1296">
        <f t="shared" si="528"/>
        <v>2</v>
      </c>
      <c r="P1296" t="str">
        <f t="shared" si="529"/>
        <v>Mas de 3</v>
      </c>
      <c r="Q1296">
        <v>1</v>
      </c>
      <c r="R1296" t="str">
        <f t="shared" si="530"/>
        <v>A veces</v>
      </c>
      <c r="S1296">
        <v>0</v>
      </c>
      <c r="T1296" t="str">
        <f t="shared" si="531"/>
        <v>No fuma</v>
      </c>
      <c r="U1296">
        <v>2010596</v>
      </c>
      <c r="V1296">
        <f t="shared" si="532"/>
        <v>2</v>
      </c>
      <c r="W1296" t="str">
        <f t="shared" si="533"/>
        <v>Siempre</v>
      </c>
      <c r="X1296">
        <v>0</v>
      </c>
      <c r="Y1296" t="str">
        <f t="shared" si="534"/>
        <v>No controla</v>
      </c>
      <c r="Z1296">
        <v>0.85105900000000001</v>
      </c>
      <c r="AA1296">
        <f t="shared" si="535"/>
        <v>0</v>
      </c>
      <c r="AB1296" t="str">
        <f t="shared" si="536"/>
        <v>Nunca</v>
      </c>
      <c r="AC1296">
        <v>0.63086600000000004</v>
      </c>
      <c r="AD1296">
        <f t="shared" si="537"/>
        <v>0</v>
      </c>
      <c r="AE1296" t="str">
        <f t="shared" si="538"/>
        <v>Nunca</v>
      </c>
      <c r="AF1296">
        <v>0</v>
      </c>
      <c r="AG1296" t="str">
        <f t="shared" si="539"/>
        <v>Nunca</v>
      </c>
      <c r="AH1296">
        <v>0</v>
      </c>
      <c r="AI1296" t="str">
        <f t="shared" si="540"/>
        <v>No usa</v>
      </c>
      <c r="AJ1296">
        <v>0</v>
      </c>
      <c r="AK1296" t="str">
        <f t="shared" si="541"/>
        <v>No usa</v>
      </c>
      <c r="AL1296">
        <v>0</v>
      </c>
      <c r="AM1296" t="str">
        <f t="shared" si="542"/>
        <v>No usa</v>
      </c>
      <c r="AN1296">
        <v>1</v>
      </c>
      <c r="AO1296" t="str">
        <f t="shared" si="543"/>
        <v>Usa Transporte</v>
      </c>
      <c r="AP1296">
        <v>0</v>
      </c>
      <c r="AQ1296" t="str">
        <f t="shared" si="544"/>
        <v>No camina</v>
      </c>
      <c r="AR1296">
        <v>1</v>
      </c>
      <c r="AS1296" t="str">
        <f t="shared" si="545"/>
        <v>Es Obeso</v>
      </c>
    </row>
    <row r="1297" spans="1:45" x14ac:dyDescent="0.25">
      <c r="A1297">
        <v>0</v>
      </c>
      <c r="B1297" t="str">
        <f t="shared" si="520"/>
        <v>F</v>
      </c>
      <c r="C1297">
        <v>38148845</v>
      </c>
      <c r="D1297">
        <f t="shared" si="521"/>
        <v>104</v>
      </c>
      <c r="E1297">
        <f t="shared" si="522"/>
        <v>100</v>
      </c>
      <c r="F1297" t="str">
        <f t="shared" si="523"/>
        <v>75-100</v>
      </c>
      <c r="G1297">
        <v>1</v>
      </c>
      <c r="H1297" t="str">
        <f t="shared" si="524"/>
        <v>Pariente gordo</v>
      </c>
      <c r="I1297">
        <v>1</v>
      </c>
      <c r="J1297" t="str">
        <f t="shared" si="525"/>
        <v>Hipercaloricos</v>
      </c>
      <c r="K1297">
        <v>2</v>
      </c>
      <c r="L1297">
        <f t="shared" si="526"/>
        <v>1</v>
      </c>
      <c r="M1297" t="str">
        <f t="shared" si="527"/>
        <v>Suele comer</v>
      </c>
      <c r="N1297">
        <v>3</v>
      </c>
      <c r="O1297">
        <f t="shared" si="528"/>
        <v>2</v>
      </c>
      <c r="P1297" t="str">
        <f t="shared" si="529"/>
        <v>Mas de 3</v>
      </c>
      <c r="Q1297">
        <v>1</v>
      </c>
      <c r="R1297" t="str">
        <f t="shared" si="530"/>
        <v>A veces</v>
      </c>
      <c r="S1297">
        <v>0</v>
      </c>
      <c r="T1297" t="str">
        <f t="shared" si="531"/>
        <v>No fuma</v>
      </c>
      <c r="U1297">
        <v>1274774</v>
      </c>
      <c r="V1297">
        <f t="shared" si="532"/>
        <v>2</v>
      </c>
      <c r="W1297" t="str">
        <f t="shared" si="533"/>
        <v>Siempre</v>
      </c>
      <c r="X1297">
        <v>0</v>
      </c>
      <c r="Y1297" t="str">
        <f t="shared" si="534"/>
        <v>No controla</v>
      </c>
      <c r="Z1297">
        <v>0</v>
      </c>
      <c r="AA1297">
        <f t="shared" si="535"/>
        <v>0</v>
      </c>
      <c r="AB1297" t="str">
        <f t="shared" si="536"/>
        <v>Nunca</v>
      </c>
      <c r="AC1297">
        <v>0</v>
      </c>
      <c r="AD1297">
        <f t="shared" si="537"/>
        <v>0</v>
      </c>
      <c r="AE1297" t="str">
        <f t="shared" si="538"/>
        <v>Nunca</v>
      </c>
      <c r="AF1297">
        <v>1</v>
      </c>
      <c r="AG1297" t="str">
        <f t="shared" si="539"/>
        <v>A veces</v>
      </c>
      <c r="AH1297">
        <v>1</v>
      </c>
      <c r="AI1297" t="str">
        <f t="shared" si="540"/>
        <v>Usa auto</v>
      </c>
      <c r="AJ1297">
        <v>0</v>
      </c>
      <c r="AK1297" t="str">
        <f t="shared" si="541"/>
        <v>No usa</v>
      </c>
      <c r="AL1297">
        <v>0</v>
      </c>
      <c r="AM1297" t="str">
        <f t="shared" si="542"/>
        <v>No usa</v>
      </c>
      <c r="AN1297">
        <v>0</v>
      </c>
      <c r="AO1297" t="str">
        <f t="shared" si="543"/>
        <v>No usa</v>
      </c>
      <c r="AP1297">
        <v>0</v>
      </c>
      <c r="AQ1297" t="str">
        <f t="shared" si="544"/>
        <v>No camina</v>
      </c>
      <c r="AR1297">
        <v>1</v>
      </c>
      <c r="AS1297" t="str">
        <f t="shared" si="545"/>
        <v>Es Obeso</v>
      </c>
    </row>
    <row r="1298" spans="1:45" x14ac:dyDescent="0.25">
      <c r="A1298">
        <v>0</v>
      </c>
      <c r="B1298" t="str">
        <f t="shared" si="520"/>
        <v>F</v>
      </c>
      <c r="C1298">
        <v>3796543</v>
      </c>
      <c r="D1298">
        <f t="shared" si="521"/>
        <v>10</v>
      </c>
      <c r="E1298">
        <f t="shared" si="522"/>
        <v>10</v>
      </c>
      <c r="F1298" t="str">
        <f t="shared" si="523"/>
        <v>1-25</v>
      </c>
      <c r="G1298">
        <v>1</v>
      </c>
      <c r="H1298" t="str">
        <f t="shared" si="524"/>
        <v>Pariente gordo</v>
      </c>
      <c r="I1298">
        <v>1</v>
      </c>
      <c r="J1298" t="str">
        <f t="shared" si="525"/>
        <v>Hipercaloricos</v>
      </c>
      <c r="K1298">
        <v>2533605</v>
      </c>
      <c r="L1298">
        <f t="shared" si="526"/>
        <v>1</v>
      </c>
      <c r="M1298" t="str">
        <f t="shared" si="527"/>
        <v>Suele comer</v>
      </c>
      <c r="N1298">
        <v>1271624</v>
      </c>
      <c r="O1298">
        <f t="shared" si="528"/>
        <v>2</v>
      </c>
      <c r="P1298" t="str">
        <f t="shared" si="529"/>
        <v>Mas de 3</v>
      </c>
      <c r="Q1298">
        <v>1</v>
      </c>
      <c r="R1298" t="str">
        <f t="shared" si="530"/>
        <v>A veces</v>
      </c>
      <c r="S1298">
        <v>0</v>
      </c>
      <c r="T1298" t="str">
        <f t="shared" si="531"/>
        <v>No fuma</v>
      </c>
      <c r="U1298">
        <v>1893691</v>
      </c>
      <c r="V1298">
        <f t="shared" si="532"/>
        <v>2</v>
      </c>
      <c r="W1298" t="str">
        <f t="shared" si="533"/>
        <v>Siempre</v>
      </c>
      <c r="X1298">
        <v>0</v>
      </c>
      <c r="Y1298" t="str">
        <f t="shared" si="534"/>
        <v>No controla</v>
      </c>
      <c r="Z1298">
        <v>1296535</v>
      </c>
      <c r="AA1298">
        <f t="shared" si="535"/>
        <v>3</v>
      </c>
      <c r="AB1298" t="str">
        <f t="shared" si="536"/>
        <v>Siempre</v>
      </c>
      <c r="AC1298">
        <v>0</v>
      </c>
      <c r="AD1298">
        <f t="shared" si="537"/>
        <v>0</v>
      </c>
      <c r="AE1298" t="str">
        <f t="shared" si="538"/>
        <v>Nunca</v>
      </c>
      <c r="AF1298">
        <v>1</v>
      </c>
      <c r="AG1298" t="str">
        <f t="shared" si="539"/>
        <v>A veces</v>
      </c>
      <c r="AH1298">
        <v>1</v>
      </c>
      <c r="AI1298" t="str">
        <f t="shared" si="540"/>
        <v>Usa auto</v>
      </c>
      <c r="AJ1298">
        <v>0</v>
      </c>
      <c r="AK1298" t="str">
        <f t="shared" si="541"/>
        <v>No usa</v>
      </c>
      <c r="AL1298">
        <v>0</v>
      </c>
      <c r="AM1298" t="str">
        <f t="shared" si="542"/>
        <v>No usa</v>
      </c>
      <c r="AN1298">
        <v>0</v>
      </c>
      <c r="AO1298" t="str">
        <f t="shared" si="543"/>
        <v>No usa</v>
      </c>
      <c r="AP1298">
        <v>0</v>
      </c>
      <c r="AQ1298" t="str">
        <f t="shared" si="544"/>
        <v>No camina</v>
      </c>
      <c r="AR1298">
        <v>1</v>
      </c>
      <c r="AS1298" t="str">
        <f t="shared" si="545"/>
        <v>Es Obeso</v>
      </c>
    </row>
    <row r="1299" spans="1:45" x14ac:dyDescent="0.25">
      <c r="A1299">
        <v>1</v>
      </c>
      <c r="B1299" t="str">
        <f t="shared" si="520"/>
        <v>M</v>
      </c>
      <c r="C1299">
        <v>22771612</v>
      </c>
      <c r="D1299">
        <f t="shared" si="521"/>
        <v>62</v>
      </c>
      <c r="E1299">
        <f t="shared" si="522"/>
        <v>62</v>
      </c>
      <c r="F1299" t="str">
        <f t="shared" si="523"/>
        <v>50-75</v>
      </c>
      <c r="G1299">
        <v>1</v>
      </c>
      <c r="H1299" t="str">
        <f t="shared" si="524"/>
        <v>Pariente gordo</v>
      </c>
      <c r="I1299">
        <v>1</v>
      </c>
      <c r="J1299" t="str">
        <f t="shared" si="525"/>
        <v>Hipercaloricos</v>
      </c>
      <c r="K1299">
        <v>2</v>
      </c>
      <c r="L1299">
        <f t="shared" si="526"/>
        <v>1</v>
      </c>
      <c r="M1299" t="str">
        <f t="shared" si="527"/>
        <v>Suele comer</v>
      </c>
      <c r="N1299">
        <v>3</v>
      </c>
      <c r="O1299">
        <f t="shared" si="528"/>
        <v>2</v>
      </c>
      <c r="P1299" t="str">
        <f t="shared" si="529"/>
        <v>Mas de 3</v>
      </c>
      <c r="Q1299">
        <v>1</v>
      </c>
      <c r="R1299" t="str">
        <f t="shared" si="530"/>
        <v>A veces</v>
      </c>
      <c r="S1299">
        <v>0</v>
      </c>
      <c r="T1299" t="str">
        <f t="shared" si="531"/>
        <v>No fuma</v>
      </c>
      <c r="U1299">
        <v>3</v>
      </c>
      <c r="V1299">
        <f t="shared" si="532"/>
        <v>2</v>
      </c>
      <c r="W1299" t="str">
        <f t="shared" si="533"/>
        <v>Siempre</v>
      </c>
      <c r="X1299">
        <v>0</v>
      </c>
      <c r="Y1299" t="str">
        <f t="shared" si="534"/>
        <v>No controla</v>
      </c>
      <c r="Z1299">
        <v>3</v>
      </c>
      <c r="AA1299">
        <f t="shared" si="535"/>
        <v>3</v>
      </c>
      <c r="AB1299" t="str">
        <f t="shared" si="536"/>
        <v>Siempre</v>
      </c>
      <c r="AC1299">
        <v>2</v>
      </c>
      <c r="AD1299">
        <f t="shared" si="537"/>
        <v>2</v>
      </c>
      <c r="AE1299" t="str">
        <f t="shared" si="538"/>
        <v>Siempre</v>
      </c>
      <c r="AF1299">
        <v>0</v>
      </c>
      <c r="AG1299" t="str">
        <f t="shared" si="539"/>
        <v>Nunca</v>
      </c>
      <c r="AH1299">
        <v>0</v>
      </c>
      <c r="AI1299" t="str">
        <f t="shared" si="540"/>
        <v>No usa</v>
      </c>
      <c r="AJ1299">
        <v>0</v>
      </c>
      <c r="AK1299" t="str">
        <f t="shared" si="541"/>
        <v>No usa</v>
      </c>
      <c r="AL1299">
        <v>0</v>
      </c>
      <c r="AM1299" t="str">
        <f t="shared" si="542"/>
        <v>No usa</v>
      </c>
      <c r="AN1299">
        <v>1</v>
      </c>
      <c r="AO1299" t="str">
        <f t="shared" si="543"/>
        <v>Usa Transporte</v>
      </c>
      <c r="AP1299">
        <v>0</v>
      </c>
      <c r="AQ1299" t="str">
        <f t="shared" si="544"/>
        <v>No camina</v>
      </c>
      <c r="AR1299">
        <v>1</v>
      </c>
      <c r="AS1299" t="str">
        <f t="shared" si="545"/>
        <v>Es Obeso</v>
      </c>
    </row>
    <row r="1300" spans="1:45" x14ac:dyDescent="0.25">
      <c r="A1300">
        <v>1</v>
      </c>
      <c r="B1300" t="str">
        <f t="shared" si="520"/>
        <v>M</v>
      </c>
      <c r="C1300">
        <v>22582371</v>
      </c>
      <c r="D1300">
        <f t="shared" si="521"/>
        <v>61</v>
      </c>
      <c r="E1300">
        <f t="shared" si="522"/>
        <v>61</v>
      </c>
      <c r="F1300" t="str">
        <f t="shared" si="523"/>
        <v>50-75</v>
      </c>
      <c r="G1300">
        <v>1</v>
      </c>
      <c r="H1300" t="str">
        <f t="shared" si="524"/>
        <v>Pariente gordo</v>
      </c>
      <c r="I1300">
        <v>1</v>
      </c>
      <c r="J1300" t="str">
        <f t="shared" si="525"/>
        <v>Hipercaloricos</v>
      </c>
      <c r="K1300">
        <v>2</v>
      </c>
      <c r="L1300">
        <f t="shared" si="526"/>
        <v>1</v>
      </c>
      <c r="M1300" t="str">
        <f t="shared" si="527"/>
        <v>Suele comer</v>
      </c>
      <c r="N1300">
        <v>3</v>
      </c>
      <c r="O1300">
        <f t="shared" si="528"/>
        <v>2</v>
      </c>
      <c r="P1300" t="str">
        <f t="shared" si="529"/>
        <v>Mas de 3</v>
      </c>
      <c r="Q1300">
        <v>1</v>
      </c>
      <c r="R1300" t="str">
        <f t="shared" si="530"/>
        <v>A veces</v>
      </c>
      <c r="S1300">
        <v>0</v>
      </c>
      <c r="T1300" t="str">
        <f t="shared" si="531"/>
        <v>No fuma</v>
      </c>
      <c r="U1300">
        <v>3</v>
      </c>
      <c r="V1300">
        <f t="shared" si="532"/>
        <v>2</v>
      </c>
      <c r="W1300" t="str">
        <f t="shared" si="533"/>
        <v>Siempre</v>
      </c>
      <c r="X1300">
        <v>0</v>
      </c>
      <c r="Y1300" t="str">
        <f t="shared" si="534"/>
        <v>No controla</v>
      </c>
      <c r="Z1300">
        <v>3</v>
      </c>
      <c r="AA1300">
        <f t="shared" si="535"/>
        <v>3</v>
      </c>
      <c r="AB1300" t="str">
        <f t="shared" si="536"/>
        <v>Siempre</v>
      </c>
      <c r="AC1300">
        <v>2</v>
      </c>
      <c r="AD1300">
        <f t="shared" si="537"/>
        <v>2</v>
      </c>
      <c r="AE1300" t="str">
        <f t="shared" si="538"/>
        <v>Siempre</v>
      </c>
      <c r="AF1300">
        <v>0</v>
      </c>
      <c r="AG1300" t="str">
        <f t="shared" si="539"/>
        <v>Nunca</v>
      </c>
      <c r="AH1300">
        <v>0</v>
      </c>
      <c r="AI1300" t="str">
        <f t="shared" si="540"/>
        <v>No usa</v>
      </c>
      <c r="AJ1300">
        <v>0</v>
      </c>
      <c r="AK1300" t="str">
        <f t="shared" si="541"/>
        <v>No usa</v>
      </c>
      <c r="AL1300">
        <v>0</v>
      </c>
      <c r="AM1300" t="str">
        <f t="shared" si="542"/>
        <v>No usa</v>
      </c>
      <c r="AN1300">
        <v>1</v>
      </c>
      <c r="AO1300" t="str">
        <f t="shared" si="543"/>
        <v>Usa Transporte</v>
      </c>
      <c r="AP1300">
        <v>0</v>
      </c>
      <c r="AQ1300" t="str">
        <f t="shared" si="544"/>
        <v>No camina</v>
      </c>
      <c r="AR1300">
        <v>1</v>
      </c>
      <c r="AS1300" t="str">
        <f t="shared" si="545"/>
        <v>Es Obeso</v>
      </c>
    </row>
    <row r="1301" spans="1:45" x14ac:dyDescent="0.25">
      <c r="A1301">
        <v>0</v>
      </c>
      <c r="B1301" t="str">
        <f t="shared" si="520"/>
        <v>F</v>
      </c>
      <c r="C1301">
        <v>21008051</v>
      </c>
      <c r="D1301">
        <f t="shared" si="521"/>
        <v>57</v>
      </c>
      <c r="E1301">
        <f t="shared" si="522"/>
        <v>57</v>
      </c>
      <c r="F1301" t="str">
        <f t="shared" si="523"/>
        <v>50-75</v>
      </c>
      <c r="G1301">
        <v>1</v>
      </c>
      <c r="H1301" t="str">
        <f t="shared" si="524"/>
        <v>Pariente gordo</v>
      </c>
      <c r="I1301">
        <v>1</v>
      </c>
      <c r="J1301" t="str">
        <f t="shared" si="525"/>
        <v>Hipercaloricos</v>
      </c>
      <c r="K1301">
        <v>2457547</v>
      </c>
      <c r="L1301">
        <f t="shared" si="526"/>
        <v>1</v>
      </c>
      <c r="M1301" t="str">
        <f t="shared" si="527"/>
        <v>Suele comer</v>
      </c>
      <c r="N1301">
        <v>100061</v>
      </c>
      <c r="O1301">
        <f t="shared" si="528"/>
        <v>2</v>
      </c>
      <c r="P1301" t="str">
        <f t="shared" si="529"/>
        <v>Mas de 3</v>
      </c>
      <c r="Q1301">
        <v>1</v>
      </c>
      <c r="R1301" t="str">
        <f t="shared" si="530"/>
        <v>A veces</v>
      </c>
      <c r="S1301">
        <v>0</v>
      </c>
      <c r="T1301" t="str">
        <f t="shared" si="531"/>
        <v>No fuma</v>
      </c>
      <c r="U1301">
        <v>3</v>
      </c>
      <c r="V1301">
        <f t="shared" si="532"/>
        <v>2</v>
      </c>
      <c r="W1301" t="str">
        <f t="shared" si="533"/>
        <v>Siempre</v>
      </c>
      <c r="X1301">
        <v>0</v>
      </c>
      <c r="Y1301" t="str">
        <f t="shared" si="534"/>
        <v>No controla</v>
      </c>
      <c r="Z1301">
        <v>1361533</v>
      </c>
      <c r="AA1301">
        <f t="shared" si="535"/>
        <v>3</v>
      </c>
      <c r="AB1301" t="str">
        <f t="shared" si="536"/>
        <v>Siempre</v>
      </c>
      <c r="AC1301">
        <v>1</v>
      </c>
      <c r="AD1301">
        <f t="shared" si="537"/>
        <v>1</v>
      </c>
      <c r="AE1301" t="str">
        <f t="shared" si="538"/>
        <v>Usualmente</v>
      </c>
      <c r="AF1301">
        <v>0</v>
      </c>
      <c r="AG1301" t="str">
        <f t="shared" si="539"/>
        <v>Nunca</v>
      </c>
      <c r="AH1301">
        <v>0</v>
      </c>
      <c r="AI1301" t="str">
        <f t="shared" si="540"/>
        <v>No usa</v>
      </c>
      <c r="AJ1301">
        <v>0</v>
      </c>
      <c r="AK1301" t="str">
        <f t="shared" si="541"/>
        <v>No usa</v>
      </c>
      <c r="AL1301">
        <v>0</v>
      </c>
      <c r="AM1301" t="str">
        <f t="shared" si="542"/>
        <v>No usa</v>
      </c>
      <c r="AN1301">
        <v>1</v>
      </c>
      <c r="AO1301" t="str">
        <f t="shared" si="543"/>
        <v>Usa Transporte</v>
      </c>
      <c r="AP1301">
        <v>0</v>
      </c>
      <c r="AQ1301" t="str">
        <f t="shared" si="544"/>
        <v>No camina</v>
      </c>
      <c r="AR1301">
        <v>1</v>
      </c>
      <c r="AS1301" t="str">
        <f t="shared" si="545"/>
        <v>Es Obeso</v>
      </c>
    </row>
    <row r="1302" spans="1:45" x14ac:dyDescent="0.25">
      <c r="A1302">
        <v>0</v>
      </c>
      <c r="B1302" t="str">
        <f t="shared" si="520"/>
        <v>F</v>
      </c>
      <c r="C1302">
        <v>22591026</v>
      </c>
      <c r="D1302">
        <f t="shared" si="521"/>
        <v>61</v>
      </c>
      <c r="E1302">
        <f t="shared" si="522"/>
        <v>61</v>
      </c>
      <c r="F1302" t="str">
        <f t="shared" si="523"/>
        <v>50-75</v>
      </c>
      <c r="G1302">
        <v>1</v>
      </c>
      <c r="H1302" t="str">
        <f t="shared" si="524"/>
        <v>Pariente gordo</v>
      </c>
      <c r="I1302">
        <v>1</v>
      </c>
      <c r="J1302" t="str">
        <f t="shared" si="525"/>
        <v>Hipercaloricos</v>
      </c>
      <c r="K1302">
        <v>2983851</v>
      </c>
      <c r="L1302">
        <f t="shared" si="526"/>
        <v>1</v>
      </c>
      <c r="M1302" t="str">
        <f t="shared" si="527"/>
        <v>Suele comer</v>
      </c>
      <c r="N1302">
        <v>1068443</v>
      </c>
      <c r="O1302">
        <f t="shared" si="528"/>
        <v>2</v>
      </c>
      <c r="P1302" t="str">
        <f t="shared" si="529"/>
        <v>Mas de 3</v>
      </c>
      <c r="Q1302">
        <v>1</v>
      </c>
      <c r="R1302" t="str">
        <f t="shared" si="530"/>
        <v>A veces</v>
      </c>
      <c r="S1302">
        <v>0</v>
      </c>
      <c r="T1302" t="str">
        <f t="shared" si="531"/>
        <v>No fuma</v>
      </c>
      <c r="U1302">
        <v>2854161</v>
      </c>
      <c r="V1302">
        <f t="shared" si="532"/>
        <v>2</v>
      </c>
      <c r="W1302" t="str">
        <f t="shared" si="533"/>
        <v>Siempre</v>
      </c>
      <c r="X1302">
        <v>0</v>
      </c>
      <c r="Y1302" t="str">
        <f t="shared" si="534"/>
        <v>No controla</v>
      </c>
      <c r="Z1302">
        <v>1103209</v>
      </c>
      <c r="AA1302">
        <f t="shared" si="535"/>
        <v>3</v>
      </c>
      <c r="AB1302" t="str">
        <f t="shared" si="536"/>
        <v>Siempre</v>
      </c>
      <c r="AC1302">
        <v>1</v>
      </c>
      <c r="AD1302">
        <f t="shared" si="537"/>
        <v>1</v>
      </c>
      <c r="AE1302" t="str">
        <f t="shared" si="538"/>
        <v>Usualmente</v>
      </c>
      <c r="AF1302">
        <v>0</v>
      </c>
      <c r="AG1302" t="str">
        <f t="shared" si="539"/>
        <v>Nunca</v>
      </c>
      <c r="AH1302">
        <v>0</v>
      </c>
      <c r="AI1302" t="str">
        <f t="shared" si="540"/>
        <v>No usa</v>
      </c>
      <c r="AJ1302">
        <v>0</v>
      </c>
      <c r="AK1302" t="str">
        <f t="shared" si="541"/>
        <v>No usa</v>
      </c>
      <c r="AL1302">
        <v>0</v>
      </c>
      <c r="AM1302" t="str">
        <f t="shared" si="542"/>
        <v>No usa</v>
      </c>
      <c r="AN1302">
        <v>1</v>
      </c>
      <c r="AO1302" t="str">
        <f t="shared" si="543"/>
        <v>Usa Transporte</v>
      </c>
      <c r="AP1302">
        <v>0</v>
      </c>
      <c r="AQ1302" t="str">
        <f t="shared" si="544"/>
        <v>No camina</v>
      </c>
      <c r="AR1302">
        <v>1</v>
      </c>
      <c r="AS1302" t="str">
        <f t="shared" si="545"/>
        <v>Es Obeso</v>
      </c>
    </row>
    <row r="1303" spans="1:45" x14ac:dyDescent="0.25">
      <c r="A1303">
        <v>0</v>
      </c>
      <c r="B1303" t="str">
        <f t="shared" si="520"/>
        <v>F</v>
      </c>
      <c r="C1303">
        <v>16129279</v>
      </c>
      <c r="D1303">
        <f t="shared" si="521"/>
        <v>44</v>
      </c>
      <c r="E1303">
        <f t="shared" si="522"/>
        <v>44</v>
      </c>
      <c r="F1303" t="str">
        <f t="shared" si="523"/>
        <v>25-50</v>
      </c>
      <c r="G1303">
        <v>1</v>
      </c>
      <c r="H1303" t="str">
        <f t="shared" si="524"/>
        <v>Pariente gordo</v>
      </c>
      <c r="I1303">
        <v>1</v>
      </c>
      <c r="J1303" t="str">
        <f t="shared" si="525"/>
        <v>Hipercaloricos</v>
      </c>
      <c r="K1303">
        <v>2954996</v>
      </c>
      <c r="L1303">
        <f t="shared" si="526"/>
        <v>1</v>
      </c>
      <c r="M1303" t="str">
        <f t="shared" si="527"/>
        <v>Suele comer</v>
      </c>
      <c r="N1303">
        <v>3</v>
      </c>
      <c r="O1303">
        <f t="shared" si="528"/>
        <v>2</v>
      </c>
      <c r="P1303" t="str">
        <f t="shared" si="529"/>
        <v>Mas de 3</v>
      </c>
      <c r="Q1303">
        <v>1</v>
      </c>
      <c r="R1303" t="str">
        <f t="shared" si="530"/>
        <v>A veces</v>
      </c>
      <c r="S1303">
        <v>0</v>
      </c>
      <c r="T1303" t="str">
        <f t="shared" si="531"/>
        <v>No fuma</v>
      </c>
      <c r="U1303">
        <v>1</v>
      </c>
      <c r="V1303">
        <f t="shared" si="532"/>
        <v>1</v>
      </c>
      <c r="W1303" t="str">
        <f t="shared" si="533"/>
        <v>Usualmente</v>
      </c>
      <c r="X1303">
        <v>0</v>
      </c>
      <c r="Y1303" t="str">
        <f t="shared" si="534"/>
        <v>No controla</v>
      </c>
      <c r="Z1303">
        <v>2091862</v>
      </c>
      <c r="AA1303">
        <f t="shared" si="535"/>
        <v>3</v>
      </c>
      <c r="AB1303" t="str">
        <f t="shared" si="536"/>
        <v>Siempre</v>
      </c>
      <c r="AC1303">
        <v>106053</v>
      </c>
      <c r="AD1303">
        <f t="shared" si="537"/>
        <v>1</v>
      </c>
      <c r="AE1303" t="str">
        <f t="shared" si="538"/>
        <v>Usualmente</v>
      </c>
      <c r="AF1303">
        <v>0</v>
      </c>
      <c r="AG1303" t="str">
        <f t="shared" si="539"/>
        <v>Nunca</v>
      </c>
      <c r="AH1303">
        <v>0</v>
      </c>
      <c r="AI1303" t="str">
        <f t="shared" si="540"/>
        <v>No usa</v>
      </c>
      <c r="AJ1303">
        <v>0</v>
      </c>
      <c r="AK1303" t="str">
        <f t="shared" si="541"/>
        <v>No usa</v>
      </c>
      <c r="AL1303">
        <v>0</v>
      </c>
      <c r="AM1303" t="str">
        <f t="shared" si="542"/>
        <v>No usa</v>
      </c>
      <c r="AN1303">
        <v>1</v>
      </c>
      <c r="AO1303" t="str">
        <f t="shared" si="543"/>
        <v>Usa Transporte</v>
      </c>
      <c r="AP1303">
        <v>0</v>
      </c>
      <c r="AQ1303" t="str">
        <f t="shared" si="544"/>
        <v>No camina</v>
      </c>
      <c r="AR1303">
        <v>1</v>
      </c>
      <c r="AS1303" t="str">
        <f t="shared" si="545"/>
        <v>Es Obeso</v>
      </c>
    </row>
    <row r="1304" spans="1:45" x14ac:dyDescent="0.25">
      <c r="A1304">
        <v>0</v>
      </c>
      <c r="B1304" t="str">
        <f t="shared" si="520"/>
        <v>F</v>
      </c>
      <c r="C1304">
        <v>16913841</v>
      </c>
      <c r="D1304">
        <f t="shared" si="521"/>
        <v>46</v>
      </c>
      <c r="E1304">
        <f t="shared" si="522"/>
        <v>46</v>
      </c>
      <c r="F1304" t="str">
        <f t="shared" si="523"/>
        <v>25-50</v>
      </c>
      <c r="G1304">
        <v>1</v>
      </c>
      <c r="H1304" t="str">
        <f t="shared" si="524"/>
        <v>Pariente gordo</v>
      </c>
      <c r="I1304">
        <v>1</v>
      </c>
      <c r="J1304" t="str">
        <f t="shared" si="525"/>
        <v>Hipercaloricos</v>
      </c>
      <c r="K1304">
        <v>2061969</v>
      </c>
      <c r="L1304">
        <f t="shared" si="526"/>
        <v>1</v>
      </c>
      <c r="M1304" t="str">
        <f t="shared" si="527"/>
        <v>Suele comer</v>
      </c>
      <c r="N1304">
        <v>3</v>
      </c>
      <c r="O1304">
        <f t="shared" si="528"/>
        <v>2</v>
      </c>
      <c r="P1304" t="str">
        <f t="shared" si="529"/>
        <v>Mas de 3</v>
      </c>
      <c r="Q1304">
        <v>1</v>
      </c>
      <c r="R1304" t="str">
        <f t="shared" si="530"/>
        <v>A veces</v>
      </c>
      <c r="S1304">
        <v>0</v>
      </c>
      <c r="T1304" t="str">
        <f t="shared" si="531"/>
        <v>No fuma</v>
      </c>
      <c r="U1304">
        <v>1229171</v>
      </c>
      <c r="V1304">
        <f t="shared" si="532"/>
        <v>2</v>
      </c>
      <c r="W1304" t="str">
        <f t="shared" si="533"/>
        <v>Siempre</v>
      </c>
      <c r="X1304">
        <v>0</v>
      </c>
      <c r="Y1304" t="str">
        <f t="shared" si="534"/>
        <v>No controla</v>
      </c>
      <c r="Z1304">
        <v>2392047</v>
      </c>
      <c r="AA1304">
        <f t="shared" si="535"/>
        <v>3</v>
      </c>
      <c r="AB1304" t="str">
        <f t="shared" si="536"/>
        <v>Siempre</v>
      </c>
      <c r="AC1304">
        <v>1256119</v>
      </c>
      <c r="AD1304">
        <f t="shared" si="537"/>
        <v>2</v>
      </c>
      <c r="AE1304" t="str">
        <f t="shared" si="538"/>
        <v>Siempre</v>
      </c>
      <c r="AF1304">
        <v>0</v>
      </c>
      <c r="AG1304" t="str">
        <f t="shared" si="539"/>
        <v>Nunca</v>
      </c>
      <c r="AH1304">
        <v>0</v>
      </c>
      <c r="AI1304" t="str">
        <f t="shared" si="540"/>
        <v>No usa</v>
      </c>
      <c r="AJ1304">
        <v>0</v>
      </c>
      <c r="AK1304" t="str">
        <f t="shared" si="541"/>
        <v>No usa</v>
      </c>
      <c r="AL1304">
        <v>0</v>
      </c>
      <c r="AM1304" t="str">
        <f t="shared" si="542"/>
        <v>No usa</v>
      </c>
      <c r="AN1304">
        <v>1</v>
      </c>
      <c r="AO1304" t="str">
        <f t="shared" si="543"/>
        <v>Usa Transporte</v>
      </c>
      <c r="AP1304">
        <v>0</v>
      </c>
      <c r="AQ1304" t="str">
        <f t="shared" si="544"/>
        <v>No camina</v>
      </c>
      <c r="AR1304">
        <v>1</v>
      </c>
      <c r="AS1304" t="str">
        <f t="shared" si="545"/>
        <v>Es Obeso</v>
      </c>
    </row>
    <row r="1305" spans="1:45" x14ac:dyDescent="0.25">
      <c r="A1305">
        <v>1</v>
      </c>
      <c r="B1305" t="str">
        <f t="shared" si="520"/>
        <v>M</v>
      </c>
      <c r="C1305">
        <v>2943879</v>
      </c>
      <c r="D1305">
        <f t="shared" si="521"/>
        <v>8</v>
      </c>
      <c r="E1305">
        <f t="shared" si="522"/>
        <v>8</v>
      </c>
      <c r="F1305" t="str">
        <f t="shared" si="523"/>
        <v>1-25</v>
      </c>
      <c r="G1305">
        <v>1</v>
      </c>
      <c r="H1305" t="str">
        <f t="shared" si="524"/>
        <v>Pariente gordo</v>
      </c>
      <c r="I1305">
        <v>1</v>
      </c>
      <c r="J1305" t="str">
        <f t="shared" si="525"/>
        <v>Hipercaloricos</v>
      </c>
      <c r="K1305">
        <v>3</v>
      </c>
      <c r="L1305">
        <f t="shared" si="526"/>
        <v>1</v>
      </c>
      <c r="M1305" t="str">
        <f t="shared" si="527"/>
        <v>Suele comer</v>
      </c>
      <c r="N1305">
        <v>3</v>
      </c>
      <c r="O1305">
        <f t="shared" si="528"/>
        <v>2</v>
      </c>
      <c r="P1305" t="str">
        <f t="shared" si="529"/>
        <v>Mas de 3</v>
      </c>
      <c r="Q1305">
        <v>1</v>
      </c>
      <c r="R1305" t="str">
        <f t="shared" si="530"/>
        <v>A veces</v>
      </c>
      <c r="S1305">
        <v>0</v>
      </c>
      <c r="T1305" t="str">
        <f t="shared" si="531"/>
        <v>No fuma</v>
      </c>
      <c r="U1305">
        <v>1163264</v>
      </c>
      <c r="V1305">
        <f t="shared" si="532"/>
        <v>2</v>
      </c>
      <c r="W1305" t="str">
        <f t="shared" si="533"/>
        <v>Siempre</v>
      </c>
      <c r="X1305">
        <v>0</v>
      </c>
      <c r="Y1305" t="str">
        <f t="shared" si="534"/>
        <v>No controla</v>
      </c>
      <c r="Z1305">
        <v>1866023</v>
      </c>
      <c r="AA1305">
        <f t="shared" si="535"/>
        <v>3</v>
      </c>
      <c r="AB1305" t="str">
        <f t="shared" si="536"/>
        <v>Siempre</v>
      </c>
      <c r="AC1305">
        <v>1604608</v>
      </c>
      <c r="AD1305">
        <f t="shared" si="537"/>
        <v>2</v>
      </c>
      <c r="AE1305" t="str">
        <f t="shared" si="538"/>
        <v>Siempre</v>
      </c>
      <c r="AF1305">
        <v>1</v>
      </c>
      <c r="AG1305" t="str">
        <f t="shared" si="539"/>
        <v>A veces</v>
      </c>
      <c r="AH1305">
        <v>1</v>
      </c>
      <c r="AI1305" t="str">
        <f t="shared" si="540"/>
        <v>Usa auto</v>
      </c>
      <c r="AJ1305">
        <v>0</v>
      </c>
      <c r="AK1305" t="str">
        <f t="shared" si="541"/>
        <v>No usa</v>
      </c>
      <c r="AL1305">
        <v>0</v>
      </c>
      <c r="AM1305" t="str">
        <f t="shared" si="542"/>
        <v>No usa</v>
      </c>
      <c r="AN1305">
        <v>0</v>
      </c>
      <c r="AO1305" t="str">
        <f t="shared" si="543"/>
        <v>No usa</v>
      </c>
      <c r="AP1305">
        <v>0</v>
      </c>
      <c r="AQ1305" t="str">
        <f t="shared" si="544"/>
        <v>No camina</v>
      </c>
      <c r="AR1305">
        <v>1</v>
      </c>
      <c r="AS1305" t="str">
        <f t="shared" si="545"/>
        <v>Es Obeso</v>
      </c>
    </row>
    <row r="1306" spans="1:45" x14ac:dyDescent="0.25">
      <c r="A1306">
        <v>1</v>
      </c>
      <c r="B1306" t="str">
        <f t="shared" si="520"/>
        <v>M</v>
      </c>
      <c r="C1306">
        <v>29881301</v>
      </c>
      <c r="D1306">
        <f t="shared" si="521"/>
        <v>81</v>
      </c>
      <c r="E1306">
        <f t="shared" si="522"/>
        <v>81</v>
      </c>
      <c r="F1306" t="str">
        <f t="shared" si="523"/>
        <v>75-100</v>
      </c>
      <c r="G1306">
        <v>1</v>
      </c>
      <c r="H1306" t="str">
        <f t="shared" si="524"/>
        <v>Pariente gordo</v>
      </c>
      <c r="I1306">
        <v>1</v>
      </c>
      <c r="J1306" t="str">
        <f t="shared" si="525"/>
        <v>Hipercaloricos</v>
      </c>
      <c r="K1306">
        <v>3</v>
      </c>
      <c r="L1306">
        <f t="shared" si="526"/>
        <v>1</v>
      </c>
      <c r="M1306" t="str">
        <f t="shared" si="527"/>
        <v>Suele comer</v>
      </c>
      <c r="N1306">
        <v>3</v>
      </c>
      <c r="O1306">
        <f t="shared" si="528"/>
        <v>2</v>
      </c>
      <c r="P1306" t="str">
        <f t="shared" si="529"/>
        <v>Mas de 3</v>
      </c>
      <c r="Q1306">
        <v>1</v>
      </c>
      <c r="R1306" t="str">
        <f t="shared" si="530"/>
        <v>A veces</v>
      </c>
      <c r="S1306">
        <v>0</v>
      </c>
      <c r="T1306" t="str">
        <f t="shared" si="531"/>
        <v>No fuma</v>
      </c>
      <c r="U1306">
        <v>1271178</v>
      </c>
      <c r="V1306">
        <f t="shared" si="532"/>
        <v>2</v>
      </c>
      <c r="W1306" t="str">
        <f t="shared" si="533"/>
        <v>Siempre</v>
      </c>
      <c r="X1306">
        <v>0</v>
      </c>
      <c r="Y1306" t="str">
        <f t="shared" si="534"/>
        <v>No controla</v>
      </c>
      <c r="Z1306">
        <v>1944728</v>
      </c>
      <c r="AA1306">
        <f t="shared" si="535"/>
        <v>3</v>
      </c>
      <c r="AB1306" t="str">
        <f t="shared" si="536"/>
        <v>Siempre</v>
      </c>
      <c r="AC1306">
        <v>0</v>
      </c>
      <c r="AD1306">
        <f t="shared" si="537"/>
        <v>0</v>
      </c>
      <c r="AE1306" t="str">
        <f t="shared" si="538"/>
        <v>Nunca</v>
      </c>
      <c r="AF1306">
        <v>1</v>
      </c>
      <c r="AG1306" t="str">
        <f t="shared" si="539"/>
        <v>A veces</v>
      </c>
      <c r="AH1306">
        <v>1</v>
      </c>
      <c r="AI1306" t="str">
        <f t="shared" si="540"/>
        <v>Usa auto</v>
      </c>
      <c r="AJ1306">
        <v>0</v>
      </c>
      <c r="AK1306" t="str">
        <f t="shared" si="541"/>
        <v>No usa</v>
      </c>
      <c r="AL1306">
        <v>0</v>
      </c>
      <c r="AM1306" t="str">
        <f t="shared" si="542"/>
        <v>No usa</v>
      </c>
      <c r="AN1306">
        <v>0</v>
      </c>
      <c r="AO1306" t="str">
        <f t="shared" si="543"/>
        <v>No usa</v>
      </c>
      <c r="AP1306">
        <v>0</v>
      </c>
      <c r="AQ1306" t="str">
        <f t="shared" si="544"/>
        <v>No camina</v>
      </c>
      <c r="AR1306">
        <v>1</v>
      </c>
      <c r="AS1306" t="str">
        <f t="shared" si="545"/>
        <v>Es Obeso</v>
      </c>
    </row>
    <row r="1307" spans="1:45" x14ac:dyDescent="0.25">
      <c r="A1307">
        <v>0</v>
      </c>
      <c r="B1307" t="str">
        <f t="shared" si="520"/>
        <v>F</v>
      </c>
      <c r="C1307">
        <v>43591999</v>
      </c>
      <c r="D1307">
        <f t="shared" si="521"/>
        <v>119</v>
      </c>
      <c r="E1307">
        <f t="shared" si="522"/>
        <v>100</v>
      </c>
      <c r="F1307" t="str">
        <f t="shared" si="523"/>
        <v>75-100</v>
      </c>
      <c r="G1307">
        <v>1</v>
      </c>
      <c r="H1307" t="str">
        <f t="shared" si="524"/>
        <v>Pariente gordo</v>
      </c>
      <c r="I1307">
        <v>1</v>
      </c>
      <c r="J1307" t="str">
        <f t="shared" si="525"/>
        <v>Hipercaloricos</v>
      </c>
      <c r="K1307">
        <v>2</v>
      </c>
      <c r="L1307">
        <f t="shared" si="526"/>
        <v>1</v>
      </c>
      <c r="M1307" t="str">
        <f t="shared" si="527"/>
        <v>Suele comer</v>
      </c>
      <c r="N1307">
        <v>3</v>
      </c>
      <c r="O1307">
        <f t="shared" si="528"/>
        <v>2</v>
      </c>
      <c r="P1307" t="str">
        <f t="shared" si="529"/>
        <v>Mas de 3</v>
      </c>
      <c r="Q1307">
        <v>1</v>
      </c>
      <c r="R1307" t="str">
        <f t="shared" si="530"/>
        <v>A veces</v>
      </c>
      <c r="S1307">
        <v>0</v>
      </c>
      <c r="T1307" t="str">
        <f t="shared" si="531"/>
        <v>No fuma</v>
      </c>
      <c r="U1307">
        <v>2117346</v>
      </c>
      <c r="V1307">
        <f t="shared" si="532"/>
        <v>2</v>
      </c>
      <c r="W1307" t="str">
        <f t="shared" si="533"/>
        <v>Siempre</v>
      </c>
      <c r="X1307">
        <v>0</v>
      </c>
      <c r="Y1307" t="str">
        <f t="shared" si="534"/>
        <v>No controla</v>
      </c>
      <c r="Z1307">
        <v>0</v>
      </c>
      <c r="AA1307">
        <f t="shared" si="535"/>
        <v>0</v>
      </c>
      <c r="AB1307" t="str">
        <f t="shared" si="536"/>
        <v>Nunca</v>
      </c>
      <c r="AC1307">
        <v>0</v>
      </c>
      <c r="AD1307">
        <f t="shared" si="537"/>
        <v>0</v>
      </c>
      <c r="AE1307" t="str">
        <f t="shared" si="538"/>
        <v>Nunca</v>
      </c>
      <c r="AF1307">
        <v>0</v>
      </c>
      <c r="AG1307" t="str">
        <f t="shared" si="539"/>
        <v>Nunca</v>
      </c>
      <c r="AH1307">
        <v>1</v>
      </c>
      <c r="AI1307" t="str">
        <f t="shared" si="540"/>
        <v>Usa auto</v>
      </c>
      <c r="AJ1307">
        <v>0</v>
      </c>
      <c r="AK1307" t="str">
        <f t="shared" si="541"/>
        <v>No usa</v>
      </c>
      <c r="AL1307">
        <v>0</v>
      </c>
      <c r="AM1307" t="str">
        <f t="shared" si="542"/>
        <v>No usa</v>
      </c>
      <c r="AN1307">
        <v>0</v>
      </c>
      <c r="AO1307" t="str">
        <f t="shared" si="543"/>
        <v>No usa</v>
      </c>
      <c r="AP1307">
        <v>0</v>
      </c>
      <c r="AQ1307" t="str">
        <f t="shared" si="544"/>
        <v>No camina</v>
      </c>
      <c r="AR1307">
        <v>1</v>
      </c>
      <c r="AS1307" t="str">
        <f t="shared" si="545"/>
        <v>Es Obeso</v>
      </c>
    </row>
    <row r="1308" spans="1:45" x14ac:dyDescent="0.25">
      <c r="A1308">
        <v>0</v>
      </c>
      <c r="B1308" t="str">
        <f t="shared" si="520"/>
        <v>F</v>
      </c>
      <c r="C1308">
        <v>40993179</v>
      </c>
      <c r="D1308">
        <f t="shared" si="521"/>
        <v>112</v>
      </c>
      <c r="E1308">
        <f t="shared" si="522"/>
        <v>100</v>
      </c>
      <c r="F1308" t="str">
        <f t="shared" si="523"/>
        <v>75-100</v>
      </c>
      <c r="G1308">
        <v>1</v>
      </c>
      <c r="H1308" t="str">
        <f t="shared" si="524"/>
        <v>Pariente gordo</v>
      </c>
      <c r="I1308">
        <v>1</v>
      </c>
      <c r="J1308" t="str">
        <f t="shared" si="525"/>
        <v>Hipercaloricos</v>
      </c>
      <c r="K1308">
        <v>2</v>
      </c>
      <c r="L1308">
        <f t="shared" si="526"/>
        <v>1</v>
      </c>
      <c r="M1308" t="str">
        <f t="shared" si="527"/>
        <v>Suele comer</v>
      </c>
      <c r="N1308">
        <v>3</v>
      </c>
      <c r="O1308">
        <f t="shared" si="528"/>
        <v>2</v>
      </c>
      <c r="P1308" t="str">
        <f t="shared" si="529"/>
        <v>Mas de 3</v>
      </c>
      <c r="Q1308">
        <v>1</v>
      </c>
      <c r="R1308" t="str">
        <f t="shared" si="530"/>
        <v>A veces</v>
      </c>
      <c r="S1308">
        <v>0</v>
      </c>
      <c r="T1308" t="str">
        <f t="shared" si="531"/>
        <v>No fuma</v>
      </c>
      <c r="U1308">
        <v>2952506</v>
      </c>
      <c r="V1308">
        <f t="shared" si="532"/>
        <v>2</v>
      </c>
      <c r="W1308" t="str">
        <f t="shared" si="533"/>
        <v>Siempre</v>
      </c>
      <c r="X1308">
        <v>0</v>
      </c>
      <c r="Y1308" t="str">
        <f t="shared" si="534"/>
        <v>No controla</v>
      </c>
      <c r="Z1308">
        <v>0</v>
      </c>
      <c r="AA1308">
        <f t="shared" si="535"/>
        <v>0</v>
      </c>
      <c r="AB1308" t="str">
        <f t="shared" si="536"/>
        <v>Nunca</v>
      </c>
      <c r="AC1308">
        <v>0</v>
      </c>
      <c r="AD1308">
        <f t="shared" si="537"/>
        <v>0</v>
      </c>
      <c r="AE1308" t="str">
        <f t="shared" si="538"/>
        <v>Nunca</v>
      </c>
      <c r="AF1308">
        <v>0</v>
      </c>
      <c r="AG1308" t="str">
        <f t="shared" si="539"/>
        <v>Nunca</v>
      </c>
      <c r="AH1308">
        <v>1</v>
      </c>
      <c r="AI1308" t="str">
        <f t="shared" si="540"/>
        <v>Usa auto</v>
      </c>
      <c r="AJ1308">
        <v>0</v>
      </c>
      <c r="AK1308" t="str">
        <f t="shared" si="541"/>
        <v>No usa</v>
      </c>
      <c r="AL1308">
        <v>0</v>
      </c>
      <c r="AM1308" t="str">
        <f t="shared" si="542"/>
        <v>No usa</v>
      </c>
      <c r="AN1308">
        <v>0</v>
      </c>
      <c r="AO1308" t="str">
        <f t="shared" si="543"/>
        <v>No usa</v>
      </c>
      <c r="AP1308">
        <v>0</v>
      </c>
      <c r="AQ1308" t="str">
        <f t="shared" si="544"/>
        <v>No camina</v>
      </c>
      <c r="AR1308">
        <v>1</v>
      </c>
      <c r="AS1308" t="str">
        <f t="shared" si="545"/>
        <v>Es Obeso</v>
      </c>
    </row>
    <row r="1309" spans="1:45" x14ac:dyDescent="0.25">
      <c r="A1309">
        <v>1</v>
      </c>
      <c r="B1309" t="str">
        <f t="shared" si="520"/>
        <v>M</v>
      </c>
      <c r="C1309">
        <v>22936098</v>
      </c>
      <c r="D1309">
        <f t="shared" si="521"/>
        <v>62</v>
      </c>
      <c r="E1309">
        <f t="shared" si="522"/>
        <v>62</v>
      </c>
      <c r="F1309" t="str">
        <f t="shared" si="523"/>
        <v>50-75</v>
      </c>
      <c r="G1309">
        <v>1</v>
      </c>
      <c r="H1309" t="str">
        <f t="shared" si="524"/>
        <v>Pariente gordo</v>
      </c>
      <c r="I1309">
        <v>1</v>
      </c>
      <c r="J1309" t="str">
        <f t="shared" si="525"/>
        <v>Hipercaloricos</v>
      </c>
      <c r="K1309">
        <v>2</v>
      </c>
      <c r="L1309">
        <f t="shared" si="526"/>
        <v>1</v>
      </c>
      <c r="M1309" t="str">
        <f t="shared" si="527"/>
        <v>Suele comer</v>
      </c>
      <c r="N1309">
        <v>3</v>
      </c>
      <c r="O1309">
        <f t="shared" si="528"/>
        <v>2</v>
      </c>
      <c r="P1309" t="str">
        <f t="shared" si="529"/>
        <v>Mas de 3</v>
      </c>
      <c r="Q1309">
        <v>1</v>
      </c>
      <c r="R1309" t="str">
        <f t="shared" si="530"/>
        <v>A veces</v>
      </c>
      <c r="S1309">
        <v>0</v>
      </c>
      <c r="T1309" t="str">
        <f t="shared" si="531"/>
        <v>No fuma</v>
      </c>
      <c r="U1309">
        <v>1746197</v>
      </c>
      <c r="V1309">
        <f t="shared" si="532"/>
        <v>2</v>
      </c>
      <c r="W1309" t="str">
        <f t="shared" si="533"/>
        <v>Siempre</v>
      </c>
      <c r="X1309">
        <v>0</v>
      </c>
      <c r="Y1309" t="str">
        <f t="shared" si="534"/>
        <v>No controla</v>
      </c>
      <c r="Z1309">
        <v>0.45521600000000001</v>
      </c>
      <c r="AA1309">
        <f t="shared" si="535"/>
        <v>0</v>
      </c>
      <c r="AB1309" t="str">
        <f t="shared" si="536"/>
        <v>Nunca</v>
      </c>
      <c r="AC1309">
        <v>0.33515800000000001</v>
      </c>
      <c r="AD1309">
        <f t="shared" si="537"/>
        <v>0</v>
      </c>
      <c r="AE1309" t="str">
        <f t="shared" si="538"/>
        <v>Nunca</v>
      </c>
      <c r="AF1309">
        <v>0</v>
      </c>
      <c r="AG1309" t="str">
        <f t="shared" si="539"/>
        <v>Nunca</v>
      </c>
      <c r="AH1309">
        <v>0</v>
      </c>
      <c r="AI1309" t="str">
        <f t="shared" si="540"/>
        <v>No usa</v>
      </c>
      <c r="AJ1309">
        <v>0</v>
      </c>
      <c r="AK1309" t="str">
        <f t="shared" si="541"/>
        <v>No usa</v>
      </c>
      <c r="AL1309">
        <v>0</v>
      </c>
      <c r="AM1309" t="str">
        <f t="shared" si="542"/>
        <v>No usa</v>
      </c>
      <c r="AN1309">
        <v>1</v>
      </c>
      <c r="AO1309" t="str">
        <f t="shared" si="543"/>
        <v>Usa Transporte</v>
      </c>
      <c r="AP1309">
        <v>0</v>
      </c>
      <c r="AQ1309" t="str">
        <f t="shared" si="544"/>
        <v>No camina</v>
      </c>
      <c r="AR1309">
        <v>1</v>
      </c>
      <c r="AS1309" t="str">
        <f t="shared" si="545"/>
        <v>Es Obeso</v>
      </c>
    </row>
    <row r="1310" spans="1:45" x14ac:dyDescent="0.25">
      <c r="A1310">
        <v>1</v>
      </c>
      <c r="B1310" t="str">
        <f t="shared" si="520"/>
        <v>M</v>
      </c>
      <c r="C1310">
        <v>23</v>
      </c>
      <c r="D1310">
        <f t="shared" si="521"/>
        <v>23</v>
      </c>
      <c r="E1310">
        <f t="shared" si="522"/>
        <v>23</v>
      </c>
      <c r="F1310" t="str">
        <f t="shared" si="523"/>
        <v>1-25</v>
      </c>
      <c r="G1310">
        <v>1</v>
      </c>
      <c r="H1310" t="str">
        <f t="shared" si="524"/>
        <v>Pariente gordo</v>
      </c>
      <c r="I1310">
        <v>1</v>
      </c>
      <c r="J1310" t="str">
        <f t="shared" si="525"/>
        <v>Hipercaloricos</v>
      </c>
      <c r="K1310">
        <v>2</v>
      </c>
      <c r="L1310">
        <f t="shared" si="526"/>
        <v>1</v>
      </c>
      <c r="M1310" t="str">
        <f t="shared" si="527"/>
        <v>Suele comer</v>
      </c>
      <c r="N1310">
        <v>3</v>
      </c>
      <c r="O1310">
        <f t="shared" si="528"/>
        <v>2</v>
      </c>
      <c r="P1310" t="str">
        <f t="shared" si="529"/>
        <v>Mas de 3</v>
      </c>
      <c r="Q1310">
        <v>1</v>
      </c>
      <c r="R1310" t="str">
        <f t="shared" si="530"/>
        <v>A veces</v>
      </c>
      <c r="S1310">
        <v>0</v>
      </c>
      <c r="T1310" t="str">
        <f t="shared" si="531"/>
        <v>No fuma</v>
      </c>
      <c r="U1310">
        <v>1249307</v>
      </c>
      <c r="V1310">
        <f t="shared" si="532"/>
        <v>2</v>
      </c>
      <c r="W1310" t="str">
        <f t="shared" si="533"/>
        <v>Siempre</v>
      </c>
      <c r="X1310">
        <v>0</v>
      </c>
      <c r="Y1310" t="str">
        <f t="shared" si="534"/>
        <v>No controla</v>
      </c>
      <c r="Z1310">
        <v>0.97346500000000002</v>
      </c>
      <c r="AA1310">
        <f t="shared" si="535"/>
        <v>0</v>
      </c>
      <c r="AB1310" t="str">
        <f t="shared" si="536"/>
        <v>Nunca</v>
      </c>
      <c r="AC1310">
        <v>1</v>
      </c>
      <c r="AD1310">
        <f t="shared" si="537"/>
        <v>1</v>
      </c>
      <c r="AE1310" t="str">
        <f t="shared" si="538"/>
        <v>Usualmente</v>
      </c>
      <c r="AF1310">
        <v>0</v>
      </c>
      <c r="AG1310" t="str">
        <f t="shared" si="539"/>
        <v>Nunca</v>
      </c>
      <c r="AH1310">
        <v>0</v>
      </c>
      <c r="AI1310" t="str">
        <f t="shared" si="540"/>
        <v>No usa</v>
      </c>
      <c r="AJ1310">
        <v>0</v>
      </c>
      <c r="AK1310" t="str">
        <f t="shared" si="541"/>
        <v>No usa</v>
      </c>
      <c r="AL1310">
        <v>0</v>
      </c>
      <c r="AM1310" t="str">
        <f t="shared" si="542"/>
        <v>No usa</v>
      </c>
      <c r="AN1310">
        <v>1</v>
      </c>
      <c r="AO1310" t="str">
        <f t="shared" si="543"/>
        <v>Usa Transporte</v>
      </c>
      <c r="AP1310">
        <v>0</v>
      </c>
      <c r="AQ1310" t="str">
        <f t="shared" si="544"/>
        <v>No camina</v>
      </c>
      <c r="AR1310">
        <v>1</v>
      </c>
      <c r="AS1310" t="str">
        <f t="shared" si="545"/>
        <v>Es Obeso</v>
      </c>
    </row>
    <row r="1311" spans="1:45" x14ac:dyDescent="0.25">
      <c r="A1311">
        <v>0</v>
      </c>
      <c r="B1311" t="str">
        <f t="shared" si="520"/>
        <v>F</v>
      </c>
      <c r="C1311">
        <v>37597953</v>
      </c>
      <c r="D1311">
        <f t="shared" si="521"/>
        <v>103</v>
      </c>
      <c r="E1311">
        <f t="shared" si="522"/>
        <v>100</v>
      </c>
      <c r="F1311" t="str">
        <f t="shared" si="523"/>
        <v>75-100</v>
      </c>
      <c r="G1311">
        <v>1</v>
      </c>
      <c r="H1311" t="str">
        <f t="shared" si="524"/>
        <v>Pariente gordo</v>
      </c>
      <c r="I1311">
        <v>1</v>
      </c>
      <c r="J1311" t="str">
        <f t="shared" si="525"/>
        <v>Hipercaloricos</v>
      </c>
      <c r="K1311">
        <v>2450784</v>
      </c>
      <c r="L1311">
        <f t="shared" si="526"/>
        <v>1</v>
      </c>
      <c r="M1311" t="str">
        <f t="shared" si="527"/>
        <v>Suele comer</v>
      </c>
      <c r="N1311">
        <v>2952821</v>
      </c>
      <c r="O1311">
        <f t="shared" si="528"/>
        <v>2</v>
      </c>
      <c r="P1311" t="str">
        <f t="shared" si="529"/>
        <v>Mas de 3</v>
      </c>
      <c r="Q1311">
        <v>1</v>
      </c>
      <c r="R1311" t="str">
        <f t="shared" si="530"/>
        <v>A veces</v>
      </c>
      <c r="S1311">
        <v>0</v>
      </c>
      <c r="T1311" t="str">
        <f t="shared" si="531"/>
        <v>No fuma</v>
      </c>
      <c r="U1311">
        <v>1335192</v>
      </c>
      <c r="V1311">
        <f t="shared" si="532"/>
        <v>2</v>
      </c>
      <c r="W1311" t="str">
        <f t="shared" si="533"/>
        <v>Siempre</v>
      </c>
      <c r="X1311">
        <v>0</v>
      </c>
      <c r="Y1311" t="str">
        <f t="shared" si="534"/>
        <v>No controla</v>
      </c>
      <c r="Z1311">
        <v>0.18027599999999999</v>
      </c>
      <c r="AA1311">
        <f t="shared" si="535"/>
        <v>0</v>
      </c>
      <c r="AB1311" t="str">
        <f t="shared" si="536"/>
        <v>Nunca</v>
      </c>
      <c r="AC1311">
        <v>0</v>
      </c>
      <c r="AD1311">
        <f t="shared" si="537"/>
        <v>0</v>
      </c>
      <c r="AE1311" t="str">
        <f t="shared" si="538"/>
        <v>Nunca</v>
      </c>
      <c r="AF1311">
        <v>1</v>
      </c>
      <c r="AG1311" t="str">
        <f t="shared" si="539"/>
        <v>A veces</v>
      </c>
      <c r="AH1311">
        <v>1</v>
      </c>
      <c r="AI1311" t="str">
        <f t="shared" si="540"/>
        <v>Usa auto</v>
      </c>
      <c r="AJ1311">
        <v>0</v>
      </c>
      <c r="AK1311" t="str">
        <f t="shared" si="541"/>
        <v>No usa</v>
      </c>
      <c r="AL1311">
        <v>0</v>
      </c>
      <c r="AM1311" t="str">
        <f t="shared" si="542"/>
        <v>No usa</v>
      </c>
      <c r="AN1311">
        <v>0</v>
      </c>
      <c r="AO1311" t="str">
        <f t="shared" si="543"/>
        <v>No usa</v>
      </c>
      <c r="AP1311">
        <v>0</v>
      </c>
      <c r="AQ1311" t="str">
        <f t="shared" si="544"/>
        <v>No camina</v>
      </c>
      <c r="AR1311">
        <v>1</v>
      </c>
      <c r="AS1311" t="str">
        <f t="shared" si="545"/>
        <v>Es Obeso</v>
      </c>
    </row>
    <row r="1312" spans="1:45" x14ac:dyDescent="0.25">
      <c r="A1312">
        <v>0</v>
      </c>
      <c r="B1312" t="str">
        <f t="shared" si="520"/>
        <v>F</v>
      </c>
      <c r="C1312">
        <v>37532066</v>
      </c>
      <c r="D1312">
        <f t="shared" si="521"/>
        <v>102</v>
      </c>
      <c r="E1312">
        <f t="shared" si="522"/>
        <v>100</v>
      </c>
      <c r="F1312" t="str">
        <f t="shared" si="523"/>
        <v>75-100</v>
      </c>
      <c r="G1312">
        <v>1</v>
      </c>
      <c r="H1312" t="str">
        <f t="shared" si="524"/>
        <v>Pariente gordo</v>
      </c>
      <c r="I1312">
        <v>1</v>
      </c>
      <c r="J1312" t="str">
        <f t="shared" si="525"/>
        <v>Hipercaloricos</v>
      </c>
      <c r="K1312">
        <v>2972426</v>
      </c>
      <c r="L1312">
        <f t="shared" si="526"/>
        <v>1</v>
      </c>
      <c r="M1312" t="str">
        <f t="shared" si="527"/>
        <v>Suele comer</v>
      </c>
      <c r="N1312">
        <v>3</v>
      </c>
      <c r="O1312">
        <f t="shared" si="528"/>
        <v>2</v>
      </c>
      <c r="P1312" t="str">
        <f t="shared" si="529"/>
        <v>Mas de 3</v>
      </c>
      <c r="Q1312">
        <v>1</v>
      </c>
      <c r="R1312" t="str">
        <f t="shared" si="530"/>
        <v>A veces</v>
      </c>
      <c r="S1312">
        <v>0</v>
      </c>
      <c r="T1312" t="str">
        <f t="shared" si="531"/>
        <v>No fuma</v>
      </c>
      <c r="U1312">
        <v>1636326</v>
      </c>
      <c r="V1312">
        <f t="shared" si="532"/>
        <v>2</v>
      </c>
      <c r="W1312" t="str">
        <f t="shared" si="533"/>
        <v>Siempre</v>
      </c>
      <c r="X1312">
        <v>0</v>
      </c>
      <c r="Y1312" t="str">
        <f t="shared" si="534"/>
        <v>No controla</v>
      </c>
      <c r="Z1312">
        <v>0</v>
      </c>
      <c r="AA1312">
        <f t="shared" si="535"/>
        <v>0</v>
      </c>
      <c r="AB1312" t="str">
        <f t="shared" si="536"/>
        <v>Nunca</v>
      </c>
      <c r="AC1312">
        <v>0</v>
      </c>
      <c r="AD1312">
        <f t="shared" si="537"/>
        <v>0</v>
      </c>
      <c r="AE1312" t="str">
        <f t="shared" si="538"/>
        <v>Nunca</v>
      </c>
      <c r="AF1312">
        <v>1</v>
      </c>
      <c r="AG1312" t="str">
        <f t="shared" si="539"/>
        <v>A veces</v>
      </c>
      <c r="AH1312">
        <v>1</v>
      </c>
      <c r="AI1312" t="str">
        <f t="shared" si="540"/>
        <v>Usa auto</v>
      </c>
      <c r="AJ1312">
        <v>0</v>
      </c>
      <c r="AK1312" t="str">
        <f t="shared" si="541"/>
        <v>No usa</v>
      </c>
      <c r="AL1312">
        <v>0</v>
      </c>
      <c r="AM1312" t="str">
        <f t="shared" si="542"/>
        <v>No usa</v>
      </c>
      <c r="AN1312">
        <v>0</v>
      </c>
      <c r="AO1312" t="str">
        <f t="shared" si="543"/>
        <v>No usa</v>
      </c>
      <c r="AP1312">
        <v>0</v>
      </c>
      <c r="AQ1312" t="str">
        <f t="shared" si="544"/>
        <v>No camina</v>
      </c>
      <c r="AR1312">
        <v>1</v>
      </c>
      <c r="AS1312" t="str">
        <f t="shared" si="545"/>
        <v>Es Obeso</v>
      </c>
    </row>
    <row r="1313" spans="1:45" x14ac:dyDescent="0.25">
      <c r="A1313">
        <v>1</v>
      </c>
      <c r="B1313" t="str">
        <f t="shared" si="520"/>
        <v>M</v>
      </c>
      <c r="C1313">
        <v>31630054</v>
      </c>
      <c r="D1313">
        <f t="shared" si="521"/>
        <v>86</v>
      </c>
      <c r="E1313">
        <f t="shared" si="522"/>
        <v>86</v>
      </c>
      <c r="F1313" t="str">
        <f t="shared" si="523"/>
        <v>75-100</v>
      </c>
      <c r="G1313">
        <v>1</v>
      </c>
      <c r="H1313" t="str">
        <f t="shared" si="524"/>
        <v>Pariente gordo</v>
      </c>
      <c r="I1313">
        <v>1</v>
      </c>
      <c r="J1313" t="str">
        <f t="shared" si="525"/>
        <v>Hipercaloricos</v>
      </c>
      <c r="K1313">
        <v>2467002</v>
      </c>
      <c r="L1313">
        <f t="shared" si="526"/>
        <v>1</v>
      </c>
      <c r="M1313" t="str">
        <f t="shared" si="527"/>
        <v>Suele comer</v>
      </c>
      <c r="N1313">
        <v>1851088</v>
      </c>
      <c r="O1313">
        <f t="shared" si="528"/>
        <v>2</v>
      </c>
      <c r="P1313" t="str">
        <f t="shared" si="529"/>
        <v>Mas de 3</v>
      </c>
      <c r="Q1313">
        <v>1</v>
      </c>
      <c r="R1313" t="str">
        <f t="shared" si="530"/>
        <v>A veces</v>
      </c>
      <c r="S1313">
        <v>0</v>
      </c>
      <c r="T1313" t="str">
        <f t="shared" si="531"/>
        <v>No fuma</v>
      </c>
      <c r="U1313">
        <v>2104054</v>
      </c>
      <c r="V1313">
        <f t="shared" si="532"/>
        <v>2</v>
      </c>
      <c r="W1313" t="str">
        <f t="shared" si="533"/>
        <v>Siempre</v>
      </c>
      <c r="X1313">
        <v>0</v>
      </c>
      <c r="Y1313" t="str">
        <f t="shared" si="534"/>
        <v>No controla</v>
      </c>
      <c r="Z1313">
        <v>1991565</v>
      </c>
      <c r="AA1313">
        <f t="shared" si="535"/>
        <v>3</v>
      </c>
      <c r="AB1313" t="str">
        <f t="shared" si="536"/>
        <v>Siempre</v>
      </c>
      <c r="AC1313">
        <v>0</v>
      </c>
      <c r="AD1313">
        <f t="shared" si="537"/>
        <v>0</v>
      </c>
      <c r="AE1313" t="str">
        <f t="shared" si="538"/>
        <v>Nunca</v>
      </c>
      <c r="AF1313">
        <v>1</v>
      </c>
      <c r="AG1313" t="str">
        <f t="shared" si="539"/>
        <v>A veces</v>
      </c>
      <c r="AH1313">
        <v>1</v>
      </c>
      <c r="AI1313" t="str">
        <f t="shared" si="540"/>
        <v>Usa auto</v>
      </c>
      <c r="AJ1313">
        <v>0</v>
      </c>
      <c r="AK1313" t="str">
        <f t="shared" si="541"/>
        <v>No usa</v>
      </c>
      <c r="AL1313">
        <v>0</v>
      </c>
      <c r="AM1313" t="str">
        <f t="shared" si="542"/>
        <v>No usa</v>
      </c>
      <c r="AN1313">
        <v>0</v>
      </c>
      <c r="AO1313" t="str">
        <f t="shared" si="543"/>
        <v>No usa</v>
      </c>
      <c r="AP1313">
        <v>0</v>
      </c>
      <c r="AQ1313" t="str">
        <f t="shared" si="544"/>
        <v>No camina</v>
      </c>
      <c r="AR1313">
        <v>1</v>
      </c>
      <c r="AS1313" t="str">
        <f t="shared" si="545"/>
        <v>Es Obeso</v>
      </c>
    </row>
    <row r="1314" spans="1:45" x14ac:dyDescent="0.25">
      <c r="A1314">
        <v>1</v>
      </c>
      <c r="B1314" t="str">
        <f t="shared" si="520"/>
        <v>M</v>
      </c>
      <c r="C1314">
        <v>31641081</v>
      </c>
      <c r="D1314">
        <f t="shared" si="521"/>
        <v>86</v>
      </c>
      <c r="E1314">
        <f t="shared" si="522"/>
        <v>86</v>
      </c>
      <c r="F1314" t="str">
        <f t="shared" si="523"/>
        <v>75-100</v>
      </c>
      <c r="G1314">
        <v>1</v>
      </c>
      <c r="H1314" t="str">
        <f t="shared" si="524"/>
        <v>Pariente gordo</v>
      </c>
      <c r="I1314">
        <v>1</v>
      </c>
      <c r="J1314" t="str">
        <f t="shared" si="525"/>
        <v>Hipercaloricos</v>
      </c>
      <c r="K1314">
        <v>2934671</v>
      </c>
      <c r="L1314">
        <f t="shared" si="526"/>
        <v>1</v>
      </c>
      <c r="M1314" t="str">
        <f t="shared" si="527"/>
        <v>Suele comer</v>
      </c>
      <c r="N1314">
        <v>2119682</v>
      </c>
      <c r="O1314">
        <f t="shared" si="528"/>
        <v>2</v>
      </c>
      <c r="P1314" t="str">
        <f t="shared" si="529"/>
        <v>Mas de 3</v>
      </c>
      <c r="Q1314">
        <v>1</v>
      </c>
      <c r="R1314" t="str">
        <f t="shared" si="530"/>
        <v>A veces</v>
      </c>
      <c r="S1314">
        <v>0</v>
      </c>
      <c r="T1314" t="str">
        <f t="shared" si="531"/>
        <v>No fuma</v>
      </c>
      <c r="U1314">
        <v>2041462</v>
      </c>
      <c r="V1314">
        <f t="shared" si="532"/>
        <v>2</v>
      </c>
      <c r="W1314" t="str">
        <f t="shared" si="533"/>
        <v>Siempre</v>
      </c>
      <c r="X1314">
        <v>0</v>
      </c>
      <c r="Y1314" t="str">
        <f t="shared" si="534"/>
        <v>No controla</v>
      </c>
      <c r="Z1314">
        <v>0.57807399999999998</v>
      </c>
      <c r="AA1314">
        <f t="shared" si="535"/>
        <v>0</v>
      </c>
      <c r="AB1314" t="str">
        <f t="shared" si="536"/>
        <v>Nunca</v>
      </c>
      <c r="AC1314">
        <v>0</v>
      </c>
      <c r="AD1314">
        <f t="shared" si="537"/>
        <v>0</v>
      </c>
      <c r="AE1314" t="str">
        <f t="shared" si="538"/>
        <v>Nunca</v>
      </c>
      <c r="AF1314">
        <v>1</v>
      </c>
      <c r="AG1314" t="str">
        <f t="shared" si="539"/>
        <v>A veces</v>
      </c>
      <c r="AH1314">
        <v>1</v>
      </c>
      <c r="AI1314" t="str">
        <f t="shared" si="540"/>
        <v>Usa auto</v>
      </c>
      <c r="AJ1314">
        <v>0</v>
      </c>
      <c r="AK1314" t="str">
        <f t="shared" si="541"/>
        <v>No usa</v>
      </c>
      <c r="AL1314">
        <v>0</v>
      </c>
      <c r="AM1314" t="str">
        <f t="shared" si="542"/>
        <v>No usa</v>
      </c>
      <c r="AN1314">
        <v>0</v>
      </c>
      <c r="AO1314" t="str">
        <f t="shared" si="543"/>
        <v>No usa</v>
      </c>
      <c r="AP1314">
        <v>0</v>
      </c>
      <c r="AQ1314" t="str">
        <f t="shared" si="544"/>
        <v>No camina</v>
      </c>
      <c r="AR1314">
        <v>1</v>
      </c>
      <c r="AS1314" t="str">
        <f t="shared" si="545"/>
        <v>Es Obeso</v>
      </c>
    </row>
    <row r="1315" spans="1:45" x14ac:dyDescent="0.25">
      <c r="A1315">
        <v>1</v>
      </c>
      <c r="B1315" t="str">
        <f t="shared" si="520"/>
        <v>M</v>
      </c>
      <c r="C1315">
        <v>21872484</v>
      </c>
      <c r="D1315">
        <f t="shared" si="521"/>
        <v>59</v>
      </c>
      <c r="E1315">
        <f t="shared" si="522"/>
        <v>59</v>
      </c>
      <c r="F1315" t="str">
        <f t="shared" si="523"/>
        <v>50-75</v>
      </c>
      <c r="G1315">
        <v>1</v>
      </c>
      <c r="H1315" t="str">
        <f t="shared" si="524"/>
        <v>Pariente gordo</v>
      </c>
      <c r="I1315">
        <v>1</v>
      </c>
      <c r="J1315" t="str">
        <f t="shared" si="525"/>
        <v>Hipercaloricos</v>
      </c>
      <c r="K1315">
        <v>2</v>
      </c>
      <c r="L1315">
        <f t="shared" si="526"/>
        <v>1</v>
      </c>
      <c r="M1315" t="str">
        <f t="shared" si="527"/>
        <v>Suele comer</v>
      </c>
      <c r="N1315">
        <v>2970675</v>
      </c>
      <c r="O1315">
        <f t="shared" si="528"/>
        <v>2</v>
      </c>
      <c r="P1315" t="str">
        <f t="shared" si="529"/>
        <v>Mas de 3</v>
      </c>
      <c r="Q1315">
        <v>1</v>
      </c>
      <c r="R1315" t="str">
        <f t="shared" si="530"/>
        <v>A veces</v>
      </c>
      <c r="S1315">
        <v>0</v>
      </c>
      <c r="T1315" t="str">
        <f t="shared" si="531"/>
        <v>No fuma</v>
      </c>
      <c r="U1315">
        <v>2</v>
      </c>
      <c r="V1315">
        <f t="shared" si="532"/>
        <v>2</v>
      </c>
      <c r="W1315" t="str">
        <f t="shared" si="533"/>
        <v>Siempre</v>
      </c>
      <c r="X1315">
        <v>0</v>
      </c>
      <c r="Y1315" t="str">
        <f t="shared" si="534"/>
        <v>No controla</v>
      </c>
      <c r="Z1315">
        <v>0</v>
      </c>
      <c r="AA1315">
        <f t="shared" si="535"/>
        <v>0</v>
      </c>
      <c r="AB1315" t="str">
        <f t="shared" si="536"/>
        <v>Nunca</v>
      </c>
      <c r="AC1315">
        <v>0.169294</v>
      </c>
      <c r="AD1315">
        <f t="shared" si="537"/>
        <v>0</v>
      </c>
      <c r="AE1315" t="str">
        <f t="shared" si="538"/>
        <v>Nunca</v>
      </c>
      <c r="AF1315">
        <v>0</v>
      </c>
      <c r="AG1315" t="str">
        <f t="shared" si="539"/>
        <v>Nunca</v>
      </c>
      <c r="AH1315">
        <v>0</v>
      </c>
      <c r="AI1315" t="str">
        <f t="shared" si="540"/>
        <v>No usa</v>
      </c>
      <c r="AJ1315">
        <v>0</v>
      </c>
      <c r="AK1315" t="str">
        <f t="shared" si="541"/>
        <v>No usa</v>
      </c>
      <c r="AL1315">
        <v>0</v>
      </c>
      <c r="AM1315" t="str">
        <f t="shared" si="542"/>
        <v>No usa</v>
      </c>
      <c r="AN1315">
        <v>1</v>
      </c>
      <c r="AO1315" t="str">
        <f t="shared" si="543"/>
        <v>Usa Transporte</v>
      </c>
      <c r="AP1315">
        <v>0</v>
      </c>
      <c r="AQ1315" t="str">
        <f t="shared" si="544"/>
        <v>No camina</v>
      </c>
      <c r="AR1315">
        <v>1</v>
      </c>
      <c r="AS1315" t="str">
        <f t="shared" si="545"/>
        <v>Es Obeso</v>
      </c>
    </row>
    <row r="1316" spans="1:45" x14ac:dyDescent="0.25">
      <c r="A1316">
        <v>1</v>
      </c>
      <c r="B1316" t="str">
        <f t="shared" si="520"/>
        <v>M</v>
      </c>
      <c r="C1316">
        <v>21834894</v>
      </c>
      <c r="D1316">
        <f t="shared" si="521"/>
        <v>59</v>
      </c>
      <c r="E1316">
        <f t="shared" si="522"/>
        <v>59</v>
      </c>
      <c r="F1316" t="str">
        <f t="shared" si="523"/>
        <v>50-75</v>
      </c>
      <c r="G1316">
        <v>1</v>
      </c>
      <c r="H1316" t="str">
        <f t="shared" si="524"/>
        <v>Pariente gordo</v>
      </c>
      <c r="I1316">
        <v>1</v>
      </c>
      <c r="J1316" t="str">
        <f t="shared" si="525"/>
        <v>Hipercaloricos</v>
      </c>
      <c r="K1316">
        <v>2</v>
      </c>
      <c r="L1316">
        <f t="shared" si="526"/>
        <v>1</v>
      </c>
      <c r="M1316" t="str">
        <f t="shared" si="527"/>
        <v>Suele comer</v>
      </c>
      <c r="N1316">
        <v>2966803</v>
      </c>
      <c r="O1316">
        <f t="shared" si="528"/>
        <v>2</v>
      </c>
      <c r="P1316" t="str">
        <f t="shared" si="529"/>
        <v>Mas de 3</v>
      </c>
      <c r="Q1316">
        <v>1</v>
      </c>
      <c r="R1316" t="str">
        <f t="shared" si="530"/>
        <v>A veces</v>
      </c>
      <c r="S1316">
        <v>0</v>
      </c>
      <c r="T1316" t="str">
        <f t="shared" si="531"/>
        <v>No fuma</v>
      </c>
      <c r="U1316">
        <v>2</v>
      </c>
      <c r="V1316">
        <f t="shared" si="532"/>
        <v>2</v>
      </c>
      <c r="W1316" t="str">
        <f t="shared" si="533"/>
        <v>Siempre</v>
      </c>
      <c r="X1316">
        <v>0</v>
      </c>
      <c r="Y1316" t="str">
        <f t="shared" si="534"/>
        <v>No controla</v>
      </c>
      <c r="Z1316">
        <v>0</v>
      </c>
      <c r="AA1316">
        <f t="shared" si="535"/>
        <v>0</v>
      </c>
      <c r="AB1316" t="str">
        <f t="shared" si="536"/>
        <v>Nunca</v>
      </c>
      <c r="AC1316">
        <v>1281541</v>
      </c>
      <c r="AD1316">
        <f t="shared" si="537"/>
        <v>2</v>
      </c>
      <c r="AE1316" t="str">
        <f t="shared" si="538"/>
        <v>Siempre</v>
      </c>
      <c r="AF1316">
        <v>0</v>
      </c>
      <c r="AG1316" t="str">
        <f t="shared" si="539"/>
        <v>Nunca</v>
      </c>
      <c r="AH1316">
        <v>0</v>
      </c>
      <c r="AI1316" t="str">
        <f t="shared" si="540"/>
        <v>No usa</v>
      </c>
      <c r="AJ1316">
        <v>0</v>
      </c>
      <c r="AK1316" t="str">
        <f t="shared" si="541"/>
        <v>No usa</v>
      </c>
      <c r="AL1316">
        <v>0</v>
      </c>
      <c r="AM1316" t="str">
        <f t="shared" si="542"/>
        <v>No usa</v>
      </c>
      <c r="AN1316">
        <v>1</v>
      </c>
      <c r="AO1316" t="str">
        <f t="shared" si="543"/>
        <v>Usa Transporte</v>
      </c>
      <c r="AP1316">
        <v>0</v>
      </c>
      <c r="AQ1316" t="str">
        <f t="shared" si="544"/>
        <v>No camina</v>
      </c>
      <c r="AR1316">
        <v>1</v>
      </c>
      <c r="AS1316" t="str">
        <f t="shared" si="545"/>
        <v>Es Obeso</v>
      </c>
    </row>
    <row r="1317" spans="1:45" x14ac:dyDescent="0.25">
      <c r="A1317">
        <v>1</v>
      </c>
      <c r="B1317" t="str">
        <f t="shared" si="520"/>
        <v>M</v>
      </c>
      <c r="C1317">
        <v>36023972</v>
      </c>
      <c r="D1317">
        <f t="shared" si="521"/>
        <v>98</v>
      </c>
      <c r="E1317">
        <f t="shared" si="522"/>
        <v>98</v>
      </c>
      <c r="F1317" t="str">
        <f t="shared" si="523"/>
        <v>75-100</v>
      </c>
      <c r="G1317">
        <v>1</v>
      </c>
      <c r="H1317" t="str">
        <f t="shared" si="524"/>
        <v>Pariente gordo</v>
      </c>
      <c r="I1317">
        <v>1</v>
      </c>
      <c r="J1317" t="str">
        <f t="shared" si="525"/>
        <v>Hipercaloricos</v>
      </c>
      <c r="K1317">
        <v>2903545</v>
      </c>
      <c r="L1317">
        <f t="shared" si="526"/>
        <v>1</v>
      </c>
      <c r="M1317" t="str">
        <f t="shared" si="527"/>
        <v>Suele comer</v>
      </c>
      <c r="N1317">
        <v>1508685</v>
      </c>
      <c r="O1317">
        <f t="shared" si="528"/>
        <v>2</v>
      </c>
      <c r="P1317" t="str">
        <f t="shared" si="529"/>
        <v>Mas de 3</v>
      </c>
      <c r="Q1317">
        <v>1</v>
      </c>
      <c r="R1317" t="str">
        <f t="shared" si="530"/>
        <v>A veces</v>
      </c>
      <c r="S1317">
        <v>0</v>
      </c>
      <c r="T1317" t="str">
        <f t="shared" si="531"/>
        <v>No fuma</v>
      </c>
      <c r="U1317">
        <v>2450069</v>
      </c>
      <c r="V1317">
        <f t="shared" si="532"/>
        <v>2</v>
      </c>
      <c r="W1317" t="str">
        <f t="shared" si="533"/>
        <v>Siempre</v>
      </c>
      <c r="X1317">
        <v>0</v>
      </c>
      <c r="Y1317" t="str">
        <f t="shared" si="534"/>
        <v>No controla</v>
      </c>
      <c r="Z1317">
        <v>145473</v>
      </c>
      <c r="AA1317">
        <f t="shared" si="535"/>
        <v>2</v>
      </c>
      <c r="AB1317" t="str">
        <f t="shared" si="536"/>
        <v>Usualmente</v>
      </c>
      <c r="AC1317">
        <v>0</v>
      </c>
      <c r="AD1317">
        <f t="shared" si="537"/>
        <v>0</v>
      </c>
      <c r="AE1317" t="str">
        <f t="shared" si="538"/>
        <v>Nunca</v>
      </c>
      <c r="AF1317">
        <v>1</v>
      </c>
      <c r="AG1317" t="str">
        <f t="shared" si="539"/>
        <v>A veces</v>
      </c>
      <c r="AH1317">
        <v>1</v>
      </c>
      <c r="AI1317" t="str">
        <f t="shared" si="540"/>
        <v>Usa auto</v>
      </c>
      <c r="AJ1317">
        <v>0</v>
      </c>
      <c r="AK1317" t="str">
        <f t="shared" si="541"/>
        <v>No usa</v>
      </c>
      <c r="AL1317">
        <v>0</v>
      </c>
      <c r="AM1317" t="str">
        <f t="shared" si="542"/>
        <v>No usa</v>
      </c>
      <c r="AN1317">
        <v>0</v>
      </c>
      <c r="AO1317" t="str">
        <f t="shared" si="543"/>
        <v>No usa</v>
      </c>
      <c r="AP1317">
        <v>0</v>
      </c>
      <c r="AQ1317" t="str">
        <f t="shared" si="544"/>
        <v>No camina</v>
      </c>
      <c r="AR1317">
        <v>1</v>
      </c>
      <c r="AS1317" t="str">
        <f t="shared" si="545"/>
        <v>Es Obeso</v>
      </c>
    </row>
    <row r="1318" spans="1:45" x14ac:dyDescent="0.25">
      <c r="A1318">
        <v>1</v>
      </c>
      <c r="B1318" t="str">
        <f t="shared" si="520"/>
        <v>M</v>
      </c>
      <c r="C1318">
        <v>39656559</v>
      </c>
      <c r="D1318">
        <f t="shared" si="521"/>
        <v>108</v>
      </c>
      <c r="E1318">
        <f t="shared" si="522"/>
        <v>100</v>
      </c>
      <c r="F1318" t="str">
        <f t="shared" si="523"/>
        <v>75-100</v>
      </c>
      <c r="G1318">
        <v>1</v>
      </c>
      <c r="H1318" t="str">
        <f t="shared" si="524"/>
        <v>Pariente gordo</v>
      </c>
      <c r="I1318">
        <v>1</v>
      </c>
      <c r="J1318" t="str">
        <f t="shared" si="525"/>
        <v>Hipercaloricos</v>
      </c>
      <c r="K1318">
        <v>2043359</v>
      </c>
      <c r="L1318">
        <f t="shared" si="526"/>
        <v>1</v>
      </c>
      <c r="M1318" t="str">
        <f t="shared" si="527"/>
        <v>Suele comer</v>
      </c>
      <c r="N1318">
        <v>2209314</v>
      </c>
      <c r="O1318">
        <f t="shared" si="528"/>
        <v>2</v>
      </c>
      <c r="P1318" t="str">
        <f t="shared" si="529"/>
        <v>Mas de 3</v>
      </c>
      <c r="Q1318">
        <v>1</v>
      </c>
      <c r="R1318" t="str">
        <f t="shared" si="530"/>
        <v>A veces</v>
      </c>
      <c r="S1318">
        <v>0</v>
      </c>
      <c r="T1318" t="str">
        <f t="shared" si="531"/>
        <v>No fuma</v>
      </c>
      <c r="U1318">
        <v>2785804</v>
      </c>
      <c r="V1318">
        <f t="shared" si="532"/>
        <v>2</v>
      </c>
      <c r="W1318" t="str">
        <f t="shared" si="533"/>
        <v>Siempre</v>
      </c>
      <c r="X1318">
        <v>0</v>
      </c>
      <c r="Y1318" t="str">
        <f t="shared" si="534"/>
        <v>No controla</v>
      </c>
      <c r="Z1318">
        <v>1259613</v>
      </c>
      <c r="AA1318">
        <f t="shared" si="535"/>
        <v>3</v>
      </c>
      <c r="AB1318" t="str">
        <f t="shared" si="536"/>
        <v>Siempre</v>
      </c>
      <c r="AC1318">
        <v>0.66961599999999999</v>
      </c>
      <c r="AD1318">
        <f t="shared" si="537"/>
        <v>0</v>
      </c>
      <c r="AE1318" t="str">
        <f t="shared" si="538"/>
        <v>Nunca</v>
      </c>
      <c r="AF1318">
        <v>1</v>
      </c>
      <c r="AG1318" t="str">
        <f t="shared" si="539"/>
        <v>A veces</v>
      </c>
      <c r="AH1318">
        <v>1</v>
      </c>
      <c r="AI1318" t="str">
        <f t="shared" si="540"/>
        <v>Usa auto</v>
      </c>
      <c r="AJ1318">
        <v>0</v>
      </c>
      <c r="AK1318" t="str">
        <f t="shared" si="541"/>
        <v>No usa</v>
      </c>
      <c r="AL1318">
        <v>0</v>
      </c>
      <c r="AM1318" t="str">
        <f t="shared" si="542"/>
        <v>No usa</v>
      </c>
      <c r="AN1318">
        <v>0</v>
      </c>
      <c r="AO1318" t="str">
        <f t="shared" si="543"/>
        <v>No usa</v>
      </c>
      <c r="AP1318">
        <v>0</v>
      </c>
      <c r="AQ1318" t="str">
        <f t="shared" si="544"/>
        <v>No camina</v>
      </c>
      <c r="AR1318">
        <v>1</v>
      </c>
      <c r="AS1318" t="str">
        <f t="shared" si="545"/>
        <v>Es Obeso</v>
      </c>
    </row>
    <row r="1319" spans="1:45" x14ac:dyDescent="0.25">
      <c r="A1319">
        <v>1</v>
      </c>
      <c r="B1319" t="str">
        <f t="shared" si="520"/>
        <v>M</v>
      </c>
      <c r="C1319">
        <v>24184891</v>
      </c>
      <c r="D1319">
        <f t="shared" si="521"/>
        <v>66</v>
      </c>
      <c r="E1319">
        <f t="shared" si="522"/>
        <v>66</v>
      </c>
      <c r="F1319" t="str">
        <f t="shared" si="523"/>
        <v>50-75</v>
      </c>
      <c r="G1319">
        <v>1</v>
      </c>
      <c r="H1319" t="str">
        <f t="shared" si="524"/>
        <v>Pariente gordo</v>
      </c>
      <c r="I1319">
        <v>1</v>
      </c>
      <c r="J1319" t="str">
        <f t="shared" si="525"/>
        <v>Hipercaloricos</v>
      </c>
      <c r="K1319">
        <v>2</v>
      </c>
      <c r="L1319">
        <f t="shared" si="526"/>
        <v>1</v>
      </c>
      <c r="M1319" t="str">
        <f t="shared" si="527"/>
        <v>Suele comer</v>
      </c>
      <c r="N1319">
        <v>3</v>
      </c>
      <c r="O1319">
        <f t="shared" si="528"/>
        <v>2</v>
      </c>
      <c r="P1319" t="str">
        <f t="shared" si="529"/>
        <v>Mas de 3</v>
      </c>
      <c r="Q1319">
        <v>1</v>
      </c>
      <c r="R1319" t="str">
        <f t="shared" si="530"/>
        <v>A veces</v>
      </c>
      <c r="S1319">
        <v>0</v>
      </c>
      <c r="T1319" t="str">
        <f t="shared" si="531"/>
        <v>No fuma</v>
      </c>
      <c r="U1319">
        <v>2973729</v>
      </c>
      <c r="V1319">
        <f t="shared" si="532"/>
        <v>2</v>
      </c>
      <c r="W1319" t="str">
        <f t="shared" si="533"/>
        <v>Siempre</v>
      </c>
      <c r="X1319">
        <v>0</v>
      </c>
      <c r="Y1319" t="str">
        <f t="shared" si="534"/>
        <v>No controla</v>
      </c>
      <c r="Z1319">
        <v>2491642</v>
      </c>
      <c r="AA1319">
        <f t="shared" si="535"/>
        <v>3</v>
      </c>
      <c r="AB1319" t="str">
        <f t="shared" si="536"/>
        <v>Siempre</v>
      </c>
      <c r="AC1319">
        <v>136595</v>
      </c>
      <c r="AD1319">
        <f t="shared" si="537"/>
        <v>1</v>
      </c>
      <c r="AE1319" t="str">
        <f t="shared" si="538"/>
        <v>Usualmente</v>
      </c>
      <c r="AF1319">
        <v>0</v>
      </c>
      <c r="AG1319" t="str">
        <f t="shared" si="539"/>
        <v>Nunca</v>
      </c>
      <c r="AH1319">
        <v>0</v>
      </c>
      <c r="AI1319" t="str">
        <f t="shared" si="540"/>
        <v>No usa</v>
      </c>
      <c r="AJ1319">
        <v>0</v>
      </c>
      <c r="AK1319" t="str">
        <f t="shared" si="541"/>
        <v>No usa</v>
      </c>
      <c r="AL1319">
        <v>0</v>
      </c>
      <c r="AM1319" t="str">
        <f t="shared" si="542"/>
        <v>No usa</v>
      </c>
      <c r="AN1319">
        <v>1</v>
      </c>
      <c r="AO1319" t="str">
        <f t="shared" si="543"/>
        <v>Usa Transporte</v>
      </c>
      <c r="AP1319">
        <v>0</v>
      </c>
      <c r="AQ1319" t="str">
        <f t="shared" si="544"/>
        <v>No camina</v>
      </c>
      <c r="AR1319">
        <v>1</v>
      </c>
      <c r="AS1319" t="str">
        <f t="shared" si="545"/>
        <v>Es Obeso</v>
      </c>
    </row>
    <row r="1320" spans="1:45" x14ac:dyDescent="0.25">
      <c r="A1320">
        <v>1</v>
      </c>
      <c r="B1320" t="str">
        <f t="shared" si="520"/>
        <v>M</v>
      </c>
      <c r="C1320">
        <v>23237302</v>
      </c>
      <c r="D1320">
        <f t="shared" si="521"/>
        <v>63</v>
      </c>
      <c r="E1320">
        <f t="shared" si="522"/>
        <v>63</v>
      </c>
      <c r="F1320" t="str">
        <f t="shared" si="523"/>
        <v>50-75</v>
      </c>
      <c r="G1320">
        <v>1</v>
      </c>
      <c r="H1320" t="str">
        <f t="shared" si="524"/>
        <v>Pariente gordo</v>
      </c>
      <c r="I1320">
        <v>1</v>
      </c>
      <c r="J1320" t="str">
        <f t="shared" si="525"/>
        <v>Hipercaloricos</v>
      </c>
      <c r="K1320">
        <v>2</v>
      </c>
      <c r="L1320">
        <f t="shared" si="526"/>
        <v>1</v>
      </c>
      <c r="M1320" t="str">
        <f t="shared" si="527"/>
        <v>Suele comer</v>
      </c>
      <c r="N1320">
        <v>3</v>
      </c>
      <c r="O1320">
        <f t="shared" si="528"/>
        <v>2</v>
      </c>
      <c r="P1320" t="str">
        <f t="shared" si="529"/>
        <v>Mas de 3</v>
      </c>
      <c r="Q1320">
        <v>1</v>
      </c>
      <c r="R1320" t="str">
        <f t="shared" si="530"/>
        <v>A veces</v>
      </c>
      <c r="S1320">
        <v>0</v>
      </c>
      <c r="T1320" t="str">
        <f t="shared" si="531"/>
        <v>No fuma</v>
      </c>
      <c r="U1320">
        <v>2988771</v>
      </c>
      <c r="V1320">
        <f t="shared" si="532"/>
        <v>2</v>
      </c>
      <c r="W1320" t="str">
        <f t="shared" si="533"/>
        <v>Siempre</v>
      </c>
      <c r="X1320">
        <v>0</v>
      </c>
      <c r="Y1320" t="str">
        <f t="shared" si="534"/>
        <v>No controla</v>
      </c>
      <c r="Z1320">
        <v>2429923</v>
      </c>
      <c r="AA1320">
        <f t="shared" si="535"/>
        <v>3</v>
      </c>
      <c r="AB1320" t="str">
        <f t="shared" si="536"/>
        <v>Siempre</v>
      </c>
      <c r="AC1320">
        <v>1978043</v>
      </c>
      <c r="AD1320">
        <f t="shared" si="537"/>
        <v>2</v>
      </c>
      <c r="AE1320" t="str">
        <f t="shared" si="538"/>
        <v>Siempre</v>
      </c>
      <c r="AF1320">
        <v>0</v>
      </c>
      <c r="AG1320" t="str">
        <f t="shared" si="539"/>
        <v>Nunca</v>
      </c>
      <c r="AH1320">
        <v>0</v>
      </c>
      <c r="AI1320" t="str">
        <f t="shared" si="540"/>
        <v>No usa</v>
      </c>
      <c r="AJ1320">
        <v>0</v>
      </c>
      <c r="AK1320" t="str">
        <f t="shared" si="541"/>
        <v>No usa</v>
      </c>
      <c r="AL1320">
        <v>0</v>
      </c>
      <c r="AM1320" t="str">
        <f t="shared" si="542"/>
        <v>No usa</v>
      </c>
      <c r="AN1320">
        <v>1</v>
      </c>
      <c r="AO1320" t="str">
        <f t="shared" si="543"/>
        <v>Usa Transporte</v>
      </c>
      <c r="AP1320">
        <v>0</v>
      </c>
      <c r="AQ1320" t="str">
        <f t="shared" si="544"/>
        <v>No camina</v>
      </c>
      <c r="AR1320">
        <v>1</v>
      </c>
      <c r="AS1320" t="str">
        <f t="shared" si="545"/>
        <v>Es Obeso</v>
      </c>
    </row>
    <row r="1321" spans="1:45" x14ac:dyDescent="0.25">
      <c r="A1321">
        <v>1</v>
      </c>
      <c r="B1321" t="str">
        <f t="shared" si="520"/>
        <v>M</v>
      </c>
      <c r="C1321">
        <v>35322112</v>
      </c>
      <c r="D1321">
        <f t="shared" si="521"/>
        <v>96</v>
      </c>
      <c r="E1321">
        <f t="shared" si="522"/>
        <v>96</v>
      </c>
      <c r="F1321" t="str">
        <f t="shared" si="523"/>
        <v>75-100</v>
      </c>
      <c r="G1321">
        <v>1</v>
      </c>
      <c r="H1321" t="str">
        <f t="shared" si="524"/>
        <v>Pariente gordo</v>
      </c>
      <c r="I1321">
        <v>1</v>
      </c>
      <c r="J1321" t="str">
        <f t="shared" si="525"/>
        <v>Hipercaloricos</v>
      </c>
      <c r="K1321">
        <v>2787589</v>
      </c>
      <c r="L1321">
        <f t="shared" si="526"/>
        <v>1</v>
      </c>
      <c r="M1321" t="str">
        <f t="shared" si="527"/>
        <v>Suele comer</v>
      </c>
      <c r="N1321">
        <v>1114564</v>
      </c>
      <c r="O1321">
        <f t="shared" si="528"/>
        <v>2</v>
      </c>
      <c r="P1321" t="str">
        <f t="shared" si="529"/>
        <v>Mas de 3</v>
      </c>
      <c r="Q1321">
        <v>1</v>
      </c>
      <c r="R1321" t="str">
        <f t="shared" si="530"/>
        <v>A veces</v>
      </c>
      <c r="S1321">
        <v>0</v>
      </c>
      <c r="T1321" t="str">
        <f t="shared" si="531"/>
        <v>No fuma</v>
      </c>
      <c r="U1321">
        <v>3</v>
      </c>
      <c r="V1321">
        <f t="shared" si="532"/>
        <v>2</v>
      </c>
      <c r="W1321" t="str">
        <f t="shared" si="533"/>
        <v>Siempre</v>
      </c>
      <c r="X1321">
        <v>0</v>
      </c>
      <c r="Y1321" t="str">
        <f t="shared" si="534"/>
        <v>No controla</v>
      </c>
      <c r="Z1321">
        <v>2710338</v>
      </c>
      <c r="AA1321">
        <f t="shared" si="535"/>
        <v>3</v>
      </c>
      <c r="AB1321" t="str">
        <f t="shared" si="536"/>
        <v>Siempre</v>
      </c>
      <c r="AC1321">
        <v>0.57218500000000005</v>
      </c>
      <c r="AD1321">
        <f t="shared" si="537"/>
        <v>0</v>
      </c>
      <c r="AE1321" t="str">
        <f t="shared" si="538"/>
        <v>Nunca</v>
      </c>
      <c r="AF1321">
        <v>1</v>
      </c>
      <c r="AG1321" t="str">
        <f t="shared" si="539"/>
        <v>A veces</v>
      </c>
      <c r="AH1321">
        <v>1</v>
      </c>
      <c r="AI1321" t="str">
        <f t="shared" si="540"/>
        <v>Usa auto</v>
      </c>
      <c r="AJ1321">
        <v>0</v>
      </c>
      <c r="AK1321" t="str">
        <f t="shared" si="541"/>
        <v>No usa</v>
      </c>
      <c r="AL1321">
        <v>0</v>
      </c>
      <c r="AM1321" t="str">
        <f t="shared" si="542"/>
        <v>No usa</v>
      </c>
      <c r="AN1321">
        <v>0</v>
      </c>
      <c r="AO1321" t="str">
        <f t="shared" si="543"/>
        <v>No usa</v>
      </c>
      <c r="AP1321">
        <v>0</v>
      </c>
      <c r="AQ1321" t="str">
        <f t="shared" si="544"/>
        <v>No camina</v>
      </c>
      <c r="AR1321">
        <v>1</v>
      </c>
      <c r="AS1321" t="str">
        <f t="shared" si="545"/>
        <v>Es Obeso</v>
      </c>
    </row>
    <row r="1322" spans="1:45" x14ac:dyDescent="0.25">
      <c r="A1322">
        <v>1</v>
      </c>
      <c r="B1322" t="str">
        <f t="shared" si="520"/>
        <v>M</v>
      </c>
      <c r="C1322">
        <v>31387982</v>
      </c>
      <c r="D1322">
        <f t="shared" si="521"/>
        <v>85</v>
      </c>
      <c r="E1322">
        <f t="shared" si="522"/>
        <v>85</v>
      </c>
      <c r="F1322" t="str">
        <f t="shared" si="523"/>
        <v>75-100</v>
      </c>
      <c r="G1322">
        <v>1</v>
      </c>
      <c r="H1322" t="str">
        <f t="shared" si="524"/>
        <v>Pariente gordo</v>
      </c>
      <c r="I1322">
        <v>1</v>
      </c>
      <c r="J1322" t="str">
        <f t="shared" si="525"/>
        <v>Hipercaloricos</v>
      </c>
      <c r="K1322">
        <v>239728</v>
      </c>
      <c r="L1322">
        <f t="shared" si="526"/>
        <v>1</v>
      </c>
      <c r="M1322" t="str">
        <f t="shared" si="527"/>
        <v>Suele comer</v>
      </c>
      <c r="N1322">
        <v>2036794</v>
      </c>
      <c r="O1322">
        <f t="shared" si="528"/>
        <v>2</v>
      </c>
      <c r="P1322" t="str">
        <f t="shared" si="529"/>
        <v>Mas de 3</v>
      </c>
      <c r="Q1322">
        <v>1</v>
      </c>
      <c r="R1322" t="str">
        <f t="shared" si="530"/>
        <v>A veces</v>
      </c>
      <c r="S1322">
        <v>0</v>
      </c>
      <c r="T1322" t="str">
        <f t="shared" si="531"/>
        <v>No fuma</v>
      </c>
      <c r="U1322">
        <v>2659419</v>
      </c>
      <c r="V1322">
        <f t="shared" si="532"/>
        <v>2</v>
      </c>
      <c r="W1322" t="str">
        <f t="shared" si="533"/>
        <v>Siempre</v>
      </c>
      <c r="X1322">
        <v>0</v>
      </c>
      <c r="Y1322" t="str">
        <f t="shared" si="534"/>
        <v>No controla</v>
      </c>
      <c r="Z1322">
        <v>1062011</v>
      </c>
      <c r="AA1322">
        <f t="shared" si="535"/>
        <v>3</v>
      </c>
      <c r="AB1322" t="str">
        <f t="shared" si="536"/>
        <v>Siempre</v>
      </c>
      <c r="AC1322">
        <v>1771135</v>
      </c>
      <c r="AD1322">
        <f t="shared" si="537"/>
        <v>2</v>
      </c>
      <c r="AE1322" t="str">
        <f t="shared" si="538"/>
        <v>Siempre</v>
      </c>
      <c r="AF1322">
        <v>1</v>
      </c>
      <c r="AG1322" t="str">
        <f t="shared" si="539"/>
        <v>A veces</v>
      </c>
      <c r="AH1322">
        <v>1</v>
      </c>
      <c r="AI1322" t="str">
        <f t="shared" si="540"/>
        <v>Usa auto</v>
      </c>
      <c r="AJ1322">
        <v>0</v>
      </c>
      <c r="AK1322" t="str">
        <f t="shared" si="541"/>
        <v>No usa</v>
      </c>
      <c r="AL1322">
        <v>0</v>
      </c>
      <c r="AM1322" t="str">
        <f t="shared" si="542"/>
        <v>No usa</v>
      </c>
      <c r="AN1322">
        <v>0</v>
      </c>
      <c r="AO1322" t="str">
        <f t="shared" si="543"/>
        <v>No usa</v>
      </c>
      <c r="AP1322">
        <v>0</v>
      </c>
      <c r="AQ1322" t="str">
        <f t="shared" si="544"/>
        <v>No camina</v>
      </c>
      <c r="AR1322">
        <v>1</v>
      </c>
      <c r="AS1322" t="str">
        <f t="shared" si="545"/>
        <v>Es Obeso</v>
      </c>
    </row>
    <row r="1323" spans="1:45" x14ac:dyDescent="0.25">
      <c r="A1323">
        <v>0</v>
      </c>
      <c r="B1323" t="str">
        <f t="shared" si="520"/>
        <v>F</v>
      </c>
      <c r="C1323">
        <v>23</v>
      </c>
      <c r="D1323">
        <f t="shared" si="521"/>
        <v>23</v>
      </c>
      <c r="E1323">
        <f t="shared" si="522"/>
        <v>23</v>
      </c>
      <c r="F1323" t="str">
        <f t="shared" si="523"/>
        <v>1-25</v>
      </c>
      <c r="G1323">
        <v>1</v>
      </c>
      <c r="H1323" t="str">
        <f t="shared" si="524"/>
        <v>Pariente gordo</v>
      </c>
      <c r="I1323">
        <v>1</v>
      </c>
      <c r="J1323" t="str">
        <f t="shared" si="525"/>
        <v>Hipercaloricos</v>
      </c>
      <c r="K1323">
        <v>2150054</v>
      </c>
      <c r="L1323">
        <f t="shared" si="526"/>
        <v>1</v>
      </c>
      <c r="M1323" t="str">
        <f t="shared" si="527"/>
        <v>Suele comer</v>
      </c>
      <c r="N1323">
        <v>2988539</v>
      </c>
      <c r="O1323">
        <f t="shared" si="528"/>
        <v>2</v>
      </c>
      <c r="P1323" t="str">
        <f t="shared" si="529"/>
        <v>Mas de 3</v>
      </c>
      <c r="Q1323">
        <v>1</v>
      </c>
      <c r="R1323" t="str">
        <f t="shared" si="530"/>
        <v>A veces</v>
      </c>
      <c r="S1323">
        <v>0</v>
      </c>
      <c r="T1323" t="str">
        <f t="shared" si="531"/>
        <v>No fuma</v>
      </c>
      <c r="U1323">
        <v>2768325</v>
      </c>
      <c r="V1323">
        <f t="shared" si="532"/>
        <v>2</v>
      </c>
      <c r="W1323" t="str">
        <f t="shared" si="533"/>
        <v>Siempre</v>
      </c>
      <c r="X1323">
        <v>0</v>
      </c>
      <c r="Y1323" t="str">
        <f t="shared" si="534"/>
        <v>No controla</v>
      </c>
      <c r="Z1323">
        <v>208515</v>
      </c>
      <c r="AA1323">
        <f t="shared" si="535"/>
        <v>2</v>
      </c>
      <c r="AB1323" t="str">
        <f t="shared" si="536"/>
        <v>Usualmente</v>
      </c>
      <c r="AC1323">
        <v>0</v>
      </c>
      <c r="AD1323">
        <f t="shared" si="537"/>
        <v>0</v>
      </c>
      <c r="AE1323" t="str">
        <f t="shared" si="538"/>
        <v>Nunca</v>
      </c>
      <c r="AF1323">
        <v>0</v>
      </c>
      <c r="AG1323" t="str">
        <f t="shared" si="539"/>
        <v>Nunca</v>
      </c>
      <c r="AH1323">
        <v>0</v>
      </c>
      <c r="AI1323" t="str">
        <f t="shared" si="540"/>
        <v>No usa</v>
      </c>
      <c r="AJ1323">
        <v>0</v>
      </c>
      <c r="AK1323" t="str">
        <f t="shared" si="541"/>
        <v>No usa</v>
      </c>
      <c r="AL1323">
        <v>0</v>
      </c>
      <c r="AM1323" t="str">
        <f t="shared" si="542"/>
        <v>No usa</v>
      </c>
      <c r="AN1323">
        <v>1</v>
      </c>
      <c r="AO1323" t="str">
        <f t="shared" si="543"/>
        <v>Usa Transporte</v>
      </c>
      <c r="AP1323">
        <v>0</v>
      </c>
      <c r="AQ1323" t="str">
        <f t="shared" si="544"/>
        <v>No camina</v>
      </c>
      <c r="AR1323">
        <v>1</v>
      </c>
      <c r="AS1323" t="str">
        <f t="shared" si="545"/>
        <v>Es Obeso</v>
      </c>
    </row>
    <row r="1324" spans="1:45" x14ac:dyDescent="0.25">
      <c r="A1324">
        <v>0</v>
      </c>
      <c r="B1324" t="str">
        <f t="shared" si="520"/>
        <v>F</v>
      </c>
      <c r="C1324">
        <v>23</v>
      </c>
      <c r="D1324">
        <f t="shared" si="521"/>
        <v>23</v>
      </c>
      <c r="E1324">
        <f t="shared" si="522"/>
        <v>23</v>
      </c>
      <c r="F1324" t="str">
        <f t="shared" si="523"/>
        <v>1-25</v>
      </c>
      <c r="G1324">
        <v>1</v>
      </c>
      <c r="H1324" t="str">
        <f t="shared" si="524"/>
        <v>Pariente gordo</v>
      </c>
      <c r="I1324">
        <v>1</v>
      </c>
      <c r="J1324" t="str">
        <f t="shared" si="525"/>
        <v>Hipercaloricos</v>
      </c>
      <c r="K1324">
        <v>2977585</v>
      </c>
      <c r="L1324">
        <f t="shared" si="526"/>
        <v>1</v>
      </c>
      <c r="M1324" t="str">
        <f t="shared" si="527"/>
        <v>Suele comer</v>
      </c>
      <c r="N1324">
        <v>1630506</v>
      </c>
      <c r="O1324">
        <f t="shared" si="528"/>
        <v>2</v>
      </c>
      <c r="P1324" t="str">
        <f t="shared" si="529"/>
        <v>Mas de 3</v>
      </c>
      <c r="Q1324">
        <v>1</v>
      </c>
      <c r="R1324" t="str">
        <f t="shared" si="530"/>
        <v>A veces</v>
      </c>
      <c r="S1324">
        <v>0</v>
      </c>
      <c r="T1324" t="str">
        <f t="shared" si="531"/>
        <v>No fuma</v>
      </c>
      <c r="U1324">
        <v>2839319</v>
      </c>
      <c r="V1324">
        <f t="shared" si="532"/>
        <v>2</v>
      </c>
      <c r="W1324" t="str">
        <f t="shared" si="533"/>
        <v>Siempre</v>
      </c>
      <c r="X1324">
        <v>0</v>
      </c>
      <c r="Y1324" t="str">
        <f t="shared" si="534"/>
        <v>No controla</v>
      </c>
      <c r="Z1324">
        <v>1091474</v>
      </c>
      <c r="AA1324">
        <f t="shared" si="535"/>
        <v>3</v>
      </c>
      <c r="AB1324" t="str">
        <f t="shared" si="536"/>
        <v>Siempre</v>
      </c>
      <c r="AC1324">
        <v>0.889517</v>
      </c>
      <c r="AD1324">
        <f t="shared" si="537"/>
        <v>0</v>
      </c>
      <c r="AE1324" t="str">
        <f t="shared" si="538"/>
        <v>Nunca</v>
      </c>
      <c r="AF1324">
        <v>0</v>
      </c>
      <c r="AG1324" t="str">
        <f t="shared" si="539"/>
        <v>Nunca</v>
      </c>
      <c r="AH1324">
        <v>0</v>
      </c>
      <c r="AI1324" t="str">
        <f t="shared" si="540"/>
        <v>No usa</v>
      </c>
      <c r="AJ1324">
        <v>0</v>
      </c>
      <c r="AK1324" t="str">
        <f t="shared" si="541"/>
        <v>No usa</v>
      </c>
      <c r="AL1324">
        <v>0</v>
      </c>
      <c r="AM1324" t="str">
        <f t="shared" si="542"/>
        <v>No usa</v>
      </c>
      <c r="AN1324">
        <v>1</v>
      </c>
      <c r="AO1324" t="str">
        <f t="shared" si="543"/>
        <v>Usa Transporte</v>
      </c>
      <c r="AP1324">
        <v>0</v>
      </c>
      <c r="AQ1324" t="str">
        <f t="shared" si="544"/>
        <v>No camina</v>
      </c>
      <c r="AR1324">
        <v>1</v>
      </c>
      <c r="AS1324" t="str">
        <f t="shared" si="545"/>
        <v>Es Obeso</v>
      </c>
    </row>
    <row r="1325" spans="1:45" x14ac:dyDescent="0.25">
      <c r="A1325">
        <v>0</v>
      </c>
      <c r="B1325" t="str">
        <f t="shared" si="520"/>
        <v>F</v>
      </c>
      <c r="C1325">
        <v>22679454</v>
      </c>
      <c r="D1325">
        <f t="shared" si="521"/>
        <v>62</v>
      </c>
      <c r="E1325">
        <f t="shared" si="522"/>
        <v>62</v>
      </c>
      <c r="F1325" t="str">
        <f t="shared" si="523"/>
        <v>50-75</v>
      </c>
      <c r="G1325">
        <v>1</v>
      </c>
      <c r="H1325" t="str">
        <f t="shared" si="524"/>
        <v>Pariente gordo</v>
      </c>
      <c r="I1325">
        <v>1</v>
      </c>
      <c r="J1325" t="str">
        <f t="shared" si="525"/>
        <v>Hipercaloricos</v>
      </c>
      <c r="K1325">
        <v>2274491</v>
      </c>
      <c r="L1325">
        <f t="shared" si="526"/>
        <v>1</v>
      </c>
      <c r="M1325" t="str">
        <f t="shared" si="527"/>
        <v>Suele comer</v>
      </c>
      <c r="N1325">
        <v>1</v>
      </c>
      <c r="O1325">
        <f t="shared" si="528"/>
        <v>1</v>
      </c>
      <c r="P1325">
        <f t="shared" si="529"/>
        <v>3</v>
      </c>
      <c r="Q1325">
        <v>1</v>
      </c>
      <c r="R1325" t="str">
        <f t="shared" si="530"/>
        <v>A veces</v>
      </c>
      <c r="S1325">
        <v>0</v>
      </c>
      <c r="T1325" t="str">
        <f t="shared" si="531"/>
        <v>No fuma</v>
      </c>
      <c r="U1325">
        <v>22695</v>
      </c>
      <c r="V1325">
        <f t="shared" si="532"/>
        <v>2</v>
      </c>
      <c r="W1325" t="str">
        <f t="shared" si="533"/>
        <v>Siempre</v>
      </c>
      <c r="X1325">
        <v>0</v>
      </c>
      <c r="Y1325" t="str">
        <f t="shared" si="534"/>
        <v>No controla</v>
      </c>
      <c r="Z1325">
        <v>0.946461</v>
      </c>
      <c r="AA1325">
        <f t="shared" si="535"/>
        <v>0</v>
      </c>
      <c r="AB1325" t="str">
        <f t="shared" si="536"/>
        <v>Nunca</v>
      </c>
      <c r="AC1325">
        <v>173107</v>
      </c>
      <c r="AD1325">
        <f t="shared" si="537"/>
        <v>1</v>
      </c>
      <c r="AE1325" t="str">
        <f t="shared" si="538"/>
        <v>Usualmente</v>
      </c>
      <c r="AF1325">
        <v>1</v>
      </c>
      <c r="AG1325" t="str">
        <f t="shared" si="539"/>
        <v>A veces</v>
      </c>
      <c r="AH1325">
        <v>0</v>
      </c>
      <c r="AI1325" t="str">
        <f t="shared" si="540"/>
        <v>No usa</v>
      </c>
      <c r="AJ1325">
        <v>0</v>
      </c>
      <c r="AK1325" t="str">
        <f t="shared" si="541"/>
        <v>No usa</v>
      </c>
      <c r="AL1325">
        <v>0</v>
      </c>
      <c r="AM1325" t="str">
        <f t="shared" si="542"/>
        <v>No usa</v>
      </c>
      <c r="AN1325">
        <v>1</v>
      </c>
      <c r="AO1325" t="str">
        <f t="shared" si="543"/>
        <v>Usa Transporte</v>
      </c>
      <c r="AP1325">
        <v>0</v>
      </c>
      <c r="AQ1325" t="str">
        <f t="shared" si="544"/>
        <v>No camina</v>
      </c>
      <c r="AR1325">
        <v>1</v>
      </c>
      <c r="AS1325" t="str">
        <f t="shared" si="545"/>
        <v>Es Obeso</v>
      </c>
    </row>
    <row r="1326" spans="1:45" x14ac:dyDescent="0.25">
      <c r="A1326">
        <v>0</v>
      </c>
      <c r="B1326" t="str">
        <f t="shared" si="520"/>
        <v>F</v>
      </c>
      <c r="C1326">
        <v>22480889</v>
      </c>
      <c r="D1326">
        <f t="shared" si="521"/>
        <v>61</v>
      </c>
      <c r="E1326">
        <f t="shared" si="522"/>
        <v>61</v>
      </c>
      <c r="F1326" t="str">
        <f t="shared" si="523"/>
        <v>50-75</v>
      </c>
      <c r="G1326">
        <v>1</v>
      </c>
      <c r="H1326" t="str">
        <f t="shared" si="524"/>
        <v>Pariente gordo</v>
      </c>
      <c r="I1326">
        <v>1</v>
      </c>
      <c r="J1326" t="str">
        <f t="shared" si="525"/>
        <v>Hipercaloricos</v>
      </c>
      <c r="K1326">
        <v>1557287</v>
      </c>
      <c r="L1326">
        <f t="shared" si="526"/>
        <v>1</v>
      </c>
      <c r="M1326" t="str">
        <f t="shared" si="527"/>
        <v>Suele comer</v>
      </c>
      <c r="N1326">
        <v>1</v>
      </c>
      <c r="O1326">
        <f t="shared" si="528"/>
        <v>1</v>
      </c>
      <c r="P1326">
        <f t="shared" si="529"/>
        <v>3</v>
      </c>
      <c r="Q1326">
        <v>1</v>
      </c>
      <c r="R1326" t="str">
        <f t="shared" si="530"/>
        <v>A veces</v>
      </c>
      <c r="S1326">
        <v>0</v>
      </c>
      <c r="T1326" t="str">
        <f t="shared" si="531"/>
        <v>No fuma</v>
      </c>
      <c r="U1326">
        <v>2371015</v>
      </c>
      <c r="V1326">
        <f t="shared" si="532"/>
        <v>2</v>
      </c>
      <c r="W1326" t="str">
        <f t="shared" si="533"/>
        <v>Siempre</v>
      </c>
      <c r="X1326">
        <v>0</v>
      </c>
      <c r="Y1326" t="str">
        <f t="shared" si="534"/>
        <v>No controla</v>
      </c>
      <c r="Z1326">
        <v>0.28803200000000001</v>
      </c>
      <c r="AA1326">
        <f t="shared" si="535"/>
        <v>0</v>
      </c>
      <c r="AB1326" t="str">
        <f t="shared" si="536"/>
        <v>Nunca</v>
      </c>
      <c r="AC1326">
        <v>2</v>
      </c>
      <c r="AD1326">
        <f t="shared" si="537"/>
        <v>2</v>
      </c>
      <c r="AE1326" t="str">
        <f t="shared" si="538"/>
        <v>Siempre</v>
      </c>
      <c r="AF1326">
        <v>1</v>
      </c>
      <c r="AG1326" t="str">
        <f t="shared" si="539"/>
        <v>A veces</v>
      </c>
      <c r="AH1326">
        <v>0</v>
      </c>
      <c r="AI1326" t="str">
        <f t="shared" si="540"/>
        <v>No usa</v>
      </c>
      <c r="AJ1326">
        <v>0</v>
      </c>
      <c r="AK1326" t="str">
        <f t="shared" si="541"/>
        <v>No usa</v>
      </c>
      <c r="AL1326">
        <v>0</v>
      </c>
      <c r="AM1326" t="str">
        <f t="shared" si="542"/>
        <v>No usa</v>
      </c>
      <c r="AN1326">
        <v>1</v>
      </c>
      <c r="AO1326" t="str">
        <f t="shared" si="543"/>
        <v>Usa Transporte</v>
      </c>
      <c r="AP1326">
        <v>0</v>
      </c>
      <c r="AQ1326" t="str">
        <f t="shared" si="544"/>
        <v>No camina</v>
      </c>
      <c r="AR1326">
        <v>1</v>
      </c>
      <c r="AS1326" t="str">
        <f t="shared" si="545"/>
        <v>Es Obeso</v>
      </c>
    </row>
    <row r="1327" spans="1:45" x14ac:dyDescent="0.25">
      <c r="A1327">
        <v>0</v>
      </c>
      <c r="B1327" t="str">
        <f t="shared" si="520"/>
        <v>F</v>
      </c>
      <c r="C1327">
        <v>41403862</v>
      </c>
      <c r="D1327">
        <f t="shared" si="521"/>
        <v>113</v>
      </c>
      <c r="E1327">
        <f t="shared" si="522"/>
        <v>100</v>
      </c>
      <c r="F1327" t="str">
        <f t="shared" si="523"/>
        <v>75-100</v>
      </c>
      <c r="G1327">
        <v>1</v>
      </c>
      <c r="H1327" t="str">
        <f t="shared" si="524"/>
        <v>Pariente gordo</v>
      </c>
      <c r="I1327">
        <v>1</v>
      </c>
      <c r="J1327" t="str">
        <f t="shared" si="525"/>
        <v>Hipercaloricos</v>
      </c>
      <c r="K1327">
        <v>2152264</v>
      </c>
      <c r="L1327">
        <f t="shared" si="526"/>
        <v>1</v>
      </c>
      <c r="M1327" t="str">
        <f t="shared" si="527"/>
        <v>Suele comer</v>
      </c>
      <c r="N1327">
        <v>2977999</v>
      </c>
      <c r="O1327">
        <f t="shared" si="528"/>
        <v>2</v>
      </c>
      <c r="P1327" t="str">
        <f t="shared" si="529"/>
        <v>Mas de 3</v>
      </c>
      <c r="Q1327">
        <v>1</v>
      </c>
      <c r="R1327" t="str">
        <f t="shared" si="530"/>
        <v>A veces</v>
      </c>
      <c r="S1327">
        <v>0</v>
      </c>
      <c r="T1327" t="str">
        <f t="shared" si="531"/>
        <v>No fuma</v>
      </c>
      <c r="U1327">
        <v>1513199</v>
      </c>
      <c r="V1327">
        <f t="shared" si="532"/>
        <v>2</v>
      </c>
      <c r="W1327" t="str">
        <f t="shared" si="533"/>
        <v>Siempre</v>
      </c>
      <c r="X1327">
        <v>0</v>
      </c>
      <c r="Y1327" t="str">
        <f t="shared" si="534"/>
        <v>No controla</v>
      </c>
      <c r="Z1327">
        <v>0</v>
      </c>
      <c r="AA1327">
        <f t="shared" si="535"/>
        <v>0</v>
      </c>
      <c r="AB1327" t="str">
        <f t="shared" si="536"/>
        <v>Nunca</v>
      </c>
      <c r="AC1327">
        <v>0</v>
      </c>
      <c r="AD1327">
        <f t="shared" si="537"/>
        <v>0</v>
      </c>
      <c r="AE1327" t="str">
        <f t="shared" si="538"/>
        <v>Nunca</v>
      </c>
      <c r="AF1327">
        <v>1</v>
      </c>
      <c r="AG1327" t="str">
        <f t="shared" si="539"/>
        <v>A veces</v>
      </c>
      <c r="AH1327">
        <v>1</v>
      </c>
      <c r="AI1327" t="str">
        <f t="shared" si="540"/>
        <v>Usa auto</v>
      </c>
      <c r="AJ1327">
        <v>0</v>
      </c>
      <c r="AK1327" t="str">
        <f t="shared" si="541"/>
        <v>No usa</v>
      </c>
      <c r="AL1327">
        <v>0</v>
      </c>
      <c r="AM1327" t="str">
        <f t="shared" si="542"/>
        <v>No usa</v>
      </c>
      <c r="AN1327">
        <v>0</v>
      </c>
      <c r="AO1327" t="str">
        <f t="shared" si="543"/>
        <v>No usa</v>
      </c>
      <c r="AP1327">
        <v>0</v>
      </c>
      <c r="AQ1327" t="str">
        <f t="shared" si="544"/>
        <v>No camina</v>
      </c>
      <c r="AR1327">
        <v>1</v>
      </c>
      <c r="AS1327" t="str">
        <f t="shared" si="545"/>
        <v>Es Obeso</v>
      </c>
    </row>
    <row r="1328" spans="1:45" x14ac:dyDescent="0.25">
      <c r="A1328">
        <v>0</v>
      </c>
      <c r="B1328" t="str">
        <f t="shared" si="520"/>
        <v>F</v>
      </c>
      <c r="C1328">
        <v>40702771</v>
      </c>
      <c r="D1328">
        <f t="shared" si="521"/>
        <v>111</v>
      </c>
      <c r="E1328">
        <f t="shared" si="522"/>
        <v>100</v>
      </c>
      <c r="F1328" t="str">
        <f t="shared" si="523"/>
        <v>75-100</v>
      </c>
      <c r="G1328">
        <v>1</v>
      </c>
      <c r="H1328" t="str">
        <f t="shared" si="524"/>
        <v>Pariente gordo</v>
      </c>
      <c r="I1328">
        <v>1</v>
      </c>
      <c r="J1328" t="str">
        <f t="shared" si="525"/>
        <v>Hipercaloricos</v>
      </c>
      <c r="K1328">
        <v>2</v>
      </c>
      <c r="L1328">
        <f t="shared" si="526"/>
        <v>1</v>
      </c>
      <c r="M1328" t="str">
        <f t="shared" si="527"/>
        <v>Suele comer</v>
      </c>
      <c r="N1328">
        <v>3</v>
      </c>
      <c r="O1328">
        <f t="shared" si="528"/>
        <v>2</v>
      </c>
      <c r="P1328" t="str">
        <f t="shared" si="529"/>
        <v>Mas de 3</v>
      </c>
      <c r="Q1328">
        <v>1</v>
      </c>
      <c r="R1328" t="str">
        <f t="shared" si="530"/>
        <v>A veces</v>
      </c>
      <c r="S1328">
        <v>0</v>
      </c>
      <c r="T1328" t="str">
        <f t="shared" si="531"/>
        <v>No fuma</v>
      </c>
      <c r="U1328">
        <v>1326165</v>
      </c>
      <c r="V1328">
        <f t="shared" si="532"/>
        <v>2</v>
      </c>
      <c r="W1328" t="str">
        <f t="shared" si="533"/>
        <v>Siempre</v>
      </c>
      <c r="X1328">
        <v>0</v>
      </c>
      <c r="Y1328" t="str">
        <f t="shared" si="534"/>
        <v>No controla</v>
      </c>
      <c r="Z1328">
        <v>0</v>
      </c>
      <c r="AA1328">
        <f t="shared" si="535"/>
        <v>0</v>
      </c>
      <c r="AB1328" t="str">
        <f t="shared" si="536"/>
        <v>Nunca</v>
      </c>
      <c r="AC1328">
        <v>0</v>
      </c>
      <c r="AD1328">
        <f t="shared" si="537"/>
        <v>0</v>
      </c>
      <c r="AE1328" t="str">
        <f t="shared" si="538"/>
        <v>Nunca</v>
      </c>
      <c r="AF1328">
        <v>1</v>
      </c>
      <c r="AG1328" t="str">
        <f t="shared" si="539"/>
        <v>A veces</v>
      </c>
      <c r="AH1328">
        <v>1</v>
      </c>
      <c r="AI1328" t="str">
        <f t="shared" si="540"/>
        <v>Usa auto</v>
      </c>
      <c r="AJ1328">
        <v>0</v>
      </c>
      <c r="AK1328" t="str">
        <f t="shared" si="541"/>
        <v>No usa</v>
      </c>
      <c r="AL1328">
        <v>0</v>
      </c>
      <c r="AM1328" t="str">
        <f t="shared" si="542"/>
        <v>No usa</v>
      </c>
      <c r="AN1328">
        <v>0</v>
      </c>
      <c r="AO1328" t="str">
        <f t="shared" si="543"/>
        <v>No usa</v>
      </c>
      <c r="AP1328">
        <v>0</v>
      </c>
      <c r="AQ1328" t="str">
        <f t="shared" si="544"/>
        <v>No camina</v>
      </c>
      <c r="AR1328">
        <v>1</v>
      </c>
      <c r="AS1328" t="str">
        <f t="shared" si="545"/>
        <v>Es Obeso</v>
      </c>
    </row>
    <row r="1329" spans="1:45" x14ac:dyDescent="0.25">
      <c r="A1329">
        <v>1</v>
      </c>
      <c r="B1329" t="str">
        <f t="shared" si="520"/>
        <v>M</v>
      </c>
      <c r="C1329">
        <v>29389239</v>
      </c>
      <c r="D1329">
        <f t="shared" si="521"/>
        <v>80</v>
      </c>
      <c r="E1329">
        <f t="shared" si="522"/>
        <v>80</v>
      </c>
      <c r="F1329" t="str">
        <f t="shared" si="523"/>
        <v>75-100</v>
      </c>
      <c r="G1329">
        <v>1</v>
      </c>
      <c r="H1329" t="str">
        <f t="shared" si="524"/>
        <v>Pariente gordo</v>
      </c>
      <c r="I1329">
        <v>1</v>
      </c>
      <c r="J1329" t="str">
        <f t="shared" si="525"/>
        <v>Hipercaloricos</v>
      </c>
      <c r="K1329">
        <v>208841</v>
      </c>
      <c r="L1329">
        <f t="shared" si="526"/>
        <v>1</v>
      </c>
      <c r="M1329" t="str">
        <f t="shared" si="527"/>
        <v>Suele comer</v>
      </c>
      <c r="N1329">
        <v>2644692</v>
      </c>
      <c r="O1329">
        <f t="shared" si="528"/>
        <v>2</v>
      </c>
      <c r="P1329" t="str">
        <f t="shared" si="529"/>
        <v>Mas de 3</v>
      </c>
      <c r="Q1329">
        <v>1</v>
      </c>
      <c r="R1329" t="str">
        <f t="shared" si="530"/>
        <v>A veces</v>
      </c>
      <c r="S1329">
        <v>0</v>
      </c>
      <c r="T1329" t="str">
        <f t="shared" si="531"/>
        <v>No fuma</v>
      </c>
      <c r="U1329">
        <v>2773236</v>
      </c>
      <c r="V1329">
        <f t="shared" si="532"/>
        <v>2</v>
      </c>
      <c r="W1329" t="str">
        <f t="shared" si="533"/>
        <v>Siempre</v>
      </c>
      <c r="X1329">
        <v>0</v>
      </c>
      <c r="Y1329" t="str">
        <f t="shared" si="534"/>
        <v>No controla</v>
      </c>
      <c r="Z1329">
        <v>1252472</v>
      </c>
      <c r="AA1329">
        <f t="shared" si="535"/>
        <v>3</v>
      </c>
      <c r="AB1329" t="str">
        <f t="shared" si="536"/>
        <v>Siempre</v>
      </c>
      <c r="AC1329">
        <v>0</v>
      </c>
      <c r="AD1329">
        <f t="shared" si="537"/>
        <v>0</v>
      </c>
      <c r="AE1329" t="str">
        <f t="shared" si="538"/>
        <v>Nunca</v>
      </c>
      <c r="AF1329">
        <v>1</v>
      </c>
      <c r="AG1329" t="str">
        <f t="shared" si="539"/>
        <v>A veces</v>
      </c>
      <c r="AH1329">
        <v>1</v>
      </c>
      <c r="AI1329" t="str">
        <f t="shared" si="540"/>
        <v>Usa auto</v>
      </c>
      <c r="AJ1329">
        <v>0</v>
      </c>
      <c r="AK1329" t="str">
        <f t="shared" si="541"/>
        <v>No usa</v>
      </c>
      <c r="AL1329">
        <v>0</v>
      </c>
      <c r="AM1329" t="str">
        <f t="shared" si="542"/>
        <v>No usa</v>
      </c>
      <c r="AN1329">
        <v>0</v>
      </c>
      <c r="AO1329" t="str">
        <f t="shared" si="543"/>
        <v>No usa</v>
      </c>
      <c r="AP1329">
        <v>0</v>
      </c>
      <c r="AQ1329" t="str">
        <f t="shared" si="544"/>
        <v>No camina</v>
      </c>
      <c r="AR1329">
        <v>1</v>
      </c>
      <c r="AS1329" t="str">
        <f t="shared" si="545"/>
        <v>Es Obeso</v>
      </c>
    </row>
    <row r="1330" spans="1:45" x14ac:dyDescent="0.25">
      <c r="A1330">
        <v>1</v>
      </c>
      <c r="B1330" t="str">
        <f t="shared" si="520"/>
        <v>M</v>
      </c>
      <c r="C1330">
        <v>30967417</v>
      </c>
      <c r="D1330">
        <f t="shared" si="521"/>
        <v>84</v>
      </c>
      <c r="E1330">
        <f t="shared" si="522"/>
        <v>84</v>
      </c>
      <c r="F1330" t="str">
        <f t="shared" si="523"/>
        <v>75-100</v>
      </c>
      <c r="G1330">
        <v>1</v>
      </c>
      <c r="H1330" t="str">
        <f t="shared" si="524"/>
        <v>Pariente gordo</v>
      </c>
      <c r="I1330">
        <v>1</v>
      </c>
      <c r="J1330" t="str">
        <f t="shared" si="525"/>
        <v>Hipercaloricos</v>
      </c>
      <c r="K1330">
        <v>2180047</v>
      </c>
      <c r="L1330">
        <f t="shared" si="526"/>
        <v>1</v>
      </c>
      <c r="M1330" t="str">
        <f t="shared" si="527"/>
        <v>Suele comer</v>
      </c>
      <c r="N1330">
        <v>2733077</v>
      </c>
      <c r="O1330">
        <f t="shared" si="528"/>
        <v>2</v>
      </c>
      <c r="P1330" t="str">
        <f t="shared" si="529"/>
        <v>Mas de 3</v>
      </c>
      <c r="Q1330">
        <v>1</v>
      </c>
      <c r="R1330" t="str">
        <f t="shared" si="530"/>
        <v>A veces</v>
      </c>
      <c r="S1330">
        <v>0</v>
      </c>
      <c r="T1330" t="str">
        <f t="shared" si="531"/>
        <v>No fuma</v>
      </c>
      <c r="U1330">
        <v>277962</v>
      </c>
      <c r="V1330">
        <f t="shared" si="532"/>
        <v>2</v>
      </c>
      <c r="W1330" t="str">
        <f t="shared" si="533"/>
        <v>Siempre</v>
      </c>
      <c r="X1330">
        <v>0</v>
      </c>
      <c r="Y1330" t="str">
        <f t="shared" si="534"/>
        <v>No controla</v>
      </c>
      <c r="Z1330">
        <v>1454129</v>
      </c>
      <c r="AA1330">
        <f t="shared" si="535"/>
        <v>3</v>
      </c>
      <c r="AB1330" t="str">
        <f t="shared" si="536"/>
        <v>Siempre</v>
      </c>
      <c r="AC1330">
        <v>0</v>
      </c>
      <c r="AD1330">
        <f t="shared" si="537"/>
        <v>0</v>
      </c>
      <c r="AE1330" t="str">
        <f t="shared" si="538"/>
        <v>Nunca</v>
      </c>
      <c r="AF1330">
        <v>1</v>
      </c>
      <c r="AG1330" t="str">
        <f t="shared" si="539"/>
        <v>A veces</v>
      </c>
      <c r="AH1330">
        <v>1</v>
      </c>
      <c r="AI1330" t="str">
        <f t="shared" si="540"/>
        <v>Usa auto</v>
      </c>
      <c r="AJ1330">
        <v>0</v>
      </c>
      <c r="AK1330" t="str">
        <f t="shared" si="541"/>
        <v>No usa</v>
      </c>
      <c r="AL1330">
        <v>0</v>
      </c>
      <c r="AM1330" t="str">
        <f t="shared" si="542"/>
        <v>No usa</v>
      </c>
      <c r="AN1330">
        <v>0</v>
      </c>
      <c r="AO1330" t="str">
        <f t="shared" si="543"/>
        <v>No usa</v>
      </c>
      <c r="AP1330">
        <v>0</v>
      </c>
      <c r="AQ1330" t="str">
        <f t="shared" si="544"/>
        <v>No camina</v>
      </c>
      <c r="AR1330">
        <v>1</v>
      </c>
      <c r="AS1330" t="str">
        <f t="shared" si="545"/>
        <v>Es Obeso</v>
      </c>
    </row>
    <row r="1331" spans="1:45" x14ac:dyDescent="0.25">
      <c r="A1331">
        <v>0</v>
      </c>
      <c r="B1331" t="str">
        <f t="shared" si="520"/>
        <v>F</v>
      </c>
      <c r="C1331">
        <v>23474165</v>
      </c>
      <c r="D1331">
        <f t="shared" si="521"/>
        <v>64</v>
      </c>
      <c r="E1331">
        <f t="shared" si="522"/>
        <v>64</v>
      </c>
      <c r="F1331" t="str">
        <f t="shared" si="523"/>
        <v>50-75</v>
      </c>
      <c r="G1331">
        <v>1</v>
      </c>
      <c r="H1331" t="str">
        <f t="shared" si="524"/>
        <v>Pariente gordo</v>
      </c>
      <c r="I1331">
        <v>1</v>
      </c>
      <c r="J1331" t="str">
        <f t="shared" si="525"/>
        <v>Hipercaloricos</v>
      </c>
      <c r="K1331">
        <v>2</v>
      </c>
      <c r="L1331">
        <f t="shared" si="526"/>
        <v>1</v>
      </c>
      <c r="M1331" t="str">
        <f t="shared" si="527"/>
        <v>Suele comer</v>
      </c>
      <c r="N1331">
        <v>1</v>
      </c>
      <c r="O1331">
        <f t="shared" si="528"/>
        <v>1</v>
      </c>
      <c r="P1331">
        <f t="shared" si="529"/>
        <v>3</v>
      </c>
      <c r="Q1331">
        <v>1</v>
      </c>
      <c r="R1331" t="str">
        <f t="shared" si="530"/>
        <v>A veces</v>
      </c>
      <c r="S1331">
        <v>0</v>
      </c>
      <c r="T1331" t="str">
        <f t="shared" si="531"/>
        <v>No fuma</v>
      </c>
      <c r="U1331">
        <v>2</v>
      </c>
      <c r="V1331">
        <f t="shared" si="532"/>
        <v>2</v>
      </c>
      <c r="W1331" t="str">
        <f t="shared" si="533"/>
        <v>Siempre</v>
      </c>
      <c r="X1331">
        <v>0</v>
      </c>
      <c r="Y1331" t="str">
        <f t="shared" si="534"/>
        <v>No controla</v>
      </c>
      <c r="Z1331">
        <v>0.87610100000000002</v>
      </c>
      <c r="AA1331">
        <f t="shared" si="535"/>
        <v>0</v>
      </c>
      <c r="AB1331" t="str">
        <f t="shared" si="536"/>
        <v>Nunca</v>
      </c>
      <c r="AC1331">
        <v>0</v>
      </c>
      <c r="AD1331">
        <f t="shared" si="537"/>
        <v>0</v>
      </c>
      <c r="AE1331" t="str">
        <f t="shared" si="538"/>
        <v>Nunca</v>
      </c>
      <c r="AF1331">
        <v>0</v>
      </c>
      <c r="AG1331" t="str">
        <f t="shared" si="539"/>
        <v>Nunca</v>
      </c>
      <c r="AH1331">
        <v>0</v>
      </c>
      <c r="AI1331" t="str">
        <f t="shared" si="540"/>
        <v>No usa</v>
      </c>
      <c r="AJ1331">
        <v>0</v>
      </c>
      <c r="AK1331" t="str">
        <f t="shared" si="541"/>
        <v>No usa</v>
      </c>
      <c r="AL1331">
        <v>0</v>
      </c>
      <c r="AM1331" t="str">
        <f t="shared" si="542"/>
        <v>No usa</v>
      </c>
      <c r="AN1331">
        <v>1</v>
      </c>
      <c r="AO1331" t="str">
        <f t="shared" si="543"/>
        <v>Usa Transporte</v>
      </c>
      <c r="AP1331">
        <v>0</v>
      </c>
      <c r="AQ1331" t="str">
        <f t="shared" si="544"/>
        <v>No camina</v>
      </c>
      <c r="AR1331">
        <v>1</v>
      </c>
      <c r="AS1331" t="str">
        <f t="shared" si="545"/>
        <v>Es Obeso</v>
      </c>
    </row>
    <row r="1332" spans="1:45" x14ac:dyDescent="0.25">
      <c r="A1332">
        <v>0</v>
      </c>
      <c r="B1332" t="str">
        <f t="shared" si="520"/>
        <v>F</v>
      </c>
      <c r="C1332">
        <v>24317607</v>
      </c>
      <c r="D1332">
        <f t="shared" si="521"/>
        <v>66</v>
      </c>
      <c r="E1332">
        <f t="shared" si="522"/>
        <v>66</v>
      </c>
      <c r="F1332" t="str">
        <f t="shared" si="523"/>
        <v>50-75</v>
      </c>
      <c r="G1332">
        <v>1</v>
      </c>
      <c r="H1332" t="str">
        <f t="shared" si="524"/>
        <v>Pariente gordo</v>
      </c>
      <c r="I1332">
        <v>1</v>
      </c>
      <c r="J1332" t="str">
        <f t="shared" si="525"/>
        <v>Hipercaloricos</v>
      </c>
      <c r="K1332">
        <v>2</v>
      </c>
      <c r="L1332">
        <f t="shared" si="526"/>
        <v>1</v>
      </c>
      <c r="M1332" t="str">
        <f t="shared" si="527"/>
        <v>Suele comer</v>
      </c>
      <c r="N1332">
        <v>1</v>
      </c>
      <c r="O1332">
        <f t="shared" si="528"/>
        <v>1</v>
      </c>
      <c r="P1332">
        <f t="shared" si="529"/>
        <v>3</v>
      </c>
      <c r="Q1332">
        <v>1</v>
      </c>
      <c r="R1332" t="str">
        <f t="shared" si="530"/>
        <v>A veces</v>
      </c>
      <c r="S1332">
        <v>0</v>
      </c>
      <c r="T1332" t="str">
        <f t="shared" si="531"/>
        <v>No fuma</v>
      </c>
      <c r="U1332">
        <v>2</v>
      </c>
      <c r="V1332">
        <f t="shared" si="532"/>
        <v>2</v>
      </c>
      <c r="W1332" t="str">
        <f t="shared" si="533"/>
        <v>Siempre</v>
      </c>
      <c r="X1332">
        <v>0</v>
      </c>
      <c r="Y1332" t="str">
        <f t="shared" si="534"/>
        <v>No controla</v>
      </c>
      <c r="Z1332">
        <v>0.85244600000000004</v>
      </c>
      <c r="AA1332">
        <f t="shared" si="535"/>
        <v>0</v>
      </c>
      <c r="AB1332" t="str">
        <f t="shared" si="536"/>
        <v>Nunca</v>
      </c>
      <c r="AC1332">
        <v>0</v>
      </c>
      <c r="AD1332">
        <f t="shared" si="537"/>
        <v>0</v>
      </c>
      <c r="AE1332" t="str">
        <f t="shared" si="538"/>
        <v>Nunca</v>
      </c>
      <c r="AF1332">
        <v>0</v>
      </c>
      <c r="AG1332" t="str">
        <f t="shared" si="539"/>
        <v>Nunca</v>
      </c>
      <c r="AH1332">
        <v>0</v>
      </c>
      <c r="AI1332" t="str">
        <f t="shared" si="540"/>
        <v>No usa</v>
      </c>
      <c r="AJ1332">
        <v>0</v>
      </c>
      <c r="AK1332" t="str">
        <f t="shared" si="541"/>
        <v>No usa</v>
      </c>
      <c r="AL1332">
        <v>0</v>
      </c>
      <c r="AM1332" t="str">
        <f t="shared" si="542"/>
        <v>No usa</v>
      </c>
      <c r="AN1332">
        <v>1</v>
      </c>
      <c r="AO1332" t="str">
        <f t="shared" si="543"/>
        <v>Usa Transporte</v>
      </c>
      <c r="AP1332">
        <v>0</v>
      </c>
      <c r="AQ1332" t="str">
        <f t="shared" si="544"/>
        <v>No camina</v>
      </c>
      <c r="AR1332">
        <v>1</v>
      </c>
      <c r="AS1332" t="str">
        <f t="shared" si="545"/>
        <v>Es Obeso</v>
      </c>
    </row>
    <row r="1333" spans="1:45" x14ac:dyDescent="0.25">
      <c r="A1333">
        <v>1</v>
      </c>
      <c r="B1333" t="str">
        <f t="shared" si="520"/>
        <v>M</v>
      </c>
      <c r="C1333">
        <v>17052914</v>
      </c>
      <c r="D1333">
        <f t="shared" si="521"/>
        <v>46</v>
      </c>
      <c r="E1333">
        <f t="shared" si="522"/>
        <v>46</v>
      </c>
      <c r="F1333" t="str">
        <f t="shared" si="523"/>
        <v>25-50</v>
      </c>
      <c r="G1333">
        <v>1</v>
      </c>
      <c r="H1333" t="str">
        <f t="shared" si="524"/>
        <v>Pariente gordo</v>
      </c>
      <c r="I1333">
        <v>1</v>
      </c>
      <c r="J1333" t="str">
        <f t="shared" si="525"/>
        <v>Hipercaloricos</v>
      </c>
      <c r="K1333">
        <v>2</v>
      </c>
      <c r="L1333">
        <f t="shared" si="526"/>
        <v>1</v>
      </c>
      <c r="M1333" t="str">
        <f t="shared" si="527"/>
        <v>Suele comer</v>
      </c>
      <c r="N1333">
        <v>3</v>
      </c>
      <c r="O1333">
        <f t="shared" si="528"/>
        <v>2</v>
      </c>
      <c r="P1333" t="str">
        <f t="shared" si="529"/>
        <v>Mas de 3</v>
      </c>
      <c r="Q1333">
        <v>1</v>
      </c>
      <c r="R1333" t="str">
        <f t="shared" si="530"/>
        <v>A veces</v>
      </c>
      <c r="S1333">
        <v>0</v>
      </c>
      <c r="T1333" t="str">
        <f t="shared" si="531"/>
        <v>No fuma</v>
      </c>
      <c r="U1333">
        <v>2</v>
      </c>
      <c r="V1333">
        <f t="shared" si="532"/>
        <v>2</v>
      </c>
      <c r="W1333" t="str">
        <f t="shared" si="533"/>
        <v>Siempre</v>
      </c>
      <c r="X1333">
        <v>0</v>
      </c>
      <c r="Y1333" t="str">
        <f t="shared" si="534"/>
        <v>No controla</v>
      </c>
      <c r="Z1333">
        <v>6.7490999999999995E-2</v>
      </c>
      <c r="AA1333">
        <f t="shared" si="535"/>
        <v>0</v>
      </c>
      <c r="AB1333" t="str">
        <f t="shared" si="536"/>
        <v>Nunca</v>
      </c>
      <c r="AC1333">
        <v>0.89410500000000004</v>
      </c>
      <c r="AD1333">
        <f t="shared" si="537"/>
        <v>0</v>
      </c>
      <c r="AE1333" t="str">
        <f t="shared" si="538"/>
        <v>Nunca</v>
      </c>
      <c r="AF1333">
        <v>0</v>
      </c>
      <c r="AG1333" t="str">
        <f t="shared" si="539"/>
        <v>Nunca</v>
      </c>
      <c r="AH1333">
        <v>0</v>
      </c>
      <c r="AI1333" t="str">
        <f t="shared" si="540"/>
        <v>No usa</v>
      </c>
      <c r="AJ1333">
        <v>0</v>
      </c>
      <c r="AK1333" t="str">
        <f t="shared" si="541"/>
        <v>No usa</v>
      </c>
      <c r="AL1333">
        <v>0</v>
      </c>
      <c r="AM1333" t="str">
        <f t="shared" si="542"/>
        <v>No usa</v>
      </c>
      <c r="AN1333">
        <v>1</v>
      </c>
      <c r="AO1333" t="str">
        <f t="shared" si="543"/>
        <v>Usa Transporte</v>
      </c>
      <c r="AP1333">
        <v>0</v>
      </c>
      <c r="AQ1333" t="str">
        <f t="shared" si="544"/>
        <v>No camina</v>
      </c>
      <c r="AR1333">
        <v>1</v>
      </c>
      <c r="AS1333" t="str">
        <f t="shared" si="545"/>
        <v>Es Obeso</v>
      </c>
    </row>
    <row r="1334" spans="1:45" x14ac:dyDescent="0.25">
      <c r="A1334">
        <v>1</v>
      </c>
      <c r="B1334" t="str">
        <f t="shared" si="520"/>
        <v>M</v>
      </c>
      <c r="C1334">
        <v>1804892</v>
      </c>
      <c r="D1334">
        <f t="shared" si="521"/>
        <v>4</v>
      </c>
      <c r="E1334">
        <f t="shared" si="522"/>
        <v>4</v>
      </c>
      <c r="F1334" t="str">
        <f t="shared" si="523"/>
        <v>1-25</v>
      </c>
      <c r="G1334">
        <v>1</v>
      </c>
      <c r="H1334" t="str">
        <f t="shared" si="524"/>
        <v>Pariente gordo</v>
      </c>
      <c r="I1334">
        <v>1</v>
      </c>
      <c r="J1334" t="str">
        <f t="shared" si="525"/>
        <v>Hipercaloricos</v>
      </c>
      <c r="K1334">
        <v>2</v>
      </c>
      <c r="L1334">
        <f t="shared" si="526"/>
        <v>1</v>
      </c>
      <c r="M1334" t="str">
        <f t="shared" si="527"/>
        <v>Suele comer</v>
      </c>
      <c r="N1334">
        <v>3</v>
      </c>
      <c r="O1334">
        <f t="shared" si="528"/>
        <v>2</v>
      </c>
      <c r="P1334" t="str">
        <f t="shared" si="529"/>
        <v>Mas de 3</v>
      </c>
      <c r="Q1334">
        <v>1</v>
      </c>
      <c r="R1334" t="str">
        <f t="shared" si="530"/>
        <v>A veces</v>
      </c>
      <c r="S1334">
        <v>0</v>
      </c>
      <c r="T1334" t="str">
        <f t="shared" si="531"/>
        <v>No fuma</v>
      </c>
      <c r="U1334">
        <v>2</v>
      </c>
      <c r="V1334">
        <f t="shared" si="532"/>
        <v>2</v>
      </c>
      <c r="W1334" t="str">
        <f t="shared" si="533"/>
        <v>Siempre</v>
      </c>
      <c r="X1334">
        <v>0</v>
      </c>
      <c r="Y1334" t="str">
        <f t="shared" si="534"/>
        <v>No controla</v>
      </c>
      <c r="Z1334">
        <v>1579431</v>
      </c>
      <c r="AA1334">
        <f t="shared" si="535"/>
        <v>3</v>
      </c>
      <c r="AB1334" t="str">
        <f t="shared" si="536"/>
        <v>Siempre</v>
      </c>
      <c r="AC1334">
        <v>0.839862</v>
      </c>
      <c r="AD1334">
        <f t="shared" si="537"/>
        <v>0</v>
      </c>
      <c r="AE1334" t="str">
        <f t="shared" si="538"/>
        <v>Nunca</v>
      </c>
      <c r="AF1334">
        <v>0</v>
      </c>
      <c r="AG1334" t="str">
        <f t="shared" si="539"/>
        <v>Nunca</v>
      </c>
      <c r="AH1334">
        <v>0</v>
      </c>
      <c r="AI1334" t="str">
        <f t="shared" si="540"/>
        <v>No usa</v>
      </c>
      <c r="AJ1334">
        <v>0</v>
      </c>
      <c r="AK1334" t="str">
        <f t="shared" si="541"/>
        <v>No usa</v>
      </c>
      <c r="AL1334">
        <v>0</v>
      </c>
      <c r="AM1334" t="str">
        <f t="shared" si="542"/>
        <v>No usa</v>
      </c>
      <c r="AN1334">
        <v>1</v>
      </c>
      <c r="AO1334" t="str">
        <f t="shared" si="543"/>
        <v>Usa Transporte</v>
      </c>
      <c r="AP1334">
        <v>0</v>
      </c>
      <c r="AQ1334" t="str">
        <f t="shared" si="544"/>
        <v>No camina</v>
      </c>
      <c r="AR1334">
        <v>1</v>
      </c>
      <c r="AS1334" t="str">
        <f t="shared" si="545"/>
        <v>Es Obeso</v>
      </c>
    </row>
    <row r="1335" spans="1:45" x14ac:dyDescent="0.25">
      <c r="A1335">
        <v>0</v>
      </c>
      <c r="B1335" t="str">
        <f t="shared" si="520"/>
        <v>F</v>
      </c>
      <c r="C1335">
        <v>22875223</v>
      </c>
      <c r="D1335">
        <f t="shared" si="521"/>
        <v>62</v>
      </c>
      <c r="E1335">
        <f t="shared" si="522"/>
        <v>62</v>
      </c>
      <c r="F1335" t="str">
        <f t="shared" si="523"/>
        <v>50-75</v>
      </c>
      <c r="G1335">
        <v>1</v>
      </c>
      <c r="H1335" t="str">
        <f t="shared" si="524"/>
        <v>Pariente gordo</v>
      </c>
      <c r="I1335">
        <v>1</v>
      </c>
      <c r="J1335" t="str">
        <f t="shared" si="525"/>
        <v>Hipercaloricos</v>
      </c>
      <c r="K1335">
        <v>1826885</v>
      </c>
      <c r="L1335">
        <f t="shared" si="526"/>
        <v>1</v>
      </c>
      <c r="M1335" t="str">
        <f t="shared" si="527"/>
        <v>Suele comer</v>
      </c>
      <c r="N1335">
        <v>1</v>
      </c>
      <c r="O1335">
        <f t="shared" si="528"/>
        <v>1</v>
      </c>
      <c r="P1335">
        <f t="shared" si="529"/>
        <v>3</v>
      </c>
      <c r="Q1335">
        <v>1</v>
      </c>
      <c r="R1335" t="str">
        <f t="shared" si="530"/>
        <v>A veces</v>
      </c>
      <c r="S1335">
        <v>0</v>
      </c>
      <c r="T1335" t="str">
        <f t="shared" si="531"/>
        <v>No fuma</v>
      </c>
      <c r="U1335">
        <v>2</v>
      </c>
      <c r="V1335">
        <f t="shared" si="532"/>
        <v>2</v>
      </c>
      <c r="W1335" t="str">
        <f t="shared" si="533"/>
        <v>Siempre</v>
      </c>
      <c r="X1335">
        <v>0</v>
      </c>
      <c r="Y1335" t="str">
        <f t="shared" si="534"/>
        <v>No controla</v>
      </c>
      <c r="Z1335">
        <v>0</v>
      </c>
      <c r="AA1335">
        <f t="shared" si="535"/>
        <v>0</v>
      </c>
      <c r="AB1335" t="str">
        <f t="shared" si="536"/>
        <v>Nunca</v>
      </c>
      <c r="AC1335">
        <v>0.45927400000000002</v>
      </c>
      <c r="AD1335">
        <f t="shared" si="537"/>
        <v>0</v>
      </c>
      <c r="AE1335" t="str">
        <f t="shared" si="538"/>
        <v>Nunca</v>
      </c>
      <c r="AF1335">
        <v>0</v>
      </c>
      <c r="AG1335" t="str">
        <f t="shared" si="539"/>
        <v>Nunca</v>
      </c>
      <c r="AH1335">
        <v>0</v>
      </c>
      <c r="AI1335" t="str">
        <f t="shared" si="540"/>
        <v>No usa</v>
      </c>
      <c r="AJ1335">
        <v>0</v>
      </c>
      <c r="AK1335" t="str">
        <f t="shared" si="541"/>
        <v>No usa</v>
      </c>
      <c r="AL1335">
        <v>0</v>
      </c>
      <c r="AM1335" t="str">
        <f t="shared" si="542"/>
        <v>No usa</v>
      </c>
      <c r="AN1335">
        <v>1</v>
      </c>
      <c r="AO1335" t="str">
        <f t="shared" si="543"/>
        <v>Usa Transporte</v>
      </c>
      <c r="AP1335">
        <v>0</v>
      </c>
      <c r="AQ1335" t="str">
        <f t="shared" si="544"/>
        <v>No camina</v>
      </c>
      <c r="AR1335">
        <v>1</v>
      </c>
      <c r="AS1335" t="str">
        <f t="shared" si="545"/>
        <v>Es Obeso</v>
      </c>
    </row>
    <row r="1336" spans="1:45" x14ac:dyDescent="0.25">
      <c r="A1336">
        <v>0</v>
      </c>
      <c r="B1336" t="str">
        <f t="shared" si="520"/>
        <v>F</v>
      </c>
      <c r="C1336">
        <v>22884722</v>
      </c>
      <c r="D1336">
        <f t="shared" si="521"/>
        <v>62</v>
      </c>
      <c r="E1336">
        <f t="shared" si="522"/>
        <v>62</v>
      </c>
      <c r="F1336" t="str">
        <f t="shared" si="523"/>
        <v>50-75</v>
      </c>
      <c r="G1336">
        <v>1</v>
      </c>
      <c r="H1336" t="str">
        <f t="shared" si="524"/>
        <v>Pariente gordo</v>
      </c>
      <c r="I1336">
        <v>1</v>
      </c>
      <c r="J1336" t="str">
        <f t="shared" si="525"/>
        <v>Hipercaloricos</v>
      </c>
      <c r="K1336">
        <v>1754401</v>
      </c>
      <c r="L1336">
        <f t="shared" si="526"/>
        <v>1</v>
      </c>
      <c r="M1336" t="str">
        <f t="shared" si="527"/>
        <v>Suele comer</v>
      </c>
      <c r="N1336">
        <v>1</v>
      </c>
      <c r="O1336">
        <f t="shared" si="528"/>
        <v>1</v>
      </c>
      <c r="P1336">
        <f t="shared" si="529"/>
        <v>3</v>
      </c>
      <c r="Q1336">
        <v>1</v>
      </c>
      <c r="R1336" t="str">
        <f t="shared" si="530"/>
        <v>A veces</v>
      </c>
      <c r="S1336">
        <v>0</v>
      </c>
      <c r="T1336" t="str">
        <f t="shared" si="531"/>
        <v>No fuma</v>
      </c>
      <c r="U1336">
        <v>2</v>
      </c>
      <c r="V1336">
        <f t="shared" si="532"/>
        <v>2</v>
      </c>
      <c r="W1336" t="str">
        <f t="shared" si="533"/>
        <v>Siempre</v>
      </c>
      <c r="X1336">
        <v>0</v>
      </c>
      <c r="Y1336" t="str">
        <f t="shared" si="534"/>
        <v>No controla</v>
      </c>
      <c r="Z1336">
        <v>0</v>
      </c>
      <c r="AA1336">
        <f t="shared" si="535"/>
        <v>0</v>
      </c>
      <c r="AB1336" t="str">
        <f t="shared" si="536"/>
        <v>Nunca</v>
      </c>
      <c r="AC1336">
        <v>0.30190899999999998</v>
      </c>
      <c r="AD1336">
        <f t="shared" si="537"/>
        <v>0</v>
      </c>
      <c r="AE1336" t="str">
        <f t="shared" si="538"/>
        <v>Nunca</v>
      </c>
      <c r="AF1336">
        <v>0</v>
      </c>
      <c r="AG1336" t="str">
        <f t="shared" si="539"/>
        <v>Nunca</v>
      </c>
      <c r="AH1336">
        <v>0</v>
      </c>
      <c r="AI1336" t="str">
        <f t="shared" si="540"/>
        <v>No usa</v>
      </c>
      <c r="AJ1336">
        <v>0</v>
      </c>
      <c r="AK1336" t="str">
        <f t="shared" si="541"/>
        <v>No usa</v>
      </c>
      <c r="AL1336">
        <v>0</v>
      </c>
      <c r="AM1336" t="str">
        <f t="shared" si="542"/>
        <v>No usa</v>
      </c>
      <c r="AN1336">
        <v>1</v>
      </c>
      <c r="AO1336" t="str">
        <f t="shared" si="543"/>
        <v>Usa Transporte</v>
      </c>
      <c r="AP1336">
        <v>0</v>
      </c>
      <c r="AQ1336" t="str">
        <f t="shared" si="544"/>
        <v>No camina</v>
      </c>
      <c r="AR1336">
        <v>1</v>
      </c>
      <c r="AS1336" t="str">
        <f t="shared" si="545"/>
        <v>Es Obeso</v>
      </c>
    </row>
    <row r="1337" spans="1:45" x14ac:dyDescent="0.25">
      <c r="A1337">
        <v>1</v>
      </c>
      <c r="B1337" t="str">
        <f t="shared" si="520"/>
        <v>M</v>
      </c>
      <c r="C1337">
        <v>18729566</v>
      </c>
      <c r="D1337">
        <f t="shared" si="521"/>
        <v>51</v>
      </c>
      <c r="E1337">
        <f t="shared" si="522"/>
        <v>51</v>
      </c>
      <c r="F1337" t="str">
        <f t="shared" si="523"/>
        <v>50-75</v>
      </c>
      <c r="G1337">
        <v>1</v>
      </c>
      <c r="H1337" t="str">
        <f t="shared" si="524"/>
        <v>Pariente gordo</v>
      </c>
      <c r="I1337">
        <v>1</v>
      </c>
      <c r="J1337" t="str">
        <f t="shared" si="525"/>
        <v>Hipercaloricos</v>
      </c>
      <c r="K1337">
        <v>2</v>
      </c>
      <c r="L1337">
        <f t="shared" si="526"/>
        <v>1</v>
      </c>
      <c r="M1337" t="str">
        <f t="shared" si="527"/>
        <v>Suele comer</v>
      </c>
      <c r="N1337">
        <v>2427137</v>
      </c>
      <c r="O1337">
        <f t="shared" si="528"/>
        <v>2</v>
      </c>
      <c r="P1337" t="str">
        <f t="shared" si="529"/>
        <v>Mas de 3</v>
      </c>
      <c r="Q1337">
        <v>1</v>
      </c>
      <c r="R1337" t="str">
        <f t="shared" si="530"/>
        <v>A veces</v>
      </c>
      <c r="S1337">
        <v>0</v>
      </c>
      <c r="T1337" t="str">
        <f t="shared" si="531"/>
        <v>No fuma</v>
      </c>
      <c r="U1337">
        <v>2574073</v>
      </c>
      <c r="V1337">
        <f t="shared" si="532"/>
        <v>2</v>
      </c>
      <c r="W1337" t="str">
        <f t="shared" si="533"/>
        <v>Siempre</v>
      </c>
      <c r="X1337">
        <v>0</v>
      </c>
      <c r="Y1337" t="str">
        <f t="shared" si="534"/>
        <v>No controla</v>
      </c>
      <c r="Z1337">
        <v>1</v>
      </c>
      <c r="AA1337">
        <f t="shared" si="535"/>
        <v>1</v>
      </c>
      <c r="AB1337" t="str">
        <f t="shared" si="536"/>
        <v>A veces</v>
      </c>
      <c r="AC1337">
        <v>2</v>
      </c>
      <c r="AD1337">
        <f t="shared" si="537"/>
        <v>2</v>
      </c>
      <c r="AE1337" t="str">
        <f t="shared" si="538"/>
        <v>Siempre</v>
      </c>
      <c r="AF1337">
        <v>1</v>
      </c>
      <c r="AG1337" t="str">
        <f t="shared" si="539"/>
        <v>A veces</v>
      </c>
      <c r="AH1337">
        <v>0</v>
      </c>
      <c r="AI1337" t="str">
        <f t="shared" si="540"/>
        <v>No usa</v>
      </c>
      <c r="AJ1337">
        <v>0</v>
      </c>
      <c r="AK1337" t="str">
        <f t="shared" si="541"/>
        <v>No usa</v>
      </c>
      <c r="AL1337">
        <v>0</v>
      </c>
      <c r="AM1337" t="str">
        <f t="shared" si="542"/>
        <v>No usa</v>
      </c>
      <c r="AN1337">
        <v>1</v>
      </c>
      <c r="AO1337" t="str">
        <f t="shared" si="543"/>
        <v>Usa Transporte</v>
      </c>
      <c r="AP1337">
        <v>0</v>
      </c>
      <c r="AQ1337" t="str">
        <f t="shared" si="544"/>
        <v>No camina</v>
      </c>
      <c r="AR1337">
        <v>1</v>
      </c>
      <c r="AS1337" t="str">
        <f t="shared" si="545"/>
        <v>Es Obeso</v>
      </c>
    </row>
    <row r="1338" spans="1:45" x14ac:dyDescent="0.25">
      <c r="A1338">
        <v>1</v>
      </c>
      <c r="B1338" t="str">
        <f t="shared" si="520"/>
        <v>M</v>
      </c>
      <c r="C1338">
        <v>21011124</v>
      </c>
      <c r="D1338">
        <f t="shared" si="521"/>
        <v>57</v>
      </c>
      <c r="E1338">
        <f t="shared" si="522"/>
        <v>57</v>
      </c>
      <c r="F1338" t="str">
        <f t="shared" si="523"/>
        <v>50-75</v>
      </c>
      <c r="G1338">
        <v>1</v>
      </c>
      <c r="H1338" t="str">
        <f t="shared" si="524"/>
        <v>Pariente gordo</v>
      </c>
      <c r="I1338">
        <v>1</v>
      </c>
      <c r="J1338" t="str">
        <f t="shared" si="525"/>
        <v>Hipercaloricos</v>
      </c>
      <c r="K1338">
        <v>2</v>
      </c>
      <c r="L1338">
        <f t="shared" si="526"/>
        <v>1</v>
      </c>
      <c r="M1338" t="str">
        <f t="shared" si="527"/>
        <v>Suele comer</v>
      </c>
      <c r="N1338">
        <v>3</v>
      </c>
      <c r="O1338">
        <f t="shared" si="528"/>
        <v>2</v>
      </c>
      <c r="P1338" t="str">
        <f t="shared" si="529"/>
        <v>Mas de 3</v>
      </c>
      <c r="Q1338">
        <v>1</v>
      </c>
      <c r="R1338" t="str">
        <f t="shared" si="530"/>
        <v>A veces</v>
      </c>
      <c r="S1338">
        <v>0</v>
      </c>
      <c r="T1338" t="str">
        <f t="shared" si="531"/>
        <v>No fuma</v>
      </c>
      <c r="U1338">
        <v>3</v>
      </c>
      <c r="V1338">
        <f t="shared" si="532"/>
        <v>2</v>
      </c>
      <c r="W1338" t="str">
        <f t="shared" si="533"/>
        <v>Siempre</v>
      </c>
      <c r="X1338">
        <v>0</v>
      </c>
      <c r="Y1338" t="str">
        <f t="shared" si="534"/>
        <v>No controla</v>
      </c>
      <c r="Z1338">
        <v>0.78858499999999998</v>
      </c>
      <c r="AA1338">
        <f t="shared" si="535"/>
        <v>0</v>
      </c>
      <c r="AB1338" t="str">
        <f t="shared" si="536"/>
        <v>Nunca</v>
      </c>
      <c r="AC1338">
        <v>1220029</v>
      </c>
      <c r="AD1338">
        <f t="shared" si="537"/>
        <v>2</v>
      </c>
      <c r="AE1338" t="str">
        <f t="shared" si="538"/>
        <v>Siempre</v>
      </c>
      <c r="AF1338">
        <v>1</v>
      </c>
      <c r="AG1338" t="str">
        <f t="shared" si="539"/>
        <v>A veces</v>
      </c>
      <c r="AH1338">
        <v>0</v>
      </c>
      <c r="AI1338" t="str">
        <f t="shared" si="540"/>
        <v>No usa</v>
      </c>
      <c r="AJ1338">
        <v>0</v>
      </c>
      <c r="AK1338" t="str">
        <f t="shared" si="541"/>
        <v>No usa</v>
      </c>
      <c r="AL1338">
        <v>0</v>
      </c>
      <c r="AM1338" t="str">
        <f t="shared" si="542"/>
        <v>No usa</v>
      </c>
      <c r="AN1338">
        <v>1</v>
      </c>
      <c r="AO1338" t="str">
        <f t="shared" si="543"/>
        <v>Usa Transporte</v>
      </c>
      <c r="AP1338">
        <v>0</v>
      </c>
      <c r="AQ1338" t="str">
        <f t="shared" si="544"/>
        <v>No camina</v>
      </c>
      <c r="AR1338">
        <v>1</v>
      </c>
      <c r="AS1338" t="str">
        <f t="shared" si="545"/>
        <v>Es Obeso</v>
      </c>
    </row>
    <row r="1339" spans="1:45" x14ac:dyDescent="0.25">
      <c r="A1339">
        <v>0</v>
      </c>
      <c r="B1339" t="str">
        <f t="shared" si="520"/>
        <v>F</v>
      </c>
      <c r="C1339">
        <v>18603496</v>
      </c>
      <c r="D1339">
        <f t="shared" si="521"/>
        <v>50</v>
      </c>
      <c r="E1339">
        <f t="shared" si="522"/>
        <v>50</v>
      </c>
      <c r="F1339" t="str">
        <f t="shared" si="523"/>
        <v>25-50</v>
      </c>
      <c r="G1339">
        <v>1</v>
      </c>
      <c r="H1339" t="str">
        <f t="shared" si="524"/>
        <v>Pariente gordo</v>
      </c>
      <c r="I1339">
        <v>1</v>
      </c>
      <c r="J1339" t="str">
        <f t="shared" si="525"/>
        <v>Hipercaloricos</v>
      </c>
      <c r="K1339">
        <v>1524428</v>
      </c>
      <c r="L1339">
        <f t="shared" si="526"/>
        <v>1</v>
      </c>
      <c r="M1339" t="str">
        <f t="shared" si="527"/>
        <v>Suele comer</v>
      </c>
      <c r="N1339">
        <v>3</v>
      </c>
      <c r="O1339">
        <f t="shared" si="528"/>
        <v>2</v>
      </c>
      <c r="P1339" t="str">
        <f t="shared" si="529"/>
        <v>Mas de 3</v>
      </c>
      <c r="Q1339">
        <v>1</v>
      </c>
      <c r="R1339" t="str">
        <f t="shared" si="530"/>
        <v>A veces</v>
      </c>
      <c r="S1339">
        <v>0</v>
      </c>
      <c r="T1339" t="str">
        <f t="shared" si="531"/>
        <v>No fuma</v>
      </c>
      <c r="U1339">
        <v>1383831</v>
      </c>
      <c r="V1339">
        <f t="shared" si="532"/>
        <v>2</v>
      </c>
      <c r="W1339" t="str">
        <f t="shared" si="533"/>
        <v>Siempre</v>
      </c>
      <c r="X1339">
        <v>0</v>
      </c>
      <c r="Y1339" t="str">
        <f t="shared" si="534"/>
        <v>No controla</v>
      </c>
      <c r="Z1339">
        <v>0.13041700000000001</v>
      </c>
      <c r="AA1339">
        <f t="shared" si="535"/>
        <v>0</v>
      </c>
      <c r="AB1339" t="str">
        <f t="shared" si="536"/>
        <v>Nunca</v>
      </c>
      <c r="AC1339">
        <v>1</v>
      </c>
      <c r="AD1339">
        <f t="shared" si="537"/>
        <v>1</v>
      </c>
      <c r="AE1339" t="str">
        <f t="shared" si="538"/>
        <v>Usualmente</v>
      </c>
      <c r="AF1339">
        <v>1</v>
      </c>
      <c r="AG1339" t="str">
        <f t="shared" si="539"/>
        <v>A veces</v>
      </c>
      <c r="AH1339">
        <v>0</v>
      </c>
      <c r="AI1339" t="str">
        <f t="shared" si="540"/>
        <v>No usa</v>
      </c>
      <c r="AJ1339">
        <v>0</v>
      </c>
      <c r="AK1339" t="str">
        <f t="shared" si="541"/>
        <v>No usa</v>
      </c>
      <c r="AL1339">
        <v>0</v>
      </c>
      <c r="AM1339" t="str">
        <f t="shared" si="542"/>
        <v>No usa</v>
      </c>
      <c r="AN1339">
        <v>1</v>
      </c>
      <c r="AO1339" t="str">
        <f t="shared" si="543"/>
        <v>Usa Transporte</v>
      </c>
      <c r="AP1339">
        <v>0</v>
      </c>
      <c r="AQ1339" t="str">
        <f t="shared" si="544"/>
        <v>No camina</v>
      </c>
      <c r="AR1339">
        <v>1</v>
      </c>
      <c r="AS1339" t="str">
        <f t="shared" si="545"/>
        <v>Es Obeso</v>
      </c>
    </row>
    <row r="1340" spans="1:45" x14ac:dyDescent="0.25">
      <c r="A1340">
        <v>0</v>
      </c>
      <c r="B1340" t="str">
        <f t="shared" si="520"/>
        <v>F</v>
      </c>
      <c r="C1340">
        <v>21106056</v>
      </c>
      <c r="D1340">
        <f t="shared" si="521"/>
        <v>57</v>
      </c>
      <c r="E1340">
        <f t="shared" si="522"/>
        <v>57</v>
      </c>
      <c r="F1340" t="str">
        <f t="shared" si="523"/>
        <v>50-75</v>
      </c>
      <c r="G1340">
        <v>1</v>
      </c>
      <c r="H1340" t="str">
        <f t="shared" si="524"/>
        <v>Pariente gordo</v>
      </c>
      <c r="I1340">
        <v>1</v>
      </c>
      <c r="J1340" t="str">
        <f t="shared" si="525"/>
        <v>Hipercaloricos</v>
      </c>
      <c r="K1340">
        <v>1164062</v>
      </c>
      <c r="L1340">
        <f t="shared" si="526"/>
        <v>1</v>
      </c>
      <c r="M1340" t="str">
        <f t="shared" si="527"/>
        <v>Suele comer</v>
      </c>
      <c r="N1340">
        <v>3</v>
      </c>
      <c r="O1340">
        <f t="shared" si="528"/>
        <v>2</v>
      </c>
      <c r="P1340" t="str">
        <f t="shared" si="529"/>
        <v>Mas de 3</v>
      </c>
      <c r="Q1340">
        <v>1</v>
      </c>
      <c r="R1340" t="str">
        <f t="shared" si="530"/>
        <v>A veces</v>
      </c>
      <c r="S1340">
        <v>0</v>
      </c>
      <c r="T1340" t="str">
        <f t="shared" si="531"/>
        <v>No fuma</v>
      </c>
      <c r="U1340">
        <v>1157395</v>
      </c>
      <c r="V1340">
        <f t="shared" si="532"/>
        <v>2</v>
      </c>
      <c r="W1340" t="str">
        <f t="shared" si="533"/>
        <v>Siempre</v>
      </c>
      <c r="X1340">
        <v>0</v>
      </c>
      <c r="Y1340" t="str">
        <f t="shared" si="534"/>
        <v>No controla</v>
      </c>
      <c r="Z1340">
        <v>0</v>
      </c>
      <c r="AA1340">
        <f t="shared" si="535"/>
        <v>0</v>
      </c>
      <c r="AB1340" t="str">
        <f t="shared" si="536"/>
        <v>Nunca</v>
      </c>
      <c r="AC1340">
        <v>0.320851</v>
      </c>
      <c r="AD1340">
        <f t="shared" si="537"/>
        <v>0</v>
      </c>
      <c r="AE1340" t="str">
        <f t="shared" si="538"/>
        <v>Nunca</v>
      </c>
      <c r="AF1340">
        <v>1</v>
      </c>
      <c r="AG1340" t="str">
        <f t="shared" si="539"/>
        <v>A veces</v>
      </c>
      <c r="AH1340">
        <v>0</v>
      </c>
      <c r="AI1340" t="str">
        <f t="shared" si="540"/>
        <v>No usa</v>
      </c>
      <c r="AJ1340">
        <v>0</v>
      </c>
      <c r="AK1340" t="str">
        <f t="shared" si="541"/>
        <v>No usa</v>
      </c>
      <c r="AL1340">
        <v>0</v>
      </c>
      <c r="AM1340" t="str">
        <f t="shared" si="542"/>
        <v>No usa</v>
      </c>
      <c r="AN1340">
        <v>1</v>
      </c>
      <c r="AO1340" t="str">
        <f t="shared" si="543"/>
        <v>Usa Transporte</v>
      </c>
      <c r="AP1340">
        <v>0</v>
      </c>
      <c r="AQ1340" t="str">
        <f t="shared" si="544"/>
        <v>No camina</v>
      </c>
      <c r="AR1340">
        <v>1</v>
      </c>
      <c r="AS1340" t="str">
        <f t="shared" si="545"/>
        <v>Es Obeso</v>
      </c>
    </row>
    <row r="1341" spans="1:45" x14ac:dyDescent="0.25">
      <c r="A1341">
        <v>1</v>
      </c>
      <c r="B1341" t="str">
        <f t="shared" si="520"/>
        <v>M</v>
      </c>
      <c r="C1341">
        <v>23</v>
      </c>
      <c r="D1341">
        <f t="shared" si="521"/>
        <v>23</v>
      </c>
      <c r="E1341">
        <f t="shared" si="522"/>
        <v>23</v>
      </c>
      <c r="F1341" t="str">
        <f t="shared" si="523"/>
        <v>1-25</v>
      </c>
      <c r="G1341">
        <v>1</v>
      </c>
      <c r="H1341" t="str">
        <f t="shared" si="524"/>
        <v>Pariente gordo</v>
      </c>
      <c r="I1341">
        <v>1</v>
      </c>
      <c r="J1341" t="str">
        <f t="shared" si="525"/>
        <v>Hipercaloricos</v>
      </c>
      <c r="K1341">
        <v>2123159</v>
      </c>
      <c r="L1341">
        <f t="shared" si="526"/>
        <v>1</v>
      </c>
      <c r="M1341" t="str">
        <f t="shared" si="527"/>
        <v>Suele comer</v>
      </c>
      <c r="N1341">
        <v>3</v>
      </c>
      <c r="O1341">
        <f t="shared" si="528"/>
        <v>2</v>
      </c>
      <c r="P1341" t="str">
        <f t="shared" si="529"/>
        <v>Mas de 3</v>
      </c>
      <c r="Q1341">
        <v>1</v>
      </c>
      <c r="R1341" t="str">
        <f t="shared" si="530"/>
        <v>A veces</v>
      </c>
      <c r="S1341">
        <v>0</v>
      </c>
      <c r="T1341" t="str">
        <f t="shared" si="531"/>
        <v>No fuma</v>
      </c>
      <c r="U1341">
        <v>2415343</v>
      </c>
      <c r="V1341">
        <f t="shared" si="532"/>
        <v>2</v>
      </c>
      <c r="W1341" t="str">
        <f t="shared" si="533"/>
        <v>Siempre</v>
      </c>
      <c r="X1341">
        <v>0</v>
      </c>
      <c r="Y1341" t="str">
        <f t="shared" si="534"/>
        <v>No controla</v>
      </c>
      <c r="Z1341">
        <v>0.295178</v>
      </c>
      <c r="AA1341">
        <f t="shared" si="535"/>
        <v>0</v>
      </c>
      <c r="AB1341" t="str">
        <f t="shared" si="536"/>
        <v>Nunca</v>
      </c>
      <c r="AC1341">
        <v>0.56985200000000003</v>
      </c>
      <c r="AD1341">
        <f t="shared" si="537"/>
        <v>0</v>
      </c>
      <c r="AE1341" t="str">
        <f t="shared" si="538"/>
        <v>Nunca</v>
      </c>
      <c r="AF1341">
        <v>1</v>
      </c>
      <c r="AG1341" t="str">
        <f t="shared" si="539"/>
        <v>A veces</v>
      </c>
      <c r="AH1341">
        <v>0</v>
      </c>
      <c r="AI1341" t="str">
        <f t="shared" si="540"/>
        <v>No usa</v>
      </c>
      <c r="AJ1341">
        <v>0</v>
      </c>
      <c r="AK1341" t="str">
        <f t="shared" si="541"/>
        <v>No usa</v>
      </c>
      <c r="AL1341">
        <v>0</v>
      </c>
      <c r="AM1341" t="str">
        <f t="shared" si="542"/>
        <v>No usa</v>
      </c>
      <c r="AN1341">
        <v>1</v>
      </c>
      <c r="AO1341" t="str">
        <f t="shared" si="543"/>
        <v>Usa Transporte</v>
      </c>
      <c r="AP1341">
        <v>0</v>
      </c>
      <c r="AQ1341" t="str">
        <f t="shared" si="544"/>
        <v>No camina</v>
      </c>
      <c r="AR1341">
        <v>1</v>
      </c>
      <c r="AS1341" t="str">
        <f t="shared" si="545"/>
        <v>Es Obeso</v>
      </c>
    </row>
    <row r="1342" spans="1:45" x14ac:dyDescent="0.25">
      <c r="A1342">
        <v>1</v>
      </c>
      <c r="B1342" t="str">
        <f t="shared" si="520"/>
        <v>M</v>
      </c>
      <c r="C1342">
        <v>21980847</v>
      </c>
      <c r="D1342">
        <f t="shared" si="521"/>
        <v>60</v>
      </c>
      <c r="E1342">
        <f t="shared" si="522"/>
        <v>60</v>
      </c>
      <c r="F1342" t="str">
        <f t="shared" si="523"/>
        <v>50-75</v>
      </c>
      <c r="G1342">
        <v>1</v>
      </c>
      <c r="H1342" t="str">
        <f t="shared" si="524"/>
        <v>Pariente gordo</v>
      </c>
      <c r="I1342">
        <v>1</v>
      </c>
      <c r="J1342" t="str">
        <f t="shared" si="525"/>
        <v>Hipercaloricos</v>
      </c>
      <c r="K1342">
        <v>2</v>
      </c>
      <c r="L1342">
        <f t="shared" si="526"/>
        <v>1</v>
      </c>
      <c r="M1342" t="str">
        <f t="shared" si="527"/>
        <v>Suele comer</v>
      </c>
      <c r="N1342">
        <v>3</v>
      </c>
      <c r="O1342">
        <f t="shared" si="528"/>
        <v>2</v>
      </c>
      <c r="P1342" t="str">
        <f t="shared" si="529"/>
        <v>Mas de 3</v>
      </c>
      <c r="Q1342">
        <v>1</v>
      </c>
      <c r="R1342" t="str">
        <f t="shared" si="530"/>
        <v>A veces</v>
      </c>
      <c r="S1342">
        <v>0</v>
      </c>
      <c r="T1342" t="str">
        <f t="shared" si="531"/>
        <v>No fuma</v>
      </c>
      <c r="U1342">
        <v>2745242</v>
      </c>
      <c r="V1342">
        <f t="shared" si="532"/>
        <v>2</v>
      </c>
      <c r="W1342" t="str">
        <f t="shared" si="533"/>
        <v>Siempre</v>
      </c>
      <c r="X1342">
        <v>0</v>
      </c>
      <c r="Y1342" t="str">
        <f t="shared" si="534"/>
        <v>No controla</v>
      </c>
      <c r="Z1342">
        <v>0</v>
      </c>
      <c r="AA1342">
        <f t="shared" si="535"/>
        <v>0</v>
      </c>
      <c r="AB1342" t="str">
        <f t="shared" si="536"/>
        <v>Nunca</v>
      </c>
      <c r="AC1342">
        <v>0.80898000000000003</v>
      </c>
      <c r="AD1342">
        <f t="shared" si="537"/>
        <v>0</v>
      </c>
      <c r="AE1342" t="str">
        <f t="shared" si="538"/>
        <v>Nunca</v>
      </c>
      <c r="AF1342">
        <v>1</v>
      </c>
      <c r="AG1342" t="str">
        <f t="shared" si="539"/>
        <v>A veces</v>
      </c>
      <c r="AH1342">
        <v>0</v>
      </c>
      <c r="AI1342" t="str">
        <f t="shared" si="540"/>
        <v>No usa</v>
      </c>
      <c r="AJ1342">
        <v>0</v>
      </c>
      <c r="AK1342" t="str">
        <f t="shared" si="541"/>
        <v>No usa</v>
      </c>
      <c r="AL1342">
        <v>0</v>
      </c>
      <c r="AM1342" t="str">
        <f t="shared" si="542"/>
        <v>No usa</v>
      </c>
      <c r="AN1342">
        <v>1</v>
      </c>
      <c r="AO1342" t="str">
        <f t="shared" si="543"/>
        <v>Usa Transporte</v>
      </c>
      <c r="AP1342">
        <v>0</v>
      </c>
      <c r="AQ1342" t="str">
        <f t="shared" si="544"/>
        <v>No camina</v>
      </c>
      <c r="AR1342">
        <v>1</v>
      </c>
      <c r="AS1342" t="str">
        <f t="shared" si="545"/>
        <v>Es Obeso</v>
      </c>
    </row>
    <row r="1343" spans="1:45" x14ac:dyDescent="0.25">
      <c r="A1343">
        <v>1</v>
      </c>
      <c r="B1343" t="str">
        <f t="shared" si="520"/>
        <v>M</v>
      </c>
      <c r="C1343">
        <v>21016665</v>
      </c>
      <c r="D1343">
        <f t="shared" si="521"/>
        <v>57</v>
      </c>
      <c r="E1343">
        <f t="shared" si="522"/>
        <v>57</v>
      </c>
      <c r="F1343" t="str">
        <f t="shared" si="523"/>
        <v>50-75</v>
      </c>
      <c r="G1343">
        <v>1</v>
      </c>
      <c r="H1343" t="str">
        <f t="shared" si="524"/>
        <v>Pariente gordo</v>
      </c>
      <c r="I1343">
        <v>1</v>
      </c>
      <c r="J1343" t="str">
        <f t="shared" si="525"/>
        <v>Hipercaloricos</v>
      </c>
      <c r="K1343">
        <v>2259679</v>
      </c>
      <c r="L1343">
        <f t="shared" si="526"/>
        <v>1</v>
      </c>
      <c r="M1343" t="str">
        <f t="shared" si="527"/>
        <v>Suele comer</v>
      </c>
      <c r="N1343">
        <v>3</v>
      </c>
      <c r="O1343">
        <f t="shared" si="528"/>
        <v>2</v>
      </c>
      <c r="P1343" t="str">
        <f t="shared" si="529"/>
        <v>Mas de 3</v>
      </c>
      <c r="Q1343">
        <v>1</v>
      </c>
      <c r="R1343" t="str">
        <f t="shared" si="530"/>
        <v>A veces</v>
      </c>
      <c r="S1343">
        <v>0</v>
      </c>
      <c r="T1343" t="str">
        <f t="shared" si="531"/>
        <v>No fuma</v>
      </c>
      <c r="U1343">
        <v>1026143</v>
      </c>
      <c r="V1343">
        <f t="shared" si="532"/>
        <v>2</v>
      </c>
      <c r="W1343" t="str">
        <f t="shared" si="533"/>
        <v>Siempre</v>
      </c>
      <c r="X1343">
        <v>0</v>
      </c>
      <c r="Y1343" t="str">
        <f t="shared" si="534"/>
        <v>No controla</v>
      </c>
      <c r="Z1343">
        <v>0.26880100000000001</v>
      </c>
      <c r="AA1343">
        <f t="shared" si="535"/>
        <v>0</v>
      </c>
      <c r="AB1343" t="str">
        <f t="shared" si="536"/>
        <v>Nunca</v>
      </c>
      <c r="AC1343">
        <v>7.7817999999999998E-2</v>
      </c>
      <c r="AD1343">
        <f t="shared" si="537"/>
        <v>0</v>
      </c>
      <c r="AE1343" t="str">
        <f t="shared" si="538"/>
        <v>Nunca</v>
      </c>
      <c r="AF1343">
        <v>1</v>
      </c>
      <c r="AG1343" t="str">
        <f t="shared" si="539"/>
        <v>A veces</v>
      </c>
      <c r="AH1343">
        <v>0</v>
      </c>
      <c r="AI1343" t="str">
        <f t="shared" si="540"/>
        <v>No usa</v>
      </c>
      <c r="AJ1343">
        <v>0</v>
      </c>
      <c r="AK1343" t="str">
        <f t="shared" si="541"/>
        <v>No usa</v>
      </c>
      <c r="AL1343">
        <v>0</v>
      </c>
      <c r="AM1343" t="str">
        <f t="shared" si="542"/>
        <v>No usa</v>
      </c>
      <c r="AN1343">
        <v>1</v>
      </c>
      <c r="AO1343" t="str">
        <f t="shared" si="543"/>
        <v>Usa Transporte</v>
      </c>
      <c r="AP1343">
        <v>0</v>
      </c>
      <c r="AQ1343" t="str">
        <f t="shared" si="544"/>
        <v>No camina</v>
      </c>
      <c r="AR1343">
        <v>1</v>
      </c>
      <c r="AS1343" t="str">
        <f t="shared" si="545"/>
        <v>Es Obeso</v>
      </c>
    </row>
    <row r="1344" spans="1:45" x14ac:dyDescent="0.25">
      <c r="A1344">
        <v>1</v>
      </c>
      <c r="B1344" t="str">
        <f t="shared" si="520"/>
        <v>M</v>
      </c>
      <c r="C1344">
        <v>2172738</v>
      </c>
      <c r="D1344">
        <f t="shared" si="521"/>
        <v>5</v>
      </c>
      <c r="E1344">
        <f t="shared" si="522"/>
        <v>5</v>
      </c>
      <c r="F1344" t="str">
        <f t="shared" si="523"/>
        <v>1-25</v>
      </c>
      <c r="G1344">
        <v>1</v>
      </c>
      <c r="H1344" t="str">
        <f t="shared" si="524"/>
        <v>Pariente gordo</v>
      </c>
      <c r="I1344">
        <v>1</v>
      </c>
      <c r="J1344" t="str">
        <f t="shared" si="525"/>
        <v>Hipercaloricos</v>
      </c>
      <c r="K1344">
        <v>2044326</v>
      </c>
      <c r="L1344">
        <f t="shared" si="526"/>
        <v>1</v>
      </c>
      <c r="M1344" t="str">
        <f t="shared" si="527"/>
        <v>Suele comer</v>
      </c>
      <c r="N1344">
        <v>3</v>
      </c>
      <c r="O1344">
        <f t="shared" si="528"/>
        <v>2</v>
      </c>
      <c r="P1344" t="str">
        <f t="shared" si="529"/>
        <v>Mas de 3</v>
      </c>
      <c r="Q1344">
        <v>1</v>
      </c>
      <c r="R1344" t="str">
        <f t="shared" si="530"/>
        <v>A veces</v>
      </c>
      <c r="S1344">
        <v>0</v>
      </c>
      <c r="T1344" t="str">
        <f t="shared" si="531"/>
        <v>No fuma</v>
      </c>
      <c r="U1344">
        <v>235818</v>
      </c>
      <c r="V1344">
        <f t="shared" si="532"/>
        <v>2</v>
      </c>
      <c r="W1344" t="str">
        <f t="shared" si="533"/>
        <v>Siempre</v>
      </c>
      <c r="X1344">
        <v>0</v>
      </c>
      <c r="Y1344" t="str">
        <f t="shared" si="534"/>
        <v>No controla</v>
      </c>
      <c r="Z1344">
        <v>0.34937099999999999</v>
      </c>
      <c r="AA1344">
        <f t="shared" si="535"/>
        <v>0</v>
      </c>
      <c r="AB1344" t="str">
        <f t="shared" si="536"/>
        <v>Nunca</v>
      </c>
      <c r="AC1344">
        <v>0</v>
      </c>
      <c r="AD1344">
        <f t="shared" si="537"/>
        <v>0</v>
      </c>
      <c r="AE1344" t="str">
        <f t="shared" si="538"/>
        <v>Nunca</v>
      </c>
      <c r="AF1344">
        <v>1</v>
      </c>
      <c r="AG1344" t="str">
        <f t="shared" si="539"/>
        <v>A veces</v>
      </c>
      <c r="AH1344">
        <v>0</v>
      </c>
      <c r="AI1344" t="str">
        <f t="shared" si="540"/>
        <v>No usa</v>
      </c>
      <c r="AJ1344">
        <v>0</v>
      </c>
      <c r="AK1344" t="str">
        <f t="shared" si="541"/>
        <v>No usa</v>
      </c>
      <c r="AL1344">
        <v>0</v>
      </c>
      <c r="AM1344" t="str">
        <f t="shared" si="542"/>
        <v>No usa</v>
      </c>
      <c r="AN1344">
        <v>1</v>
      </c>
      <c r="AO1344" t="str">
        <f t="shared" si="543"/>
        <v>Usa Transporte</v>
      </c>
      <c r="AP1344">
        <v>0</v>
      </c>
      <c r="AQ1344" t="str">
        <f t="shared" si="544"/>
        <v>No camina</v>
      </c>
      <c r="AR1344">
        <v>1</v>
      </c>
      <c r="AS1344" t="str">
        <f t="shared" si="545"/>
        <v>Es Obeso</v>
      </c>
    </row>
    <row r="1345" spans="1:45" x14ac:dyDescent="0.25">
      <c r="A1345">
        <v>1</v>
      </c>
      <c r="B1345" t="str">
        <f t="shared" si="520"/>
        <v>M</v>
      </c>
      <c r="C1345">
        <v>18</v>
      </c>
      <c r="D1345">
        <f t="shared" si="521"/>
        <v>18</v>
      </c>
      <c r="E1345">
        <f t="shared" si="522"/>
        <v>18</v>
      </c>
      <c r="F1345" t="str">
        <f t="shared" si="523"/>
        <v>1-25</v>
      </c>
      <c r="G1345">
        <v>1</v>
      </c>
      <c r="H1345" t="str">
        <f t="shared" si="524"/>
        <v>Pariente gordo</v>
      </c>
      <c r="I1345">
        <v>1</v>
      </c>
      <c r="J1345" t="str">
        <f t="shared" si="525"/>
        <v>Hipercaloricos</v>
      </c>
      <c r="K1345">
        <v>2</v>
      </c>
      <c r="L1345">
        <f t="shared" si="526"/>
        <v>1</v>
      </c>
      <c r="M1345" t="str">
        <f t="shared" si="527"/>
        <v>Suele comer</v>
      </c>
      <c r="N1345">
        <v>1867836</v>
      </c>
      <c r="O1345">
        <f t="shared" si="528"/>
        <v>2</v>
      </c>
      <c r="P1345" t="str">
        <f t="shared" si="529"/>
        <v>Mas de 3</v>
      </c>
      <c r="Q1345">
        <v>1</v>
      </c>
      <c r="R1345" t="str">
        <f t="shared" si="530"/>
        <v>A veces</v>
      </c>
      <c r="S1345">
        <v>0</v>
      </c>
      <c r="T1345" t="str">
        <f t="shared" si="531"/>
        <v>No fuma</v>
      </c>
      <c r="U1345">
        <v>2438398</v>
      </c>
      <c r="V1345">
        <f t="shared" si="532"/>
        <v>2</v>
      </c>
      <c r="W1345" t="str">
        <f t="shared" si="533"/>
        <v>Siempre</v>
      </c>
      <c r="X1345">
        <v>0</v>
      </c>
      <c r="Y1345" t="str">
        <f t="shared" si="534"/>
        <v>No controla</v>
      </c>
      <c r="Z1345">
        <v>1</v>
      </c>
      <c r="AA1345">
        <f t="shared" si="535"/>
        <v>1</v>
      </c>
      <c r="AB1345" t="str">
        <f t="shared" si="536"/>
        <v>A veces</v>
      </c>
      <c r="AC1345">
        <v>0.80230500000000005</v>
      </c>
      <c r="AD1345">
        <f t="shared" si="537"/>
        <v>0</v>
      </c>
      <c r="AE1345" t="str">
        <f t="shared" si="538"/>
        <v>Nunca</v>
      </c>
      <c r="AF1345">
        <v>0</v>
      </c>
      <c r="AG1345" t="str">
        <f t="shared" si="539"/>
        <v>Nunca</v>
      </c>
      <c r="AH1345">
        <v>0</v>
      </c>
      <c r="AI1345" t="str">
        <f t="shared" si="540"/>
        <v>No usa</v>
      </c>
      <c r="AJ1345">
        <v>0</v>
      </c>
      <c r="AK1345" t="str">
        <f t="shared" si="541"/>
        <v>No usa</v>
      </c>
      <c r="AL1345">
        <v>0</v>
      </c>
      <c r="AM1345" t="str">
        <f t="shared" si="542"/>
        <v>No usa</v>
      </c>
      <c r="AN1345">
        <v>1</v>
      </c>
      <c r="AO1345" t="str">
        <f t="shared" si="543"/>
        <v>Usa Transporte</v>
      </c>
      <c r="AP1345">
        <v>0</v>
      </c>
      <c r="AQ1345" t="str">
        <f t="shared" si="544"/>
        <v>No camina</v>
      </c>
      <c r="AR1345">
        <v>1</v>
      </c>
      <c r="AS1345" t="str">
        <f t="shared" si="545"/>
        <v>Es Obeso</v>
      </c>
    </row>
    <row r="1346" spans="1:45" x14ac:dyDescent="0.25">
      <c r="A1346">
        <v>1</v>
      </c>
      <c r="B1346" t="str">
        <f t="shared" si="520"/>
        <v>M</v>
      </c>
      <c r="C1346">
        <v>18</v>
      </c>
      <c r="D1346">
        <f t="shared" si="521"/>
        <v>18</v>
      </c>
      <c r="E1346">
        <f t="shared" si="522"/>
        <v>18</v>
      </c>
      <c r="F1346" t="str">
        <f t="shared" si="523"/>
        <v>1-25</v>
      </c>
      <c r="G1346">
        <v>1</v>
      </c>
      <c r="H1346" t="str">
        <f t="shared" si="524"/>
        <v>Pariente gordo</v>
      </c>
      <c r="I1346">
        <v>1</v>
      </c>
      <c r="J1346" t="str">
        <f t="shared" si="525"/>
        <v>Hipercaloricos</v>
      </c>
      <c r="K1346">
        <v>2</v>
      </c>
      <c r="L1346">
        <f t="shared" si="526"/>
        <v>1</v>
      </c>
      <c r="M1346" t="str">
        <f t="shared" si="527"/>
        <v>Suele comer</v>
      </c>
      <c r="N1346">
        <v>1548407</v>
      </c>
      <c r="O1346">
        <f t="shared" si="528"/>
        <v>2</v>
      </c>
      <c r="P1346" t="str">
        <f t="shared" si="529"/>
        <v>Mas de 3</v>
      </c>
      <c r="Q1346">
        <v>1</v>
      </c>
      <c r="R1346" t="str">
        <f t="shared" si="530"/>
        <v>A veces</v>
      </c>
      <c r="S1346">
        <v>0</v>
      </c>
      <c r="T1346" t="str">
        <f t="shared" si="531"/>
        <v>No fuma</v>
      </c>
      <c r="U1346">
        <v>2191401</v>
      </c>
      <c r="V1346">
        <f t="shared" si="532"/>
        <v>2</v>
      </c>
      <c r="W1346" t="str">
        <f t="shared" si="533"/>
        <v>Siempre</v>
      </c>
      <c r="X1346">
        <v>0</v>
      </c>
      <c r="Y1346" t="str">
        <f t="shared" si="534"/>
        <v>No controla</v>
      </c>
      <c r="Z1346">
        <v>1</v>
      </c>
      <c r="AA1346">
        <f t="shared" si="535"/>
        <v>1</v>
      </c>
      <c r="AB1346" t="str">
        <f t="shared" si="536"/>
        <v>A veces</v>
      </c>
      <c r="AC1346">
        <v>1676944</v>
      </c>
      <c r="AD1346">
        <f t="shared" si="537"/>
        <v>2</v>
      </c>
      <c r="AE1346" t="str">
        <f t="shared" si="538"/>
        <v>Siempre</v>
      </c>
      <c r="AF1346">
        <v>0</v>
      </c>
      <c r="AG1346" t="str">
        <f t="shared" si="539"/>
        <v>Nunca</v>
      </c>
      <c r="AH1346">
        <v>0</v>
      </c>
      <c r="AI1346" t="str">
        <f t="shared" si="540"/>
        <v>No usa</v>
      </c>
      <c r="AJ1346">
        <v>0</v>
      </c>
      <c r="AK1346" t="str">
        <f t="shared" si="541"/>
        <v>No usa</v>
      </c>
      <c r="AL1346">
        <v>0</v>
      </c>
      <c r="AM1346" t="str">
        <f t="shared" si="542"/>
        <v>No usa</v>
      </c>
      <c r="AN1346">
        <v>1</v>
      </c>
      <c r="AO1346" t="str">
        <f t="shared" si="543"/>
        <v>Usa Transporte</v>
      </c>
      <c r="AP1346">
        <v>0</v>
      </c>
      <c r="AQ1346" t="str">
        <f t="shared" si="544"/>
        <v>No camina</v>
      </c>
      <c r="AR1346">
        <v>1</v>
      </c>
      <c r="AS1346" t="str">
        <f t="shared" si="545"/>
        <v>Es Obeso</v>
      </c>
    </row>
    <row r="1347" spans="1:45" x14ac:dyDescent="0.25">
      <c r="A1347">
        <v>0</v>
      </c>
      <c r="B1347" t="str">
        <f t="shared" ref="B1347:B1410" si="546">IF(A1347=1,"M","F")</f>
        <v>F</v>
      </c>
      <c r="C1347">
        <v>19431662</v>
      </c>
      <c r="D1347">
        <f t="shared" ref="D1347:D1410" si="547">IF(C1347&lt;100,C1347,ROUNDDOWN((C1347/1000)/365,0))</f>
        <v>53</v>
      </c>
      <c r="E1347">
        <f t="shared" ref="E1347:E1410" si="548">IF(AND(D1347&gt;1,D1347&lt;=100),D1347,IF(D1347&gt;100,100,5))</f>
        <v>53</v>
      </c>
      <c r="F1347" t="str">
        <f t="shared" ref="F1347:F1410" si="549">IF(AND(E1347&gt;=1,E1347&lt;=25),"1-25",IF(AND(E1347&gt;25,E1347&lt;=50),"25-50",IF(AND(E1347&gt;50,E1347&lt;=75),"50-75","75-100")))</f>
        <v>50-75</v>
      </c>
      <c r="G1347">
        <v>1</v>
      </c>
      <c r="H1347" t="str">
        <f t="shared" ref="H1347:H1410" si="550">IF(G1347=1,"Pariente gordo","Pariente normal")</f>
        <v>Pariente gordo</v>
      </c>
      <c r="I1347">
        <v>1</v>
      </c>
      <c r="J1347" t="str">
        <f t="shared" ref="J1347:J1410" si="551">IF(I1347=1,"Hipercaloricos","Saludables")</f>
        <v>Hipercaloricos</v>
      </c>
      <c r="K1347">
        <v>2843456</v>
      </c>
      <c r="L1347">
        <f t="shared" ref="L1347:L1410" si="552">IF(AND(K1347&gt;=1,K1347&lt;=3),1,IF(AND(K1347&gt;3,K1347&lt;3000000),1))</f>
        <v>1</v>
      </c>
      <c r="M1347" t="str">
        <f t="shared" ref="M1347:M1410" si="553">IF(L1347=1,"Suele comer","No come")</f>
        <v>Suele comer</v>
      </c>
      <c r="N1347">
        <v>2937989</v>
      </c>
      <c r="O1347">
        <f t="shared" ref="O1347:O1410" si="554">IF(N1347=1,N1347,IF(AND(N1347&gt;=2,N1347&lt;4000000),2))</f>
        <v>2</v>
      </c>
      <c r="P1347" t="str">
        <f t="shared" ref="P1347:P1410" si="555">IF(O1347=0,"1-2",IF(O1347=1,3,"Mas de 3"))</f>
        <v>Mas de 3</v>
      </c>
      <c r="Q1347">
        <v>1</v>
      </c>
      <c r="R1347" t="str">
        <f t="shared" ref="R1347:R1410" si="556">IF(Q1347=0,"Nunca",IF(Q1347=1,"A veces",IF(Q1347=2,"Usualmente","Siempre")))</f>
        <v>A veces</v>
      </c>
      <c r="S1347">
        <v>0</v>
      </c>
      <c r="T1347" t="str">
        <f t="shared" ref="T1347:T1410" si="557">IF(S1347=1,"Fuma","No fuma")</f>
        <v>No fuma</v>
      </c>
      <c r="U1347">
        <v>1001995</v>
      </c>
      <c r="V1347">
        <f t="shared" ref="V1347:V1410" si="558">IF(U1347=1,U1347,IF(U1347=2,U1347,IF(AND(U1347&gt;=3,U1347&lt;3000000),2)))</f>
        <v>2</v>
      </c>
      <c r="W1347" t="str">
        <f t="shared" ref="W1347:W1410" si="559">IF(V1347=0,"Nunca",IF(V1347=1,"Usualmente","Siempre"))</f>
        <v>Siempre</v>
      </c>
      <c r="X1347">
        <v>0</v>
      </c>
      <c r="Y1347" t="str">
        <f t="shared" ref="Y1347:Y1410" si="560">IF(X1347=1,"Controla","No controla")</f>
        <v>No controla</v>
      </c>
      <c r="Z1347">
        <v>0</v>
      </c>
      <c r="AA1347">
        <f t="shared" ref="AA1347:AA1410" si="561">IF(Z1347=0,Z1347,IF(Z1347=1,Z1347,IF(Z1347=2,Z1347,IF(Z1347=3,Z1347,IF(AND(Z1347&gt;3,Z1347&lt;300000),2,IF(AND(Z1347&gt;300000,Z1347&lt;3000000),3,IF(AND(Z1347&gt;0,Z1347&lt;1),0)))))))</f>
        <v>0</v>
      </c>
      <c r="AB1347" t="str">
        <f t="shared" ref="AB1347:AB1410" si="562">IF(AA1347=0,"Nunca",IF(AA1347=1,"A veces",IF(AA1347=2,"Usualmente","Siempre")))</f>
        <v>Nunca</v>
      </c>
      <c r="AC1347">
        <v>1554404</v>
      </c>
      <c r="AD1347">
        <f t="shared" ref="AD1347:AD1410" si="563">IF(AC1347= 0,AC1347,IF(AC1347=1,AC1347,IF(AC1347=2,AC1347,IF(AND(AC1347&gt;2,AC1347&lt;200000),1,IF(AND(AC1347&gt;200000,AC1347&lt;2000000),2,IF(AND(AC1347&gt;0,AC1347&lt;1),0))))))</f>
        <v>2</v>
      </c>
      <c r="AE1347" t="str">
        <f t="shared" ref="AE1347:AE1410" si="564">IF(AD1347=0,"Nunca",IF(AD1347=1,"Usualmente","Siempre"))</f>
        <v>Siempre</v>
      </c>
      <c r="AF1347">
        <v>0</v>
      </c>
      <c r="AG1347" t="str">
        <f t="shared" ref="AG1347:AG1410" si="565">IF(AF1347=0,"Nunca",IF(AF1347=1,"A veces",IF(AF1347=2,"Usualmente","Siempre")))</f>
        <v>Nunca</v>
      </c>
      <c r="AH1347">
        <v>0</v>
      </c>
      <c r="AI1347" t="str">
        <f t="shared" ref="AI1347:AI1410" si="566">IF(AH1347=1,"Usa auto","No usa")</f>
        <v>No usa</v>
      </c>
      <c r="AJ1347">
        <v>0</v>
      </c>
      <c r="AK1347" t="str">
        <f t="shared" ref="AK1347:AK1410" si="567">IF(AJ1347=1,"Usa Bici","No usa")</f>
        <v>No usa</v>
      </c>
      <c r="AL1347">
        <v>0</v>
      </c>
      <c r="AM1347" t="str">
        <f t="shared" ref="AM1347:AM1410" si="568">IF(AL1347=1,"Usa Moto","No usa")</f>
        <v>No usa</v>
      </c>
      <c r="AN1347">
        <v>1</v>
      </c>
      <c r="AO1347" t="str">
        <f t="shared" ref="AO1347:AO1410" si="569">IF(AN1347=1,"Usa Transporte","No usa")</f>
        <v>Usa Transporte</v>
      </c>
      <c r="AP1347">
        <v>0</v>
      </c>
      <c r="AQ1347" t="str">
        <f t="shared" ref="AQ1347:AQ1410" si="570">IF(AP1347=1,"Camina","No camina")</f>
        <v>No camina</v>
      </c>
      <c r="AR1347">
        <v>1</v>
      </c>
      <c r="AS1347" t="str">
        <f t="shared" ref="AS1347:AS1410" si="571">IF(AR1347=1,"Es Obeso","No es obeso")</f>
        <v>Es Obeso</v>
      </c>
    </row>
    <row r="1348" spans="1:45" x14ac:dyDescent="0.25">
      <c r="A1348">
        <v>0</v>
      </c>
      <c r="B1348" t="str">
        <f t="shared" si="546"/>
        <v>F</v>
      </c>
      <c r="C1348">
        <v>18166318</v>
      </c>
      <c r="D1348">
        <f t="shared" si="547"/>
        <v>49</v>
      </c>
      <c r="E1348">
        <f t="shared" si="548"/>
        <v>49</v>
      </c>
      <c r="F1348" t="str">
        <f t="shared" si="549"/>
        <v>25-50</v>
      </c>
      <c r="G1348">
        <v>1</v>
      </c>
      <c r="H1348" t="str">
        <f t="shared" si="550"/>
        <v>Pariente gordo</v>
      </c>
      <c r="I1348">
        <v>1</v>
      </c>
      <c r="J1348" t="str">
        <f t="shared" si="551"/>
        <v>Hipercaloricos</v>
      </c>
      <c r="K1348">
        <v>2864776</v>
      </c>
      <c r="L1348">
        <f t="shared" si="552"/>
        <v>1</v>
      </c>
      <c r="M1348" t="str">
        <f t="shared" si="553"/>
        <v>Suele comer</v>
      </c>
      <c r="N1348">
        <v>3</v>
      </c>
      <c r="O1348">
        <f t="shared" si="554"/>
        <v>2</v>
      </c>
      <c r="P1348" t="str">
        <f t="shared" si="555"/>
        <v>Mas de 3</v>
      </c>
      <c r="Q1348">
        <v>1</v>
      </c>
      <c r="R1348" t="str">
        <f t="shared" si="556"/>
        <v>A veces</v>
      </c>
      <c r="S1348">
        <v>0</v>
      </c>
      <c r="T1348" t="str">
        <f t="shared" si="557"/>
        <v>No fuma</v>
      </c>
      <c r="U1348">
        <v>1876915</v>
      </c>
      <c r="V1348">
        <f t="shared" si="558"/>
        <v>2</v>
      </c>
      <c r="W1348" t="str">
        <f t="shared" si="559"/>
        <v>Siempre</v>
      </c>
      <c r="X1348">
        <v>0</v>
      </c>
      <c r="Y1348" t="str">
        <f t="shared" si="560"/>
        <v>No controla</v>
      </c>
      <c r="Z1348">
        <v>0.63156500000000004</v>
      </c>
      <c r="AA1348">
        <f t="shared" si="561"/>
        <v>0</v>
      </c>
      <c r="AB1348" t="str">
        <f t="shared" si="562"/>
        <v>Nunca</v>
      </c>
      <c r="AC1348">
        <v>0.186414</v>
      </c>
      <c r="AD1348">
        <f t="shared" si="563"/>
        <v>0</v>
      </c>
      <c r="AE1348" t="str">
        <f t="shared" si="564"/>
        <v>Nunca</v>
      </c>
      <c r="AF1348">
        <v>0</v>
      </c>
      <c r="AG1348" t="str">
        <f t="shared" si="565"/>
        <v>Nunca</v>
      </c>
      <c r="AH1348">
        <v>0</v>
      </c>
      <c r="AI1348" t="str">
        <f t="shared" si="566"/>
        <v>No usa</v>
      </c>
      <c r="AJ1348">
        <v>0</v>
      </c>
      <c r="AK1348" t="str">
        <f t="shared" si="567"/>
        <v>No usa</v>
      </c>
      <c r="AL1348">
        <v>0</v>
      </c>
      <c r="AM1348" t="str">
        <f t="shared" si="568"/>
        <v>No usa</v>
      </c>
      <c r="AN1348">
        <v>1</v>
      </c>
      <c r="AO1348" t="str">
        <f t="shared" si="569"/>
        <v>Usa Transporte</v>
      </c>
      <c r="AP1348">
        <v>0</v>
      </c>
      <c r="AQ1348" t="str">
        <f t="shared" si="570"/>
        <v>No camina</v>
      </c>
      <c r="AR1348">
        <v>1</v>
      </c>
      <c r="AS1348" t="str">
        <f t="shared" si="571"/>
        <v>Es Obeso</v>
      </c>
    </row>
    <row r="1349" spans="1:45" x14ac:dyDescent="0.25">
      <c r="A1349">
        <v>1</v>
      </c>
      <c r="B1349" t="str">
        <f t="shared" si="546"/>
        <v>M</v>
      </c>
      <c r="C1349">
        <v>22352025</v>
      </c>
      <c r="D1349">
        <f t="shared" si="547"/>
        <v>61</v>
      </c>
      <c r="E1349">
        <f t="shared" si="548"/>
        <v>61</v>
      </c>
      <c r="F1349" t="str">
        <f t="shared" si="549"/>
        <v>50-75</v>
      </c>
      <c r="G1349">
        <v>1</v>
      </c>
      <c r="H1349" t="str">
        <f t="shared" si="550"/>
        <v>Pariente gordo</v>
      </c>
      <c r="I1349">
        <v>1</v>
      </c>
      <c r="J1349" t="str">
        <f t="shared" si="551"/>
        <v>Hipercaloricos</v>
      </c>
      <c r="K1349">
        <v>2871137</v>
      </c>
      <c r="L1349">
        <f t="shared" si="552"/>
        <v>1</v>
      </c>
      <c r="M1349" t="str">
        <f t="shared" si="553"/>
        <v>Suele comer</v>
      </c>
      <c r="N1349">
        <v>3</v>
      </c>
      <c r="O1349">
        <f t="shared" si="554"/>
        <v>2</v>
      </c>
      <c r="P1349" t="str">
        <f t="shared" si="555"/>
        <v>Mas de 3</v>
      </c>
      <c r="Q1349">
        <v>1</v>
      </c>
      <c r="R1349" t="str">
        <f t="shared" si="556"/>
        <v>A veces</v>
      </c>
      <c r="S1349">
        <v>0</v>
      </c>
      <c r="T1349" t="str">
        <f t="shared" si="557"/>
        <v>No fuma</v>
      </c>
      <c r="U1349">
        <v>2627569</v>
      </c>
      <c r="V1349">
        <f t="shared" si="558"/>
        <v>2</v>
      </c>
      <c r="W1349" t="str">
        <f t="shared" si="559"/>
        <v>Siempre</v>
      </c>
      <c r="X1349">
        <v>0</v>
      </c>
      <c r="Y1349" t="str">
        <f t="shared" si="560"/>
        <v>No controla</v>
      </c>
      <c r="Z1349">
        <v>1</v>
      </c>
      <c r="AA1349">
        <f t="shared" si="561"/>
        <v>1</v>
      </c>
      <c r="AB1349" t="str">
        <f t="shared" si="562"/>
        <v>A veces</v>
      </c>
      <c r="AC1349">
        <v>0</v>
      </c>
      <c r="AD1349">
        <f t="shared" si="563"/>
        <v>0</v>
      </c>
      <c r="AE1349" t="str">
        <f t="shared" si="564"/>
        <v>Nunca</v>
      </c>
      <c r="AF1349">
        <v>1</v>
      </c>
      <c r="AG1349" t="str">
        <f t="shared" si="565"/>
        <v>A veces</v>
      </c>
      <c r="AH1349">
        <v>0</v>
      </c>
      <c r="AI1349" t="str">
        <f t="shared" si="566"/>
        <v>No usa</v>
      </c>
      <c r="AJ1349">
        <v>0</v>
      </c>
      <c r="AK1349" t="str">
        <f t="shared" si="567"/>
        <v>No usa</v>
      </c>
      <c r="AL1349">
        <v>0</v>
      </c>
      <c r="AM1349" t="str">
        <f t="shared" si="568"/>
        <v>No usa</v>
      </c>
      <c r="AN1349">
        <v>1</v>
      </c>
      <c r="AO1349" t="str">
        <f t="shared" si="569"/>
        <v>Usa Transporte</v>
      </c>
      <c r="AP1349">
        <v>0</v>
      </c>
      <c r="AQ1349" t="str">
        <f t="shared" si="570"/>
        <v>No camina</v>
      </c>
      <c r="AR1349">
        <v>1</v>
      </c>
      <c r="AS1349" t="str">
        <f t="shared" si="571"/>
        <v>Es Obeso</v>
      </c>
    </row>
    <row r="1350" spans="1:45" x14ac:dyDescent="0.25">
      <c r="A1350">
        <v>1</v>
      </c>
      <c r="B1350" t="str">
        <f t="shared" si="546"/>
        <v>M</v>
      </c>
      <c r="C1350">
        <v>22469351</v>
      </c>
      <c r="D1350">
        <f t="shared" si="547"/>
        <v>61</v>
      </c>
      <c r="E1350">
        <f t="shared" si="548"/>
        <v>61</v>
      </c>
      <c r="F1350" t="str">
        <f t="shared" si="549"/>
        <v>50-75</v>
      </c>
      <c r="G1350">
        <v>1</v>
      </c>
      <c r="H1350" t="str">
        <f t="shared" si="550"/>
        <v>Pariente gordo</v>
      </c>
      <c r="I1350">
        <v>1</v>
      </c>
      <c r="J1350" t="str">
        <f t="shared" si="551"/>
        <v>Hipercaloricos</v>
      </c>
      <c r="K1350">
        <v>2282803</v>
      </c>
      <c r="L1350">
        <f t="shared" si="552"/>
        <v>1</v>
      </c>
      <c r="M1350" t="str">
        <f t="shared" si="553"/>
        <v>Suele comer</v>
      </c>
      <c r="N1350">
        <v>3</v>
      </c>
      <c r="O1350">
        <f t="shared" si="554"/>
        <v>2</v>
      </c>
      <c r="P1350" t="str">
        <f t="shared" si="555"/>
        <v>Mas de 3</v>
      </c>
      <c r="Q1350">
        <v>1</v>
      </c>
      <c r="R1350" t="str">
        <f t="shared" si="556"/>
        <v>A veces</v>
      </c>
      <c r="S1350">
        <v>0</v>
      </c>
      <c r="T1350" t="str">
        <f t="shared" si="557"/>
        <v>No fuma</v>
      </c>
      <c r="U1350">
        <v>2104264</v>
      </c>
      <c r="V1350">
        <f t="shared" si="558"/>
        <v>2</v>
      </c>
      <c r="W1350" t="str">
        <f t="shared" si="559"/>
        <v>Siempre</v>
      </c>
      <c r="X1350">
        <v>0</v>
      </c>
      <c r="Y1350" t="str">
        <f t="shared" si="560"/>
        <v>No controla</v>
      </c>
      <c r="Z1350">
        <v>1</v>
      </c>
      <c r="AA1350">
        <f t="shared" si="561"/>
        <v>1</v>
      </c>
      <c r="AB1350" t="str">
        <f t="shared" si="562"/>
        <v>A veces</v>
      </c>
      <c r="AC1350">
        <v>0</v>
      </c>
      <c r="AD1350">
        <f t="shared" si="563"/>
        <v>0</v>
      </c>
      <c r="AE1350" t="str">
        <f t="shared" si="564"/>
        <v>Nunca</v>
      </c>
      <c r="AF1350">
        <v>1</v>
      </c>
      <c r="AG1350" t="str">
        <f t="shared" si="565"/>
        <v>A veces</v>
      </c>
      <c r="AH1350">
        <v>0</v>
      </c>
      <c r="AI1350" t="str">
        <f t="shared" si="566"/>
        <v>No usa</v>
      </c>
      <c r="AJ1350">
        <v>0</v>
      </c>
      <c r="AK1350" t="str">
        <f t="shared" si="567"/>
        <v>No usa</v>
      </c>
      <c r="AL1350">
        <v>0</v>
      </c>
      <c r="AM1350" t="str">
        <f t="shared" si="568"/>
        <v>No usa</v>
      </c>
      <c r="AN1350">
        <v>1</v>
      </c>
      <c r="AO1350" t="str">
        <f t="shared" si="569"/>
        <v>Usa Transporte</v>
      </c>
      <c r="AP1350">
        <v>0</v>
      </c>
      <c r="AQ1350" t="str">
        <f t="shared" si="570"/>
        <v>No camina</v>
      </c>
      <c r="AR1350">
        <v>1</v>
      </c>
      <c r="AS1350" t="str">
        <f t="shared" si="571"/>
        <v>Es Obeso</v>
      </c>
    </row>
    <row r="1351" spans="1:45" x14ac:dyDescent="0.25">
      <c r="A1351">
        <v>1</v>
      </c>
      <c r="B1351" t="str">
        <f t="shared" si="546"/>
        <v>M</v>
      </c>
      <c r="C1351">
        <v>19524698</v>
      </c>
      <c r="D1351">
        <f t="shared" si="547"/>
        <v>53</v>
      </c>
      <c r="E1351">
        <f t="shared" si="548"/>
        <v>53</v>
      </c>
      <c r="F1351" t="str">
        <f t="shared" si="549"/>
        <v>50-75</v>
      </c>
      <c r="G1351">
        <v>1</v>
      </c>
      <c r="H1351" t="str">
        <f t="shared" si="550"/>
        <v>Pariente gordo</v>
      </c>
      <c r="I1351">
        <v>1</v>
      </c>
      <c r="J1351" t="str">
        <f t="shared" si="551"/>
        <v>Hipercaloricos</v>
      </c>
      <c r="K1351">
        <v>2</v>
      </c>
      <c r="L1351">
        <f t="shared" si="552"/>
        <v>1</v>
      </c>
      <c r="M1351" t="str">
        <f t="shared" si="553"/>
        <v>Suele comer</v>
      </c>
      <c r="N1351">
        <v>3</v>
      </c>
      <c r="O1351">
        <f t="shared" si="554"/>
        <v>2</v>
      </c>
      <c r="P1351" t="str">
        <f t="shared" si="555"/>
        <v>Mas de 3</v>
      </c>
      <c r="Q1351">
        <v>1</v>
      </c>
      <c r="R1351" t="str">
        <f t="shared" si="556"/>
        <v>A veces</v>
      </c>
      <c r="S1351">
        <v>0</v>
      </c>
      <c r="T1351" t="str">
        <f t="shared" si="557"/>
        <v>No fuma</v>
      </c>
      <c r="U1351">
        <v>3</v>
      </c>
      <c r="V1351">
        <f t="shared" si="558"/>
        <v>2</v>
      </c>
      <c r="W1351" t="str">
        <f t="shared" si="559"/>
        <v>Siempre</v>
      </c>
      <c r="X1351">
        <v>0</v>
      </c>
      <c r="Y1351" t="str">
        <f t="shared" si="560"/>
        <v>No controla</v>
      </c>
      <c r="Z1351">
        <v>1</v>
      </c>
      <c r="AA1351">
        <f t="shared" si="561"/>
        <v>1</v>
      </c>
      <c r="AB1351" t="str">
        <f t="shared" si="562"/>
        <v>A veces</v>
      </c>
      <c r="AC1351">
        <v>1014808</v>
      </c>
      <c r="AD1351">
        <f t="shared" si="563"/>
        <v>2</v>
      </c>
      <c r="AE1351" t="str">
        <f t="shared" si="564"/>
        <v>Siempre</v>
      </c>
      <c r="AF1351">
        <v>1</v>
      </c>
      <c r="AG1351" t="str">
        <f t="shared" si="565"/>
        <v>A veces</v>
      </c>
      <c r="AH1351">
        <v>0</v>
      </c>
      <c r="AI1351" t="str">
        <f t="shared" si="566"/>
        <v>No usa</v>
      </c>
      <c r="AJ1351">
        <v>0</v>
      </c>
      <c r="AK1351" t="str">
        <f t="shared" si="567"/>
        <v>No usa</v>
      </c>
      <c r="AL1351">
        <v>0</v>
      </c>
      <c r="AM1351" t="str">
        <f t="shared" si="568"/>
        <v>No usa</v>
      </c>
      <c r="AN1351">
        <v>1</v>
      </c>
      <c r="AO1351" t="str">
        <f t="shared" si="569"/>
        <v>Usa Transporte</v>
      </c>
      <c r="AP1351">
        <v>0</v>
      </c>
      <c r="AQ1351" t="str">
        <f t="shared" si="570"/>
        <v>No camina</v>
      </c>
      <c r="AR1351">
        <v>1</v>
      </c>
      <c r="AS1351" t="str">
        <f t="shared" si="571"/>
        <v>Es Obeso</v>
      </c>
    </row>
    <row r="1352" spans="1:45" x14ac:dyDescent="0.25">
      <c r="A1352">
        <v>1</v>
      </c>
      <c r="B1352" t="str">
        <f t="shared" si="546"/>
        <v>M</v>
      </c>
      <c r="C1352">
        <v>20491475</v>
      </c>
      <c r="D1352">
        <f t="shared" si="547"/>
        <v>56</v>
      </c>
      <c r="E1352">
        <f t="shared" si="548"/>
        <v>56</v>
      </c>
      <c r="F1352" t="str">
        <f t="shared" si="549"/>
        <v>50-75</v>
      </c>
      <c r="G1352">
        <v>1</v>
      </c>
      <c r="H1352" t="str">
        <f t="shared" si="550"/>
        <v>Pariente gordo</v>
      </c>
      <c r="I1352">
        <v>1</v>
      </c>
      <c r="J1352" t="str">
        <f t="shared" si="551"/>
        <v>Hipercaloricos</v>
      </c>
      <c r="K1352">
        <v>2</v>
      </c>
      <c r="L1352">
        <f t="shared" si="552"/>
        <v>1</v>
      </c>
      <c r="M1352" t="str">
        <f t="shared" si="553"/>
        <v>Suele comer</v>
      </c>
      <c r="N1352">
        <v>3</v>
      </c>
      <c r="O1352">
        <f t="shared" si="554"/>
        <v>2</v>
      </c>
      <c r="P1352" t="str">
        <f t="shared" si="555"/>
        <v>Mas de 3</v>
      </c>
      <c r="Q1352">
        <v>1</v>
      </c>
      <c r="R1352" t="str">
        <f t="shared" si="556"/>
        <v>A veces</v>
      </c>
      <c r="S1352">
        <v>0</v>
      </c>
      <c r="T1352" t="str">
        <f t="shared" si="557"/>
        <v>No fuma</v>
      </c>
      <c r="U1352">
        <v>3</v>
      </c>
      <c r="V1352">
        <f t="shared" si="558"/>
        <v>2</v>
      </c>
      <c r="W1352" t="str">
        <f t="shared" si="559"/>
        <v>Siempre</v>
      </c>
      <c r="X1352">
        <v>0</v>
      </c>
      <c r="Y1352" t="str">
        <f t="shared" si="560"/>
        <v>No controla</v>
      </c>
      <c r="Z1352">
        <v>0.76701299999999994</v>
      </c>
      <c r="AA1352">
        <f t="shared" si="561"/>
        <v>0</v>
      </c>
      <c r="AB1352" t="str">
        <f t="shared" si="562"/>
        <v>Nunca</v>
      </c>
      <c r="AC1352">
        <v>1</v>
      </c>
      <c r="AD1352">
        <f t="shared" si="563"/>
        <v>1</v>
      </c>
      <c r="AE1352" t="str">
        <f t="shared" si="564"/>
        <v>Usualmente</v>
      </c>
      <c r="AF1352">
        <v>1</v>
      </c>
      <c r="AG1352" t="str">
        <f t="shared" si="565"/>
        <v>A veces</v>
      </c>
      <c r="AH1352">
        <v>0</v>
      </c>
      <c r="AI1352" t="str">
        <f t="shared" si="566"/>
        <v>No usa</v>
      </c>
      <c r="AJ1352">
        <v>0</v>
      </c>
      <c r="AK1352" t="str">
        <f t="shared" si="567"/>
        <v>No usa</v>
      </c>
      <c r="AL1352">
        <v>0</v>
      </c>
      <c r="AM1352" t="str">
        <f t="shared" si="568"/>
        <v>No usa</v>
      </c>
      <c r="AN1352">
        <v>1</v>
      </c>
      <c r="AO1352" t="str">
        <f t="shared" si="569"/>
        <v>Usa Transporte</v>
      </c>
      <c r="AP1352">
        <v>0</v>
      </c>
      <c r="AQ1352" t="str">
        <f t="shared" si="570"/>
        <v>No camina</v>
      </c>
      <c r="AR1352">
        <v>1</v>
      </c>
      <c r="AS1352" t="str">
        <f t="shared" si="571"/>
        <v>Es Obeso</v>
      </c>
    </row>
    <row r="1353" spans="1:45" x14ac:dyDescent="0.25">
      <c r="A1353">
        <v>0</v>
      </c>
      <c r="B1353" t="str">
        <f t="shared" si="546"/>
        <v>F</v>
      </c>
      <c r="C1353">
        <v>39213399</v>
      </c>
      <c r="D1353">
        <f t="shared" si="547"/>
        <v>107</v>
      </c>
      <c r="E1353">
        <f t="shared" si="548"/>
        <v>100</v>
      </c>
      <c r="F1353" t="str">
        <f t="shared" si="549"/>
        <v>75-100</v>
      </c>
      <c r="G1353">
        <v>1</v>
      </c>
      <c r="H1353" t="str">
        <f t="shared" si="550"/>
        <v>Pariente gordo</v>
      </c>
      <c r="I1353">
        <v>1</v>
      </c>
      <c r="J1353" t="str">
        <f t="shared" si="551"/>
        <v>Hipercaloricos</v>
      </c>
      <c r="K1353">
        <v>2020502</v>
      </c>
      <c r="L1353">
        <f t="shared" si="552"/>
        <v>1</v>
      </c>
      <c r="M1353" t="str">
        <f t="shared" si="553"/>
        <v>Suele comer</v>
      </c>
      <c r="N1353">
        <v>1237454</v>
      </c>
      <c r="O1353">
        <f t="shared" si="554"/>
        <v>2</v>
      </c>
      <c r="P1353" t="str">
        <f t="shared" si="555"/>
        <v>Mas de 3</v>
      </c>
      <c r="Q1353">
        <v>1</v>
      </c>
      <c r="R1353" t="str">
        <f t="shared" si="556"/>
        <v>A veces</v>
      </c>
      <c r="S1353">
        <v>0</v>
      </c>
      <c r="T1353" t="str">
        <f t="shared" si="557"/>
        <v>No fuma</v>
      </c>
      <c r="U1353">
        <v>193142</v>
      </c>
      <c r="V1353">
        <f t="shared" si="558"/>
        <v>2</v>
      </c>
      <c r="W1353" t="str">
        <f t="shared" si="559"/>
        <v>Siempre</v>
      </c>
      <c r="X1353">
        <v>0</v>
      </c>
      <c r="Y1353" t="str">
        <f t="shared" si="560"/>
        <v>No controla</v>
      </c>
      <c r="Z1353">
        <v>1967973</v>
      </c>
      <c r="AA1353">
        <f t="shared" si="561"/>
        <v>3</v>
      </c>
      <c r="AB1353" t="str">
        <f t="shared" si="562"/>
        <v>Siempre</v>
      </c>
      <c r="AC1353">
        <v>0</v>
      </c>
      <c r="AD1353">
        <f t="shared" si="563"/>
        <v>0</v>
      </c>
      <c r="AE1353" t="str">
        <f t="shared" si="564"/>
        <v>Nunca</v>
      </c>
      <c r="AF1353">
        <v>1</v>
      </c>
      <c r="AG1353" t="str">
        <f t="shared" si="565"/>
        <v>A veces</v>
      </c>
      <c r="AH1353">
        <v>1</v>
      </c>
      <c r="AI1353" t="str">
        <f t="shared" si="566"/>
        <v>Usa auto</v>
      </c>
      <c r="AJ1353">
        <v>0</v>
      </c>
      <c r="AK1353" t="str">
        <f t="shared" si="567"/>
        <v>No usa</v>
      </c>
      <c r="AL1353">
        <v>0</v>
      </c>
      <c r="AM1353" t="str">
        <f t="shared" si="568"/>
        <v>No usa</v>
      </c>
      <c r="AN1353">
        <v>0</v>
      </c>
      <c r="AO1353" t="str">
        <f t="shared" si="569"/>
        <v>No usa</v>
      </c>
      <c r="AP1353">
        <v>0</v>
      </c>
      <c r="AQ1353" t="str">
        <f t="shared" si="570"/>
        <v>No camina</v>
      </c>
      <c r="AR1353">
        <v>1</v>
      </c>
      <c r="AS1353" t="str">
        <f t="shared" si="571"/>
        <v>Es Obeso</v>
      </c>
    </row>
    <row r="1354" spans="1:45" x14ac:dyDescent="0.25">
      <c r="A1354">
        <v>0</v>
      </c>
      <c r="B1354" t="str">
        <f t="shared" si="546"/>
        <v>F</v>
      </c>
      <c r="C1354">
        <v>38098745</v>
      </c>
      <c r="D1354">
        <f t="shared" si="547"/>
        <v>104</v>
      </c>
      <c r="E1354">
        <f t="shared" si="548"/>
        <v>100</v>
      </c>
      <c r="F1354" t="str">
        <f t="shared" si="549"/>
        <v>75-100</v>
      </c>
      <c r="G1354">
        <v>1</v>
      </c>
      <c r="H1354" t="str">
        <f t="shared" si="550"/>
        <v>Pariente gordo</v>
      </c>
      <c r="I1354">
        <v>1</v>
      </c>
      <c r="J1354" t="str">
        <f t="shared" si="551"/>
        <v>Hipercaloricos</v>
      </c>
      <c r="K1354">
        <v>2020785</v>
      </c>
      <c r="L1354">
        <f t="shared" si="552"/>
        <v>1</v>
      </c>
      <c r="M1354" t="str">
        <f t="shared" si="553"/>
        <v>Suele comer</v>
      </c>
      <c r="N1354">
        <v>1169173</v>
      </c>
      <c r="O1354">
        <f t="shared" si="554"/>
        <v>2</v>
      </c>
      <c r="P1354" t="str">
        <f t="shared" si="555"/>
        <v>Mas de 3</v>
      </c>
      <c r="Q1354">
        <v>1</v>
      </c>
      <c r="R1354" t="str">
        <f t="shared" si="556"/>
        <v>A veces</v>
      </c>
      <c r="S1354">
        <v>0</v>
      </c>
      <c r="T1354" t="str">
        <f t="shared" si="557"/>
        <v>No fuma</v>
      </c>
      <c r="U1354">
        <v>1972551</v>
      </c>
      <c r="V1354">
        <f t="shared" si="558"/>
        <v>2</v>
      </c>
      <c r="W1354" t="str">
        <f t="shared" si="559"/>
        <v>Siempre</v>
      </c>
      <c r="X1354">
        <v>0</v>
      </c>
      <c r="Y1354" t="str">
        <f t="shared" si="560"/>
        <v>No controla</v>
      </c>
      <c r="Z1354">
        <v>1903338</v>
      </c>
      <c r="AA1354">
        <f t="shared" si="561"/>
        <v>3</v>
      </c>
      <c r="AB1354" t="str">
        <f t="shared" si="562"/>
        <v>Siempre</v>
      </c>
      <c r="AC1354">
        <v>0</v>
      </c>
      <c r="AD1354">
        <f t="shared" si="563"/>
        <v>0</v>
      </c>
      <c r="AE1354" t="str">
        <f t="shared" si="564"/>
        <v>Nunca</v>
      </c>
      <c r="AF1354">
        <v>1</v>
      </c>
      <c r="AG1354" t="str">
        <f t="shared" si="565"/>
        <v>A veces</v>
      </c>
      <c r="AH1354">
        <v>1</v>
      </c>
      <c r="AI1354" t="str">
        <f t="shared" si="566"/>
        <v>Usa auto</v>
      </c>
      <c r="AJ1354">
        <v>0</v>
      </c>
      <c r="AK1354" t="str">
        <f t="shared" si="567"/>
        <v>No usa</v>
      </c>
      <c r="AL1354">
        <v>0</v>
      </c>
      <c r="AM1354" t="str">
        <f t="shared" si="568"/>
        <v>No usa</v>
      </c>
      <c r="AN1354">
        <v>0</v>
      </c>
      <c r="AO1354" t="str">
        <f t="shared" si="569"/>
        <v>No usa</v>
      </c>
      <c r="AP1354">
        <v>0</v>
      </c>
      <c r="AQ1354" t="str">
        <f t="shared" si="570"/>
        <v>No camina</v>
      </c>
      <c r="AR1354">
        <v>1</v>
      </c>
      <c r="AS1354" t="str">
        <f t="shared" si="571"/>
        <v>Es Obeso</v>
      </c>
    </row>
    <row r="1355" spans="1:45" x14ac:dyDescent="0.25">
      <c r="A1355">
        <v>1</v>
      </c>
      <c r="B1355" t="str">
        <f t="shared" si="546"/>
        <v>M</v>
      </c>
      <c r="C1355">
        <v>19034033</v>
      </c>
      <c r="D1355">
        <f t="shared" si="547"/>
        <v>52</v>
      </c>
      <c r="E1355">
        <f t="shared" si="548"/>
        <v>52</v>
      </c>
      <c r="F1355" t="str">
        <f t="shared" si="549"/>
        <v>50-75</v>
      </c>
      <c r="G1355">
        <v>1</v>
      </c>
      <c r="H1355" t="str">
        <f t="shared" si="550"/>
        <v>Pariente gordo</v>
      </c>
      <c r="I1355">
        <v>1</v>
      </c>
      <c r="J1355" t="str">
        <f t="shared" si="551"/>
        <v>Hipercaloricos</v>
      </c>
      <c r="K1355">
        <v>2</v>
      </c>
      <c r="L1355">
        <f t="shared" si="552"/>
        <v>1</v>
      </c>
      <c r="M1355" t="str">
        <f t="shared" si="553"/>
        <v>Suele comer</v>
      </c>
      <c r="N1355">
        <v>2391753</v>
      </c>
      <c r="O1355">
        <f t="shared" si="554"/>
        <v>2</v>
      </c>
      <c r="P1355" t="str">
        <f t="shared" si="555"/>
        <v>Mas de 3</v>
      </c>
      <c r="Q1355">
        <v>1</v>
      </c>
      <c r="R1355" t="str">
        <f t="shared" si="556"/>
        <v>A veces</v>
      </c>
      <c r="S1355">
        <v>0</v>
      </c>
      <c r="T1355" t="str">
        <f t="shared" si="557"/>
        <v>No fuma</v>
      </c>
      <c r="U1355">
        <v>2</v>
      </c>
      <c r="V1355">
        <f t="shared" si="558"/>
        <v>2</v>
      </c>
      <c r="W1355" t="str">
        <f t="shared" si="559"/>
        <v>Siempre</v>
      </c>
      <c r="X1355">
        <v>0</v>
      </c>
      <c r="Y1355" t="str">
        <f t="shared" si="560"/>
        <v>No controla</v>
      </c>
      <c r="Z1355">
        <v>0</v>
      </c>
      <c r="AA1355">
        <f t="shared" si="561"/>
        <v>0</v>
      </c>
      <c r="AB1355" t="str">
        <f t="shared" si="562"/>
        <v>Nunca</v>
      </c>
      <c r="AC1355">
        <v>1119877</v>
      </c>
      <c r="AD1355">
        <f t="shared" si="563"/>
        <v>2</v>
      </c>
      <c r="AE1355" t="str">
        <f t="shared" si="564"/>
        <v>Siempre</v>
      </c>
      <c r="AF1355">
        <v>0</v>
      </c>
      <c r="AG1355" t="str">
        <f t="shared" si="565"/>
        <v>Nunca</v>
      </c>
      <c r="AH1355">
        <v>0</v>
      </c>
      <c r="AI1355" t="str">
        <f t="shared" si="566"/>
        <v>No usa</v>
      </c>
      <c r="AJ1355">
        <v>0</v>
      </c>
      <c r="AK1355" t="str">
        <f t="shared" si="567"/>
        <v>No usa</v>
      </c>
      <c r="AL1355">
        <v>0</v>
      </c>
      <c r="AM1355" t="str">
        <f t="shared" si="568"/>
        <v>No usa</v>
      </c>
      <c r="AN1355">
        <v>1</v>
      </c>
      <c r="AO1355" t="str">
        <f t="shared" si="569"/>
        <v>Usa Transporte</v>
      </c>
      <c r="AP1355">
        <v>0</v>
      </c>
      <c r="AQ1355" t="str">
        <f t="shared" si="570"/>
        <v>No camina</v>
      </c>
      <c r="AR1355">
        <v>1</v>
      </c>
      <c r="AS1355" t="str">
        <f t="shared" si="571"/>
        <v>Es Obeso</v>
      </c>
    </row>
    <row r="1356" spans="1:45" x14ac:dyDescent="0.25">
      <c r="A1356">
        <v>1</v>
      </c>
      <c r="B1356" t="str">
        <f t="shared" si="546"/>
        <v>M</v>
      </c>
      <c r="C1356">
        <v>17073648</v>
      </c>
      <c r="D1356">
        <f t="shared" si="547"/>
        <v>46</v>
      </c>
      <c r="E1356">
        <f t="shared" si="548"/>
        <v>46</v>
      </c>
      <c r="F1356" t="str">
        <f t="shared" si="549"/>
        <v>25-50</v>
      </c>
      <c r="G1356">
        <v>1</v>
      </c>
      <c r="H1356" t="str">
        <f t="shared" si="550"/>
        <v>Pariente gordo</v>
      </c>
      <c r="I1356">
        <v>1</v>
      </c>
      <c r="J1356" t="str">
        <f t="shared" si="551"/>
        <v>Hipercaloricos</v>
      </c>
      <c r="K1356">
        <v>2</v>
      </c>
      <c r="L1356">
        <f t="shared" si="552"/>
        <v>1</v>
      </c>
      <c r="M1356" t="str">
        <f t="shared" si="553"/>
        <v>Suele comer</v>
      </c>
      <c r="N1356">
        <v>3</v>
      </c>
      <c r="O1356">
        <f t="shared" si="554"/>
        <v>2</v>
      </c>
      <c r="P1356" t="str">
        <f t="shared" si="555"/>
        <v>Mas de 3</v>
      </c>
      <c r="Q1356">
        <v>1</v>
      </c>
      <c r="R1356" t="str">
        <f t="shared" si="556"/>
        <v>A veces</v>
      </c>
      <c r="S1356">
        <v>0</v>
      </c>
      <c r="T1356" t="str">
        <f t="shared" si="557"/>
        <v>No fuma</v>
      </c>
      <c r="U1356">
        <v>2</v>
      </c>
      <c r="V1356">
        <f t="shared" si="558"/>
        <v>2</v>
      </c>
      <c r="W1356" t="str">
        <f t="shared" si="559"/>
        <v>Siempre</v>
      </c>
      <c r="X1356">
        <v>0</v>
      </c>
      <c r="Y1356" t="str">
        <f t="shared" si="560"/>
        <v>No controla</v>
      </c>
      <c r="Z1356">
        <v>173209</v>
      </c>
      <c r="AA1356">
        <f t="shared" si="561"/>
        <v>2</v>
      </c>
      <c r="AB1356" t="str">
        <f t="shared" si="562"/>
        <v>Usualmente</v>
      </c>
      <c r="AC1356">
        <v>4.8617E-2</v>
      </c>
      <c r="AD1356">
        <f t="shared" si="563"/>
        <v>0</v>
      </c>
      <c r="AE1356" t="str">
        <f t="shared" si="564"/>
        <v>Nunca</v>
      </c>
      <c r="AF1356">
        <v>0</v>
      </c>
      <c r="AG1356" t="str">
        <f t="shared" si="565"/>
        <v>Nunca</v>
      </c>
      <c r="AH1356">
        <v>0</v>
      </c>
      <c r="AI1356" t="str">
        <f t="shared" si="566"/>
        <v>No usa</v>
      </c>
      <c r="AJ1356">
        <v>0</v>
      </c>
      <c r="AK1356" t="str">
        <f t="shared" si="567"/>
        <v>No usa</v>
      </c>
      <c r="AL1356">
        <v>0</v>
      </c>
      <c r="AM1356" t="str">
        <f t="shared" si="568"/>
        <v>No usa</v>
      </c>
      <c r="AN1356">
        <v>1</v>
      </c>
      <c r="AO1356" t="str">
        <f t="shared" si="569"/>
        <v>Usa Transporte</v>
      </c>
      <c r="AP1356">
        <v>0</v>
      </c>
      <c r="AQ1356" t="str">
        <f t="shared" si="570"/>
        <v>No camina</v>
      </c>
      <c r="AR1356">
        <v>1</v>
      </c>
      <c r="AS1356" t="str">
        <f t="shared" si="571"/>
        <v>Es Obeso</v>
      </c>
    </row>
    <row r="1357" spans="1:45" x14ac:dyDescent="0.25">
      <c r="A1357">
        <v>0</v>
      </c>
      <c r="B1357" t="str">
        <f t="shared" si="546"/>
        <v>F</v>
      </c>
      <c r="C1357">
        <v>38547267</v>
      </c>
      <c r="D1357">
        <f t="shared" si="547"/>
        <v>105</v>
      </c>
      <c r="E1357">
        <f t="shared" si="548"/>
        <v>100</v>
      </c>
      <c r="F1357" t="str">
        <f t="shared" si="549"/>
        <v>75-100</v>
      </c>
      <c r="G1357">
        <v>1</v>
      </c>
      <c r="H1357" t="str">
        <f t="shared" si="550"/>
        <v>Pariente gordo</v>
      </c>
      <c r="I1357">
        <v>1</v>
      </c>
      <c r="J1357" t="str">
        <f t="shared" si="551"/>
        <v>Hipercaloricos</v>
      </c>
      <c r="K1357">
        <v>2</v>
      </c>
      <c r="L1357">
        <f t="shared" si="552"/>
        <v>1</v>
      </c>
      <c r="M1357" t="str">
        <f t="shared" si="553"/>
        <v>Suele comer</v>
      </c>
      <c r="N1357">
        <v>3</v>
      </c>
      <c r="O1357">
        <f t="shared" si="554"/>
        <v>2</v>
      </c>
      <c r="P1357" t="str">
        <f t="shared" si="555"/>
        <v>Mas de 3</v>
      </c>
      <c r="Q1357">
        <v>1</v>
      </c>
      <c r="R1357" t="str">
        <f t="shared" si="556"/>
        <v>A veces</v>
      </c>
      <c r="S1357">
        <v>0</v>
      </c>
      <c r="T1357" t="str">
        <f t="shared" si="557"/>
        <v>No fuma</v>
      </c>
      <c r="U1357">
        <v>1084442</v>
      </c>
      <c r="V1357">
        <f t="shared" si="558"/>
        <v>2</v>
      </c>
      <c r="W1357" t="str">
        <f t="shared" si="559"/>
        <v>Siempre</v>
      </c>
      <c r="X1357">
        <v>0</v>
      </c>
      <c r="Y1357" t="str">
        <f t="shared" si="560"/>
        <v>No controla</v>
      </c>
      <c r="Z1357">
        <v>0</v>
      </c>
      <c r="AA1357">
        <f t="shared" si="561"/>
        <v>0</v>
      </c>
      <c r="AB1357" t="str">
        <f t="shared" si="562"/>
        <v>Nunca</v>
      </c>
      <c r="AC1357">
        <v>0</v>
      </c>
      <c r="AD1357">
        <f t="shared" si="563"/>
        <v>0</v>
      </c>
      <c r="AE1357" t="str">
        <f t="shared" si="564"/>
        <v>Nunca</v>
      </c>
      <c r="AF1357">
        <v>1</v>
      </c>
      <c r="AG1357" t="str">
        <f t="shared" si="565"/>
        <v>A veces</v>
      </c>
      <c r="AH1357">
        <v>1</v>
      </c>
      <c r="AI1357" t="str">
        <f t="shared" si="566"/>
        <v>Usa auto</v>
      </c>
      <c r="AJ1357">
        <v>0</v>
      </c>
      <c r="AK1357" t="str">
        <f t="shared" si="567"/>
        <v>No usa</v>
      </c>
      <c r="AL1357">
        <v>0</v>
      </c>
      <c r="AM1357" t="str">
        <f t="shared" si="568"/>
        <v>No usa</v>
      </c>
      <c r="AN1357">
        <v>0</v>
      </c>
      <c r="AO1357" t="str">
        <f t="shared" si="569"/>
        <v>No usa</v>
      </c>
      <c r="AP1357">
        <v>0</v>
      </c>
      <c r="AQ1357" t="str">
        <f t="shared" si="570"/>
        <v>No camina</v>
      </c>
      <c r="AR1357">
        <v>1</v>
      </c>
      <c r="AS1357" t="str">
        <f t="shared" si="571"/>
        <v>Es Obeso</v>
      </c>
    </row>
    <row r="1358" spans="1:45" x14ac:dyDescent="0.25">
      <c r="A1358">
        <v>0</v>
      </c>
      <c r="B1358" t="str">
        <f t="shared" si="546"/>
        <v>F</v>
      </c>
      <c r="C1358">
        <v>38683794</v>
      </c>
      <c r="D1358">
        <f t="shared" si="547"/>
        <v>105</v>
      </c>
      <c r="E1358">
        <f t="shared" si="548"/>
        <v>100</v>
      </c>
      <c r="F1358" t="str">
        <f t="shared" si="549"/>
        <v>75-100</v>
      </c>
      <c r="G1358">
        <v>1</v>
      </c>
      <c r="H1358" t="str">
        <f t="shared" si="550"/>
        <v>Pariente gordo</v>
      </c>
      <c r="I1358">
        <v>1</v>
      </c>
      <c r="J1358" t="str">
        <f t="shared" si="551"/>
        <v>Hipercaloricos</v>
      </c>
      <c r="K1358">
        <v>2</v>
      </c>
      <c r="L1358">
        <f t="shared" si="552"/>
        <v>1</v>
      </c>
      <c r="M1358" t="str">
        <f t="shared" si="553"/>
        <v>Suele comer</v>
      </c>
      <c r="N1358">
        <v>3</v>
      </c>
      <c r="O1358">
        <f t="shared" si="554"/>
        <v>2</v>
      </c>
      <c r="P1358" t="str">
        <f t="shared" si="555"/>
        <v>Mas de 3</v>
      </c>
      <c r="Q1358">
        <v>1</v>
      </c>
      <c r="R1358" t="str">
        <f t="shared" si="556"/>
        <v>A veces</v>
      </c>
      <c r="S1358">
        <v>0</v>
      </c>
      <c r="T1358" t="str">
        <f t="shared" si="557"/>
        <v>No fuma</v>
      </c>
      <c r="U1358">
        <v>1</v>
      </c>
      <c r="V1358">
        <f t="shared" si="558"/>
        <v>1</v>
      </c>
      <c r="W1358" t="str">
        <f t="shared" si="559"/>
        <v>Usualmente</v>
      </c>
      <c r="X1358">
        <v>0</v>
      </c>
      <c r="Y1358" t="str">
        <f t="shared" si="560"/>
        <v>No controla</v>
      </c>
      <c r="Z1358">
        <v>0</v>
      </c>
      <c r="AA1358">
        <f t="shared" si="561"/>
        <v>0</v>
      </c>
      <c r="AB1358" t="str">
        <f t="shared" si="562"/>
        <v>Nunca</v>
      </c>
      <c r="AC1358">
        <v>0</v>
      </c>
      <c r="AD1358">
        <f t="shared" si="563"/>
        <v>0</v>
      </c>
      <c r="AE1358" t="str">
        <f t="shared" si="564"/>
        <v>Nunca</v>
      </c>
      <c r="AF1358">
        <v>1</v>
      </c>
      <c r="AG1358" t="str">
        <f t="shared" si="565"/>
        <v>A veces</v>
      </c>
      <c r="AH1358">
        <v>1</v>
      </c>
      <c r="AI1358" t="str">
        <f t="shared" si="566"/>
        <v>Usa auto</v>
      </c>
      <c r="AJ1358">
        <v>0</v>
      </c>
      <c r="AK1358" t="str">
        <f t="shared" si="567"/>
        <v>No usa</v>
      </c>
      <c r="AL1358">
        <v>0</v>
      </c>
      <c r="AM1358" t="str">
        <f t="shared" si="568"/>
        <v>No usa</v>
      </c>
      <c r="AN1358">
        <v>0</v>
      </c>
      <c r="AO1358" t="str">
        <f t="shared" si="569"/>
        <v>No usa</v>
      </c>
      <c r="AP1358">
        <v>0</v>
      </c>
      <c r="AQ1358" t="str">
        <f t="shared" si="570"/>
        <v>No camina</v>
      </c>
      <c r="AR1358">
        <v>1</v>
      </c>
      <c r="AS1358" t="str">
        <f t="shared" si="571"/>
        <v>Es Obeso</v>
      </c>
    </row>
    <row r="1359" spans="1:45" x14ac:dyDescent="0.25">
      <c r="A1359">
        <v>1</v>
      </c>
      <c r="B1359" t="str">
        <f t="shared" si="546"/>
        <v>M</v>
      </c>
      <c r="C1359">
        <v>18</v>
      </c>
      <c r="D1359">
        <f t="shared" si="547"/>
        <v>18</v>
      </c>
      <c r="E1359">
        <f t="shared" si="548"/>
        <v>18</v>
      </c>
      <c r="F1359" t="str">
        <f t="shared" si="549"/>
        <v>1-25</v>
      </c>
      <c r="G1359">
        <v>1</v>
      </c>
      <c r="H1359" t="str">
        <f t="shared" si="550"/>
        <v>Pariente gordo</v>
      </c>
      <c r="I1359">
        <v>1</v>
      </c>
      <c r="J1359" t="str">
        <f t="shared" si="551"/>
        <v>Hipercaloricos</v>
      </c>
      <c r="K1359">
        <v>2</v>
      </c>
      <c r="L1359">
        <f t="shared" si="552"/>
        <v>1</v>
      </c>
      <c r="M1359" t="str">
        <f t="shared" si="553"/>
        <v>Suele comer</v>
      </c>
      <c r="N1359">
        <v>2475444</v>
      </c>
      <c r="O1359">
        <f t="shared" si="554"/>
        <v>2</v>
      </c>
      <c r="P1359" t="str">
        <f t="shared" si="555"/>
        <v>Mas de 3</v>
      </c>
      <c r="Q1359">
        <v>1</v>
      </c>
      <c r="R1359" t="str">
        <f t="shared" si="556"/>
        <v>A veces</v>
      </c>
      <c r="S1359">
        <v>0</v>
      </c>
      <c r="T1359" t="str">
        <f t="shared" si="557"/>
        <v>No fuma</v>
      </c>
      <c r="U1359">
        <v>2655795</v>
      </c>
      <c r="V1359">
        <f t="shared" si="558"/>
        <v>2</v>
      </c>
      <c r="W1359" t="str">
        <f t="shared" si="559"/>
        <v>Siempre</v>
      </c>
      <c r="X1359">
        <v>0</v>
      </c>
      <c r="Y1359" t="str">
        <f t="shared" si="560"/>
        <v>No controla</v>
      </c>
      <c r="Z1359">
        <v>1</v>
      </c>
      <c r="AA1359">
        <f t="shared" si="561"/>
        <v>1</v>
      </c>
      <c r="AB1359" t="str">
        <f t="shared" si="562"/>
        <v>A veces</v>
      </c>
      <c r="AC1359">
        <v>0.169879</v>
      </c>
      <c r="AD1359">
        <f t="shared" si="563"/>
        <v>0</v>
      </c>
      <c r="AE1359" t="str">
        <f t="shared" si="564"/>
        <v>Nunca</v>
      </c>
      <c r="AF1359">
        <v>0</v>
      </c>
      <c r="AG1359" t="str">
        <f t="shared" si="565"/>
        <v>Nunca</v>
      </c>
      <c r="AH1359">
        <v>0</v>
      </c>
      <c r="AI1359" t="str">
        <f t="shared" si="566"/>
        <v>No usa</v>
      </c>
      <c r="AJ1359">
        <v>0</v>
      </c>
      <c r="AK1359" t="str">
        <f t="shared" si="567"/>
        <v>No usa</v>
      </c>
      <c r="AL1359">
        <v>0</v>
      </c>
      <c r="AM1359" t="str">
        <f t="shared" si="568"/>
        <v>No usa</v>
      </c>
      <c r="AN1359">
        <v>1</v>
      </c>
      <c r="AO1359" t="str">
        <f t="shared" si="569"/>
        <v>Usa Transporte</v>
      </c>
      <c r="AP1359">
        <v>0</v>
      </c>
      <c r="AQ1359" t="str">
        <f t="shared" si="570"/>
        <v>No camina</v>
      </c>
      <c r="AR1359">
        <v>1</v>
      </c>
      <c r="AS1359" t="str">
        <f t="shared" si="571"/>
        <v>Es Obeso</v>
      </c>
    </row>
    <row r="1360" spans="1:45" x14ac:dyDescent="0.25">
      <c r="A1360">
        <v>1</v>
      </c>
      <c r="B1360" t="str">
        <f t="shared" si="546"/>
        <v>M</v>
      </c>
      <c r="C1360">
        <v>18</v>
      </c>
      <c r="D1360">
        <f t="shared" si="547"/>
        <v>18</v>
      </c>
      <c r="E1360">
        <f t="shared" si="548"/>
        <v>18</v>
      </c>
      <c r="F1360" t="str">
        <f t="shared" si="549"/>
        <v>1-25</v>
      </c>
      <c r="G1360">
        <v>1</v>
      </c>
      <c r="H1360" t="str">
        <f t="shared" si="550"/>
        <v>Pariente gordo</v>
      </c>
      <c r="I1360">
        <v>1</v>
      </c>
      <c r="J1360" t="str">
        <f t="shared" si="551"/>
        <v>Hipercaloricos</v>
      </c>
      <c r="K1360">
        <v>2</v>
      </c>
      <c r="L1360">
        <f t="shared" si="552"/>
        <v>1</v>
      </c>
      <c r="M1360" t="str">
        <f t="shared" si="553"/>
        <v>Suele comer</v>
      </c>
      <c r="N1360">
        <v>2478794</v>
      </c>
      <c r="O1360">
        <f t="shared" si="554"/>
        <v>2</v>
      </c>
      <c r="P1360" t="str">
        <f t="shared" si="555"/>
        <v>Mas de 3</v>
      </c>
      <c r="Q1360">
        <v>1</v>
      </c>
      <c r="R1360" t="str">
        <f t="shared" si="556"/>
        <v>A veces</v>
      </c>
      <c r="S1360">
        <v>0</v>
      </c>
      <c r="T1360" t="str">
        <f t="shared" si="557"/>
        <v>No fuma</v>
      </c>
      <c r="U1360">
        <v>2967064</v>
      </c>
      <c r="V1360">
        <f t="shared" si="558"/>
        <v>2</v>
      </c>
      <c r="W1360" t="str">
        <f t="shared" si="559"/>
        <v>Siempre</v>
      </c>
      <c r="X1360">
        <v>0</v>
      </c>
      <c r="Y1360" t="str">
        <f t="shared" si="560"/>
        <v>No controla</v>
      </c>
      <c r="Z1360">
        <v>1</v>
      </c>
      <c r="AA1360">
        <f t="shared" si="561"/>
        <v>1</v>
      </c>
      <c r="AB1360" t="str">
        <f t="shared" si="562"/>
        <v>A veces</v>
      </c>
      <c r="AC1360">
        <v>0.43459999999999999</v>
      </c>
      <c r="AD1360">
        <f t="shared" si="563"/>
        <v>0</v>
      </c>
      <c r="AE1360" t="str">
        <f t="shared" si="564"/>
        <v>Nunca</v>
      </c>
      <c r="AF1360">
        <v>0</v>
      </c>
      <c r="AG1360" t="str">
        <f t="shared" si="565"/>
        <v>Nunca</v>
      </c>
      <c r="AH1360">
        <v>0</v>
      </c>
      <c r="AI1360" t="str">
        <f t="shared" si="566"/>
        <v>No usa</v>
      </c>
      <c r="AJ1360">
        <v>0</v>
      </c>
      <c r="AK1360" t="str">
        <f t="shared" si="567"/>
        <v>No usa</v>
      </c>
      <c r="AL1360">
        <v>0</v>
      </c>
      <c r="AM1360" t="str">
        <f t="shared" si="568"/>
        <v>No usa</v>
      </c>
      <c r="AN1360">
        <v>1</v>
      </c>
      <c r="AO1360" t="str">
        <f t="shared" si="569"/>
        <v>Usa Transporte</v>
      </c>
      <c r="AP1360">
        <v>0</v>
      </c>
      <c r="AQ1360" t="str">
        <f t="shared" si="570"/>
        <v>No camina</v>
      </c>
      <c r="AR1360">
        <v>1</v>
      </c>
      <c r="AS1360" t="str">
        <f t="shared" si="571"/>
        <v>Es Obeso</v>
      </c>
    </row>
    <row r="1361" spans="1:45" x14ac:dyDescent="0.25">
      <c r="A1361">
        <v>1</v>
      </c>
      <c r="B1361" t="str">
        <f t="shared" si="546"/>
        <v>M</v>
      </c>
      <c r="C1361">
        <v>29622804</v>
      </c>
      <c r="D1361">
        <f t="shared" si="547"/>
        <v>81</v>
      </c>
      <c r="E1361">
        <f t="shared" si="548"/>
        <v>81</v>
      </c>
      <c r="F1361" t="str">
        <f t="shared" si="549"/>
        <v>75-100</v>
      </c>
      <c r="G1361">
        <v>1</v>
      </c>
      <c r="H1361" t="str">
        <f t="shared" si="550"/>
        <v>Pariente gordo</v>
      </c>
      <c r="I1361">
        <v>1</v>
      </c>
      <c r="J1361" t="str">
        <f t="shared" si="551"/>
        <v>Hipercaloricos</v>
      </c>
      <c r="K1361">
        <v>2407817</v>
      </c>
      <c r="L1361">
        <f t="shared" si="552"/>
        <v>1</v>
      </c>
      <c r="M1361" t="str">
        <f t="shared" si="553"/>
        <v>Suele comer</v>
      </c>
      <c r="N1361">
        <v>2070033</v>
      </c>
      <c r="O1361">
        <f t="shared" si="554"/>
        <v>2</v>
      </c>
      <c r="P1361" t="str">
        <f t="shared" si="555"/>
        <v>Mas de 3</v>
      </c>
      <c r="Q1361">
        <v>1</v>
      </c>
      <c r="R1361" t="str">
        <f t="shared" si="556"/>
        <v>A veces</v>
      </c>
      <c r="S1361">
        <v>0</v>
      </c>
      <c r="T1361" t="str">
        <f t="shared" si="557"/>
        <v>No fuma</v>
      </c>
      <c r="U1361">
        <v>1796257</v>
      </c>
      <c r="V1361">
        <f t="shared" si="558"/>
        <v>2</v>
      </c>
      <c r="W1361" t="str">
        <f t="shared" si="559"/>
        <v>Siempre</v>
      </c>
      <c r="X1361">
        <v>0</v>
      </c>
      <c r="Y1361" t="str">
        <f t="shared" si="560"/>
        <v>No controla</v>
      </c>
      <c r="Z1361">
        <v>1234483</v>
      </c>
      <c r="AA1361">
        <f t="shared" si="561"/>
        <v>3</v>
      </c>
      <c r="AB1361" t="str">
        <f t="shared" si="562"/>
        <v>Siempre</v>
      </c>
      <c r="AC1361">
        <v>0.17870800000000001</v>
      </c>
      <c r="AD1361">
        <f t="shared" si="563"/>
        <v>0</v>
      </c>
      <c r="AE1361" t="str">
        <f t="shared" si="564"/>
        <v>Nunca</v>
      </c>
      <c r="AF1361">
        <v>1</v>
      </c>
      <c r="AG1361" t="str">
        <f t="shared" si="565"/>
        <v>A veces</v>
      </c>
      <c r="AH1361">
        <v>1</v>
      </c>
      <c r="AI1361" t="str">
        <f t="shared" si="566"/>
        <v>Usa auto</v>
      </c>
      <c r="AJ1361">
        <v>0</v>
      </c>
      <c r="AK1361" t="str">
        <f t="shared" si="567"/>
        <v>No usa</v>
      </c>
      <c r="AL1361">
        <v>0</v>
      </c>
      <c r="AM1361" t="str">
        <f t="shared" si="568"/>
        <v>No usa</v>
      </c>
      <c r="AN1361">
        <v>0</v>
      </c>
      <c r="AO1361" t="str">
        <f t="shared" si="569"/>
        <v>No usa</v>
      </c>
      <c r="AP1361">
        <v>0</v>
      </c>
      <c r="AQ1361" t="str">
        <f t="shared" si="570"/>
        <v>No camina</v>
      </c>
      <c r="AR1361">
        <v>1</v>
      </c>
      <c r="AS1361" t="str">
        <f t="shared" si="571"/>
        <v>Es Obeso</v>
      </c>
    </row>
    <row r="1362" spans="1:45" x14ac:dyDescent="0.25">
      <c r="A1362">
        <v>1</v>
      </c>
      <c r="B1362" t="str">
        <f t="shared" si="546"/>
        <v>M</v>
      </c>
      <c r="C1362">
        <v>3079626</v>
      </c>
      <c r="D1362">
        <f t="shared" si="547"/>
        <v>8</v>
      </c>
      <c r="E1362">
        <f t="shared" si="548"/>
        <v>8</v>
      </c>
      <c r="F1362" t="str">
        <f t="shared" si="549"/>
        <v>1-25</v>
      </c>
      <c r="G1362">
        <v>1</v>
      </c>
      <c r="H1362" t="str">
        <f t="shared" si="550"/>
        <v>Pariente gordo</v>
      </c>
      <c r="I1362">
        <v>1</v>
      </c>
      <c r="J1362" t="str">
        <f t="shared" si="551"/>
        <v>Hipercaloricos</v>
      </c>
      <c r="K1362">
        <v>221498</v>
      </c>
      <c r="L1362">
        <f t="shared" si="552"/>
        <v>1</v>
      </c>
      <c r="M1362" t="str">
        <f t="shared" si="553"/>
        <v>Suele comer</v>
      </c>
      <c r="N1362">
        <v>2282392</v>
      </c>
      <c r="O1362">
        <f t="shared" si="554"/>
        <v>2</v>
      </c>
      <c r="P1362" t="str">
        <f t="shared" si="555"/>
        <v>Mas de 3</v>
      </c>
      <c r="Q1362">
        <v>1</v>
      </c>
      <c r="R1362" t="str">
        <f t="shared" si="556"/>
        <v>A veces</v>
      </c>
      <c r="S1362">
        <v>0</v>
      </c>
      <c r="T1362" t="str">
        <f t="shared" si="557"/>
        <v>No fuma</v>
      </c>
      <c r="U1362">
        <v>1179942</v>
      </c>
      <c r="V1362">
        <f t="shared" si="558"/>
        <v>2</v>
      </c>
      <c r="W1362" t="str">
        <f t="shared" si="559"/>
        <v>Siempre</v>
      </c>
      <c r="X1362">
        <v>0</v>
      </c>
      <c r="Y1362" t="str">
        <f t="shared" si="560"/>
        <v>No controla</v>
      </c>
      <c r="Z1362">
        <v>1771754</v>
      </c>
      <c r="AA1362">
        <f t="shared" si="561"/>
        <v>3</v>
      </c>
      <c r="AB1362" t="str">
        <f t="shared" si="562"/>
        <v>Siempre</v>
      </c>
      <c r="AC1362">
        <v>0.537659</v>
      </c>
      <c r="AD1362">
        <f t="shared" si="563"/>
        <v>0</v>
      </c>
      <c r="AE1362" t="str">
        <f t="shared" si="564"/>
        <v>Nunca</v>
      </c>
      <c r="AF1362">
        <v>1</v>
      </c>
      <c r="AG1362" t="str">
        <f t="shared" si="565"/>
        <v>A veces</v>
      </c>
      <c r="AH1362">
        <v>1</v>
      </c>
      <c r="AI1362" t="str">
        <f t="shared" si="566"/>
        <v>Usa auto</v>
      </c>
      <c r="AJ1362">
        <v>0</v>
      </c>
      <c r="AK1362" t="str">
        <f t="shared" si="567"/>
        <v>No usa</v>
      </c>
      <c r="AL1362">
        <v>0</v>
      </c>
      <c r="AM1362" t="str">
        <f t="shared" si="568"/>
        <v>No usa</v>
      </c>
      <c r="AN1362">
        <v>0</v>
      </c>
      <c r="AO1362" t="str">
        <f t="shared" si="569"/>
        <v>No usa</v>
      </c>
      <c r="AP1362">
        <v>0</v>
      </c>
      <c r="AQ1362" t="str">
        <f t="shared" si="570"/>
        <v>No camina</v>
      </c>
      <c r="AR1362">
        <v>1</v>
      </c>
      <c r="AS1362" t="str">
        <f t="shared" si="571"/>
        <v>Es Obeso</v>
      </c>
    </row>
    <row r="1363" spans="1:45" x14ac:dyDescent="0.25">
      <c r="A1363">
        <v>0</v>
      </c>
      <c r="B1363" t="str">
        <f t="shared" si="546"/>
        <v>F</v>
      </c>
      <c r="C1363">
        <v>18</v>
      </c>
      <c r="D1363">
        <f t="shared" si="547"/>
        <v>18</v>
      </c>
      <c r="E1363">
        <f t="shared" si="548"/>
        <v>18</v>
      </c>
      <c r="F1363" t="str">
        <f t="shared" si="549"/>
        <v>1-25</v>
      </c>
      <c r="G1363">
        <v>1</v>
      </c>
      <c r="H1363" t="str">
        <f t="shared" si="550"/>
        <v>Pariente gordo</v>
      </c>
      <c r="I1363">
        <v>1</v>
      </c>
      <c r="J1363" t="str">
        <f t="shared" si="551"/>
        <v>Hipercaloricos</v>
      </c>
      <c r="K1363">
        <v>2737149</v>
      </c>
      <c r="L1363">
        <f t="shared" si="552"/>
        <v>1</v>
      </c>
      <c r="M1363" t="str">
        <f t="shared" si="553"/>
        <v>Suele comer</v>
      </c>
      <c r="N1363">
        <v>3</v>
      </c>
      <c r="O1363">
        <f t="shared" si="554"/>
        <v>2</v>
      </c>
      <c r="P1363" t="str">
        <f t="shared" si="555"/>
        <v>Mas de 3</v>
      </c>
      <c r="Q1363">
        <v>1</v>
      </c>
      <c r="R1363" t="str">
        <f t="shared" si="556"/>
        <v>A veces</v>
      </c>
      <c r="S1363">
        <v>0</v>
      </c>
      <c r="T1363" t="str">
        <f t="shared" si="557"/>
        <v>No fuma</v>
      </c>
      <c r="U1363">
        <v>1997195</v>
      </c>
      <c r="V1363">
        <f t="shared" si="558"/>
        <v>2</v>
      </c>
      <c r="W1363" t="str">
        <f t="shared" si="559"/>
        <v>Siempre</v>
      </c>
      <c r="X1363">
        <v>0</v>
      </c>
      <c r="Y1363" t="str">
        <f t="shared" si="560"/>
        <v>No controla</v>
      </c>
      <c r="Z1363">
        <v>1352663</v>
      </c>
      <c r="AA1363">
        <f t="shared" si="561"/>
        <v>3</v>
      </c>
      <c r="AB1363" t="str">
        <f t="shared" si="562"/>
        <v>Siempre</v>
      </c>
      <c r="AC1363">
        <v>0.46848299999999998</v>
      </c>
      <c r="AD1363">
        <f t="shared" si="563"/>
        <v>0</v>
      </c>
      <c r="AE1363" t="str">
        <f t="shared" si="564"/>
        <v>Nunca</v>
      </c>
      <c r="AF1363">
        <v>1</v>
      </c>
      <c r="AG1363" t="str">
        <f t="shared" si="565"/>
        <v>A veces</v>
      </c>
      <c r="AH1363">
        <v>0</v>
      </c>
      <c r="AI1363" t="str">
        <f t="shared" si="566"/>
        <v>No usa</v>
      </c>
      <c r="AJ1363">
        <v>0</v>
      </c>
      <c r="AK1363" t="str">
        <f t="shared" si="567"/>
        <v>No usa</v>
      </c>
      <c r="AL1363">
        <v>0</v>
      </c>
      <c r="AM1363" t="str">
        <f t="shared" si="568"/>
        <v>No usa</v>
      </c>
      <c r="AN1363">
        <v>1</v>
      </c>
      <c r="AO1363" t="str">
        <f t="shared" si="569"/>
        <v>Usa Transporte</v>
      </c>
      <c r="AP1363">
        <v>0</v>
      </c>
      <c r="AQ1363" t="str">
        <f t="shared" si="570"/>
        <v>No camina</v>
      </c>
      <c r="AR1363">
        <v>1</v>
      </c>
      <c r="AS1363" t="str">
        <f t="shared" si="571"/>
        <v>Es Obeso</v>
      </c>
    </row>
    <row r="1364" spans="1:45" x14ac:dyDescent="0.25">
      <c r="A1364">
        <v>0</v>
      </c>
      <c r="B1364" t="str">
        <f t="shared" si="546"/>
        <v>F</v>
      </c>
      <c r="C1364">
        <v>18107092</v>
      </c>
      <c r="D1364">
        <f t="shared" si="547"/>
        <v>49</v>
      </c>
      <c r="E1364">
        <f t="shared" si="548"/>
        <v>49</v>
      </c>
      <c r="F1364" t="str">
        <f t="shared" si="549"/>
        <v>25-50</v>
      </c>
      <c r="G1364">
        <v>1</v>
      </c>
      <c r="H1364" t="str">
        <f t="shared" si="550"/>
        <v>Pariente gordo</v>
      </c>
      <c r="I1364">
        <v>1</v>
      </c>
      <c r="J1364" t="str">
        <f t="shared" si="551"/>
        <v>Hipercaloricos</v>
      </c>
      <c r="K1364">
        <v>1899793</v>
      </c>
      <c r="L1364">
        <f t="shared" si="552"/>
        <v>1</v>
      </c>
      <c r="M1364" t="str">
        <f t="shared" si="553"/>
        <v>Suele comer</v>
      </c>
      <c r="N1364">
        <v>3</v>
      </c>
      <c r="O1364">
        <f t="shared" si="554"/>
        <v>2</v>
      </c>
      <c r="P1364" t="str">
        <f t="shared" si="555"/>
        <v>Mas de 3</v>
      </c>
      <c r="Q1364">
        <v>1</v>
      </c>
      <c r="R1364" t="str">
        <f t="shared" si="556"/>
        <v>A veces</v>
      </c>
      <c r="S1364">
        <v>0</v>
      </c>
      <c r="T1364" t="str">
        <f t="shared" si="557"/>
        <v>No fuma</v>
      </c>
      <c r="U1364">
        <v>1439962</v>
      </c>
      <c r="V1364">
        <f t="shared" si="558"/>
        <v>2</v>
      </c>
      <c r="W1364" t="str">
        <f t="shared" si="559"/>
        <v>Siempre</v>
      </c>
      <c r="X1364">
        <v>0</v>
      </c>
      <c r="Y1364" t="str">
        <f t="shared" si="560"/>
        <v>No controla</v>
      </c>
      <c r="Z1364">
        <v>0.95289999999999997</v>
      </c>
      <c r="AA1364">
        <f t="shared" si="561"/>
        <v>0</v>
      </c>
      <c r="AB1364" t="str">
        <f t="shared" si="562"/>
        <v>Nunca</v>
      </c>
      <c r="AC1364">
        <v>0.83884700000000001</v>
      </c>
      <c r="AD1364">
        <f t="shared" si="563"/>
        <v>0</v>
      </c>
      <c r="AE1364" t="str">
        <f t="shared" si="564"/>
        <v>Nunca</v>
      </c>
      <c r="AF1364">
        <v>1</v>
      </c>
      <c r="AG1364" t="str">
        <f t="shared" si="565"/>
        <v>A veces</v>
      </c>
      <c r="AH1364">
        <v>0</v>
      </c>
      <c r="AI1364" t="str">
        <f t="shared" si="566"/>
        <v>No usa</v>
      </c>
      <c r="AJ1364">
        <v>0</v>
      </c>
      <c r="AK1364" t="str">
        <f t="shared" si="567"/>
        <v>No usa</v>
      </c>
      <c r="AL1364">
        <v>0</v>
      </c>
      <c r="AM1364" t="str">
        <f t="shared" si="568"/>
        <v>No usa</v>
      </c>
      <c r="AN1364">
        <v>1</v>
      </c>
      <c r="AO1364" t="str">
        <f t="shared" si="569"/>
        <v>Usa Transporte</v>
      </c>
      <c r="AP1364">
        <v>0</v>
      </c>
      <c r="AQ1364" t="str">
        <f t="shared" si="570"/>
        <v>No camina</v>
      </c>
      <c r="AR1364">
        <v>1</v>
      </c>
      <c r="AS1364" t="str">
        <f t="shared" si="571"/>
        <v>Es Obeso</v>
      </c>
    </row>
    <row r="1365" spans="1:45" x14ac:dyDescent="0.25">
      <c r="A1365">
        <v>1</v>
      </c>
      <c r="B1365" t="str">
        <f t="shared" si="546"/>
        <v>M</v>
      </c>
      <c r="C1365">
        <v>31335093</v>
      </c>
      <c r="D1365">
        <f t="shared" si="547"/>
        <v>85</v>
      </c>
      <c r="E1365">
        <f t="shared" si="548"/>
        <v>85</v>
      </c>
      <c r="F1365" t="str">
        <f t="shared" si="549"/>
        <v>75-100</v>
      </c>
      <c r="G1365">
        <v>1</v>
      </c>
      <c r="H1365" t="str">
        <f t="shared" si="550"/>
        <v>Pariente gordo</v>
      </c>
      <c r="I1365">
        <v>1</v>
      </c>
      <c r="J1365" t="str">
        <f t="shared" si="551"/>
        <v>Hipercaloricos</v>
      </c>
      <c r="K1365">
        <v>2274164</v>
      </c>
      <c r="L1365">
        <f t="shared" si="552"/>
        <v>1</v>
      </c>
      <c r="M1365" t="str">
        <f t="shared" si="553"/>
        <v>Suele comer</v>
      </c>
      <c r="N1365">
        <v>1049534</v>
      </c>
      <c r="O1365">
        <f t="shared" si="554"/>
        <v>2</v>
      </c>
      <c r="P1365" t="str">
        <f t="shared" si="555"/>
        <v>Mas de 3</v>
      </c>
      <c r="Q1365">
        <v>1</v>
      </c>
      <c r="R1365" t="str">
        <f t="shared" si="556"/>
        <v>A veces</v>
      </c>
      <c r="S1365">
        <v>0</v>
      </c>
      <c r="T1365" t="str">
        <f t="shared" si="557"/>
        <v>No fuma</v>
      </c>
      <c r="U1365">
        <v>1358172</v>
      </c>
      <c r="V1365">
        <f t="shared" si="558"/>
        <v>2</v>
      </c>
      <c r="W1365" t="str">
        <f t="shared" si="559"/>
        <v>Siempre</v>
      </c>
      <c r="X1365">
        <v>0</v>
      </c>
      <c r="Y1365" t="str">
        <f t="shared" si="560"/>
        <v>No controla</v>
      </c>
      <c r="Z1365">
        <v>1482411</v>
      </c>
      <c r="AA1365">
        <f t="shared" si="561"/>
        <v>3</v>
      </c>
      <c r="AB1365" t="str">
        <f t="shared" si="562"/>
        <v>Siempre</v>
      </c>
      <c r="AC1365">
        <v>0</v>
      </c>
      <c r="AD1365">
        <f t="shared" si="563"/>
        <v>0</v>
      </c>
      <c r="AE1365" t="str">
        <f t="shared" si="564"/>
        <v>Nunca</v>
      </c>
      <c r="AF1365">
        <v>1</v>
      </c>
      <c r="AG1365" t="str">
        <f t="shared" si="565"/>
        <v>A veces</v>
      </c>
      <c r="AH1365">
        <v>1</v>
      </c>
      <c r="AI1365" t="str">
        <f t="shared" si="566"/>
        <v>Usa auto</v>
      </c>
      <c r="AJ1365">
        <v>0</v>
      </c>
      <c r="AK1365" t="str">
        <f t="shared" si="567"/>
        <v>No usa</v>
      </c>
      <c r="AL1365">
        <v>0</v>
      </c>
      <c r="AM1365" t="str">
        <f t="shared" si="568"/>
        <v>No usa</v>
      </c>
      <c r="AN1365">
        <v>0</v>
      </c>
      <c r="AO1365" t="str">
        <f t="shared" si="569"/>
        <v>No usa</v>
      </c>
      <c r="AP1365">
        <v>0</v>
      </c>
      <c r="AQ1365" t="str">
        <f t="shared" si="570"/>
        <v>No camina</v>
      </c>
      <c r="AR1365">
        <v>1</v>
      </c>
      <c r="AS1365" t="str">
        <f t="shared" si="571"/>
        <v>Es Obeso</v>
      </c>
    </row>
    <row r="1366" spans="1:45" x14ac:dyDescent="0.25">
      <c r="A1366">
        <v>1</v>
      </c>
      <c r="B1366" t="str">
        <f t="shared" si="546"/>
        <v>M</v>
      </c>
      <c r="C1366">
        <v>29</v>
      </c>
      <c r="D1366">
        <f t="shared" si="547"/>
        <v>29</v>
      </c>
      <c r="E1366">
        <f t="shared" si="548"/>
        <v>29</v>
      </c>
      <c r="F1366" t="str">
        <f t="shared" si="549"/>
        <v>25-50</v>
      </c>
      <c r="G1366">
        <v>1</v>
      </c>
      <c r="H1366" t="str">
        <f t="shared" si="550"/>
        <v>Pariente gordo</v>
      </c>
      <c r="I1366">
        <v>1</v>
      </c>
      <c r="J1366" t="str">
        <f t="shared" si="551"/>
        <v>Hipercaloricos</v>
      </c>
      <c r="K1366">
        <v>1897796</v>
      </c>
      <c r="L1366">
        <f t="shared" si="552"/>
        <v>1</v>
      </c>
      <c r="M1366" t="str">
        <f t="shared" si="553"/>
        <v>Suele comer</v>
      </c>
      <c r="N1366">
        <v>3</v>
      </c>
      <c r="O1366">
        <f t="shared" si="554"/>
        <v>2</v>
      </c>
      <c r="P1366" t="str">
        <f t="shared" si="555"/>
        <v>Mas de 3</v>
      </c>
      <c r="Q1366">
        <v>1</v>
      </c>
      <c r="R1366" t="str">
        <f t="shared" si="556"/>
        <v>A veces</v>
      </c>
      <c r="S1366">
        <v>0</v>
      </c>
      <c r="T1366" t="str">
        <f t="shared" si="557"/>
        <v>No fuma</v>
      </c>
      <c r="U1366">
        <v>1193039</v>
      </c>
      <c r="V1366">
        <f t="shared" si="558"/>
        <v>2</v>
      </c>
      <c r="W1366" t="str">
        <f t="shared" si="559"/>
        <v>Siempre</v>
      </c>
      <c r="X1366">
        <v>0</v>
      </c>
      <c r="Y1366" t="str">
        <f t="shared" si="560"/>
        <v>No controla</v>
      </c>
      <c r="Z1366">
        <v>1.1519E-2</v>
      </c>
      <c r="AA1366">
        <f t="shared" si="561"/>
        <v>0</v>
      </c>
      <c r="AB1366" t="str">
        <f t="shared" si="562"/>
        <v>Nunca</v>
      </c>
      <c r="AC1366">
        <v>0</v>
      </c>
      <c r="AD1366">
        <f t="shared" si="563"/>
        <v>0</v>
      </c>
      <c r="AE1366" t="str">
        <f t="shared" si="564"/>
        <v>Nunca</v>
      </c>
      <c r="AF1366">
        <v>1</v>
      </c>
      <c r="AG1366" t="str">
        <f t="shared" si="565"/>
        <v>A veces</v>
      </c>
      <c r="AH1366">
        <v>1</v>
      </c>
      <c r="AI1366" t="str">
        <f t="shared" si="566"/>
        <v>Usa auto</v>
      </c>
      <c r="AJ1366">
        <v>0</v>
      </c>
      <c r="AK1366" t="str">
        <f t="shared" si="567"/>
        <v>No usa</v>
      </c>
      <c r="AL1366">
        <v>0</v>
      </c>
      <c r="AM1366" t="str">
        <f t="shared" si="568"/>
        <v>No usa</v>
      </c>
      <c r="AN1366">
        <v>0</v>
      </c>
      <c r="AO1366" t="str">
        <f t="shared" si="569"/>
        <v>No usa</v>
      </c>
      <c r="AP1366">
        <v>0</v>
      </c>
      <c r="AQ1366" t="str">
        <f t="shared" si="570"/>
        <v>No camina</v>
      </c>
      <c r="AR1366">
        <v>1</v>
      </c>
      <c r="AS1366" t="str">
        <f t="shared" si="571"/>
        <v>Es Obeso</v>
      </c>
    </row>
    <row r="1367" spans="1:45" x14ac:dyDescent="0.25">
      <c r="A1367">
        <v>0</v>
      </c>
      <c r="B1367" t="str">
        <f t="shared" si="546"/>
        <v>F</v>
      </c>
      <c r="C1367">
        <v>18011903</v>
      </c>
      <c r="D1367">
        <f t="shared" si="547"/>
        <v>49</v>
      </c>
      <c r="E1367">
        <f t="shared" si="548"/>
        <v>49</v>
      </c>
      <c r="F1367" t="str">
        <f t="shared" si="549"/>
        <v>25-50</v>
      </c>
      <c r="G1367">
        <v>1</v>
      </c>
      <c r="H1367" t="str">
        <f t="shared" si="550"/>
        <v>Pariente gordo</v>
      </c>
      <c r="I1367">
        <v>1</v>
      </c>
      <c r="J1367" t="str">
        <f t="shared" si="551"/>
        <v>Hipercaloricos</v>
      </c>
      <c r="K1367">
        <v>285916</v>
      </c>
      <c r="L1367">
        <f t="shared" si="552"/>
        <v>1</v>
      </c>
      <c r="M1367" t="str">
        <f t="shared" si="553"/>
        <v>Suele comer</v>
      </c>
      <c r="N1367">
        <v>3</v>
      </c>
      <c r="O1367">
        <f t="shared" si="554"/>
        <v>2</v>
      </c>
      <c r="P1367" t="str">
        <f t="shared" si="555"/>
        <v>Mas de 3</v>
      </c>
      <c r="Q1367">
        <v>1</v>
      </c>
      <c r="R1367" t="str">
        <f t="shared" si="556"/>
        <v>A veces</v>
      </c>
      <c r="S1367">
        <v>0</v>
      </c>
      <c r="T1367" t="str">
        <f t="shared" si="557"/>
        <v>No fuma</v>
      </c>
      <c r="U1367">
        <v>1</v>
      </c>
      <c r="V1367">
        <f t="shared" si="558"/>
        <v>1</v>
      </c>
      <c r="W1367" t="str">
        <f t="shared" si="559"/>
        <v>Usualmente</v>
      </c>
      <c r="X1367">
        <v>0</v>
      </c>
      <c r="Y1367" t="str">
        <f t="shared" si="560"/>
        <v>No controla</v>
      </c>
      <c r="Z1367">
        <v>1020525</v>
      </c>
      <c r="AA1367">
        <f t="shared" si="561"/>
        <v>3</v>
      </c>
      <c r="AB1367" t="str">
        <f t="shared" si="562"/>
        <v>Siempre</v>
      </c>
      <c r="AC1367">
        <v>0.78606600000000004</v>
      </c>
      <c r="AD1367">
        <f t="shared" si="563"/>
        <v>0</v>
      </c>
      <c r="AE1367" t="str">
        <f t="shared" si="564"/>
        <v>Nunca</v>
      </c>
      <c r="AF1367">
        <v>0</v>
      </c>
      <c r="AG1367" t="str">
        <f t="shared" si="565"/>
        <v>Nunca</v>
      </c>
      <c r="AH1367">
        <v>0</v>
      </c>
      <c r="AI1367" t="str">
        <f t="shared" si="566"/>
        <v>No usa</v>
      </c>
      <c r="AJ1367">
        <v>0</v>
      </c>
      <c r="AK1367" t="str">
        <f t="shared" si="567"/>
        <v>No usa</v>
      </c>
      <c r="AL1367">
        <v>0</v>
      </c>
      <c r="AM1367" t="str">
        <f t="shared" si="568"/>
        <v>No usa</v>
      </c>
      <c r="AN1367">
        <v>1</v>
      </c>
      <c r="AO1367" t="str">
        <f t="shared" si="569"/>
        <v>Usa Transporte</v>
      </c>
      <c r="AP1367">
        <v>0</v>
      </c>
      <c r="AQ1367" t="str">
        <f t="shared" si="570"/>
        <v>No camina</v>
      </c>
      <c r="AR1367">
        <v>1</v>
      </c>
      <c r="AS1367" t="str">
        <f t="shared" si="571"/>
        <v>Es Obeso</v>
      </c>
    </row>
    <row r="1368" spans="1:45" x14ac:dyDescent="0.25">
      <c r="A1368">
        <v>0</v>
      </c>
      <c r="B1368" t="str">
        <f t="shared" si="546"/>
        <v>F</v>
      </c>
      <c r="C1368">
        <v>18</v>
      </c>
      <c r="D1368">
        <f t="shared" si="547"/>
        <v>18</v>
      </c>
      <c r="E1368">
        <f t="shared" si="548"/>
        <v>18</v>
      </c>
      <c r="F1368" t="str">
        <f t="shared" si="549"/>
        <v>1-25</v>
      </c>
      <c r="G1368">
        <v>1</v>
      </c>
      <c r="H1368" t="str">
        <f t="shared" si="550"/>
        <v>Pariente gordo</v>
      </c>
      <c r="I1368">
        <v>1</v>
      </c>
      <c r="J1368" t="str">
        <f t="shared" si="551"/>
        <v>Hipercaloricos</v>
      </c>
      <c r="K1368">
        <v>2</v>
      </c>
      <c r="L1368">
        <f t="shared" si="552"/>
        <v>1</v>
      </c>
      <c r="M1368" t="str">
        <f t="shared" si="553"/>
        <v>Suele comer</v>
      </c>
      <c r="N1368">
        <v>3</v>
      </c>
      <c r="O1368">
        <f t="shared" si="554"/>
        <v>2</v>
      </c>
      <c r="P1368" t="str">
        <f t="shared" si="555"/>
        <v>Mas de 3</v>
      </c>
      <c r="Q1368">
        <v>1</v>
      </c>
      <c r="R1368" t="str">
        <f t="shared" si="556"/>
        <v>A veces</v>
      </c>
      <c r="S1368">
        <v>0</v>
      </c>
      <c r="T1368" t="str">
        <f t="shared" si="557"/>
        <v>No fuma</v>
      </c>
      <c r="U1368">
        <v>1039313</v>
      </c>
      <c r="V1368">
        <f t="shared" si="558"/>
        <v>2</v>
      </c>
      <c r="W1368" t="str">
        <f t="shared" si="559"/>
        <v>Siempre</v>
      </c>
      <c r="X1368">
        <v>0</v>
      </c>
      <c r="Y1368" t="str">
        <f t="shared" si="560"/>
        <v>No controla</v>
      </c>
      <c r="Z1368">
        <v>1</v>
      </c>
      <c r="AA1368">
        <f t="shared" si="561"/>
        <v>1</v>
      </c>
      <c r="AB1368" t="str">
        <f t="shared" si="562"/>
        <v>A veces</v>
      </c>
      <c r="AC1368">
        <v>0</v>
      </c>
      <c r="AD1368">
        <f t="shared" si="563"/>
        <v>0</v>
      </c>
      <c r="AE1368" t="str">
        <f t="shared" si="564"/>
        <v>Nunca</v>
      </c>
      <c r="AF1368">
        <v>0</v>
      </c>
      <c r="AG1368" t="str">
        <f t="shared" si="565"/>
        <v>Nunca</v>
      </c>
      <c r="AH1368">
        <v>0</v>
      </c>
      <c r="AI1368" t="str">
        <f t="shared" si="566"/>
        <v>No usa</v>
      </c>
      <c r="AJ1368">
        <v>0</v>
      </c>
      <c r="AK1368" t="str">
        <f t="shared" si="567"/>
        <v>No usa</v>
      </c>
      <c r="AL1368">
        <v>0</v>
      </c>
      <c r="AM1368" t="str">
        <f t="shared" si="568"/>
        <v>No usa</v>
      </c>
      <c r="AN1368">
        <v>1</v>
      </c>
      <c r="AO1368" t="str">
        <f t="shared" si="569"/>
        <v>Usa Transporte</v>
      </c>
      <c r="AP1368">
        <v>0</v>
      </c>
      <c r="AQ1368" t="str">
        <f t="shared" si="570"/>
        <v>No camina</v>
      </c>
      <c r="AR1368">
        <v>1</v>
      </c>
      <c r="AS1368" t="str">
        <f t="shared" si="571"/>
        <v>Es Obeso</v>
      </c>
    </row>
    <row r="1369" spans="1:45" x14ac:dyDescent="0.25">
      <c r="A1369">
        <v>1</v>
      </c>
      <c r="B1369" t="str">
        <f t="shared" si="546"/>
        <v>M</v>
      </c>
      <c r="C1369">
        <v>21077356</v>
      </c>
      <c r="D1369">
        <f t="shared" si="547"/>
        <v>57</v>
      </c>
      <c r="E1369">
        <f t="shared" si="548"/>
        <v>57</v>
      </c>
      <c r="F1369" t="str">
        <f t="shared" si="549"/>
        <v>50-75</v>
      </c>
      <c r="G1369">
        <v>1</v>
      </c>
      <c r="H1369" t="str">
        <f t="shared" si="550"/>
        <v>Pariente gordo</v>
      </c>
      <c r="I1369">
        <v>1</v>
      </c>
      <c r="J1369" t="str">
        <f t="shared" si="551"/>
        <v>Hipercaloricos</v>
      </c>
      <c r="K1369">
        <v>2</v>
      </c>
      <c r="L1369">
        <f t="shared" si="552"/>
        <v>1</v>
      </c>
      <c r="M1369" t="str">
        <f t="shared" si="553"/>
        <v>Suele comer</v>
      </c>
      <c r="N1369">
        <v>166338</v>
      </c>
      <c r="O1369">
        <f t="shared" si="554"/>
        <v>2</v>
      </c>
      <c r="P1369" t="str">
        <f t="shared" si="555"/>
        <v>Mas de 3</v>
      </c>
      <c r="Q1369">
        <v>1</v>
      </c>
      <c r="R1369" t="str">
        <f t="shared" si="556"/>
        <v>A veces</v>
      </c>
      <c r="S1369">
        <v>0</v>
      </c>
      <c r="T1369" t="str">
        <f t="shared" si="557"/>
        <v>No fuma</v>
      </c>
      <c r="U1369">
        <v>2</v>
      </c>
      <c r="V1369">
        <f t="shared" si="558"/>
        <v>2</v>
      </c>
      <c r="W1369" t="str">
        <f t="shared" si="559"/>
        <v>Siempre</v>
      </c>
      <c r="X1369">
        <v>0</v>
      </c>
      <c r="Y1369" t="str">
        <f t="shared" si="560"/>
        <v>No controla</v>
      </c>
      <c r="Z1369">
        <v>0</v>
      </c>
      <c r="AA1369">
        <f t="shared" si="561"/>
        <v>0</v>
      </c>
      <c r="AB1369" t="str">
        <f t="shared" si="562"/>
        <v>Nunca</v>
      </c>
      <c r="AC1369">
        <v>1865851</v>
      </c>
      <c r="AD1369">
        <f t="shared" si="563"/>
        <v>2</v>
      </c>
      <c r="AE1369" t="str">
        <f t="shared" si="564"/>
        <v>Siempre</v>
      </c>
      <c r="AF1369">
        <v>0</v>
      </c>
      <c r="AG1369" t="str">
        <f t="shared" si="565"/>
        <v>Nunca</v>
      </c>
      <c r="AH1369">
        <v>0</v>
      </c>
      <c r="AI1369" t="str">
        <f t="shared" si="566"/>
        <v>No usa</v>
      </c>
      <c r="AJ1369">
        <v>0</v>
      </c>
      <c r="AK1369" t="str">
        <f t="shared" si="567"/>
        <v>No usa</v>
      </c>
      <c r="AL1369">
        <v>0</v>
      </c>
      <c r="AM1369" t="str">
        <f t="shared" si="568"/>
        <v>No usa</v>
      </c>
      <c r="AN1369">
        <v>1</v>
      </c>
      <c r="AO1369" t="str">
        <f t="shared" si="569"/>
        <v>Usa Transporte</v>
      </c>
      <c r="AP1369">
        <v>0</v>
      </c>
      <c r="AQ1369" t="str">
        <f t="shared" si="570"/>
        <v>No camina</v>
      </c>
      <c r="AR1369">
        <v>1</v>
      </c>
      <c r="AS1369" t="str">
        <f t="shared" si="571"/>
        <v>Es Obeso</v>
      </c>
    </row>
    <row r="1370" spans="1:45" x14ac:dyDescent="0.25">
      <c r="A1370">
        <v>1</v>
      </c>
      <c r="B1370" t="str">
        <f t="shared" si="546"/>
        <v>M</v>
      </c>
      <c r="C1370">
        <v>21052016</v>
      </c>
      <c r="D1370">
        <f t="shared" si="547"/>
        <v>57</v>
      </c>
      <c r="E1370">
        <f t="shared" si="548"/>
        <v>57</v>
      </c>
      <c r="F1370" t="str">
        <f t="shared" si="549"/>
        <v>50-75</v>
      </c>
      <c r="G1370">
        <v>1</v>
      </c>
      <c r="H1370" t="str">
        <f t="shared" si="550"/>
        <v>Pariente gordo</v>
      </c>
      <c r="I1370">
        <v>1</v>
      </c>
      <c r="J1370" t="str">
        <f t="shared" si="551"/>
        <v>Hipercaloricos</v>
      </c>
      <c r="K1370">
        <v>2</v>
      </c>
      <c r="L1370">
        <f t="shared" si="552"/>
        <v>1</v>
      </c>
      <c r="M1370" t="str">
        <f t="shared" si="553"/>
        <v>Suele comer</v>
      </c>
      <c r="N1370">
        <v>1672751</v>
      </c>
      <c r="O1370">
        <f t="shared" si="554"/>
        <v>2</v>
      </c>
      <c r="P1370" t="str">
        <f t="shared" si="555"/>
        <v>Mas de 3</v>
      </c>
      <c r="Q1370">
        <v>1</v>
      </c>
      <c r="R1370" t="str">
        <f t="shared" si="556"/>
        <v>A veces</v>
      </c>
      <c r="S1370">
        <v>0</v>
      </c>
      <c r="T1370" t="str">
        <f t="shared" si="557"/>
        <v>No fuma</v>
      </c>
      <c r="U1370">
        <v>2</v>
      </c>
      <c r="V1370">
        <f t="shared" si="558"/>
        <v>2</v>
      </c>
      <c r="W1370" t="str">
        <f t="shared" si="559"/>
        <v>Siempre</v>
      </c>
      <c r="X1370">
        <v>0</v>
      </c>
      <c r="Y1370" t="str">
        <f t="shared" si="560"/>
        <v>No controla</v>
      </c>
      <c r="Z1370">
        <v>0</v>
      </c>
      <c r="AA1370">
        <f t="shared" si="561"/>
        <v>0</v>
      </c>
      <c r="AB1370" t="str">
        <f t="shared" si="562"/>
        <v>Nunca</v>
      </c>
      <c r="AC1370">
        <v>1946173</v>
      </c>
      <c r="AD1370">
        <f t="shared" si="563"/>
        <v>2</v>
      </c>
      <c r="AE1370" t="str">
        <f t="shared" si="564"/>
        <v>Siempre</v>
      </c>
      <c r="AF1370">
        <v>0</v>
      </c>
      <c r="AG1370" t="str">
        <f t="shared" si="565"/>
        <v>Nunca</v>
      </c>
      <c r="AH1370">
        <v>0</v>
      </c>
      <c r="AI1370" t="str">
        <f t="shared" si="566"/>
        <v>No usa</v>
      </c>
      <c r="AJ1370">
        <v>0</v>
      </c>
      <c r="AK1370" t="str">
        <f t="shared" si="567"/>
        <v>No usa</v>
      </c>
      <c r="AL1370">
        <v>0</v>
      </c>
      <c r="AM1370" t="str">
        <f t="shared" si="568"/>
        <v>No usa</v>
      </c>
      <c r="AN1370">
        <v>1</v>
      </c>
      <c r="AO1370" t="str">
        <f t="shared" si="569"/>
        <v>Usa Transporte</v>
      </c>
      <c r="AP1370">
        <v>0</v>
      </c>
      <c r="AQ1370" t="str">
        <f t="shared" si="570"/>
        <v>No camina</v>
      </c>
      <c r="AR1370">
        <v>1</v>
      </c>
      <c r="AS1370" t="str">
        <f t="shared" si="571"/>
        <v>Es Obeso</v>
      </c>
    </row>
    <row r="1371" spans="1:45" x14ac:dyDescent="0.25">
      <c r="A1371">
        <v>0</v>
      </c>
      <c r="B1371" t="str">
        <f t="shared" si="546"/>
        <v>F</v>
      </c>
      <c r="C1371">
        <v>18078256</v>
      </c>
      <c r="D1371">
        <f t="shared" si="547"/>
        <v>49</v>
      </c>
      <c r="E1371">
        <f t="shared" si="548"/>
        <v>49</v>
      </c>
      <c r="F1371" t="str">
        <f t="shared" si="549"/>
        <v>25-50</v>
      </c>
      <c r="G1371">
        <v>1</v>
      </c>
      <c r="H1371" t="str">
        <f t="shared" si="550"/>
        <v>Pariente gordo</v>
      </c>
      <c r="I1371">
        <v>1</v>
      </c>
      <c r="J1371" t="str">
        <f t="shared" si="551"/>
        <v>Hipercaloricos</v>
      </c>
      <c r="K1371">
        <v>2340405</v>
      </c>
      <c r="L1371">
        <f t="shared" si="552"/>
        <v>1</v>
      </c>
      <c r="M1371" t="str">
        <f t="shared" si="553"/>
        <v>Suele comer</v>
      </c>
      <c r="N1371">
        <v>3</v>
      </c>
      <c r="O1371">
        <f t="shared" si="554"/>
        <v>2</v>
      </c>
      <c r="P1371" t="str">
        <f t="shared" si="555"/>
        <v>Mas de 3</v>
      </c>
      <c r="Q1371">
        <v>1</v>
      </c>
      <c r="R1371" t="str">
        <f t="shared" si="556"/>
        <v>A veces</v>
      </c>
      <c r="S1371">
        <v>0</v>
      </c>
      <c r="T1371" t="str">
        <f t="shared" si="557"/>
        <v>No fuma</v>
      </c>
      <c r="U1371">
        <v>1655245</v>
      </c>
      <c r="V1371">
        <f t="shared" si="558"/>
        <v>2</v>
      </c>
      <c r="W1371" t="str">
        <f t="shared" si="559"/>
        <v>Siempre</v>
      </c>
      <c r="X1371">
        <v>0</v>
      </c>
      <c r="Y1371" t="str">
        <f t="shared" si="560"/>
        <v>No controla</v>
      </c>
      <c r="Z1371">
        <v>1006884</v>
      </c>
      <c r="AA1371">
        <f t="shared" si="561"/>
        <v>3</v>
      </c>
      <c r="AB1371" t="str">
        <f t="shared" si="562"/>
        <v>Siempre</v>
      </c>
      <c r="AC1371">
        <v>0.548539</v>
      </c>
      <c r="AD1371">
        <f t="shared" si="563"/>
        <v>0</v>
      </c>
      <c r="AE1371" t="str">
        <f t="shared" si="564"/>
        <v>Nunca</v>
      </c>
      <c r="AF1371">
        <v>0</v>
      </c>
      <c r="AG1371" t="str">
        <f t="shared" si="565"/>
        <v>Nunca</v>
      </c>
      <c r="AH1371">
        <v>0</v>
      </c>
      <c r="AI1371" t="str">
        <f t="shared" si="566"/>
        <v>No usa</v>
      </c>
      <c r="AJ1371">
        <v>0</v>
      </c>
      <c r="AK1371" t="str">
        <f t="shared" si="567"/>
        <v>No usa</v>
      </c>
      <c r="AL1371">
        <v>0</v>
      </c>
      <c r="AM1371" t="str">
        <f t="shared" si="568"/>
        <v>No usa</v>
      </c>
      <c r="AN1371">
        <v>1</v>
      </c>
      <c r="AO1371" t="str">
        <f t="shared" si="569"/>
        <v>Usa Transporte</v>
      </c>
      <c r="AP1371">
        <v>0</v>
      </c>
      <c r="AQ1371" t="str">
        <f t="shared" si="570"/>
        <v>No camina</v>
      </c>
      <c r="AR1371">
        <v>1</v>
      </c>
      <c r="AS1371" t="str">
        <f t="shared" si="571"/>
        <v>Es Obeso</v>
      </c>
    </row>
    <row r="1372" spans="1:45" x14ac:dyDescent="0.25">
      <c r="A1372">
        <v>0</v>
      </c>
      <c r="B1372" t="str">
        <f t="shared" si="546"/>
        <v>F</v>
      </c>
      <c r="C1372">
        <v>18063582</v>
      </c>
      <c r="D1372">
        <f t="shared" si="547"/>
        <v>49</v>
      </c>
      <c r="E1372">
        <f t="shared" si="548"/>
        <v>49</v>
      </c>
      <c r="F1372" t="str">
        <f t="shared" si="549"/>
        <v>25-50</v>
      </c>
      <c r="G1372">
        <v>1</v>
      </c>
      <c r="H1372" t="str">
        <f t="shared" si="550"/>
        <v>Pariente gordo</v>
      </c>
      <c r="I1372">
        <v>1</v>
      </c>
      <c r="J1372" t="str">
        <f t="shared" si="551"/>
        <v>Hipercaloricos</v>
      </c>
      <c r="K1372">
        <v>2921576</v>
      </c>
      <c r="L1372">
        <f t="shared" si="552"/>
        <v>1</v>
      </c>
      <c r="M1372" t="str">
        <f t="shared" si="553"/>
        <v>Suele comer</v>
      </c>
      <c r="N1372">
        <v>3</v>
      </c>
      <c r="O1372">
        <f t="shared" si="554"/>
        <v>2</v>
      </c>
      <c r="P1372" t="str">
        <f t="shared" si="555"/>
        <v>Mas de 3</v>
      </c>
      <c r="Q1372">
        <v>1</v>
      </c>
      <c r="R1372" t="str">
        <f t="shared" si="556"/>
        <v>A veces</v>
      </c>
      <c r="S1372">
        <v>0</v>
      </c>
      <c r="T1372" t="str">
        <f t="shared" si="557"/>
        <v>No fuma</v>
      </c>
      <c r="U1372">
        <v>1003636</v>
      </c>
      <c r="V1372">
        <f t="shared" si="558"/>
        <v>2</v>
      </c>
      <c r="W1372" t="str">
        <f t="shared" si="559"/>
        <v>Siempre</v>
      </c>
      <c r="X1372">
        <v>0</v>
      </c>
      <c r="Y1372" t="str">
        <f t="shared" si="560"/>
        <v>No controla</v>
      </c>
      <c r="Z1372">
        <v>1000227</v>
      </c>
      <c r="AA1372">
        <f t="shared" si="561"/>
        <v>3</v>
      </c>
      <c r="AB1372" t="str">
        <f t="shared" si="562"/>
        <v>Siempre</v>
      </c>
      <c r="AC1372">
        <v>0.90559599999999996</v>
      </c>
      <c r="AD1372">
        <f t="shared" si="563"/>
        <v>0</v>
      </c>
      <c r="AE1372" t="str">
        <f t="shared" si="564"/>
        <v>Nunca</v>
      </c>
      <c r="AF1372">
        <v>0</v>
      </c>
      <c r="AG1372" t="str">
        <f t="shared" si="565"/>
        <v>Nunca</v>
      </c>
      <c r="AH1372">
        <v>0</v>
      </c>
      <c r="AI1372" t="str">
        <f t="shared" si="566"/>
        <v>No usa</v>
      </c>
      <c r="AJ1372">
        <v>0</v>
      </c>
      <c r="AK1372" t="str">
        <f t="shared" si="567"/>
        <v>No usa</v>
      </c>
      <c r="AL1372">
        <v>0</v>
      </c>
      <c r="AM1372" t="str">
        <f t="shared" si="568"/>
        <v>No usa</v>
      </c>
      <c r="AN1372">
        <v>1</v>
      </c>
      <c r="AO1372" t="str">
        <f t="shared" si="569"/>
        <v>Usa Transporte</v>
      </c>
      <c r="AP1372">
        <v>0</v>
      </c>
      <c r="AQ1372" t="str">
        <f t="shared" si="570"/>
        <v>No camina</v>
      </c>
      <c r="AR1372">
        <v>1</v>
      </c>
      <c r="AS1372" t="str">
        <f t="shared" si="571"/>
        <v>Es Obeso</v>
      </c>
    </row>
    <row r="1373" spans="1:45" x14ac:dyDescent="0.25">
      <c r="A1373">
        <v>1</v>
      </c>
      <c r="B1373" t="str">
        <f t="shared" si="546"/>
        <v>M</v>
      </c>
      <c r="C1373">
        <v>20418832</v>
      </c>
      <c r="D1373">
        <f t="shared" si="547"/>
        <v>55</v>
      </c>
      <c r="E1373">
        <f t="shared" si="548"/>
        <v>55</v>
      </c>
      <c r="F1373" t="str">
        <f t="shared" si="549"/>
        <v>50-75</v>
      </c>
      <c r="G1373">
        <v>1</v>
      </c>
      <c r="H1373" t="str">
        <f t="shared" si="550"/>
        <v>Pariente gordo</v>
      </c>
      <c r="I1373">
        <v>1</v>
      </c>
      <c r="J1373" t="str">
        <f t="shared" si="551"/>
        <v>Hipercaloricos</v>
      </c>
      <c r="K1373">
        <v>2</v>
      </c>
      <c r="L1373">
        <f t="shared" si="552"/>
        <v>1</v>
      </c>
      <c r="M1373" t="str">
        <f t="shared" si="553"/>
        <v>Suele comer</v>
      </c>
      <c r="N1373">
        <v>3</v>
      </c>
      <c r="O1373">
        <f t="shared" si="554"/>
        <v>2</v>
      </c>
      <c r="P1373" t="str">
        <f t="shared" si="555"/>
        <v>Mas de 3</v>
      </c>
      <c r="Q1373">
        <v>1</v>
      </c>
      <c r="R1373" t="str">
        <f t="shared" si="556"/>
        <v>A veces</v>
      </c>
      <c r="S1373">
        <v>0</v>
      </c>
      <c r="T1373" t="str">
        <f t="shared" si="557"/>
        <v>No fuma</v>
      </c>
      <c r="U1373">
        <v>2793505</v>
      </c>
      <c r="V1373">
        <f t="shared" si="558"/>
        <v>2</v>
      </c>
      <c r="W1373" t="str">
        <f t="shared" si="559"/>
        <v>Siempre</v>
      </c>
      <c r="X1373">
        <v>0</v>
      </c>
      <c r="Y1373" t="str">
        <f t="shared" si="560"/>
        <v>No controla</v>
      </c>
      <c r="Z1373">
        <v>221939</v>
      </c>
      <c r="AA1373">
        <f t="shared" si="561"/>
        <v>2</v>
      </c>
      <c r="AB1373" t="str">
        <f t="shared" si="562"/>
        <v>Usualmente</v>
      </c>
      <c r="AC1373">
        <v>0.202902</v>
      </c>
      <c r="AD1373">
        <f t="shared" si="563"/>
        <v>0</v>
      </c>
      <c r="AE1373" t="str">
        <f t="shared" si="564"/>
        <v>Nunca</v>
      </c>
      <c r="AF1373">
        <v>0</v>
      </c>
      <c r="AG1373" t="str">
        <f t="shared" si="565"/>
        <v>Nunca</v>
      </c>
      <c r="AH1373">
        <v>0</v>
      </c>
      <c r="AI1373" t="str">
        <f t="shared" si="566"/>
        <v>No usa</v>
      </c>
      <c r="AJ1373">
        <v>0</v>
      </c>
      <c r="AK1373" t="str">
        <f t="shared" si="567"/>
        <v>No usa</v>
      </c>
      <c r="AL1373">
        <v>0</v>
      </c>
      <c r="AM1373" t="str">
        <f t="shared" si="568"/>
        <v>No usa</v>
      </c>
      <c r="AN1373">
        <v>1</v>
      </c>
      <c r="AO1373" t="str">
        <f t="shared" si="569"/>
        <v>Usa Transporte</v>
      </c>
      <c r="AP1373">
        <v>0</v>
      </c>
      <c r="AQ1373" t="str">
        <f t="shared" si="570"/>
        <v>No camina</v>
      </c>
      <c r="AR1373">
        <v>1</v>
      </c>
      <c r="AS1373" t="str">
        <f t="shared" si="571"/>
        <v>Es Obeso</v>
      </c>
    </row>
    <row r="1374" spans="1:45" x14ac:dyDescent="0.25">
      <c r="A1374">
        <v>1</v>
      </c>
      <c r="B1374" t="str">
        <f t="shared" si="546"/>
        <v>M</v>
      </c>
      <c r="C1374">
        <v>20580984</v>
      </c>
      <c r="D1374">
        <f t="shared" si="547"/>
        <v>56</v>
      </c>
      <c r="E1374">
        <f t="shared" si="548"/>
        <v>56</v>
      </c>
      <c r="F1374" t="str">
        <f t="shared" si="549"/>
        <v>50-75</v>
      </c>
      <c r="G1374">
        <v>1</v>
      </c>
      <c r="H1374" t="str">
        <f t="shared" si="550"/>
        <v>Pariente gordo</v>
      </c>
      <c r="I1374">
        <v>1</v>
      </c>
      <c r="J1374" t="str">
        <f t="shared" si="551"/>
        <v>Hipercaloricos</v>
      </c>
      <c r="K1374">
        <v>2</v>
      </c>
      <c r="L1374">
        <f t="shared" si="552"/>
        <v>1</v>
      </c>
      <c r="M1374" t="str">
        <f t="shared" si="553"/>
        <v>Suele comer</v>
      </c>
      <c r="N1374">
        <v>3</v>
      </c>
      <c r="O1374">
        <f t="shared" si="554"/>
        <v>2</v>
      </c>
      <c r="P1374" t="str">
        <f t="shared" si="555"/>
        <v>Mas de 3</v>
      </c>
      <c r="Q1374">
        <v>1</v>
      </c>
      <c r="R1374" t="str">
        <f t="shared" si="556"/>
        <v>A veces</v>
      </c>
      <c r="S1374">
        <v>0</v>
      </c>
      <c r="T1374" t="str">
        <f t="shared" si="557"/>
        <v>No fuma</v>
      </c>
      <c r="U1374">
        <v>2401315</v>
      </c>
      <c r="V1374">
        <f t="shared" si="558"/>
        <v>2</v>
      </c>
      <c r="W1374" t="str">
        <f t="shared" si="559"/>
        <v>Siempre</v>
      </c>
      <c r="X1374">
        <v>0</v>
      </c>
      <c r="Y1374" t="str">
        <f t="shared" si="560"/>
        <v>No controla</v>
      </c>
      <c r="Z1374">
        <v>2891986</v>
      </c>
      <c r="AA1374">
        <f t="shared" si="561"/>
        <v>3</v>
      </c>
      <c r="AB1374" t="str">
        <f t="shared" si="562"/>
        <v>Siempre</v>
      </c>
      <c r="AC1374">
        <v>0</v>
      </c>
      <c r="AD1374">
        <f t="shared" si="563"/>
        <v>0</v>
      </c>
      <c r="AE1374" t="str">
        <f t="shared" si="564"/>
        <v>Nunca</v>
      </c>
      <c r="AF1374">
        <v>0</v>
      </c>
      <c r="AG1374" t="str">
        <f t="shared" si="565"/>
        <v>Nunca</v>
      </c>
      <c r="AH1374">
        <v>0</v>
      </c>
      <c r="AI1374" t="str">
        <f t="shared" si="566"/>
        <v>No usa</v>
      </c>
      <c r="AJ1374">
        <v>0</v>
      </c>
      <c r="AK1374" t="str">
        <f t="shared" si="567"/>
        <v>No usa</v>
      </c>
      <c r="AL1374">
        <v>0</v>
      </c>
      <c r="AM1374" t="str">
        <f t="shared" si="568"/>
        <v>No usa</v>
      </c>
      <c r="AN1374">
        <v>1</v>
      </c>
      <c r="AO1374" t="str">
        <f t="shared" si="569"/>
        <v>Usa Transporte</v>
      </c>
      <c r="AP1374">
        <v>0</v>
      </c>
      <c r="AQ1374" t="str">
        <f t="shared" si="570"/>
        <v>No camina</v>
      </c>
      <c r="AR1374">
        <v>1</v>
      </c>
      <c r="AS1374" t="str">
        <f t="shared" si="571"/>
        <v>Es Obeso</v>
      </c>
    </row>
    <row r="1375" spans="1:45" x14ac:dyDescent="0.25">
      <c r="A1375">
        <v>1</v>
      </c>
      <c r="B1375" t="str">
        <f t="shared" si="546"/>
        <v>M</v>
      </c>
      <c r="C1375">
        <v>26032416</v>
      </c>
      <c r="D1375">
        <f t="shared" si="547"/>
        <v>71</v>
      </c>
      <c r="E1375">
        <f t="shared" si="548"/>
        <v>71</v>
      </c>
      <c r="F1375" t="str">
        <f t="shared" si="549"/>
        <v>50-75</v>
      </c>
      <c r="G1375">
        <v>1</v>
      </c>
      <c r="H1375" t="str">
        <f t="shared" si="550"/>
        <v>Pariente gordo</v>
      </c>
      <c r="I1375">
        <v>1</v>
      </c>
      <c r="J1375" t="str">
        <f t="shared" si="551"/>
        <v>Hipercaloricos</v>
      </c>
      <c r="K1375">
        <v>3</v>
      </c>
      <c r="L1375">
        <f t="shared" si="552"/>
        <v>1</v>
      </c>
      <c r="M1375" t="str">
        <f t="shared" si="553"/>
        <v>Suele comer</v>
      </c>
      <c r="N1375">
        <v>3</v>
      </c>
      <c r="O1375">
        <f t="shared" si="554"/>
        <v>2</v>
      </c>
      <c r="P1375" t="str">
        <f t="shared" si="555"/>
        <v>Mas de 3</v>
      </c>
      <c r="Q1375">
        <v>1</v>
      </c>
      <c r="R1375" t="str">
        <f t="shared" si="556"/>
        <v>A veces</v>
      </c>
      <c r="S1375">
        <v>0</v>
      </c>
      <c r="T1375" t="str">
        <f t="shared" si="557"/>
        <v>No fuma</v>
      </c>
      <c r="U1375">
        <v>2110611</v>
      </c>
      <c r="V1375">
        <f t="shared" si="558"/>
        <v>2</v>
      </c>
      <c r="W1375" t="str">
        <f t="shared" si="559"/>
        <v>Siempre</v>
      </c>
      <c r="X1375">
        <v>0</v>
      </c>
      <c r="Y1375" t="str">
        <f t="shared" si="560"/>
        <v>No controla</v>
      </c>
      <c r="Z1375">
        <v>1890907</v>
      </c>
      <c r="AA1375">
        <f t="shared" si="561"/>
        <v>3</v>
      </c>
      <c r="AB1375" t="str">
        <f t="shared" si="562"/>
        <v>Siempre</v>
      </c>
      <c r="AC1375">
        <v>158483</v>
      </c>
      <c r="AD1375">
        <f t="shared" si="563"/>
        <v>1</v>
      </c>
      <c r="AE1375" t="str">
        <f t="shared" si="564"/>
        <v>Usualmente</v>
      </c>
      <c r="AF1375">
        <v>1</v>
      </c>
      <c r="AG1375" t="str">
        <f t="shared" si="565"/>
        <v>A veces</v>
      </c>
      <c r="AH1375">
        <v>0</v>
      </c>
      <c r="AI1375" t="str">
        <f t="shared" si="566"/>
        <v>No usa</v>
      </c>
      <c r="AJ1375">
        <v>0</v>
      </c>
      <c r="AK1375" t="str">
        <f t="shared" si="567"/>
        <v>No usa</v>
      </c>
      <c r="AL1375">
        <v>0</v>
      </c>
      <c r="AM1375" t="str">
        <f t="shared" si="568"/>
        <v>No usa</v>
      </c>
      <c r="AN1375">
        <v>1</v>
      </c>
      <c r="AO1375" t="str">
        <f t="shared" si="569"/>
        <v>Usa Transporte</v>
      </c>
      <c r="AP1375">
        <v>0</v>
      </c>
      <c r="AQ1375" t="str">
        <f t="shared" si="570"/>
        <v>No camina</v>
      </c>
      <c r="AR1375">
        <v>1</v>
      </c>
      <c r="AS1375" t="str">
        <f t="shared" si="571"/>
        <v>Es Obeso</v>
      </c>
    </row>
    <row r="1376" spans="1:45" x14ac:dyDescent="0.25">
      <c r="A1376">
        <v>1</v>
      </c>
      <c r="B1376" t="str">
        <f t="shared" si="546"/>
        <v>M</v>
      </c>
      <c r="C1376">
        <v>25955361</v>
      </c>
      <c r="D1376">
        <f t="shared" si="547"/>
        <v>71</v>
      </c>
      <c r="E1376">
        <f t="shared" si="548"/>
        <v>71</v>
      </c>
      <c r="F1376" t="str">
        <f t="shared" si="549"/>
        <v>50-75</v>
      </c>
      <c r="G1376">
        <v>1</v>
      </c>
      <c r="H1376" t="str">
        <f t="shared" si="550"/>
        <v>Pariente gordo</v>
      </c>
      <c r="I1376">
        <v>1</v>
      </c>
      <c r="J1376" t="str">
        <f t="shared" si="551"/>
        <v>Hipercaloricos</v>
      </c>
      <c r="K1376">
        <v>3</v>
      </c>
      <c r="L1376">
        <f t="shared" si="552"/>
        <v>1</v>
      </c>
      <c r="M1376" t="str">
        <f t="shared" si="553"/>
        <v>Suele comer</v>
      </c>
      <c r="N1376">
        <v>3</v>
      </c>
      <c r="O1376">
        <f t="shared" si="554"/>
        <v>2</v>
      </c>
      <c r="P1376" t="str">
        <f t="shared" si="555"/>
        <v>Mas de 3</v>
      </c>
      <c r="Q1376">
        <v>1</v>
      </c>
      <c r="R1376" t="str">
        <f t="shared" si="556"/>
        <v>A veces</v>
      </c>
      <c r="S1376">
        <v>0</v>
      </c>
      <c r="T1376" t="str">
        <f t="shared" si="557"/>
        <v>No fuma</v>
      </c>
      <c r="U1376">
        <v>2480277</v>
      </c>
      <c r="V1376">
        <f t="shared" si="558"/>
        <v>2</v>
      </c>
      <c r="W1376" t="str">
        <f t="shared" si="559"/>
        <v>Siempre</v>
      </c>
      <c r="X1376">
        <v>0</v>
      </c>
      <c r="Y1376" t="str">
        <f t="shared" si="560"/>
        <v>No controla</v>
      </c>
      <c r="Z1376">
        <v>1796779</v>
      </c>
      <c r="AA1376">
        <f t="shared" si="561"/>
        <v>3</v>
      </c>
      <c r="AB1376" t="str">
        <f t="shared" si="562"/>
        <v>Siempre</v>
      </c>
      <c r="AC1376">
        <v>1596562</v>
      </c>
      <c r="AD1376">
        <f t="shared" si="563"/>
        <v>2</v>
      </c>
      <c r="AE1376" t="str">
        <f t="shared" si="564"/>
        <v>Siempre</v>
      </c>
      <c r="AF1376">
        <v>1</v>
      </c>
      <c r="AG1376" t="str">
        <f t="shared" si="565"/>
        <v>A veces</v>
      </c>
      <c r="AH1376">
        <v>0</v>
      </c>
      <c r="AI1376" t="str">
        <f t="shared" si="566"/>
        <v>No usa</v>
      </c>
      <c r="AJ1376">
        <v>0</v>
      </c>
      <c r="AK1376" t="str">
        <f t="shared" si="567"/>
        <v>No usa</v>
      </c>
      <c r="AL1376">
        <v>0</v>
      </c>
      <c r="AM1376" t="str">
        <f t="shared" si="568"/>
        <v>No usa</v>
      </c>
      <c r="AN1376">
        <v>1</v>
      </c>
      <c r="AO1376" t="str">
        <f t="shared" si="569"/>
        <v>Usa Transporte</v>
      </c>
      <c r="AP1376">
        <v>0</v>
      </c>
      <c r="AQ1376" t="str">
        <f t="shared" si="570"/>
        <v>No camina</v>
      </c>
      <c r="AR1376">
        <v>1</v>
      </c>
      <c r="AS1376" t="str">
        <f t="shared" si="571"/>
        <v>Es Obeso</v>
      </c>
    </row>
    <row r="1377" spans="1:45" x14ac:dyDescent="0.25">
      <c r="A1377">
        <v>1</v>
      </c>
      <c r="B1377" t="str">
        <f t="shared" si="546"/>
        <v>M</v>
      </c>
      <c r="C1377">
        <v>26015448</v>
      </c>
      <c r="D1377">
        <f t="shared" si="547"/>
        <v>71</v>
      </c>
      <c r="E1377">
        <f t="shared" si="548"/>
        <v>71</v>
      </c>
      <c r="F1377" t="str">
        <f t="shared" si="549"/>
        <v>50-75</v>
      </c>
      <c r="G1377">
        <v>1</v>
      </c>
      <c r="H1377" t="str">
        <f t="shared" si="550"/>
        <v>Pariente gordo</v>
      </c>
      <c r="I1377">
        <v>1</v>
      </c>
      <c r="J1377" t="str">
        <f t="shared" si="551"/>
        <v>Hipercaloricos</v>
      </c>
      <c r="K1377">
        <v>3</v>
      </c>
      <c r="L1377">
        <f t="shared" si="552"/>
        <v>1</v>
      </c>
      <c r="M1377" t="str">
        <f t="shared" si="553"/>
        <v>Suele comer</v>
      </c>
      <c r="N1377">
        <v>3</v>
      </c>
      <c r="O1377">
        <f t="shared" si="554"/>
        <v>2</v>
      </c>
      <c r="P1377" t="str">
        <f t="shared" si="555"/>
        <v>Mas de 3</v>
      </c>
      <c r="Q1377">
        <v>1</v>
      </c>
      <c r="R1377" t="str">
        <f t="shared" si="556"/>
        <v>A veces</v>
      </c>
      <c r="S1377">
        <v>0</v>
      </c>
      <c r="T1377" t="str">
        <f t="shared" si="557"/>
        <v>No fuma</v>
      </c>
      <c r="U1377">
        <v>2224914</v>
      </c>
      <c r="V1377">
        <f t="shared" si="558"/>
        <v>2</v>
      </c>
      <c r="W1377" t="str">
        <f t="shared" si="559"/>
        <v>Siempre</v>
      </c>
      <c r="X1377">
        <v>0</v>
      </c>
      <c r="Y1377" t="str">
        <f t="shared" si="560"/>
        <v>No controla</v>
      </c>
      <c r="Z1377">
        <v>1781589</v>
      </c>
      <c r="AA1377">
        <f t="shared" si="561"/>
        <v>3</v>
      </c>
      <c r="AB1377" t="str">
        <f t="shared" si="562"/>
        <v>Siempre</v>
      </c>
      <c r="AC1377">
        <v>159405</v>
      </c>
      <c r="AD1377">
        <f t="shared" si="563"/>
        <v>1</v>
      </c>
      <c r="AE1377" t="str">
        <f t="shared" si="564"/>
        <v>Usualmente</v>
      </c>
      <c r="AF1377">
        <v>1</v>
      </c>
      <c r="AG1377" t="str">
        <f t="shared" si="565"/>
        <v>A veces</v>
      </c>
      <c r="AH1377">
        <v>0</v>
      </c>
      <c r="AI1377" t="str">
        <f t="shared" si="566"/>
        <v>No usa</v>
      </c>
      <c r="AJ1377">
        <v>0</v>
      </c>
      <c r="AK1377" t="str">
        <f t="shared" si="567"/>
        <v>No usa</v>
      </c>
      <c r="AL1377">
        <v>0</v>
      </c>
      <c r="AM1377" t="str">
        <f t="shared" si="568"/>
        <v>No usa</v>
      </c>
      <c r="AN1377">
        <v>1</v>
      </c>
      <c r="AO1377" t="str">
        <f t="shared" si="569"/>
        <v>Usa Transporte</v>
      </c>
      <c r="AP1377">
        <v>0</v>
      </c>
      <c r="AQ1377" t="str">
        <f t="shared" si="570"/>
        <v>No camina</v>
      </c>
      <c r="AR1377">
        <v>1</v>
      </c>
      <c r="AS1377" t="str">
        <f t="shared" si="571"/>
        <v>Es Obeso</v>
      </c>
    </row>
    <row r="1378" spans="1:45" x14ac:dyDescent="0.25">
      <c r="A1378">
        <v>1</v>
      </c>
      <c r="B1378" t="str">
        <f t="shared" si="546"/>
        <v>M</v>
      </c>
      <c r="C1378">
        <v>25920738</v>
      </c>
      <c r="D1378">
        <f t="shared" si="547"/>
        <v>71</v>
      </c>
      <c r="E1378">
        <f t="shared" si="548"/>
        <v>71</v>
      </c>
      <c r="F1378" t="str">
        <f t="shared" si="549"/>
        <v>50-75</v>
      </c>
      <c r="G1378">
        <v>1</v>
      </c>
      <c r="H1378" t="str">
        <f t="shared" si="550"/>
        <v>Pariente gordo</v>
      </c>
      <c r="I1378">
        <v>1</v>
      </c>
      <c r="J1378" t="str">
        <f t="shared" si="551"/>
        <v>Hipercaloricos</v>
      </c>
      <c r="K1378">
        <v>292711</v>
      </c>
      <c r="L1378">
        <f t="shared" si="552"/>
        <v>1</v>
      </c>
      <c r="M1378" t="str">
        <f t="shared" si="553"/>
        <v>Suele comer</v>
      </c>
      <c r="N1378">
        <v>3</v>
      </c>
      <c r="O1378">
        <f t="shared" si="554"/>
        <v>2</v>
      </c>
      <c r="P1378" t="str">
        <f t="shared" si="555"/>
        <v>Mas de 3</v>
      </c>
      <c r="Q1378">
        <v>1</v>
      </c>
      <c r="R1378" t="str">
        <f t="shared" si="556"/>
        <v>A veces</v>
      </c>
      <c r="S1378">
        <v>0</v>
      </c>
      <c r="T1378" t="str">
        <f t="shared" si="557"/>
        <v>No fuma</v>
      </c>
      <c r="U1378">
        <v>2151496</v>
      </c>
      <c r="V1378">
        <f t="shared" si="558"/>
        <v>2</v>
      </c>
      <c r="W1378" t="str">
        <f t="shared" si="559"/>
        <v>Siempre</v>
      </c>
      <c r="X1378">
        <v>0</v>
      </c>
      <c r="Y1378" t="str">
        <f t="shared" si="560"/>
        <v>No controla</v>
      </c>
      <c r="Z1378">
        <v>1166064</v>
      </c>
      <c r="AA1378">
        <f t="shared" si="561"/>
        <v>3</v>
      </c>
      <c r="AB1378" t="str">
        <f t="shared" si="562"/>
        <v>Siempre</v>
      </c>
      <c r="AC1378">
        <v>1509831</v>
      </c>
      <c r="AD1378">
        <f t="shared" si="563"/>
        <v>2</v>
      </c>
      <c r="AE1378" t="str">
        <f t="shared" si="564"/>
        <v>Siempre</v>
      </c>
      <c r="AF1378">
        <v>1</v>
      </c>
      <c r="AG1378" t="str">
        <f t="shared" si="565"/>
        <v>A veces</v>
      </c>
      <c r="AH1378">
        <v>0</v>
      </c>
      <c r="AI1378" t="str">
        <f t="shared" si="566"/>
        <v>No usa</v>
      </c>
      <c r="AJ1378">
        <v>0</v>
      </c>
      <c r="AK1378" t="str">
        <f t="shared" si="567"/>
        <v>No usa</v>
      </c>
      <c r="AL1378">
        <v>0</v>
      </c>
      <c r="AM1378" t="str">
        <f t="shared" si="568"/>
        <v>No usa</v>
      </c>
      <c r="AN1378">
        <v>1</v>
      </c>
      <c r="AO1378" t="str">
        <f t="shared" si="569"/>
        <v>Usa Transporte</v>
      </c>
      <c r="AP1378">
        <v>0</v>
      </c>
      <c r="AQ1378" t="str">
        <f t="shared" si="570"/>
        <v>No camina</v>
      </c>
      <c r="AR1378">
        <v>1</v>
      </c>
      <c r="AS1378" t="str">
        <f t="shared" si="571"/>
        <v>Es Obeso</v>
      </c>
    </row>
    <row r="1379" spans="1:45" x14ac:dyDescent="0.25">
      <c r="A1379">
        <v>1</v>
      </c>
      <c r="B1379" t="str">
        <f t="shared" si="546"/>
        <v>M</v>
      </c>
      <c r="C1379">
        <v>29633715</v>
      </c>
      <c r="D1379">
        <f t="shared" si="547"/>
        <v>81</v>
      </c>
      <c r="E1379">
        <f t="shared" si="548"/>
        <v>81</v>
      </c>
      <c r="F1379" t="str">
        <f t="shared" si="549"/>
        <v>75-100</v>
      </c>
      <c r="G1379">
        <v>1</v>
      </c>
      <c r="H1379" t="str">
        <f t="shared" si="550"/>
        <v>Pariente gordo</v>
      </c>
      <c r="I1379">
        <v>1</v>
      </c>
      <c r="J1379" t="str">
        <f t="shared" si="551"/>
        <v>Hipercaloricos</v>
      </c>
      <c r="K1379">
        <v>2805533</v>
      </c>
      <c r="L1379">
        <f t="shared" si="552"/>
        <v>1</v>
      </c>
      <c r="M1379" t="str">
        <f t="shared" si="553"/>
        <v>Suele comer</v>
      </c>
      <c r="N1379">
        <v>3</v>
      </c>
      <c r="O1379">
        <f t="shared" si="554"/>
        <v>2</v>
      </c>
      <c r="P1379" t="str">
        <f t="shared" si="555"/>
        <v>Mas de 3</v>
      </c>
      <c r="Q1379">
        <v>1</v>
      </c>
      <c r="R1379" t="str">
        <f t="shared" si="556"/>
        <v>A veces</v>
      </c>
      <c r="S1379">
        <v>0</v>
      </c>
      <c r="T1379" t="str">
        <f t="shared" si="557"/>
        <v>No fuma</v>
      </c>
      <c r="U1379">
        <v>1882847</v>
      </c>
      <c r="V1379">
        <f t="shared" si="558"/>
        <v>2</v>
      </c>
      <c r="W1379" t="str">
        <f t="shared" si="559"/>
        <v>Siempre</v>
      </c>
      <c r="X1379">
        <v>0</v>
      </c>
      <c r="Y1379" t="str">
        <f t="shared" si="560"/>
        <v>No controla</v>
      </c>
      <c r="Z1379">
        <v>2</v>
      </c>
      <c r="AA1379">
        <f t="shared" si="561"/>
        <v>2</v>
      </c>
      <c r="AB1379" t="str">
        <f t="shared" si="562"/>
        <v>Usualmente</v>
      </c>
      <c r="AC1379">
        <v>0.70777999999999996</v>
      </c>
      <c r="AD1379">
        <f t="shared" si="563"/>
        <v>0</v>
      </c>
      <c r="AE1379" t="str">
        <f t="shared" si="564"/>
        <v>Nunca</v>
      </c>
      <c r="AF1379">
        <v>1</v>
      </c>
      <c r="AG1379" t="str">
        <f t="shared" si="565"/>
        <v>A veces</v>
      </c>
      <c r="AH1379">
        <v>1</v>
      </c>
      <c r="AI1379" t="str">
        <f t="shared" si="566"/>
        <v>Usa auto</v>
      </c>
      <c r="AJ1379">
        <v>0</v>
      </c>
      <c r="AK1379" t="str">
        <f t="shared" si="567"/>
        <v>No usa</v>
      </c>
      <c r="AL1379">
        <v>0</v>
      </c>
      <c r="AM1379" t="str">
        <f t="shared" si="568"/>
        <v>No usa</v>
      </c>
      <c r="AN1379">
        <v>0</v>
      </c>
      <c r="AO1379" t="str">
        <f t="shared" si="569"/>
        <v>No usa</v>
      </c>
      <c r="AP1379">
        <v>0</v>
      </c>
      <c r="AQ1379" t="str">
        <f t="shared" si="570"/>
        <v>No camina</v>
      </c>
      <c r="AR1379">
        <v>1</v>
      </c>
      <c r="AS1379" t="str">
        <f t="shared" si="571"/>
        <v>Es Obeso</v>
      </c>
    </row>
    <row r="1380" spans="1:45" x14ac:dyDescent="0.25">
      <c r="A1380">
        <v>1</v>
      </c>
      <c r="B1380" t="str">
        <f t="shared" si="546"/>
        <v>M</v>
      </c>
      <c r="C1380">
        <v>32895637</v>
      </c>
      <c r="D1380">
        <f t="shared" si="547"/>
        <v>90</v>
      </c>
      <c r="E1380">
        <f t="shared" si="548"/>
        <v>90</v>
      </c>
      <c r="F1380" t="str">
        <f t="shared" si="549"/>
        <v>75-100</v>
      </c>
      <c r="G1380">
        <v>1</v>
      </c>
      <c r="H1380" t="str">
        <f t="shared" si="550"/>
        <v>Pariente gordo</v>
      </c>
      <c r="I1380">
        <v>1</v>
      </c>
      <c r="J1380" t="str">
        <f t="shared" si="551"/>
        <v>Hipercaloricos</v>
      </c>
      <c r="K1380">
        <v>2902469</v>
      </c>
      <c r="L1380">
        <f t="shared" si="552"/>
        <v>1</v>
      </c>
      <c r="M1380" t="str">
        <f t="shared" si="553"/>
        <v>Suele comer</v>
      </c>
      <c r="N1380">
        <v>1734762</v>
      </c>
      <c r="O1380">
        <f t="shared" si="554"/>
        <v>2</v>
      </c>
      <c r="P1380" t="str">
        <f t="shared" si="555"/>
        <v>Mas de 3</v>
      </c>
      <c r="Q1380">
        <v>1</v>
      </c>
      <c r="R1380" t="str">
        <f t="shared" si="556"/>
        <v>A veces</v>
      </c>
      <c r="S1380">
        <v>0</v>
      </c>
      <c r="T1380" t="str">
        <f t="shared" si="557"/>
        <v>No fuma</v>
      </c>
      <c r="U1380">
        <v>2600238</v>
      </c>
      <c r="V1380">
        <f t="shared" si="558"/>
        <v>2</v>
      </c>
      <c r="W1380" t="str">
        <f t="shared" si="559"/>
        <v>Siempre</v>
      </c>
      <c r="X1380">
        <v>0</v>
      </c>
      <c r="Y1380" t="str">
        <f t="shared" si="560"/>
        <v>No controla</v>
      </c>
      <c r="Z1380">
        <v>2113992</v>
      </c>
      <c r="AA1380">
        <f t="shared" si="561"/>
        <v>3</v>
      </c>
      <c r="AB1380" t="str">
        <f t="shared" si="562"/>
        <v>Siempre</v>
      </c>
      <c r="AC1380">
        <v>0.58475500000000002</v>
      </c>
      <c r="AD1380">
        <f t="shared" si="563"/>
        <v>0</v>
      </c>
      <c r="AE1380" t="str">
        <f t="shared" si="564"/>
        <v>Nunca</v>
      </c>
      <c r="AF1380">
        <v>1</v>
      </c>
      <c r="AG1380" t="str">
        <f t="shared" si="565"/>
        <v>A veces</v>
      </c>
      <c r="AH1380">
        <v>1</v>
      </c>
      <c r="AI1380" t="str">
        <f t="shared" si="566"/>
        <v>Usa auto</v>
      </c>
      <c r="AJ1380">
        <v>0</v>
      </c>
      <c r="AK1380" t="str">
        <f t="shared" si="567"/>
        <v>No usa</v>
      </c>
      <c r="AL1380">
        <v>0</v>
      </c>
      <c r="AM1380" t="str">
        <f t="shared" si="568"/>
        <v>No usa</v>
      </c>
      <c r="AN1380">
        <v>0</v>
      </c>
      <c r="AO1380" t="str">
        <f t="shared" si="569"/>
        <v>No usa</v>
      </c>
      <c r="AP1380">
        <v>0</v>
      </c>
      <c r="AQ1380" t="str">
        <f t="shared" si="570"/>
        <v>No camina</v>
      </c>
      <c r="AR1380">
        <v>1</v>
      </c>
      <c r="AS1380" t="str">
        <f t="shared" si="571"/>
        <v>Es Obeso</v>
      </c>
    </row>
    <row r="1381" spans="1:45" x14ac:dyDescent="0.25">
      <c r="A1381">
        <v>1</v>
      </c>
      <c r="B1381" t="str">
        <f t="shared" si="546"/>
        <v>M</v>
      </c>
      <c r="C1381">
        <v>38748307</v>
      </c>
      <c r="D1381">
        <f t="shared" si="547"/>
        <v>106</v>
      </c>
      <c r="E1381">
        <f t="shared" si="548"/>
        <v>100</v>
      </c>
      <c r="F1381" t="str">
        <f t="shared" si="549"/>
        <v>75-100</v>
      </c>
      <c r="G1381">
        <v>1</v>
      </c>
      <c r="H1381" t="str">
        <f t="shared" si="550"/>
        <v>Pariente gordo</v>
      </c>
      <c r="I1381">
        <v>1</v>
      </c>
      <c r="J1381" t="str">
        <f t="shared" si="551"/>
        <v>Hipercaloricos</v>
      </c>
      <c r="K1381">
        <v>2845961</v>
      </c>
      <c r="L1381">
        <f t="shared" si="552"/>
        <v>1</v>
      </c>
      <c r="M1381" t="str">
        <f t="shared" si="553"/>
        <v>Suele comer</v>
      </c>
      <c r="N1381">
        <v>192822</v>
      </c>
      <c r="O1381">
        <f t="shared" si="554"/>
        <v>2</v>
      </c>
      <c r="P1381" t="str">
        <f t="shared" si="555"/>
        <v>Mas de 3</v>
      </c>
      <c r="Q1381">
        <v>1</v>
      </c>
      <c r="R1381" t="str">
        <f t="shared" si="556"/>
        <v>A veces</v>
      </c>
      <c r="S1381">
        <v>0</v>
      </c>
      <c r="T1381" t="str">
        <f t="shared" si="557"/>
        <v>No fuma</v>
      </c>
      <c r="U1381">
        <v>2642273</v>
      </c>
      <c r="V1381">
        <f t="shared" si="558"/>
        <v>2</v>
      </c>
      <c r="W1381" t="str">
        <f t="shared" si="559"/>
        <v>Siempre</v>
      </c>
      <c r="X1381">
        <v>0</v>
      </c>
      <c r="Y1381" t="str">
        <f t="shared" si="560"/>
        <v>No controla</v>
      </c>
      <c r="Z1381">
        <v>2999918</v>
      </c>
      <c r="AA1381">
        <f t="shared" si="561"/>
        <v>3</v>
      </c>
      <c r="AB1381" t="str">
        <f t="shared" si="562"/>
        <v>Siempre</v>
      </c>
      <c r="AC1381">
        <v>1</v>
      </c>
      <c r="AD1381">
        <f t="shared" si="563"/>
        <v>1</v>
      </c>
      <c r="AE1381" t="str">
        <f t="shared" si="564"/>
        <v>Usualmente</v>
      </c>
      <c r="AF1381">
        <v>2</v>
      </c>
      <c r="AG1381" t="str">
        <f t="shared" si="565"/>
        <v>Usualmente</v>
      </c>
      <c r="AH1381">
        <v>1</v>
      </c>
      <c r="AI1381" t="str">
        <f t="shared" si="566"/>
        <v>Usa auto</v>
      </c>
      <c r="AJ1381">
        <v>0</v>
      </c>
      <c r="AK1381" t="str">
        <f t="shared" si="567"/>
        <v>No usa</v>
      </c>
      <c r="AL1381">
        <v>0</v>
      </c>
      <c r="AM1381" t="str">
        <f t="shared" si="568"/>
        <v>No usa</v>
      </c>
      <c r="AN1381">
        <v>0</v>
      </c>
      <c r="AO1381" t="str">
        <f t="shared" si="569"/>
        <v>No usa</v>
      </c>
      <c r="AP1381">
        <v>0</v>
      </c>
      <c r="AQ1381" t="str">
        <f t="shared" si="570"/>
        <v>No camina</v>
      </c>
      <c r="AR1381">
        <v>1</v>
      </c>
      <c r="AS1381" t="str">
        <f t="shared" si="571"/>
        <v>Es Obeso</v>
      </c>
    </row>
    <row r="1382" spans="1:45" x14ac:dyDescent="0.25">
      <c r="A1382">
        <v>1</v>
      </c>
      <c r="B1382" t="str">
        <f t="shared" si="546"/>
        <v>M</v>
      </c>
      <c r="C1382">
        <v>39685846</v>
      </c>
      <c r="D1382">
        <f t="shared" si="547"/>
        <v>108</v>
      </c>
      <c r="E1382">
        <f t="shared" si="548"/>
        <v>100</v>
      </c>
      <c r="F1382" t="str">
        <f t="shared" si="549"/>
        <v>75-100</v>
      </c>
      <c r="G1382">
        <v>1</v>
      </c>
      <c r="H1382" t="str">
        <f t="shared" si="550"/>
        <v>Pariente gordo</v>
      </c>
      <c r="I1382">
        <v>1</v>
      </c>
      <c r="J1382" t="str">
        <f t="shared" si="551"/>
        <v>Hipercaloricos</v>
      </c>
      <c r="K1382">
        <v>2252698</v>
      </c>
      <c r="L1382">
        <f t="shared" si="552"/>
        <v>1</v>
      </c>
      <c r="M1382" t="str">
        <f t="shared" si="553"/>
        <v>Suele comer</v>
      </c>
      <c r="N1382">
        <v>2475228</v>
      </c>
      <c r="O1382">
        <f t="shared" si="554"/>
        <v>2</v>
      </c>
      <c r="P1382" t="str">
        <f t="shared" si="555"/>
        <v>Mas de 3</v>
      </c>
      <c r="Q1382">
        <v>1</v>
      </c>
      <c r="R1382" t="str">
        <f t="shared" si="556"/>
        <v>A veces</v>
      </c>
      <c r="S1382">
        <v>0</v>
      </c>
      <c r="T1382" t="str">
        <f t="shared" si="557"/>
        <v>No fuma</v>
      </c>
      <c r="U1382">
        <v>2923856</v>
      </c>
      <c r="V1382">
        <f t="shared" si="558"/>
        <v>2</v>
      </c>
      <c r="W1382" t="str">
        <f t="shared" si="559"/>
        <v>Siempre</v>
      </c>
      <c r="X1382">
        <v>0</v>
      </c>
      <c r="Y1382" t="str">
        <f t="shared" si="560"/>
        <v>No controla</v>
      </c>
      <c r="Z1382">
        <v>2165429</v>
      </c>
      <c r="AA1382">
        <f t="shared" si="561"/>
        <v>3</v>
      </c>
      <c r="AB1382" t="str">
        <f t="shared" si="562"/>
        <v>Siempre</v>
      </c>
      <c r="AC1382">
        <v>0.61604499999999995</v>
      </c>
      <c r="AD1382">
        <f t="shared" si="563"/>
        <v>0</v>
      </c>
      <c r="AE1382" t="str">
        <f t="shared" si="564"/>
        <v>Nunca</v>
      </c>
      <c r="AF1382">
        <v>2</v>
      </c>
      <c r="AG1382" t="str">
        <f t="shared" si="565"/>
        <v>Usualmente</v>
      </c>
      <c r="AH1382">
        <v>1</v>
      </c>
      <c r="AI1382" t="str">
        <f t="shared" si="566"/>
        <v>Usa auto</v>
      </c>
      <c r="AJ1382">
        <v>0</v>
      </c>
      <c r="AK1382" t="str">
        <f t="shared" si="567"/>
        <v>No usa</v>
      </c>
      <c r="AL1382">
        <v>0</v>
      </c>
      <c r="AM1382" t="str">
        <f t="shared" si="568"/>
        <v>No usa</v>
      </c>
      <c r="AN1382">
        <v>0</v>
      </c>
      <c r="AO1382" t="str">
        <f t="shared" si="569"/>
        <v>No usa</v>
      </c>
      <c r="AP1382">
        <v>0</v>
      </c>
      <c r="AQ1382" t="str">
        <f t="shared" si="570"/>
        <v>No camina</v>
      </c>
      <c r="AR1382">
        <v>1</v>
      </c>
      <c r="AS1382" t="str">
        <f t="shared" si="571"/>
        <v>Es Obeso</v>
      </c>
    </row>
    <row r="1383" spans="1:45" x14ac:dyDescent="0.25">
      <c r="A1383">
        <v>0</v>
      </c>
      <c r="B1383" t="str">
        <f t="shared" si="546"/>
        <v>F</v>
      </c>
      <c r="C1383">
        <v>33226808</v>
      </c>
      <c r="D1383">
        <f t="shared" si="547"/>
        <v>91</v>
      </c>
      <c r="E1383">
        <f t="shared" si="548"/>
        <v>91</v>
      </c>
      <c r="F1383" t="str">
        <f t="shared" si="549"/>
        <v>75-100</v>
      </c>
      <c r="G1383">
        <v>1</v>
      </c>
      <c r="H1383" t="str">
        <f t="shared" si="550"/>
        <v>Pariente gordo</v>
      </c>
      <c r="I1383">
        <v>1</v>
      </c>
      <c r="J1383" t="str">
        <f t="shared" si="551"/>
        <v>Hipercaloricos</v>
      </c>
      <c r="K1383">
        <v>202091</v>
      </c>
      <c r="L1383">
        <f t="shared" si="552"/>
        <v>1</v>
      </c>
      <c r="M1383" t="str">
        <f t="shared" si="553"/>
        <v>Suele comer</v>
      </c>
      <c r="N1383">
        <v>2093831</v>
      </c>
      <c r="O1383">
        <f t="shared" si="554"/>
        <v>2</v>
      </c>
      <c r="P1383" t="str">
        <f t="shared" si="555"/>
        <v>Mas de 3</v>
      </c>
      <c r="Q1383">
        <v>1</v>
      </c>
      <c r="R1383" t="str">
        <f t="shared" si="556"/>
        <v>A veces</v>
      </c>
      <c r="S1383">
        <v>0</v>
      </c>
      <c r="T1383" t="str">
        <f t="shared" si="557"/>
        <v>No fuma</v>
      </c>
      <c r="U1383">
        <v>1506518</v>
      </c>
      <c r="V1383">
        <f t="shared" si="558"/>
        <v>2</v>
      </c>
      <c r="W1383" t="str">
        <f t="shared" si="559"/>
        <v>Siempre</v>
      </c>
      <c r="X1383">
        <v>0</v>
      </c>
      <c r="Y1383" t="str">
        <f t="shared" si="560"/>
        <v>No controla</v>
      </c>
      <c r="Z1383">
        <v>0</v>
      </c>
      <c r="AA1383">
        <f t="shared" si="561"/>
        <v>0</v>
      </c>
      <c r="AB1383" t="str">
        <f t="shared" si="562"/>
        <v>Nunca</v>
      </c>
      <c r="AC1383">
        <v>0</v>
      </c>
      <c r="AD1383">
        <f t="shared" si="563"/>
        <v>0</v>
      </c>
      <c r="AE1383" t="str">
        <f t="shared" si="564"/>
        <v>Nunca</v>
      </c>
      <c r="AF1383">
        <v>1</v>
      </c>
      <c r="AG1383" t="str">
        <f t="shared" si="565"/>
        <v>A veces</v>
      </c>
      <c r="AH1383">
        <v>1</v>
      </c>
      <c r="AI1383" t="str">
        <f t="shared" si="566"/>
        <v>Usa auto</v>
      </c>
      <c r="AJ1383">
        <v>0</v>
      </c>
      <c r="AK1383" t="str">
        <f t="shared" si="567"/>
        <v>No usa</v>
      </c>
      <c r="AL1383">
        <v>0</v>
      </c>
      <c r="AM1383" t="str">
        <f t="shared" si="568"/>
        <v>No usa</v>
      </c>
      <c r="AN1383">
        <v>0</v>
      </c>
      <c r="AO1383" t="str">
        <f t="shared" si="569"/>
        <v>No usa</v>
      </c>
      <c r="AP1383">
        <v>0</v>
      </c>
      <c r="AQ1383" t="str">
        <f t="shared" si="570"/>
        <v>No camina</v>
      </c>
      <c r="AR1383">
        <v>1</v>
      </c>
      <c r="AS1383" t="str">
        <f t="shared" si="571"/>
        <v>Es Obeso</v>
      </c>
    </row>
    <row r="1384" spans="1:45" x14ac:dyDescent="0.25">
      <c r="A1384">
        <v>0</v>
      </c>
      <c r="B1384" t="str">
        <f t="shared" si="546"/>
        <v>F</v>
      </c>
      <c r="C1384">
        <v>26220065</v>
      </c>
      <c r="D1384">
        <f t="shared" si="547"/>
        <v>71</v>
      </c>
      <c r="E1384">
        <f t="shared" si="548"/>
        <v>71</v>
      </c>
      <c r="F1384" t="str">
        <f t="shared" si="549"/>
        <v>50-75</v>
      </c>
      <c r="G1384">
        <v>1</v>
      </c>
      <c r="H1384" t="str">
        <f t="shared" si="550"/>
        <v>Pariente gordo</v>
      </c>
      <c r="I1384">
        <v>1</v>
      </c>
      <c r="J1384" t="str">
        <f t="shared" si="551"/>
        <v>Hipercaloricos</v>
      </c>
      <c r="K1384">
        <v>2108163</v>
      </c>
      <c r="L1384">
        <f t="shared" si="552"/>
        <v>1</v>
      </c>
      <c r="M1384" t="str">
        <f t="shared" si="553"/>
        <v>Suele comer</v>
      </c>
      <c r="N1384">
        <v>1231915</v>
      </c>
      <c r="O1384">
        <f t="shared" si="554"/>
        <v>2</v>
      </c>
      <c r="P1384" t="str">
        <f t="shared" si="555"/>
        <v>Mas de 3</v>
      </c>
      <c r="Q1384">
        <v>1</v>
      </c>
      <c r="R1384" t="str">
        <f t="shared" si="556"/>
        <v>A veces</v>
      </c>
      <c r="S1384">
        <v>0</v>
      </c>
      <c r="T1384" t="str">
        <f t="shared" si="557"/>
        <v>No fuma</v>
      </c>
      <c r="U1384">
        <v>1808127</v>
      </c>
      <c r="V1384">
        <f t="shared" si="558"/>
        <v>2</v>
      </c>
      <c r="W1384" t="str">
        <f t="shared" si="559"/>
        <v>Siempre</v>
      </c>
      <c r="X1384">
        <v>0</v>
      </c>
      <c r="Y1384" t="str">
        <f t="shared" si="560"/>
        <v>No controla</v>
      </c>
      <c r="Z1384">
        <v>0</v>
      </c>
      <c r="AA1384">
        <f t="shared" si="561"/>
        <v>0</v>
      </c>
      <c r="AB1384" t="str">
        <f t="shared" si="562"/>
        <v>Nunca</v>
      </c>
      <c r="AC1384">
        <v>0</v>
      </c>
      <c r="AD1384">
        <f t="shared" si="563"/>
        <v>0</v>
      </c>
      <c r="AE1384" t="str">
        <f t="shared" si="564"/>
        <v>Nunca</v>
      </c>
      <c r="AF1384">
        <v>1</v>
      </c>
      <c r="AG1384" t="str">
        <f t="shared" si="565"/>
        <v>A veces</v>
      </c>
      <c r="AH1384">
        <v>1</v>
      </c>
      <c r="AI1384" t="str">
        <f t="shared" si="566"/>
        <v>Usa auto</v>
      </c>
      <c r="AJ1384">
        <v>0</v>
      </c>
      <c r="AK1384" t="str">
        <f t="shared" si="567"/>
        <v>No usa</v>
      </c>
      <c r="AL1384">
        <v>0</v>
      </c>
      <c r="AM1384" t="str">
        <f t="shared" si="568"/>
        <v>No usa</v>
      </c>
      <c r="AN1384">
        <v>0</v>
      </c>
      <c r="AO1384" t="str">
        <f t="shared" si="569"/>
        <v>No usa</v>
      </c>
      <c r="AP1384">
        <v>0</v>
      </c>
      <c r="AQ1384" t="str">
        <f t="shared" si="570"/>
        <v>No camina</v>
      </c>
      <c r="AR1384">
        <v>1</v>
      </c>
      <c r="AS1384" t="str">
        <f t="shared" si="571"/>
        <v>Es Obeso</v>
      </c>
    </row>
    <row r="1385" spans="1:45" x14ac:dyDescent="0.25">
      <c r="A1385">
        <v>0</v>
      </c>
      <c r="B1385" t="str">
        <f t="shared" si="546"/>
        <v>F</v>
      </c>
      <c r="C1385">
        <v>23090215</v>
      </c>
      <c r="D1385">
        <f t="shared" si="547"/>
        <v>63</v>
      </c>
      <c r="E1385">
        <f t="shared" si="548"/>
        <v>63</v>
      </c>
      <c r="F1385" t="str">
        <f t="shared" si="549"/>
        <v>50-75</v>
      </c>
      <c r="G1385">
        <v>1</v>
      </c>
      <c r="H1385" t="str">
        <f t="shared" si="550"/>
        <v>Pariente gordo</v>
      </c>
      <c r="I1385">
        <v>1</v>
      </c>
      <c r="J1385" t="str">
        <f t="shared" si="551"/>
        <v>Hipercaloricos</v>
      </c>
      <c r="K1385">
        <v>1518966</v>
      </c>
      <c r="L1385">
        <f t="shared" si="552"/>
        <v>1</v>
      </c>
      <c r="M1385" t="str">
        <f t="shared" si="553"/>
        <v>Suele comer</v>
      </c>
      <c r="N1385">
        <v>1</v>
      </c>
      <c r="O1385">
        <f t="shared" si="554"/>
        <v>1</v>
      </c>
      <c r="P1385">
        <f t="shared" si="555"/>
        <v>3</v>
      </c>
      <c r="Q1385">
        <v>1</v>
      </c>
      <c r="R1385" t="str">
        <f t="shared" si="556"/>
        <v>A veces</v>
      </c>
      <c r="S1385">
        <v>0</v>
      </c>
      <c r="T1385" t="str">
        <f t="shared" si="557"/>
        <v>No fuma</v>
      </c>
      <c r="U1385">
        <v>2</v>
      </c>
      <c r="V1385">
        <f t="shared" si="558"/>
        <v>2</v>
      </c>
      <c r="W1385" t="str">
        <f t="shared" si="559"/>
        <v>Siempre</v>
      </c>
      <c r="X1385">
        <v>0</v>
      </c>
      <c r="Y1385" t="str">
        <f t="shared" si="560"/>
        <v>No controla</v>
      </c>
      <c r="Z1385">
        <v>0</v>
      </c>
      <c r="AA1385">
        <f t="shared" si="561"/>
        <v>0</v>
      </c>
      <c r="AB1385" t="str">
        <f t="shared" si="562"/>
        <v>Nunca</v>
      </c>
      <c r="AC1385">
        <v>1094046</v>
      </c>
      <c r="AD1385">
        <f t="shared" si="563"/>
        <v>2</v>
      </c>
      <c r="AE1385" t="str">
        <f t="shared" si="564"/>
        <v>Siempre</v>
      </c>
      <c r="AF1385">
        <v>0</v>
      </c>
      <c r="AG1385" t="str">
        <f t="shared" si="565"/>
        <v>Nunca</v>
      </c>
      <c r="AH1385">
        <v>0</v>
      </c>
      <c r="AI1385" t="str">
        <f t="shared" si="566"/>
        <v>No usa</v>
      </c>
      <c r="AJ1385">
        <v>0</v>
      </c>
      <c r="AK1385" t="str">
        <f t="shared" si="567"/>
        <v>No usa</v>
      </c>
      <c r="AL1385">
        <v>0</v>
      </c>
      <c r="AM1385" t="str">
        <f t="shared" si="568"/>
        <v>No usa</v>
      </c>
      <c r="AN1385">
        <v>1</v>
      </c>
      <c r="AO1385" t="str">
        <f t="shared" si="569"/>
        <v>Usa Transporte</v>
      </c>
      <c r="AP1385">
        <v>0</v>
      </c>
      <c r="AQ1385" t="str">
        <f t="shared" si="570"/>
        <v>No camina</v>
      </c>
      <c r="AR1385">
        <v>1</v>
      </c>
      <c r="AS1385" t="str">
        <f t="shared" si="571"/>
        <v>Es Obeso</v>
      </c>
    </row>
    <row r="1386" spans="1:45" x14ac:dyDescent="0.25">
      <c r="A1386">
        <v>0</v>
      </c>
      <c r="B1386" t="str">
        <f t="shared" si="546"/>
        <v>F</v>
      </c>
      <c r="C1386">
        <v>24565628</v>
      </c>
      <c r="D1386">
        <f t="shared" si="547"/>
        <v>67</v>
      </c>
      <c r="E1386">
        <f t="shared" si="548"/>
        <v>67</v>
      </c>
      <c r="F1386" t="str">
        <f t="shared" si="549"/>
        <v>50-75</v>
      </c>
      <c r="G1386">
        <v>1</v>
      </c>
      <c r="H1386" t="str">
        <f t="shared" si="550"/>
        <v>Pariente gordo</v>
      </c>
      <c r="I1386">
        <v>1</v>
      </c>
      <c r="J1386" t="str">
        <f t="shared" si="551"/>
        <v>Hipercaloricos</v>
      </c>
      <c r="K1386">
        <v>2260543</v>
      </c>
      <c r="L1386">
        <f t="shared" si="552"/>
        <v>1</v>
      </c>
      <c r="M1386" t="str">
        <f t="shared" si="553"/>
        <v>Suele comer</v>
      </c>
      <c r="N1386">
        <v>1374791</v>
      </c>
      <c r="O1386">
        <f t="shared" si="554"/>
        <v>2</v>
      </c>
      <c r="P1386" t="str">
        <f t="shared" si="555"/>
        <v>Mas de 3</v>
      </c>
      <c r="Q1386">
        <v>1</v>
      </c>
      <c r="R1386" t="str">
        <f t="shared" si="556"/>
        <v>A veces</v>
      </c>
      <c r="S1386">
        <v>0</v>
      </c>
      <c r="T1386" t="str">
        <f t="shared" si="557"/>
        <v>No fuma</v>
      </c>
      <c r="U1386">
        <v>1947935</v>
      </c>
      <c r="V1386">
        <f t="shared" si="558"/>
        <v>2</v>
      </c>
      <c r="W1386" t="str">
        <f t="shared" si="559"/>
        <v>Siempre</v>
      </c>
      <c r="X1386">
        <v>0</v>
      </c>
      <c r="Y1386" t="str">
        <f t="shared" si="560"/>
        <v>No controla</v>
      </c>
      <c r="Z1386">
        <v>0</v>
      </c>
      <c r="AA1386">
        <f t="shared" si="561"/>
        <v>0</v>
      </c>
      <c r="AB1386" t="str">
        <f t="shared" si="562"/>
        <v>Nunca</v>
      </c>
      <c r="AC1386">
        <v>7.8606999999999996E-2</v>
      </c>
      <c r="AD1386">
        <f t="shared" si="563"/>
        <v>0</v>
      </c>
      <c r="AE1386" t="str">
        <f t="shared" si="564"/>
        <v>Nunca</v>
      </c>
      <c r="AF1386">
        <v>0</v>
      </c>
      <c r="AG1386" t="str">
        <f t="shared" si="565"/>
        <v>Nunca</v>
      </c>
      <c r="AH1386">
        <v>0</v>
      </c>
      <c r="AI1386" t="str">
        <f t="shared" si="566"/>
        <v>No usa</v>
      </c>
      <c r="AJ1386">
        <v>0</v>
      </c>
      <c r="AK1386" t="str">
        <f t="shared" si="567"/>
        <v>No usa</v>
      </c>
      <c r="AL1386">
        <v>0</v>
      </c>
      <c r="AM1386" t="str">
        <f t="shared" si="568"/>
        <v>No usa</v>
      </c>
      <c r="AN1386">
        <v>1</v>
      </c>
      <c r="AO1386" t="str">
        <f t="shared" si="569"/>
        <v>Usa Transporte</v>
      </c>
      <c r="AP1386">
        <v>0</v>
      </c>
      <c r="AQ1386" t="str">
        <f t="shared" si="570"/>
        <v>No camina</v>
      </c>
      <c r="AR1386">
        <v>1</v>
      </c>
      <c r="AS1386" t="str">
        <f t="shared" si="571"/>
        <v>Es Obeso</v>
      </c>
    </row>
    <row r="1387" spans="1:45" x14ac:dyDescent="0.25">
      <c r="A1387">
        <v>0</v>
      </c>
      <c r="B1387" t="str">
        <f t="shared" si="546"/>
        <v>F</v>
      </c>
      <c r="C1387">
        <v>42586285</v>
      </c>
      <c r="D1387">
        <f t="shared" si="547"/>
        <v>116</v>
      </c>
      <c r="E1387">
        <f t="shared" si="548"/>
        <v>100</v>
      </c>
      <c r="F1387" t="str">
        <f t="shared" si="549"/>
        <v>75-100</v>
      </c>
      <c r="G1387">
        <v>1</v>
      </c>
      <c r="H1387" t="str">
        <f t="shared" si="550"/>
        <v>Pariente gordo</v>
      </c>
      <c r="I1387">
        <v>1</v>
      </c>
      <c r="J1387" t="str">
        <f t="shared" si="551"/>
        <v>Hipercaloricos</v>
      </c>
      <c r="K1387">
        <v>2522183</v>
      </c>
      <c r="L1387">
        <f t="shared" si="552"/>
        <v>1</v>
      </c>
      <c r="M1387" t="str">
        <f t="shared" si="553"/>
        <v>Suele comer</v>
      </c>
      <c r="N1387">
        <v>1326982</v>
      </c>
      <c r="O1387">
        <f t="shared" si="554"/>
        <v>2</v>
      </c>
      <c r="P1387" t="str">
        <f t="shared" si="555"/>
        <v>Mas de 3</v>
      </c>
      <c r="Q1387">
        <v>1</v>
      </c>
      <c r="R1387" t="str">
        <f t="shared" si="556"/>
        <v>A veces</v>
      </c>
      <c r="S1387">
        <v>0</v>
      </c>
      <c r="T1387" t="str">
        <f t="shared" si="557"/>
        <v>No fuma</v>
      </c>
      <c r="U1387">
        <v>1872673</v>
      </c>
      <c r="V1387">
        <f t="shared" si="558"/>
        <v>2</v>
      </c>
      <c r="W1387" t="str">
        <f t="shared" si="559"/>
        <v>Siempre</v>
      </c>
      <c r="X1387">
        <v>0</v>
      </c>
      <c r="Y1387" t="str">
        <f t="shared" si="560"/>
        <v>No controla</v>
      </c>
      <c r="Z1387">
        <v>1048507</v>
      </c>
      <c r="AA1387">
        <f t="shared" si="561"/>
        <v>3</v>
      </c>
      <c r="AB1387" t="str">
        <f t="shared" si="562"/>
        <v>Siempre</v>
      </c>
      <c r="AC1387">
        <v>0</v>
      </c>
      <c r="AD1387">
        <f t="shared" si="563"/>
        <v>0</v>
      </c>
      <c r="AE1387" t="str">
        <f t="shared" si="564"/>
        <v>Nunca</v>
      </c>
      <c r="AF1387">
        <v>0</v>
      </c>
      <c r="AG1387" t="str">
        <f t="shared" si="565"/>
        <v>Nunca</v>
      </c>
      <c r="AH1387">
        <v>1</v>
      </c>
      <c r="AI1387" t="str">
        <f t="shared" si="566"/>
        <v>Usa auto</v>
      </c>
      <c r="AJ1387">
        <v>0</v>
      </c>
      <c r="AK1387" t="str">
        <f t="shared" si="567"/>
        <v>No usa</v>
      </c>
      <c r="AL1387">
        <v>0</v>
      </c>
      <c r="AM1387" t="str">
        <f t="shared" si="568"/>
        <v>No usa</v>
      </c>
      <c r="AN1387">
        <v>0</v>
      </c>
      <c r="AO1387" t="str">
        <f t="shared" si="569"/>
        <v>No usa</v>
      </c>
      <c r="AP1387">
        <v>0</v>
      </c>
      <c r="AQ1387" t="str">
        <f t="shared" si="570"/>
        <v>No camina</v>
      </c>
      <c r="AR1387">
        <v>1</v>
      </c>
      <c r="AS1387" t="str">
        <f t="shared" si="571"/>
        <v>Es Obeso</v>
      </c>
    </row>
    <row r="1388" spans="1:45" x14ac:dyDescent="0.25">
      <c r="A1388">
        <v>0</v>
      </c>
      <c r="B1388" t="str">
        <f t="shared" si="546"/>
        <v>F</v>
      </c>
      <c r="C1388">
        <v>43719395</v>
      </c>
      <c r="D1388">
        <f t="shared" si="547"/>
        <v>119</v>
      </c>
      <c r="E1388">
        <f t="shared" si="548"/>
        <v>100</v>
      </c>
      <c r="F1388" t="str">
        <f t="shared" si="549"/>
        <v>75-100</v>
      </c>
      <c r="G1388">
        <v>1</v>
      </c>
      <c r="H1388" t="str">
        <f t="shared" si="550"/>
        <v>Pariente gordo</v>
      </c>
      <c r="I1388">
        <v>1</v>
      </c>
      <c r="J1388" t="str">
        <f t="shared" si="551"/>
        <v>Hipercaloricos</v>
      </c>
      <c r="K1388">
        <v>2186322</v>
      </c>
      <c r="L1388">
        <f t="shared" si="552"/>
        <v>1</v>
      </c>
      <c r="M1388" t="str">
        <f t="shared" si="553"/>
        <v>Suele comer</v>
      </c>
      <c r="N1388">
        <v>2900915</v>
      </c>
      <c r="O1388">
        <f t="shared" si="554"/>
        <v>2</v>
      </c>
      <c r="P1388" t="str">
        <f t="shared" si="555"/>
        <v>Mas de 3</v>
      </c>
      <c r="Q1388">
        <v>1</v>
      </c>
      <c r="R1388" t="str">
        <f t="shared" si="556"/>
        <v>A veces</v>
      </c>
      <c r="S1388">
        <v>0</v>
      </c>
      <c r="T1388" t="str">
        <f t="shared" si="557"/>
        <v>No fuma</v>
      </c>
      <c r="U1388">
        <v>2471033</v>
      </c>
      <c r="V1388">
        <f t="shared" si="558"/>
        <v>2</v>
      </c>
      <c r="W1388" t="str">
        <f t="shared" si="559"/>
        <v>Siempre</v>
      </c>
      <c r="X1388">
        <v>0</v>
      </c>
      <c r="Y1388" t="str">
        <f t="shared" si="560"/>
        <v>No controla</v>
      </c>
      <c r="Z1388">
        <v>0.25611299999999998</v>
      </c>
      <c r="AA1388">
        <f t="shared" si="561"/>
        <v>0</v>
      </c>
      <c r="AB1388" t="str">
        <f t="shared" si="562"/>
        <v>Nunca</v>
      </c>
      <c r="AC1388">
        <v>0</v>
      </c>
      <c r="AD1388">
        <f t="shared" si="563"/>
        <v>0</v>
      </c>
      <c r="AE1388" t="str">
        <f t="shared" si="564"/>
        <v>Nunca</v>
      </c>
      <c r="AF1388">
        <v>0</v>
      </c>
      <c r="AG1388" t="str">
        <f t="shared" si="565"/>
        <v>Nunca</v>
      </c>
      <c r="AH1388">
        <v>1</v>
      </c>
      <c r="AI1388" t="str">
        <f t="shared" si="566"/>
        <v>Usa auto</v>
      </c>
      <c r="AJ1388">
        <v>0</v>
      </c>
      <c r="AK1388" t="str">
        <f t="shared" si="567"/>
        <v>No usa</v>
      </c>
      <c r="AL1388">
        <v>0</v>
      </c>
      <c r="AM1388" t="str">
        <f t="shared" si="568"/>
        <v>No usa</v>
      </c>
      <c r="AN1388">
        <v>0</v>
      </c>
      <c r="AO1388" t="str">
        <f t="shared" si="569"/>
        <v>No usa</v>
      </c>
      <c r="AP1388">
        <v>0</v>
      </c>
      <c r="AQ1388" t="str">
        <f t="shared" si="570"/>
        <v>No camina</v>
      </c>
      <c r="AR1388">
        <v>1</v>
      </c>
      <c r="AS1388" t="str">
        <f t="shared" si="571"/>
        <v>Es Obeso</v>
      </c>
    </row>
    <row r="1389" spans="1:45" x14ac:dyDescent="0.25">
      <c r="A1389">
        <v>0</v>
      </c>
      <c r="B1389" t="str">
        <f t="shared" si="546"/>
        <v>F</v>
      </c>
      <c r="C1389">
        <v>4337634</v>
      </c>
      <c r="D1389">
        <f t="shared" si="547"/>
        <v>11</v>
      </c>
      <c r="E1389">
        <f t="shared" si="548"/>
        <v>11</v>
      </c>
      <c r="F1389" t="str">
        <f t="shared" si="549"/>
        <v>1-25</v>
      </c>
      <c r="G1389">
        <v>1</v>
      </c>
      <c r="H1389" t="str">
        <f t="shared" si="550"/>
        <v>Pariente gordo</v>
      </c>
      <c r="I1389">
        <v>1</v>
      </c>
      <c r="J1389" t="str">
        <f t="shared" si="551"/>
        <v>Hipercaloricos</v>
      </c>
      <c r="K1389">
        <v>276632</v>
      </c>
      <c r="L1389">
        <f t="shared" si="552"/>
        <v>1</v>
      </c>
      <c r="M1389" t="str">
        <f t="shared" si="553"/>
        <v>Suele comer</v>
      </c>
      <c r="N1389">
        <v>1317884</v>
      </c>
      <c r="O1389">
        <f t="shared" si="554"/>
        <v>2</v>
      </c>
      <c r="P1389" t="str">
        <f t="shared" si="555"/>
        <v>Mas de 3</v>
      </c>
      <c r="Q1389">
        <v>1</v>
      </c>
      <c r="R1389" t="str">
        <f t="shared" si="556"/>
        <v>A veces</v>
      </c>
      <c r="S1389">
        <v>0</v>
      </c>
      <c r="T1389" t="str">
        <f t="shared" si="557"/>
        <v>No fuma</v>
      </c>
      <c r="U1389">
        <v>1889341</v>
      </c>
      <c r="V1389">
        <f t="shared" si="558"/>
        <v>2</v>
      </c>
      <c r="W1389" t="str">
        <f t="shared" si="559"/>
        <v>Siempre</v>
      </c>
      <c r="X1389">
        <v>0</v>
      </c>
      <c r="Y1389" t="str">
        <f t="shared" si="560"/>
        <v>No controla</v>
      </c>
      <c r="Z1389">
        <v>0.99064200000000002</v>
      </c>
      <c r="AA1389">
        <f t="shared" si="561"/>
        <v>0</v>
      </c>
      <c r="AB1389" t="str">
        <f t="shared" si="562"/>
        <v>Nunca</v>
      </c>
      <c r="AC1389">
        <v>0</v>
      </c>
      <c r="AD1389">
        <f t="shared" si="563"/>
        <v>0</v>
      </c>
      <c r="AE1389" t="str">
        <f t="shared" si="564"/>
        <v>Nunca</v>
      </c>
      <c r="AF1389">
        <v>0</v>
      </c>
      <c r="AG1389" t="str">
        <f t="shared" si="565"/>
        <v>Nunca</v>
      </c>
      <c r="AH1389">
        <v>1</v>
      </c>
      <c r="AI1389" t="str">
        <f t="shared" si="566"/>
        <v>Usa auto</v>
      </c>
      <c r="AJ1389">
        <v>0</v>
      </c>
      <c r="AK1389" t="str">
        <f t="shared" si="567"/>
        <v>No usa</v>
      </c>
      <c r="AL1389">
        <v>0</v>
      </c>
      <c r="AM1389" t="str">
        <f t="shared" si="568"/>
        <v>No usa</v>
      </c>
      <c r="AN1389">
        <v>0</v>
      </c>
      <c r="AO1389" t="str">
        <f t="shared" si="569"/>
        <v>No usa</v>
      </c>
      <c r="AP1389">
        <v>0</v>
      </c>
      <c r="AQ1389" t="str">
        <f t="shared" si="570"/>
        <v>No camina</v>
      </c>
      <c r="AR1389">
        <v>1</v>
      </c>
      <c r="AS1389" t="str">
        <f t="shared" si="571"/>
        <v>Es Obeso</v>
      </c>
    </row>
    <row r="1390" spans="1:45" x14ac:dyDescent="0.25">
      <c r="A1390">
        <v>0</v>
      </c>
      <c r="B1390" t="str">
        <f t="shared" si="546"/>
        <v>F</v>
      </c>
      <c r="C1390">
        <v>39648946</v>
      </c>
      <c r="D1390">
        <f t="shared" si="547"/>
        <v>108</v>
      </c>
      <c r="E1390">
        <f t="shared" si="548"/>
        <v>100</v>
      </c>
      <c r="F1390" t="str">
        <f t="shared" si="549"/>
        <v>75-100</v>
      </c>
      <c r="G1390">
        <v>1</v>
      </c>
      <c r="H1390" t="str">
        <f t="shared" si="550"/>
        <v>Pariente gordo</v>
      </c>
      <c r="I1390">
        <v>1</v>
      </c>
      <c r="J1390" t="str">
        <f t="shared" si="551"/>
        <v>Hipercaloricos</v>
      </c>
      <c r="K1390">
        <v>2071622</v>
      </c>
      <c r="L1390">
        <f t="shared" si="552"/>
        <v>1</v>
      </c>
      <c r="M1390" t="str">
        <f t="shared" si="553"/>
        <v>Suele comer</v>
      </c>
      <c r="N1390">
        <v>2977909</v>
      </c>
      <c r="O1390">
        <f t="shared" si="554"/>
        <v>2</v>
      </c>
      <c r="P1390" t="str">
        <f t="shared" si="555"/>
        <v>Mas de 3</v>
      </c>
      <c r="Q1390">
        <v>1</v>
      </c>
      <c r="R1390" t="str">
        <f t="shared" si="556"/>
        <v>A veces</v>
      </c>
      <c r="S1390">
        <v>0</v>
      </c>
      <c r="T1390" t="str">
        <f t="shared" si="557"/>
        <v>No fuma</v>
      </c>
      <c r="U1390">
        <v>1468297</v>
      </c>
      <c r="V1390">
        <f t="shared" si="558"/>
        <v>2</v>
      </c>
      <c r="W1390" t="str">
        <f t="shared" si="559"/>
        <v>Siempre</v>
      </c>
      <c r="X1390">
        <v>0</v>
      </c>
      <c r="Y1390" t="str">
        <f t="shared" si="560"/>
        <v>No controla</v>
      </c>
      <c r="Z1390">
        <v>0</v>
      </c>
      <c r="AA1390">
        <f t="shared" si="561"/>
        <v>0</v>
      </c>
      <c r="AB1390" t="str">
        <f t="shared" si="562"/>
        <v>Nunca</v>
      </c>
      <c r="AC1390">
        <v>0</v>
      </c>
      <c r="AD1390">
        <f t="shared" si="563"/>
        <v>0</v>
      </c>
      <c r="AE1390" t="str">
        <f t="shared" si="564"/>
        <v>Nunca</v>
      </c>
      <c r="AF1390">
        <v>0</v>
      </c>
      <c r="AG1390" t="str">
        <f t="shared" si="565"/>
        <v>Nunca</v>
      </c>
      <c r="AH1390">
        <v>1</v>
      </c>
      <c r="AI1390" t="str">
        <f t="shared" si="566"/>
        <v>Usa auto</v>
      </c>
      <c r="AJ1390">
        <v>0</v>
      </c>
      <c r="AK1390" t="str">
        <f t="shared" si="567"/>
        <v>No usa</v>
      </c>
      <c r="AL1390">
        <v>0</v>
      </c>
      <c r="AM1390" t="str">
        <f t="shared" si="568"/>
        <v>No usa</v>
      </c>
      <c r="AN1390">
        <v>0</v>
      </c>
      <c r="AO1390" t="str">
        <f t="shared" si="569"/>
        <v>No usa</v>
      </c>
      <c r="AP1390">
        <v>0</v>
      </c>
      <c r="AQ1390" t="str">
        <f t="shared" si="570"/>
        <v>No camina</v>
      </c>
      <c r="AR1390">
        <v>1</v>
      </c>
      <c r="AS1390" t="str">
        <f t="shared" si="571"/>
        <v>Es Obeso</v>
      </c>
    </row>
    <row r="1391" spans="1:45" x14ac:dyDescent="0.25">
      <c r="A1391">
        <v>0</v>
      </c>
      <c r="B1391" t="str">
        <f t="shared" si="546"/>
        <v>F</v>
      </c>
      <c r="C1391">
        <v>22693989</v>
      </c>
      <c r="D1391">
        <f t="shared" si="547"/>
        <v>62</v>
      </c>
      <c r="E1391">
        <f t="shared" si="548"/>
        <v>62</v>
      </c>
      <c r="F1391" t="str">
        <f t="shared" si="549"/>
        <v>50-75</v>
      </c>
      <c r="G1391">
        <v>1</v>
      </c>
      <c r="H1391" t="str">
        <f t="shared" si="550"/>
        <v>Pariente gordo</v>
      </c>
      <c r="I1391">
        <v>1</v>
      </c>
      <c r="J1391" t="str">
        <f t="shared" si="551"/>
        <v>Hipercaloricos</v>
      </c>
      <c r="K1391">
        <v>1918251</v>
      </c>
      <c r="L1391">
        <f t="shared" si="552"/>
        <v>1</v>
      </c>
      <c r="M1391" t="str">
        <f t="shared" si="553"/>
        <v>Suele comer</v>
      </c>
      <c r="N1391">
        <v>1355752</v>
      </c>
      <c r="O1391">
        <f t="shared" si="554"/>
        <v>2</v>
      </c>
      <c r="P1391" t="str">
        <f t="shared" si="555"/>
        <v>Mas de 3</v>
      </c>
      <c r="Q1391">
        <v>1</v>
      </c>
      <c r="R1391" t="str">
        <f t="shared" si="556"/>
        <v>A veces</v>
      </c>
      <c r="S1391">
        <v>0</v>
      </c>
      <c r="T1391" t="str">
        <f t="shared" si="557"/>
        <v>No fuma</v>
      </c>
      <c r="U1391">
        <v>1998108</v>
      </c>
      <c r="V1391">
        <f t="shared" si="558"/>
        <v>2</v>
      </c>
      <c r="W1391" t="str">
        <f t="shared" si="559"/>
        <v>Siempre</v>
      </c>
      <c r="X1391">
        <v>0</v>
      </c>
      <c r="Y1391" t="str">
        <f t="shared" si="560"/>
        <v>No controla</v>
      </c>
      <c r="Z1391">
        <v>0</v>
      </c>
      <c r="AA1391">
        <f t="shared" si="561"/>
        <v>0</v>
      </c>
      <c r="AB1391" t="str">
        <f t="shared" si="562"/>
        <v>Nunca</v>
      </c>
      <c r="AC1391">
        <v>1382906</v>
      </c>
      <c r="AD1391">
        <f t="shared" si="563"/>
        <v>2</v>
      </c>
      <c r="AE1391" t="str">
        <f t="shared" si="564"/>
        <v>Siempre</v>
      </c>
      <c r="AF1391">
        <v>1</v>
      </c>
      <c r="AG1391" t="str">
        <f t="shared" si="565"/>
        <v>A veces</v>
      </c>
      <c r="AH1391">
        <v>0</v>
      </c>
      <c r="AI1391" t="str">
        <f t="shared" si="566"/>
        <v>No usa</v>
      </c>
      <c r="AJ1391">
        <v>0</v>
      </c>
      <c r="AK1391" t="str">
        <f t="shared" si="567"/>
        <v>No usa</v>
      </c>
      <c r="AL1391">
        <v>0</v>
      </c>
      <c r="AM1391" t="str">
        <f t="shared" si="568"/>
        <v>No usa</v>
      </c>
      <c r="AN1391">
        <v>1</v>
      </c>
      <c r="AO1391" t="str">
        <f t="shared" si="569"/>
        <v>Usa Transporte</v>
      </c>
      <c r="AP1391">
        <v>0</v>
      </c>
      <c r="AQ1391" t="str">
        <f t="shared" si="570"/>
        <v>No camina</v>
      </c>
      <c r="AR1391">
        <v>1</v>
      </c>
      <c r="AS1391" t="str">
        <f t="shared" si="571"/>
        <v>Es Obeso</v>
      </c>
    </row>
    <row r="1392" spans="1:45" x14ac:dyDescent="0.25">
      <c r="A1392">
        <v>0</v>
      </c>
      <c r="B1392" t="str">
        <f t="shared" si="546"/>
        <v>F</v>
      </c>
      <c r="C1392">
        <v>22676243</v>
      </c>
      <c r="D1392">
        <f t="shared" si="547"/>
        <v>62</v>
      </c>
      <c r="E1392">
        <f t="shared" si="548"/>
        <v>62</v>
      </c>
      <c r="F1392" t="str">
        <f t="shared" si="549"/>
        <v>50-75</v>
      </c>
      <c r="G1392">
        <v>1</v>
      </c>
      <c r="H1392" t="str">
        <f t="shared" si="550"/>
        <v>Pariente gordo</v>
      </c>
      <c r="I1392">
        <v>1</v>
      </c>
      <c r="J1392" t="str">
        <f t="shared" si="551"/>
        <v>Hipercaloricos</v>
      </c>
      <c r="K1392">
        <v>1967061</v>
      </c>
      <c r="L1392">
        <f t="shared" si="552"/>
        <v>1</v>
      </c>
      <c r="M1392" t="str">
        <f t="shared" si="553"/>
        <v>Suele comer</v>
      </c>
      <c r="N1392">
        <v>1</v>
      </c>
      <c r="O1392">
        <f t="shared" si="554"/>
        <v>1</v>
      </c>
      <c r="P1392">
        <f t="shared" si="555"/>
        <v>3</v>
      </c>
      <c r="Q1392">
        <v>1</v>
      </c>
      <c r="R1392" t="str">
        <f t="shared" si="556"/>
        <v>A veces</v>
      </c>
      <c r="S1392">
        <v>0</v>
      </c>
      <c r="T1392" t="str">
        <f t="shared" si="557"/>
        <v>No fuma</v>
      </c>
      <c r="U1392">
        <v>2548651</v>
      </c>
      <c r="V1392">
        <f t="shared" si="558"/>
        <v>2</v>
      </c>
      <c r="W1392" t="str">
        <f t="shared" si="559"/>
        <v>Siempre</v>
      </c>
      <c r="X1392">
        <v>0</v>
      </c>
      <c r="Y1392" t="str">
        <f t="shared" si="560"/>
        <v>No controla</v>
      </c>
      <c r="Z1392">
        <v>0.24926400000000001</v>
      </c>
      <c r="AA1392">
        <f t="shared" si="561"/>
        <v>0</v>
      </c>
      <c r="AB1392" t="str">
        <f t="shared" si="562"/>
        <v>Nunca</v>
      </c>
      <c r="AC1392">
        <v>1516731</v>
      </c>
      <c r="AD1392">
        <f t="shared" si="563"/>
        <v>2</v>
      </c>
      <c r="AE1392" t="str">
        <f t="shared" si="564"/>
        <v>Siempre</v>
      </c>
      <c r="AF1392">
        <v>1</v>
      </c>
      <c r="AG1392" t="str">
        <f t="shared" si="565"/>
        <v>A veces</v>
      </c>
      <c r="AH1392">
        <v>0</v>
      </c>
      <c r="AI1392" t="str">
        <f t="shared" si="566"/>
        <v>No usa</v>
      </c>
      <c r="AJ1392">
        <v>0</v>
      </c>
      <c r="AK1392" t="str">
        <f t="shared" si="567"/>
        <v>No usa</v>
      </c>
      <c r="AL1392">
        <v>0</v>
      </c>
      <c r="AM1392" t="str">
        <f t="shared" si="568"/>
        <v>No usa</v>
      </c>
      <c r="AN1392">
        <v>1</v>
      </c>
      <c r="AO1392" t="str">
        <f t="shared" si="569"/>
        <v>Usa Transporte</v>
      </c>
      <c r="AP1392">
        <v>0</v>
      </c>
      <c r="AQ1392" t="str">
        <f t="shared" si="570"/>
        <v>No camina</v>
      </c>
      <c r="AR1392">
        <v>1</v>
      </c>
      <c r="AS1392" t="str">
        <f t="shared" si="571"/>
        <v>Es Obeso</v>
      </c>
    </row>
    <row r="1393" spans="1:45" x14ac:dyDescent="0.25">
      <c r="A1393">
        <v>0</v>
      </c>
      <c r="B1393" t="str">
        <f t="shared" si="546"/>
        <v>F</v>
      </c>
      <c r="C1393">
        <v>22804818</v>
      </c>
      <c r="D1393">
        <f t="shared" si="547"/>
        <v>62</v>
      </c>
      <c r="E1393">
        <f t="shared" si="548"/>
        <v>62</v>
      </c>
      <c r="F1393" t="str">
        <f t="shared" si="549"/>
        <v>50-75</v>
      </c>
      <c r="G1393">
        <v>1</v>
      </c>
      <c r="H1393" t="str">
        <f t="shared" si="550"/>
        <v>Pariente gordo</v>
      </c>
      <c r="I1393">
        <v>1</v>
      </c>
      <c r="J1393" t="str">
        <f t="shared" si="551"/>
        <v>Hipercaloricos</v>
      </c>
      <c r="K1393">
        <v>2964419</v>
      </c>
      <c r="L1393">
        <f t="shared" si="552"/>
        <v>1</v>
      </c>
      <c r="M1393" t="str">
        <f t="shared" si="553"/>
        <v>Suele comer</v>
      </c>
      <c r="N1393">
        <v>1</v>
      </c>
      <c r="O1393">
        <f t="shared" si="554"/>
        <v>1</v>
      </c>
      <c r="P1393">
        <f t="shared" si="555"/>
        <v>3</v>
      </c>
      <c r="Q1393">
        <v>1</v>
      </c>
      <c r="R1393" t="str">
        <f t="shared" si="556"/>
        <v>A veces</v>
      </c>
      <c r="S1393">
        <v>0</v>
      </c>
      <c r="T1393" t="str">
        <f t="shared" si="557"/>
        <v>No fuma</v>
      </c>
      <c r="U1393">
        <v>2977516</v>
      </c>
      <c r="V1393">
        <f t="shared" si="558"/>
        <v>2</v>
      </c>
      <c r="W1393" t="str">
        <f t="shared" si="559"/>
        <v>Siempre</v>
      </c>
      <c r="X1393">
        <v>0</v>
      </c>
      <c r="Y1393" t="str">
        <f t="shared" si="560"/>
        <v>No controla</v>
      </c>
      <c r="Z1393">
        <v>0.74211300000000002</v>
      </c>
      <c r="AA1393">
        <f t="shared" si="561"/>
        <v>0</v>
      </c>
      <c r="AB1393" t="str">
        <f t="shared" si="562"/>
        <v>Nunca</v>
      </c>
      <c r="AC1393">
        <v>2</v>
      </c>
      <c r="AD1393">
        <f t="shared" si="563"/>
        <v>2</v>
      </c>
      <c r="AE1393" t="str">
        <f t="shared" si="564"/>
        <v>Siempre</v>
      </c>
      <c r="AF1393">
        <v>1</v>
      </c>
      <c r="AG1393" t="str">
        <f t="shared" si="565"/>
        <v>A veces</v>
      </c>
      <c r="AH1393">
        <v>0</v>
      </c>
      <c r="AI1393" t="str">
        <f t="shared" si="566"/>
        <v>No usa</v>
      </c>
      <c r="AJ1393">
        <v>0</v>
      </c>
      <c r="AK1393" t="str">
        <f t="shared" si="567"/>
        <v>No usa</v>
      </c>
      <c r="AL1393">
        <v>0</v>
      </c>
      <c r="AM1393" t="str">
        <f t="shared" si="568"/>
        <v>No usa</v>
      </c>
      <c r="AN1393">
        <v>1</v>
      </c>
      <c r="AO1393" t="str">
        <f t="shared" si="569"/>
        <v>Usa Transporte</v>
      </c>
      <c r="AP1393">
        <v>0</v>
      </c>
      <c r="AQ1393" t="str">
        <f t="shared" si="570"/>
        <v>No camina</v>
      </c>
      <c r="AR1393">
        <v>1</v>
      </c>
      <c r="AS1393" t="str">
        <f t="shared" si="571"/>
        <v>Es Obeso</v>
      </c>
    </row>
    <row r="1394" spans="1:45" x14ac:dyDescent="0.25">
      <c r="A1394">
        <v>0</v>
      </c>
      <c r="B1394" t="str">
        <f t="shared" si="546"/>
        <v>F</v>
      </c>
      <c r="C1394">
        <v>22857123</v>
      </c>
      <c r="D1394">
        <f t="shared" si="547"/>
        <v>62</v>
      </c>
      <c r="E1394">
        <f t="shared" si="548"/>
        <v>62</v>
      </c>
      <c r="F1394" t="str">
        <f t="shared" si="549"/>
        <v>50-75</v>
      </c>
      <c r="G1394">
        <v>1</v>
      </c>
      <c r="H1394" t="str">
        <f t="shared" si="550"/>
        <v>Pariente gordo</v>
      </c>
      <c r="I1394">
        <v>1</v>
      </c>
      <c r="J1394" t="str">
        <f t="shared" si="551"/>
        <v>Hipercaloricos</v>
      </c>
      <c r="K1394">
        <v>2640801</v>
      </c>
      <c r="L1394">
        <f t="shared" si="552"/>
        <v>1</v>
      </c>
      <c r="M1394" t="str">
        <f t="shared" si="553"/>
        <v>Suele comer</v>
      </c>
      <c r="N1394">
        <v>1015488</v>
      </c>
      <c r="O1394">
        <f t="shared" si="554"/>
        <v>2</v>
      </c>
      <c r="P1394" t="str">
        <f t="shared" si="555"/>
        <v>Mas de 3</v>
      </c>
      <c r="Q1394">
        <v>1</v>
      </c>
      <c r="R1394" t="str">
        <f t="shared" si="556"/>
        <v>A veces</v>
      </c>
      <c r="S1394">
        <v>0</v>
      </c>
      <c r="T1394" t="str">
        <f t="shared" si="557"/>
        <v>No fuma</v>
      </c>
      <c r="U1394">
        <v>2022355</v>
      </c>
      <c r="V1394">
        <f t="shared" si="558"/>
        <v>2</v>
      </c>
      <c r="W1394" t="str">
        <f t="shared" si="559"/>
        <v>Siempre</v>
      </c>
      <c r="X1394">
        <v>0</v>
      </c>
      <c r="Y1394" t="str">
        <f t="shared" si="560"/>
        <v>No controla</v>
      </c>
      <c r="Z1394">
        <v>0.24474899999999999</v>
      </c>
      <c r="AA1394">
        <f t="shared" si="561"/>
        <v>0</v>
      </c>
      <c r="AB1394" t="str">
        <f t="shared" si="562"/>
        <v>Nunca</v>
      </c>
      <c r="AC1394">
        <v>0.28921799999999998</v>
      </c>
      <c r="AD1394">
        <f t="shared" si="563"/>
        <v>0</v>
      </c>
      <c r="AE1394" t="str">
        <f t="shared" si="564"/>
        <v>Nunca</v>
      </c>
      <c r="AF1394">
        <v>1</v>
      </c>
      <c r="AG1394" t="str">
        <f t="shared" si="565"/>
        <v>A veces</v>
      </c>
      <c r="AH1394">
        <v>0</v>
      </c>
      <c r="AI1394" t="str">
        <f t="shared" si="566"/>
        <v>No usa</v>
      </c>
      <c r="AJ1394">
        <v>0</v>
      </c>
      <c r="AK1394" t="str">
        <f t="shared" si="567"/>
        <v>No usa</v>
      </c>
      <c r="AL1394">
        <v>0</v>
      </c>
      <c r="AM1394" t="str">
        <f t="shared" si="568"/>
        <v>No usa</v>
      </c>
      <c r="AN1394">
        <v>1</v>
      </c>
      <c r="AO1394" t="str">
        <f t="shared" si="569"/>
        <v>Usa Transporte</v>
      </c>
      <c r="AP1394">
        <v>0</v>
      </c>
      <c r="AQ1394" t="str">
        <f t="shared" si="570"/>
        <v>No camina</v>
      </c>
      <c r="AR1394">
        <v>1</v>
      </c>
      <c r="AS1394" t="str">
        <f t="shared" si="571"/>
        <v>Es Obeso</v>
      </c>
    </row>
    <row r="1395" spans="1:45" x14ac:dyDescent="0.25">
      <c r="A1395">
        <v>1</v>
      </c>
      <c r="B1395" t="str">
        <f t="shared" si="546"/>
        <v>M</v>
      </c>
      <c r="C1395">
        <v>23096353</v>
      </c>
      <c r="D1395">
        <f t="shared" si="547"/>
        <v>63</v>
      </c>
      <c r="E1395">
        <f t="shared" si="548"/>
        <v>63</v>
      </c>
      <c r="F1395" t="str">
        <f t="shared" si="549"/>
        <v>50-75</v>
      </c>
      <c r="G1395">
        <v>1</v>
      </c>
      <c r="H1395" t="str">
        <f t="shared" si="550"/>
        <v>Pariente gordo</v>
      </c>
      <c r="I1395">
        <v>1</v>
      </c>
      <c r="J1395" t="str">
        <f t="shared" si="551"/>
        <v>Hipercaloricos</v>
      </c>
      <c r="K1395">
        <v>2</v>
      </c>
      <c r="L1395">
        <f t="shared" si="552"/>
        <v>1</v>
      </c>
      <c r="M1395" t="str">
        <f t="shared" si="553"/>
        <v>Suele comer</v>
      </c>
      <c r="N1395">
        <v>2986172</v>
      </c>
      <c r="O1395">
        <f t="shared" si="554"/>
        <v>2</v>
      </c>
      <c r="P1395" t="str">
        <f t="shared" si="555"/>
        <v>Mas de 3</v>
      </c>
      <c r="Q1395">
        <v>1</v>
      </c>
      <c r="R1395" t="str">
        <f t="shared" si="556"/>
        <v>A veces</v>
      </c>
      <c r="S1395">
        <v>0</v>
      </c>
      <c r="T1395" t="str">
        <f t="shared" si="557"/>
        <v>No fuma</v>
      </c>
      <c r="U1395">
        <v>2364208</v>
      </c>
      <c r="V1395">
        <f t="shared" si="558"/>
        <v>2</v>
      </c>
      <c r="W1395" t="str">
        <f t="shared" si="559"/>
        <v>Siempre</v>
      </c>
      <c r="X1395">
        <v>0</v>
      </c>
      <c r="Y1395" t="str">
        <f t="shared" si="560"/>
        <v>No controla</v>
      </c>
      <c r="Z1395">
        <v>2492402</v>
      </c>
      <c r="AA1395">
        <f t="shared" si="561"/>
        <v>3</v>
      </c>
      <c r="AB1395" t="str">
        <f t="shared" si="562"/>
        <v>Siempre</v>
      </c>
      <c r="AC1395">
        <v>1632506</v>
      </c>
      <c r="AD1395">
        <f t="shared" si="563"/>
        <v>2</v>
      </c>
      <c r="AE1395" t="str">
        <f t="shared" si="564"/>
        <v>Siempre</v>
      </c>
      <c r="AF1395">
        <v>0</v>
      </c>
      <c r="AG1395" t="str">
        <f t="shared" si="565"/>
        <v>Nunca</v>
      </c>
      <c r="AH1395">
        <v>0</v>
      </c>
      <c r="AI1395" t="str">
        <f t="shared" si="566"/>
        <v>No usa</v>
      </c>
      <c r="AJ1395">
        <v>0</v>
      </c>
      <c r="AK1395" t="str">
        <f t="shared" si="567"/>
        <v>No usa</v>
      </c>
      <c r="AL1395">
        <v>0</v>
      </c>
      <c r="AM1395" t="str">
        <f t="shared" si="568"/>
        <v>No usa</v>
      </c>
      <c r="AN1395">
        <v>1</v>
      </c>
      <c r="AO1395" t="str">
        <f t="shared" si="569"/>
        <v>Usa Transporte</v>
      </c>
      <c r="AP1395">
        <v>0</v>
      </c>
      <c r="AQ1395" t="str">
        <f t="shared" si="570"/>
        <v>No camina</v>
      </c>
      <c r="AR1395">
        <v>1</v>
      </c>
      <c r="AS1395" t="str">
        <f t="shared" si="571"/>
        <v>Es Obeso</v>
      </c>
    </row>
    <row r="1396" spans="1:45" x14ac:dyDescent="0.25">
      <c r="A1396">
        <v>1</v>
      </c>
      <c r="B1396" t="str">
        <f t="shared" si="546"/>
        <v>M</v>
      </c>
      <c r="C1396">
        <v>22815416</v>
      </c>
      <c r="D1396">
        <f t="shared" si="547"/>
        <v>62</v>
      </c>
      <c r="E1396">
        <f t="shared" si="548"/>
        <v>62</v>
      </c>
      <c r="F1396" t="str">
        <f t="shared" si="549"/>
        <v>50-75</v>
      </c>
      <c r="G1396">
        <v>1</v>
      </c>
      <c r="H1396" t="str">
        <f t="shared" si="550"/>
        <v>Pariente gordo</v>
      </c>
      <c r="I1396">
        <v>1</v>
      </c>
      <c r="J1396" t="str">
        <f t="shared" si="551"/>
        <v>Hipercaloricos</v>
      </c>
      <c r="K1396">
        <v>2</v>
      </c>
      <c r="L1396">
        <f t="shared" si="552"/>
        <v>1</v>
      </c>
      <c r="M1396" t="str">
        <f t="shared" si="553"/>
        <v>Suele comer</v>
      </c>
      <c r="N1396">
        <v>2993623</v>
      </c>
      <c r="O1396">
        <f t="shared" si="554"/>
        <v>2</v>
      </c>
      <c r="P1396" t="str">
        <f t="shared" si="555"/>
        <v>Mas de 3</v>
      </c>
      <c r="Q1396">
        <v>1</v>
      </c>
      <c r="R1396" t="str">
        <f t="shared" si="556"/>
        <v>A veces</v>
      </c>
      <c r="S1396">
        <v>0</v>
      </c>
      <c r="T1396" t="str">
        <f t="shared" si="557"/>
        <v>No fuma</v>
      </c>
      <c r="U1396">
        <v>2326635</v>
      </c>
      <c r="V1396">
        <f t="shared" si="558"/>
        <v>2</v>
      </c>
      <c r="W1396" t="str">
        <f t="shared" si="559"/>
        <v>Siempre</v>
      </c>
      <c r="X1396">
        <v>0</v>
      </c>
      <c r="Y1396" t="str">
        <f t="shared" si="560"/>
        <v>No controla</v>
      </c>
      <c r="Z1396">
        <v>2236586</v>
      </c>
      <c r="AA1396">
        <f t="shared" si="561"/>
        <v>3</v>
      </c>
      <c r="AB1396" t="str">
        <f t="shared" si="562"/>
        <v>Siempre</v>
      </c>
      <c r="AC1396">
        <v>1529423</v>
      </c>
      <c r="AD1396">
        <f t="shared" si="563"/>
        <v>2</v>
      </c>
      <c r="AE1396" t="str">
        <f t="shared" si="564"/>
        <v>Siempre</v>
      </c>
      <c r="AF1396">
        <v>0</v>
      </c>
      <c r="AG1396" t="str">
        <f t="shared" si="565"/>
        <v>Nunca</v>
      </c>
      <c r="AH1396">
        <v>0</v>
      </c>
      <c r="AI1396" t="str">
        <f t="shared" si="566"/>
        <v>No usa</v>
      </c>
      <c r="AJ1396">
        <v>0</v>
      </c>
      <c r="AK1396" t="str">
        <f t="shared" si="567"/>
        <v>No usa</v>
      </c>
      <c r="AL1396">
        <v>0</v>
      </c>
      <c r="AM1396" t="str">
        <f t="shared" si="568"/>
        <v>No usa</v>
      </c>
      <c r="AN1396">
        <v>1</v>
      </c>
      <c r="AO1396" t="str">
        <f t="shared" si="569"/>
        <v>Usa Transporte</v>
      </c>
      <c r="AP1396">
        <v>0</v>
      </c>
      <c r="AQ1396" t="str">
        <f t="shared" si="570"/>
        <v>No camina</v>
      </c>
      <c r="AR1396">
        <v>1</v>
      </c>
      <c r="AS1396" t="str">
        <f t="shared" si="571"/>
        <v>Es Obeso</v>
      </c>
    </row>
    <row r="1397" spans="1:45" x14ac:dyDescent="0.25">
      <c r="A1397">
        <v>0</v>
      </c>
      <c r="B1397" t="str">
        <f t="shared" si="546"/>
        <v>F</v>
      </c>
      <c r="C1397">
        <v>2102064</v>
      </c>
      <c r="D1397">
        <f t="shared" si="547"/>
        <v>5</v>
      </c>
      <c r="E1397">
        <f t="shared" si="548"/>
        <v>5</v>
      </c>
      <c r="F1397" t="str">
        <f t="shared" si="549"/>
        <v>1-25</v>
      </c>
      <c r="G1397">
        <v>1</v>
      </c>
      <c r="H1397" t="str">
        <f t="shared" si="550"/>
        <v>Pariente gordo</v>
      </c>
      <c r="I1397">
        <v>1</v>
      </c>
      <c r="J1397" t="str">
        <f t="shared" si="551"/>
        <v>Hipercaloricos</v>
      </c>
      <c r="K1397">
        <v>2870152</v>
      </c>
      <c r="L1397">
        <f t="shared" si="552"/>
        <v>1</v>
      </c>
      <c r="M1397" t="str">
        <f t="shared" si="553"/>
        <v>Suele comer</v>
      </c>
      <c r="N1397">
        <v>1001383</v>
      </c>
      <c r="O1397">
        <f t="shared" si="554"/>
        <v>2</v>
      </c>
      <c r="P1397" t="str">
        <f t="shared" si="555"/>
        <v>Mas de 3</v>
      </c>
      <c r="Q1397">
        <v>1</v>
      </c>
      <c r="R1397" t="str">
        <f t="shared" si="556"/>
        <v>A veces</v>
      </c>
      <c r="S1397">
        <v>0</v>
      </c>
      <c r="T1397" t="str">
        <f t="shared" si="557"/>
        <v>No fuma</v>
      </c>
      <c r="U1397">
        <v>3</v>
      </c>
      <c r="V1397">
        <f t="shared" si="558"/>
        <v>2</v>
      </c>
      <c r="W1397" t="str">
        <f t="shared" si="559"/>
        <v>Siempre</v>
      </c>
      <c r="X1397">
        <v>0</v>
      </c>
      <c r="Y1397" t="str">
        <f t="shared" si="560"/>
        <v>No controla</v>
      </c>
      <c r="Z1397">
        <v>1322558</v>
      </c>
      <c r="AA1397">
        <f t="shared" si="561"/>
        <v>3</v>
      </c>
      <c r="AB1397" t="str">
        <f t="shared" si="562"/>
        <v>Siempre</v>
      </c>
      <c r="AC1397">
        <v>1</v>
      </c>
      <c r="AD1397">
        <f t="shared" si="563"/>
        <v>1</v>
      </c>
      <c r="AE1397" t="str">
        <f t="shared" si="564"/>
        <v>Usualmente</v>
      </c>
      <c r="AF1397">
        <v>0</v>
      </c>
      <c r="AG1397" t="str">
        <f t="shared" si="565"/>
        <v>Nunca</v>
      </c>
      <c r="AH1397">
        <v>0</v>
      </c>
      <c r="AI1397" t="str">
        <f t="shared" si="566"/>
        <v>No usa</v>
      </c>
      <c r="AJ1397">
        <v>0</v>
      </c>
      <c r="AK1397" t="str">
        <f t="shared" si="567"/>
        <v>No usa</v>
      </c>
      <c r="AL1397">
        <v>0</v>
      </c>
      <c r="AM1397" t="str">
        <f t="shared" si="568"/>
        <v>No usa</v>
      </c>
      <c r="AN1397">
        <v>1</v>
      </c>
      <c r="AO1397" t="str">
        <f t="shared" si="569"/>
        <v>Usa Transporte</v>
      </c>
      <c r="AP1397">
        <v>0</v>
      </c>
      <c r="AQ1397" t="str">
        <f t="shared" si="570"/>
        <v>No camina</v>
      </c>
      <c r="AR1397">
        <v>1</v>
      </c>
      <c r="AS1397" t="str">
        <f t="shared" si="571"/>
        <v>Es Obeso</v>
      </c>
    </row>
    <row r="1398" spans="1:45" x14ac:dyDescent="0.25">
      <c r="A1398">
        <v>0</v>
      </c>
      <c r="B1398" t="str">
        <f t="shared" si="546"/>
        <v>F</v>
      </c>
      <c r="C1398">
        <v>21001458</v>
      </c>
      <c r="D1398">
        <f t="shared" si="547"/>
        <v>57</v>
      </c>
      <c r="E1398">
        <f t="shared" si="548"/>
        <v>57</v>
      </c>
      <c r="F1398" t="str">
        <f t="shared" si="549"/>
        <v>50-75</v>
      </c>
      <c r="G1398">
        <v>1</v>
      </c>
      <c r="H1398" t="str">
        <f t="shared" si="550"/>
        <v>Pariente gordo</v>
      </c>
      <c r="I1398">
        <v>1</v>
      </c>
      <c r="J1398" t="str">
        <f t="shared" si="551"/>
        <v>Hipercaloricos</v>
      </c>
      <c r="K1398">
        <v>2482575</v>
      </c>
      <c r="L1398">
        <f t="shared" si="552"/>
        <v>1</v>
      </c>
      <c r="M1398" t="str">
        <f t="shared" si="553"/>
        <v>Suele comer</v>
      </c>
      <c r="N1398">
        <v>1001542</v>
      </c>
      <c r="O1398">
        <f t="shared" si="554"/>
        <v>2</v>
      </c>
      <c r="P1398" t="str">
        <f t="shared" si="555"/>
        <v>Mas de 3</v>
      </c>
      <c r="Q1398">
        <v>1</v>
      </c>
      <c r="R1398" t="str">
        <f t="shared" si="556"/>
        <v>A veces</v>
      </c>
      <c r="S1398">
        <v>0</v>
      </c>
      <c r="T1398" t="str">
        <f t="shared" si="557"/>
        <v>No fuma</v>
      </c>
      <c r="U1398">
        <v>3</v>
      </c>
      <c r="V1398">
        <f t="shared" si="558"/>
        <v>2</v>
      </c>
      <c r="W1398" t="str">
        <f t="shared" si="559"/>
        <v>Siempre</v>
      </c>
      <c r="X1398">
        <v>0</v>
      </c>
      <c r="Y1398" t="str">
        <f t="shared" si="560"/>
        <v>No controla</v>
      </c>
      <c r="Z1398">
        <v>1751656</v>
      </c>
      <c r="AA1398">
        <f t="shared" si="561"/>
        <v>3</v>
      </c>
      <c r="AB1398" t="str">
        <f t="shared" si="562"/>
        <v>Siempre</v>
      </c>
      <c r="AC1398">
        <v>1</v>
      </c>
      <c r="AD1398">
        <f t="shared" si="563"/>
        <v>1</v>
      </c>
      <c r="AE1398" t="str">
        <f t="shared" si="564"/>
        <v>Usualmente</v>
      </c>
      <c r="AF1398">
        <v>0</v>
      </c>
      <c r="AG1398" t="str">
        <f t="shared" si="565"/>
        <v>Nunca</v>
      </c>
      <c r="AH1398">
        <v>0</v>
      </c>
      <c r="AI1398" t="str">
        <f t="shared" si="566"/>
        <v>No usa</v>
      </c>
      <c r="AJ1398">
        <v>0</v>
      </c>
      <c r="AK1398" t="str">
        <f t="shared" si="567"/>
        <v>No usa</v>
      </c>
      <c r="AL1398">
        <v>0</v>
      </c>
      <c r="AM1398" t="str">
        <f t="shared" si="568"/>
        <v>No usa</v>
      </c>
      <c r="AN1398">
        <v>1</v>
      </c>
      <c r="AO1398" t="str">
        <f t="shared" si="569"/>
        <v>Usa Transporte</v>
      </c>
      <c r="AP1398">
        <v>0</v>
      </c>
      <c r="AQ1398" t="str">
        <f t="shared" si="570"/>
        <v>No camina</v>
      </c>
      <c r="AR1398">
        <v>1</v>
      </c>
      <c r="AS1398" t="str">
        <f t="shared" si="571"/>
        <v>Es Obeso</v>
      </c>
    </row>
    <row r="1399" spans="1:45" x14ac:dyDescent="0.25">
      <c r="A1399">
        <v>0</v>
      </c>
      <c r="B1399" t="str">
        <f t="shared" si="546"/>
        <v>F</v>
      </c>
      <c r="C1399">
        <v>2287795</v>
      </c>
      <c r="D1399">
        <f t="shared" si="547"/>
        <v>6</v>
      </c>
      <c r="E1399">
        <f t="shared" si="548"/>
        <v>6</v>
      </c>
      <c r="F1399" t="str">
        <f t="shared" si="549"/>
        <v>1-25</v>
      </c>
      <c r="G1399">
        <v>1</v>
      </c>
      <c r="H1399" t="str">
        <f t="shared" si="550"/>
        <v>Pariente gordo</v>
      </c>
      <c r="I1399">
        <v>1</v>
      </c>
      <c r="J1399" t="str">
        <f t="shared" si="551"/>
        <v>Hipercaloricos</v>
      </c>
      <c r="K1399">
        <v>2290095</v>
      </c>
      <c r="L1399">
        <f t="shared" si="552"/>
        <v>1</v>
      </c>
      <c r="M1399" t="str">
        <f t="shared" si="553"/>
        <v>Suele comer</v>
      </c>
      <c r="N1399">
        <v>2590283</v>
      </c>
      <c r="O1399">
        <f t="shared" si="554"/>
        <v>2</v>
      </c>
      <c r="P1399" t="str">
        <f t="shared" si="555"/>
        <v>Mas de 3</v>
      </c>
      <c r="Q1399">
        <v>1</v>
      </c>
      <c r="R1399" t="str">
        <f t="shared" si="556"/>
        <v>A veces</v>
      </c>
      <c r="S1399">
        <v>0</v>
      </c>
      <c r="T1399" t="str">
        <f t="shared" si="557"/>
        <v>No fuma</v>
      </c>
      <c r="U1399">
        <v>2506296</v>
      </c>
      <c r="V1399">
        <f t="shared" si="558"/>
        <v>2</v>
      </c>
      <c r="W1399" t="str">
        <f t="shared" si="559"/>
        <v>Siempre</v>
      </c>
      <c r="X1399">
        <v>0</v>
      </c>
      <c r="Y1399" t="str">
        <f t="shared" si="560"/>
        <v>No controla</v>
      </c>
      <c r="Z1399">
        <v>0.31225399999999998</v>
      </c>
      <c r="AA1399">
        <f t="shared" si="561"/>
        <v>0</v>
      </c>
      <c r="AB1399" t="str">
        <f t="shared" si="562"/>
        <v>Nunca</v>
      </c>
      <c r="AC1399">
        <v>1</v>
      </c>
      <c r="AD1399">
        <f t="shared" si="563"/>
        <v>1</v>
      </c>
      <c r="AE1399" t="str">
        <f t="shared" si="564"/>
        <v>Usualmente</v>
      </c>
      <c r="AF1399">
        <v>0</v>
      </c>
      <c r="AG1399" t="str">
        <f t="shared" si="565"/>
        <v>Nunca</v>
      </c>
      <c r="AH1399">
        <v>0</v>
      </c>
      <c r="AI1399" t="str">
        <f t="shared" si="566"/>
        <v>No usa</v>
      </c>
      <c r="AJ1399">
        <v>0</v>
      </c>
      <c r="AK1399" t="str">
        <f t="shared" si="567"/>
        <v>No usa</v>
      </c>
      <c r="AL1399">
        <v>0</v>
      </c>
      <c r="AM1399" t="str">
        <f t="shared" si="568"/>
        <v>No usa</v>
      </c>
      <c r="AN1399">
        <v>1</v>
      </c>
      <c r="AO1399" t="str">
        <f t="shared" si="569"/>
        <v>Usa Transporte</v>
      </c>
      <c r="AP1399">
        <v>0</v>
      </c>
      <c r="AQ1399" t="str">
        <f t="shared" si="570"/>
        <v>No camina</v>
      </c>
      <c r="AR1399">
        <v>1</v>
      </c>
      <c r="AS1399" t="str">
        <f t="shared" si="571"/>
        <v>Es Obeso</v>
      </c>
    </row>
    <row r="1400" spans="1:45" x14ac:dyDescent="0.25">
      <c r="A1400">
        <v>0</v>
      </c>
      <c r="B1400" t="str">
        <f t="shared" si="546"/>
        <v>F</v>
      </c>
      <c r="C1400">
        <v>22847618</v>
      </c>
      <c r="D1400">
        <f t="shared" si="547"/>
        <v>62</v>
      </c>
      <c r="E1400">
        <f t="shared" si="548"/>
        <v>62</v>
      </c>
      <c r="F1400" t="str">
        <f t="shared" si="549"/>
        <v>50-75</v>
      </c>
      <c r="G1400">
        <v>1</v>
      </c>
      <c r="H1400" t="str">
        <f t="shared" si="550"/>
        <v>Pariente gordo</v>
      </c>
      <c r="I1400">
        <v>1</v>
      </c>
      <c r="J1400" t="str">
        <f t="shared" si="551"/>
        <v>Hipercaloricos</v>
      </c>
      <c r="K1400">
        <v>2074843</v>
      </c>
      <c r="L1400">
        <f t="shared" si="552"/>
        <v>1</v>
      </c>
      <c r="M1400" t="str">
        <f t="shared" si="553"/>
        <v>Suele comer</v>
      </c>
      <c r="N1400">
        <v>1773916</v>
      </c>
      <c r="O1400">
        <f t="shared" si="554"/>
        <v>2</v>
      </c>
      <c r="P1400" t="str">
        <f t="shared" si="555"/>
        <v>Mas de 3</v>
      </c>
      <c r="Q1400">
        <v>1</v>
      </c>
      <c r="R1400" t="str">
        <f t="shared" si="556"/>
        <v>A veces</v>
      </c>
      <c r="S1400">
        <v>0</v>
      </c>
      <c r="T1400" t="str">
        <f t="shared" si="557"/>
        <v>No fuma</v>
      </c>
      <c r="U1400">
        <v>2428271</v>
      </c>
      <c r="V1400">
        <f t="shared" si="558"/>
        <v>2</v>
      </c>
      <c r="W1400" t="str">
        <f t="shared" si="559"/>
        <v>Siempre</v>
      </c>
      <c r="X1400">
        <v>0</v>
      </c>
      <c r="Y1400" t="str">
        <f t="shared" si="560"/>
        <v>No controla</v>
      </c>
      <c r="Z1400">
        <v>3.5090999999999997E-2</v>
      </c>
      <c r="AA1400">
        <f t="shared" si="561"/>
        <v>0</v>
      </c>
      <c r="AB1400" t="str">
        <f t="shared" si="562"/>
        <v>Nunca</v>
      </c>
      <c r="AC1400">
        <v>1</v>
      </c>
      <c r="AD1400">
        <f t="shared" si="563"/>
        <v>1</v>
      </c>
      <c r="AE1400" t="str">
        <f t="shared" si="564"/>
        <v>Usualmente</v>
      </c>
      <c r="AF1400">
        <v>0</v>
      </c>
      <c r="AG1400" t="str">
        <f t="shared" si="565"/>
        <v>Nunca</v>
      </c>
      <c r="AH1400">
        <v>0</v>
      </c>
      <c r="AI1400" t="str">
        <f t="shared" si="566"/>
        <v>No usa</v>
      </c>
      <c r="AJ1400">
        <v>0</v>
      </c>
      <c r="AK1400" t="str">
        <f t="shared" si="567"/>
        <v>No usa</v>
      </c>
      <c r="AL1400">
        <v>0</v>
      </c>
      <c r="AM1400" t="str">
        <f t="shared" si="568"/>
        <v>No usa</v>
      </c>
      <c r="AN1400">
        <v>1</v>
      </c>
      <c r="AO1400" t="str">
        <f t="shared" si="569"/>
        <v>Usa Transporte</v>
      </c>
      <c r="AP1400">
        <v>0</v>
      </c>
      <c r="AQ1400" t="str">
        <f t="shared" si="570"/>
        <v>No camina</v>
      </c>
      <c r="AR1400">
        <v>1</v>
      </c>
      <c r="AS1400" t="str">
        <f t="shared" si="571"/>
        <v>Es Obeso</v>
      </c>
    </row>
    <row r="1401" spans="1:45" x14ac:dyDescent="0.25">
      <c r="A1401">
        <v>0</v>
      </c>
      <c r="B1401" t="str">
        <f t="shared" si="546"/>
        <v>F</v>
      </c>
      <c r="C1401">
        <v>23</v>
      </c>
      <c r="D1401">
        <f t="shared" si="547"/>
        <v>23</v>
      </c>
      <c r="E1401">
        <f t="shared" si="548"/>
        <v>23</v>
      </c>
      <c r="F1401" t="str">
        <f t="shared" si="549"/>
        <v>1-25</v>
      </c>
      <c r="G1401">
        <v>1</v>
      </c>
      <c r="H1401" t="str">
        <f t="shared" si="550"/>
        <v>Pariente gordo</v>
      </c>
      <c r="I1401">
        <v>1</v>
      </c>
      <c r="J1401" t="str">
        <f t="shared" si="551"/>
        <v>Hipercaloricos</v>
      </c>
      <c r="K1401">
        <v>214128</v>
      </c>
      <c r="L1401">
        <f t="shared" si="552"/>
        <v>1</v>
      </c>
      <c r="M1401" t="str">
        <f t="shared" si="553"/>
        <v>Suele comer</v>
      </c>
      <c r="N1401">
        <v>2989112</v>
      </c>
      <c r="O1401">
        <f t="shared" si="554"/>
        <v>2</v>
      </c>
      <c r="P1401" t="str">
        <f t="shared" si="555"/>
        <v>Mas de 3</v>
      </c>
      <c r="Q1401">
        <v>1</v>
      </c>
      <c r="R1401" t="str">
        <f t="shared" si="556"/>
        <v>A veces</v>
      </c>
      <c r="S1401">
        <v>0</v>
      </c>
      <c r="T1401" t="str">
        <f t="shared" si="557"/>
        <v>No fuma</v>
      </c>
      <c r="U1401">
        <v>2519841</v>
      </c>
      <c r="V1401">
        <f t="shared" si="558"/>
        <v>2</v>
      </c>
      <c r="W1401" t="str">
        <f t="shared" si="559"/>
        <v>Siempre</v>
      </c>
      <c r="X1401">
        <v>0</v>
      </c>
      <c r="Y1401" t="str">
        <f t="shared" si="560"/>
        <v>No controla</v>
      </c>
      <c r="Z1401">
        <v>211137</v>
      </c>
      <c r="AA1401">
        <f t="shared" si="561"/>
        <v>2</v>
      </c>
      <c r="AB1401" t="str">
        <f t="shared" si="562"/>
        <v>Usualmente</v>
      </c>
      <c r="AC1401">
        <v>1.3483E-2</v>
      </c>
      <c r="AD1401">
        <f t="shared" si="563"/>
        <v>0</v>
      </c>
      <c r="AE1401" t="str">
        <f t="shared" si="564"/>
        <v>Nunca</v>
      </c>
      <c r="AF1401">
        <v>0</v>
      </c>
      <c r="AG1401" t="str">
        <f t="shared" si="565"/>
        <v>Nunca</v>
      </c>
      <c r="AH1401">
        <v>0</v>
      </c>
      <c r="AI1401" t="str">
        <f t="shared" si="566"/>
        <v>No usa</v>
      </c>
      <c r="AJ1401">
        <v>0</v>
      </c>
      <c r="AK1401" t="str">
        <f t="shared" si="567"/>
        <v>No usa</v>
      </c>
      <c r="AL1401">
        <v>0</v>
      </c>
      <c r="AM1401" t="str">
        <f t="shared" si="568"/>
        <v>No usa</v>
      </c>
      <c r="AN1401">
        <v>1</v>
      </c>
      <c r="AO1401" t="str">
        <f t="shared" si="569"/>
        <v>Usa Transporte</v>
      </c>
      <c r="AP1401">
        <v>0</v>
      </c>
      <c r="AQ1401" t="str">
        <f t="shared" si="570"/>
        <v>No camina</v>
      </c>
      <c r="AR1401">
        <v>1</v>
      </c>
      <c r="AS1401" t="str">
        <f t="shared" si="571"/>
        <v>Es Obeso</v>
      </c>
    </row>
    <row r="1402" spans="1:45" x14ac:dyDescent="0.25">
      <c r="A1402">
        <v>0</v>
      </c>
      <c r="B1402" t="str">
        <f t="shared" si="546"/>
        <v>F</v>
      </c>
      <c r="C1402">
        <v>23</v>
      </c>
      <c r="D1402">
        <f t="shared" si="547"/>
        <v>23</v>
      </c>
      <c r="E1402">
        <f t="shared" si="548"/>
        <v>23</v>
      </c>
      <c r="F1402" t="str">
        <f t="shared" si="549"/>
        <v>1-25</v>
      </c>
      <c r="G1402">
        <v>1</v>
      </c>
      <c r="H1402" t="str">
        <f t="shared" si="550"/>
        <v>Pariente gordo</v>
      </c>
      <c r="I1402">
        <v>1</v>
      </c>
      <c r="J1402" t="str">
        <f t="shared" si="551"/>
        <v>Hipercaloricos</v>
      </c>
      <c r="K1402">
        <v>2334474</v>
      </c>
      <c r="L1402">
        <f t="shared" si="552"/>
        <v>1</v>
      </c>
      <c r="M1402" t="str">
        <f t="shared" si="553"/>
        <v>Suele comer</v>
      </c>
      <c r="N1402">
        <v>1496776</v>
      </c>
      <c r="O1402">
        <f t="shared" si="554"/>
        <v>2</v>
      </c>
      <c r="P1402" t="str">
        <f t="shared" si="555"/>
        <v>Mas de 3</v>
      </c>
      <c r="Q1402">
        <v>1</v>
      </c>
      <c r="R1402" t="str">
        <f t="shared" si="556"/>
        <v>A veces</v>
      </c>
      <c r="S1402">
        <v>0</v>
      </c>
      <c r="T1402" t="str">
        <f t="shared" si="557"/>
        <v>No fuma</v>
      </c>
      <c r="U1402">
        <v>2776724</v>
      </c>
      <c r="V1402">
        <f t="shared" si="558"/>
        <v>2</v>
      </c>
      <c r="W1402" t="str">
        <f t="shared" si="559"/>
        <v>Siempre</v>
      </c>
      <c r="X1402">
        <v>0</v>
      </c>
      <c r="Y1402" t="str">
        <f t="shared" si="560"/>
        <v>No controla</v>
      </c>
      <c r="Z1402">
        <v>0.782416</v>
      </c>
      <c r="AA1402">
        <f t="shared" si="561"/>
        <v>0</v>
      </c>
      <c r="AB1402" t="str">
        <f t="shared" si="562"/>
        <v>Nunca</v>
      </c>
      <c r="AC1402">
        <v>0.16772799999999999</v>
      </c>
      <c r="AD1402">
        <f t="shared" si="563"/>
        <v>0</v>
      </c>
      <c r="AE1402" t="str">
        <f t="shared" si="564"/>
        <v>Nunca</v>
      </c>
      <c r="AF1402">
        <v>0</v>
      </c>
      <c r="AG1402" t="str">
        <f t="shared" si="565"/>
        <v>Nunca</v>
      </c>
      <c r="AH1402">
        <v>0</v>
      </c>
      <c r="AI1402" t="str">
        <f t="shared" si="566"/>
        <v>No usa</v>
      </c>
      <c r="AJ1402">
        <v>0</v>
      </c>
      <c r="AK1402" t="str">
        <f t="shared" si="567"/>
        <v>No usa</v>
      </c>
      <c r="AL1402">
        <v>0</v>
      </c>
      <c r="AM1402" t="str">
        <f t="shared" si="568"/>
        <v>No usa</v>
      </c>
      <c r="AN1402">
        <v>1</v>
      </c>
      <c r="AO1402" t="str">
        <f t="shared" si="569"/>
        <v>Usa Transporte</v>
      </c>
      <c r="AP1402">
        <v>0</v>
      </c>
      <c r="AQ1402" t="str">
        <f t="shared" si="570"/>
        <v>No camina</v>
      </c>
      <c r="AR1402">
        <v>1</v>
      </c>
      <c r="AS1402" t="str">
        <f t="shared" si="571"/>
        <v>Es Obeso</v>
      </c>
    </row>
    <row r="1403" spans="1:45" x14ac:dyDescent="0.25">
      <c r="A1403">
        <v>0</v>
      </c>
      <c r="B1403" t="str">
        <f t="shared" si="546"/>
        <v>F</v>
      </c>
      <c r="C1403">
        <v>39129291</v>
      </c>
      <c r="D1403">
        <f t="shared" si="547"/>
        <v>107</v>
      </c>
      <c r="E1403">
        <f t="shared" si="548"/>
        <v>100</v>
      </c>
      <c r="F1403" t="str">
        <f t="shared" si="549"/>
        <v>75-100</v>
      </c>
      <c r="G1403">
        <v>1</v>
      </c>
      <c r="H1403" t="str">
        <f t="shared" si="550"/>
        <v>Pariente gordo</v>
      </c>
      <c r="I1403">
        <v>1</v>
      </c>
      <c r="J1403" t="str">
        <f t="shared" si="551"/>
        <v>Hipercaloricos</v>
      </c>
      <c r="K1403">
        <v>2</v>
      </c>
      <c r="L1403">
        <f t="shared" si="552"/>
        <v>1</v>
      </c>
      <c r="M1403" t="str">
        <f t="shared" si="553"/>
        <v>Suele comer</v>
      </c>
      <c r="N1403">
        <v>3</v>
      </c>
      <c r="O1403">
        <f t="shared" si="554"/>
        <v>2</v>
      </c>
      <c r="P1403" t="str">
        <f t="shared" si="555"/>
        <v>Mas de 3</v>
      </c>
      <c r="Q1403">
        <v>1</v>
      </c>
      <c r="R1403" t="str">
        <f t="shared" si="556"/>
        <v>A veces</v>
      </c>
      <c r="S1403">
        <v>0</v>
      </c>
      <c r="T1403" t="str">
        <f t="shared" si="557"/>
        <v>No fuma</v>
      </c>
      <c r="U1403">
        <v>1186996</v>
      </c>
      <c r="V1403">
        <f t="shared" si="558"/>
        <v>2</v>
      </c>
      <c r="W1403" t="str">
        <f t="shared" si="559"/>
        <v>Siempre</v>
      </c>
      <c r="X1403">
        <v>0</v>
      </c>
      <c r="Y1403" t="str">
        <f t="shared" si="560"/>
        <v>No controla</v>
      </c>
      <c r="Z1403">
        <v>0</v>
      </c>
      <c r="AA1403">
        <f t="shared" si="561"/>
        <v>0</v>
      </c>
      <c r="AB1403" t="str">
        <f t="shared" si="562"/>
        <v>Nunca</v>
      </c>
      <c r="AC1403">
        <v>0</v>
      </c>
      <c r="AD1403">
        <f t="shared" si="563"/>
        <v>0</v>
      </c>
      <c r="AE1403" t="str">
        <f t="shared" si="564"/>
        <v>Nunca</v>
      </c>
      <c r="AF1403">
        <v>1</v>
      </c>
      <c r="AG1403" t="str">
        <f t="shared" si="565"/>
        <v>A veces</v>
      </c>
      <c r="AH1403">
        <v>1</v>
      </c>
      <c r="AI1403" t="str">
        <f t="shared" si="566"/>
        <v>Usa auto</v>
      </c>
      <c r="AJ1403">
        <v>0</v>
      </c>
      <c r="AK1403" t="str">
        <f t="shared" si="567"/>
        <v>No usa</v>
      </c>
      <c r="AL1403">
        <v>0</v>
      </c>
      <c r="AM1403" t="str">
        <f t="shared" si="568"/>
        <v>No usa</v>
      </c>
      <c r="AN1403">
        <v>0</v>
      </c>
      <c r="AO1403" t="str">
        <f t="shared" si="569"/>
        <v>No usa</v>
      </c>
      <c r="AP1403">
        <v>0</v>
      </c>
      <c r="AQ1403" t="str">
        <f t="shared" si="570"/>
        <v>No camina</v>
      </c>
      <c r="AR1403">
        <v>1</v>
      </c>
      <c r="AS1403" t="str">
        <f t="shared" si="571"/>
        <v>Es Obeso</v>
      </c>
    </row>
    <row r="1404" spans="1:45" x14ac:dyDescent="0.25">
      <c r="A1404">
        <v>0</v>
      </c>
      <c r="B1404" t="str">
        <f t="shared" si="546"/>
        <v>F</v>
      </c>
      <c r="C1404">
        <v>37441044</v>
      </c>
      <c r="D1404">
        <f t="shared" si="547"/>
        <v>102</v>
      </c>
      <c r="E1404">
        <f t="shared" si="548"/>
        <v>100</v>
      </c>
      <c r="F1404" t="str">
        <f t="shared" si="549"/>
        <v>75-100</v>
      </c>
      <c r="G1404">
        <v>1</v>
      </c>
      <c r="H1404" t="str">
        <f t="shared" si="550"/>
        <v>Pariente gordo</v>
      </c>
      <c r="I1404">
        <v>1</v>
      </c>
      <c r="J1404" t="str">
        <f t="shared" si="551"/>
        <v>Hipercaloricos</v>
      </c>
      <c r="K1404">
        <v>2</v>
      </c>
      <c r="L1404">
        <f t="shared" si="552"/>
        <v>1</v>
      </c>
      <c r="M1404" t="str">
        <f t="shared" si="553"/>
        <v>Suele comer</v>
      </c>
      <c r="N1404">
        <v>2994046</v>
      </c>
      <c r="O1404">
        <f t="shared" si="554"/>
        <v>2</v>
      </c>
      <c r="P1404" t="str">
        <f t="shared" si="555"/>
        <v>Mas de 3</v>
      </c>
      <c r="Q1404">
        <v>1</v>
      </c>
      <c r="R1404" t="str">
        <f t="shared" si="556"/>
        <v>A veces</v>
      </c>
      <c r="S1404">
        <v>0</v>
      </c>
      <c r="T1404" t="str">
        <f t="shared" si="557"/>
        <v>No fuma</v>
      </c>
      <c r="U1404">
        <v>1603549</v>
      </c>
      <c r="V1404">
        <f t="shared" si="558"/>
        <v>2</v>
      </c>
      <c r="W1404" t="str">
        <f t="shared" si="559"/>
        <v>Siempre</v>
      </c>
      <c r="X1404">
        <v>0</v>
      </c>
      <c r="Y1404" t="str">
        <f t="shared" si="560"/>
        <v>No controla</v>
      </c>
      <c r="Z1404">
        <v>1335857</v>
      </c>
      <c r="AA1404">
        <f t="shared" si="561"/>
        <v>3</v>
      </c>
      <c r="AB1404" t="str">
        <f t="shared" si="562"/>
        <v>Siempre</v>
      </c>
      <c r="AC1404">
        <v>0</v>
      </c>
      <c r="AD1404">
        <f t="shared" si="563"/>
        <v>0</v>
      </c>
      <c r="AE1404" t="str">
        <f t="shared" si="564"/>
        <v>Nunca</v>
      </c>
      <c r="AF1404">
        <v>1</v>
      </c>
      <c r="AG1404" t="str">
        <f t="shared" si="565"/>
        <v>A veces</v>
      </c>
      <c r="AH1404">
        <v>1</v>
      </c>
      <c r="AI1404" t="str">
        <f t="shared" si="566"/>
        <v>Usa auto</v>
      </c>
      <c r="AJ1404">
        <v>0</v>
      </c>
      <c r="AK1404" t="str">
        <f t="shared" si="567"/>
        <v>No usa</v>
      </c>
      <c r="AL1404">
        <v>0</v>
      </c>
      <c r="AM1404" t="str">
        <f t="shared" si="568"/>
        <v>No usa</v>
      </c>
      <c r="AN1404">
        <v>0</v>
      </c>
      <c r="AO1404" t="str">
        <f t="shared" si="569"/>
        <v>No usa</v>
      </c>
      <c r="AP1404">
        <v>0</v>
      </c>
      <c r="AQ1404" t="str">
        <f t="shared" si="570"/>
        <v>No camina</v>
      </c>
      <c r="AR1404">
        <v>1</v>
      </c>
      <c r="AS1404" t="str">
        <f t="shared" si="571"/>
        <v>Es Obeso</v>
      </c>
    </row>
    <row r="1405" spans="1:45" x14ac:dyDescent="0.25">
      <c r="A1405">
        <v>1</v>
      </c>
      <c r="B1405" t="str">
        <f t="shared" si="546"/>
        <v>M</v>
      </c>
      <c r="C1405">
        <v>22969366</v>
      </c>
      <c r="D1405">
        <f t="shared" si="547"/>
        <v>62</v>
      </c>
      <c r="E1405">
        <f t="shared" si="548"/>
        <v>62</v>
      </c>
      <c r="F1405" t="str">
        <f t="shared" si="549"/>
        <v>50-75</v>
      </c>
      <c r="G1405">
        <v>1</v>
      </c>
      <c r="H1405" t="str">
        <f t="shared" si="550"/>
        <v>Pariente gordo</v>
      </c>
      <c r="I1405">
        <v>1</v>
      </c>
      <c r="J1405" t="str">
        <f t="shared" si="551"/>
        <v>Hipercaloricos</v>
      </c>
      <c r="K1405">
        <v>2</v>
      </c>
      <c r="L1405">
        <f t="shared" si="552"/>
        <v>1</v>
      </c>
      <c r="M1405" t="str">
        <f t="shared" si="553"/>
        <v>Suele comer</v>
      </c>
      <c r="N1405">
        <v>3</v>
      </c>
      <c r="O1405">
        <f t="shared" si="554"/>
        <v>2</v>
      </c>
      <c r="P1405" t="str">
        <f t="shared" si="555"/>
        <v>Mas de 3</v>
      </c>
      <c r="Q1405">
        <v>1</v>
      </c>
      <c r="R1405" t="str">
        <f t="shared" si="556"/>
        <v>A veces</v>
      </c>
      <c r="S1405">
        <v>0</v>
      </c>
      <c r="T1405" t="str">
        <f t="shared" si="557"/>
        <v>No fuma</v>
      </c>
      <c r="U1405">
        <v>2133469</v>
      </c>
      <c r="V1405">
        <f t="shared" si="558"/>
        <v>2</v>
      </c>
      <c r="W1405" t="str">
        <f t="shared" si="559"/>
        <v>Siempre</v>
      </c>
      <c r="X1405">
        <v>0</v>
      </c>
      <c r="Y1405" t="str">
        <f t="shared" si="560"/>
        <v>No controla</v>
      </c>
      <c r="Z1405">
        <v>1030199</v>
      </c>
      <c r="AA1405">
        <f t="shared" si="561"/>
        <v>3</v>
      </c>
      <c r="AB1405" t="str">
        <f t="shared" si="562"/>
        <v>Siempre</v>
      </c>
      <c r="AC1405">
        <v>1082838</v>
      </c>
      <c r="AD1405">
        <f t="shared" si="563"/>
        <v>2</v>
      </c>
      <c r="AE1405" t="str">
        <f t="shared" si="564"/>
        <v>Siempre</v>
      </c>
      <c r="AF1405">
        <v>0</v>
      </c>
      <c r="AG1405" t="str">
        <f t="shared" si="565"/>
        <v>Nunca</v>
      </c>
      <c r="AH1405">
        <v>0</v>
      </c>
      <c r="AI1405" t="str">
        <f t="shared" si="566"/>
        <v>No usa</v>
      </c>
      <c r="AJ1405">
        <v>0</v>
      </c>
      <c r="AK1405" t="str">
        <f t="shared" si="567"/>
        <v>No usa</v>
      </c>
      <c r="AL1405">
        <v>0</v>
      </c>
      <c r="AM1405" t="str">
        <f t="shared" si="568"/>
        <v>No usa</v>
      </c>
      <c r="AN1405">
        <v>1</v>
      </c>
      <c r="AO1405" t="str">
        <f t="shared" si="569"/>
        <v>Usa Transporte</v>
      </c>
      <c r="AP1405">
        <v>0</v>
      </c>
      <c r="AQ1405" t="str">
        <f t="shared" si="570"/>
        <v>No camina</v>
      </c>
      <c r="AR1405">
        <v>1</v>
      </c>
      <c r="AS1405" t="str">
        <f t="shared" si="571"/>
        <v>Es Obeso</v>
      </c>
    </row>
    <row r="1406" spans="1:45" x14ac:dyDescent="0.25">
      <c r="A1406">
        <v>1</v>
      </c>
      <c r="B1406" t="str">
        <f t="shared" si="546"/>
        <v>M</v>
      </c>
      <c r="C1406">
        <v>22735328</v>
      </c>
      <c r="D1406">
        <f t="shared" si="547"/>
        <v>62</v>
      </c>
      <c r="E1406">
        <f t="shared" si="548"/>
        <v>62</v>
      </c>
      <c r="F1406" t="str">
        <f t="shared" si="549"/>
        <v>50-75</v>
      </c>
      <c r="G1406">
        <v>1</v>
      </c>
      <c r="H1406" t="str">
        <f t="shared" si="550"/>
        <v>Pariente gordo</v>
      </c>
      <c r="I1406">
        <v>1</v>
      </c>
      <c r="J1406" t="str">
        <f t="shared" si="551"/>
        <v>Hipercaloricos</v>
      </c>
      <c r="K1406">
        <v>2</v>
      </c>
      <c r="L1406">
        <f t="shared" si="552"/>
        <v>1</v>
      </c>
      <c r="M1406" t="str">
        <f t="shared" si="553"/>
        <v>Suele comer</v>
      </c>
      <c r="N1406">
        <v>3</v>
      </c>
      <c r="O1406">
        <f t="shared" si="554"/>
        <v>2</v>
      </c>
      <c r="P1406" t="str">
        <f t="shared" si="555"/>
        <v>Mas de 3</v>
      </c>
      <c r="Q1406">
        <v>1</v>
      </c>
      <c r="R1406" t="str">
        <f t="shared" si="556"/>
        <v>A veces</v>
      </c>
      <c r="S1406">
        <v>0</v>
      </c>
      <c r="T1406" t="str">
        <f t="shared" si="557"/>
        <v>No fuma</v>
      </c>
      <c r="U1406">
        <v>2183149</v>
      </c>
      <c r="V1406">
        <f t="shared" si="558"/>
        <v>2</v>
      </c>
      <c r="W1406" t="str">
        <f t="shared" si="559"/>
        <v>Siempre</v>
      </c>
      <c r="X1406">
        <v>0</v>
      </c>
      <c r="Y1406" t="str">
        <f t="shared" si="560"/>
        <v>No controla</v>
      </c>
      <c r="Z1406">
        <v>1932386</v>
      </c>
      <c r="AA1406">
        <f t="shared" si="561"/>
        <v>3</v>
      </c>
      <c r="AB1406" t="str">
        <f t="shared" si="562"/>
        <v>Siempre</v>
      </c>
      <c r="AC1406">
        <v>0.21276700000000001</v>
      </c>
      <c r="AD1406">
        <f t="shared" si="563"/>
        <v>0</v>
      </c>
      <c r="AE1406" t="str">
        <f t="shared" si="564"/>
        <v>Nunca</v>
      </c>
      <c r="AF1406">
        <v>0</v>
      </c>
      <c r="AG1406" t="str">
        <f t="shared" si="565"/>
        <v>Nunca</v>
      </c>
      <c r="AH1406">
        <v>0</v>
      </c>
      <c r="AI1406" t="str">
        <f t="shared" si="566"/>
        <v>No usa</v>
      </c>
      <c r="AJ1406">
        <v>0</v>
      </c>
      <c r="AK1406" t="str">
        <f t="shared" si="567"/>
        <v>No usa</v>
      </c>
      <c r="AL1406">
        <v>0</v>
      </c>
      <c r="AM1406" t="str">
        <f t="shared" si="568"/>
        <v>No usa</v>
      </c>
      <c r="AN1406">
        <v>1</v>
      </c>
      <c r="AO1406" t="str">
        <f t="shared" si="569"/>
        <v>Usa Transporte</v>
      </c>
      <c r="AP1406">
        <v>0</v>
      </c>
      <c r="AQ1406" t="str">
        <f t="shared" si="570"/>
        <v>No camina</v>
      </c>
      <c r="AR1406">
        <v>1</v>
      </c>
      <c r="AS1406" t="str">
        <f t="shared" si="571"/>
        <v>Es Obeso</v>
      </c>
    </row>
    <row r="1407" spans="1:45" x14ac:dyDescent="0.25">
      <c r="A1407">
        <v>1</v>
      </c>
      <c r="B1407" t="str">
        <f t="shared" si="546"/>
        <v>M</v>
      </c>
      <c r="C1407">
        <v>2332471</v>
      </c>
      <c r="D1407">
        <f t="shared" si="547"/>
        <v>6</v>
      </c>
      <c r="E1407">
        <f t="shared" si="548"/>
        <v>6</v>
      </c>
      <c r="F1407" t="str">
        <f t="shared" si="549"/>
        <v>1-25</v>
      </c>
      <c r="G1407">
        <v>1</v>
      </c>
      <c r="H1407" t="str">
        <f t="shared" si="550"/>
        <v>Pariente gordo</v>
      </c>
      <c r="I1407">
        <v>1</v>
      </c>
      <c r="J1407" t="str">
        <f t="shared" si="551"/>
        <v>Hipercaloricos</v>
      </c>
      <c r="K1407">
        <v>2</v>
      </c>
      <c r="L1407">
        <f t="shared" si="552"/>
        <v>1</v>
      </c>
      <c r="M1407" t="str">
        <f t="shared" si="553"/>
        <v>Suele comer</v>
      </c>
      <c r="N1407">
        <v>3</v>
      </c>
      <c r="O1407">
        <f t="shared" si="554"/>
        <v>2</v>
      </c>
      <c r="P1407" t="str">
        <f t="shared" si="555"/>
        <v>Mas de 3</v>
      </c>
      <c r="Q1407">
        <v>1</v>
      </c>
      <c r="R1407" t="str">
        <f t="shared" si="556"/>
        <v>A veces</v>
      </c>
      <c r="S1407">
        <v>0</v>
      </c>
      <c r="T1407" t="str">
        <f t="shared" si="557"/>
        <v>No fuma</v>
      </c>
      <c r="U1407">
        <v>3</v>
      </c>
      <c r="V1407">
        <f t="shared" si="558"/>
        <v>2</v>
      </c>
      <c r="W1407" t="str">
        <f t="shared" si="559"/>
        <v>Siempre</v>
      </c>
      <c r="X1407">
        <v>0</v>
      </c>
      <c r="Y1407" t="str">
        <f t="shared" si="560"/>
        <v>No controla</v>
      </c>
      <c r="Z1407">
        <v>3</v>
      </c>
      <c r="AA1407">
        <f t="shared" si="561"/>
        <v>3</v>
      </c>
      <c r="AB1407" t="str">
        <f t="shared" si="562"/>
        <v>Siempre</v>
      </c>
      <c r="AC1407">
        <v>2</v>
      </c>
      <c r="AD1407">
        <f t="shared" si="563"/>
        <v>2</v>
      </c>
      <c r="AE1407" t="str">
        <f t="shared" si="564"/>
        <v>Siempre</v>
      </c>
      <c r="AF1407">
        <v>0</v>
      </c>
      <c r="AG1407" t="str">
        <f t="shared" si="565"/>
        <v>Nunca</v>
      </c>
      <c r="AH1407">
        <v>0</v>
      </c>
      <c r="AI1407" t="str">
        <f t="shared" si="566"/>
        <v>No usa</v>
      </c>
      <c r="AJ1407">
        <v>0</v>
      </c>
      <c r="AK1407" t="str">
        <f t="shared" si="567"/>
        <v>No usa</v>
      </c>
      <c r="AL1407">
        <v>0</v>
      </c>
      <c r="AM1407" t="str">
        <f t="shared" si="568"/>
        <v>No usa</v>
      </c>
      <c r="AN1407">
        <v>1</v>
      </c>
      <c r="AO1407" t="str">
        <f t="shared" si="569"/>
        <v>Usa Transporte</v>
      </c>
      <c r="AP1407">
        <v>0</v>
      </c>
      <c r="AQ1407" t="str">
        <f t="shared" si="570"/>
        <v>No camina</v>
      </c>
      <c r="AR1407">
        <v>1</v>
      </c>
      <c r="AS1407" t="str">
        <f t="shared" si="571"/>
        <v>Es Obeso</v>
      </c>
    </row>
    <row r="1408" spans="1:45" x14ac:dyDescent="0.25">
      <c r="A1408">
        <v>1</v>
      </c>
      <c r="B1408" t="str">
        <f t="shared" si="546"/>
        <v>M</v>
      </c>
      <c r="C1408">
        <v>23668137</v>
      </c>
      <c r="D1408">
        <f t="shared" si="547"/>
        <v>64</v>
      </c>
      <c r="E1408">
        <f t="shared" si="548"/>
        <v>64</v>
      </c>
      <c r="F1408" t="str">
        <f t="shared" si="549"/>
        <v>50-75</v>
      </c>
      <c r="G1408">
        <v>1</v>
      </c>
      <c r="H1408" t="str">
        <f t="shared" si="550"/>
        <v>Pariente gordo</v>
      </c>
      <c r="I1408">
        <v>1</v>
      </c>
      <c r="J1408" t="str">
        <f t="shared" si="551"/>
        <v>Hipercaloricos</v>
      </c>
      <c r="K1408">
        <v>2</v>
      </c>
      <c r="L1408">
        <f t="shared" si="552"/>
        <v>1</v>
      </c>
      <c r="M1408" t="str">
        <f t="shared" si="553"/>
        <v>Suele comer</v>
      </c>
      <c r="N1408">
        <v>3</v>
      </c>
      <c r="O1408">
        <f t="shared" si="554"/>
        <v>2</v>
      </c>
      <c r="P1408" t="str">
        <f t="shared" si="555"/>
        <v>Mas de 3</v>
      </c>
      <c r="Q1408">
        <v>1</v>
      </c>
      <c r="R1408" t="str">
        <f t="shared" si="556"/>
        <v>A veces</v>
      </c>
      <c r="S1408">
        <v>0</v>
      </c>
      <c r="T1408" t="str">
        <f t="shared" si="557"/>
        <v>No fuma</v>
      </c>
      <c r="U1408">
        <v>3</v>
      </c>
      <c r="V1408">
        <f t="shared" si="558"/>
        <v>2</v>
      </c>
      <c r="W1408" t="str">
        <f t="shared" si="559"/>
        <v>Siempre</v>
      </c>
      <c r="X1408">
        <v>0</v>
      </c>
      <c r="Y1408" t="str">
        <f t="shared" si="560"/>
        <v>No controla</v>
      </c>
      <c r="Z1408">
        <v>3</v>
      </c>
      <c r="AA1408">
        <f t="shared" si="561"/>
        <v>3</v>
      </c>
      <c r="AB1408" t="str">
        <f t="shared" si="562"/>
        <v>Siempre</v>
      </c>
      <c r="AC1408">
        <v>2</v>
      </c>
      <c r="AD1408">
        <f t="shared" si="563"/>
        <v>2</v>
      </c>
      <c r="AE1408" t="str">
        <f t="shared" si="564"/>
        <v>Siempre</v>
      </c>
      <c r="AF1408">
        <v>0</v>
      </c>
      <c r="AG1408" t="str">
        <f t="shared" si="565"/>
        <v>Nunca</v>
      </c>
      <c r="AH1408">
        <v>0</v>
      </c>
      <c r="AI1408" t="str">
        <f t="shared" si="566"/>
        <v>No usa</v>
      </c>
      <c r="AJ1408">
        <v>0</v>
      </c>
      <c r="AK1408" t="str">
        <f t="shared" si="567"/>
        <v>No usa</v>
      </c>
      <c r="AL1408">
        <v>0</v>
      </c>
      <c r="AM1408" t="str">
        <f t="shared" si="568"/>
        <v>No usa</v>
      </c>
      <c r="AN1408">
        <v>1</v>
      </c>
      <c r="AO1408" t="str">
        <f t="shared" si="569"/>
        <v>Usa Transporte</v>
      </c>
      <c r="AP1408">
        <v>0</v>
      </c>
      <c r="AQ1408" t="str">
        <f t="shared" si="570"/>
        <v>No camina</v>
      </c>
      <c r="AR1408">
        <v>1</v>
      </c>
      <c r="AS1408" t="str">
        <f t="shared" si="571"/>
        <v>Es Obeso</v>
      </c>
    </row>
    <row r="1409" spans="1:45" x14ac:dyDescent="0.25">
      <c r="A1409">
        <v>0</v>
      </c>
      <c r="B1409" t="str">
        <f t="shared" si="546"/>
        <v>F</v>
      </c>
      <c r="C1409">
        <v>21895468</v>
      </c>
      <c r="D1409">
        <f t="shared" si="547"/>
        <v>59</v>
      </c>
      <c r="E1409">
        <f t="shared" si="548"/>
        <v>59</v>
      </c>
      <c r="F1409" t="str">
        <f t="shared" si="549"/>
        <v>50-75</v>
      </c>
      <c r="G1409">
        <v>1</v>
      </c>
      <c r="H1409" t="str">
        <f t="shared" si="550"/>
        <v>Pariente gordo</v>
      </c>
      <c r="I1409">
        <v>1</v>
      </c>
      <c r="J1409" t="str">
        <f t="shared" si="551"/>
        <v>Hipercaloricos</v>
      </c>
      <c r="K1409">
        <v>2693859</v>
      </c>
      <c r="L1409">
        <f t="shared" si="552"/>
        <v>1</v>
      </c>
      <c r="M1409" t="str">
        <f t="shared" si="553"/>
        <v>Suele comer</v>
      </c>
      <c r="N1409">
        <v>1000283</v>
      </c>
      <c r="O1409">
        <f t="shared" si="554"/>
        <v>2</v>
      </c>
      <c r="P1409" t="str">
        <f t="shared" si="555"/>
        <v>Mas de 3</v>
      </c>
      <c r="Q1409">
        <v>1</v>
      </c>
      <c r="R1409" t="str">
        <f t="shared" si="556"/>
        <v>A veces</v>
      </c>
      <c r="S1409">
        <v>0</v>
      </c>
      <c r="T1409" t="str">
        <f t="shared" si="557"/>
        <v>No fuma</v>
      </c>
      <c r="U1409">
        <v>3</v>
      </c>
      <c r="V1409">
        <f t="shared" si="558"/>
        <v>2</v>
      </c>
      <c r="W1409" t="str">
        <f t="shared" si="559"/>
        <v>Siempre</v>
      </c>
      <c r="X1409">
        <v>0</v>
      </c>
      <c r="Y1409" t="str">
        <f t="shared" si="560"/>
        <v>No controla</v>
      </c>
      <c r="Z1409">
        <v>1201403</v>
      </c>
      <c r="AA1409">
        <f t="shared" si="561"/>
        <v>3</v>
      </c>
      <c r="AB1409" t="str">
        <f t="shared" si="562"/>
        <v>Siempre</v>
      </c>
      <c r="AC1409">
        <v>1612432</v>
      </c>
      <c r="AD1409">
        <f t="shared" si="563"/>
        <v>2</v>
      </c>
      <c r="AE1409" t="str">
        <f t="shared" si="564"/>
        <v>Siempre</v>
      </c>
      <c r="AF1409">
        <v>0</v>
      </c>
      <c r="AG1409" t="str">
        <f t="shared" si="565"/>
        <v>Nunca</v>
      </c>
      <c r="AH1409">
        <v>0</v>
      </c>
      <c r="AI1409" t="str">
        <f t="shared" si="566"/>
        <v>No usa</v>
      </c>
      <c r="AJ1409">
        <v>0</v>
      </c>
      <c r="AK1409" t="str">
        <f t="shared" si="567"/>
        <v>No usa</v>
      </c>
      <c r="AL1409">
        <v>0</v>
      </c>
      <c r="AM1409" t="str">
        <f t="shared" si="568"/>
        <v>No usa</v>
      </c>
      <c r="AN1409">
        <v>1</v>
      </c>
      <c r="AO1409" t="str">
        <f t="shared" si="569"/>
        <v>Usa Transporte</v>
      </c>
      <c r="AP1409">
        <v>0</v>
      </c>
      <c r="AQ1409" t="str">
        <f t="shared" si="570"/>
        <v>No camina</v>
      </c>
      <c r="AR1409">
        <v>1</v>
      </c>
      <c r="AS1409" t="str">
        <f t="shared" si="571"/>
        <v>Es Obeso</v>
      </c>
    </row>
    <row r="1410" spans="1:45" x14ac:dyDescent="0.25">
      <c r="A1410">
        <v>0</v>
      </c>
      <c r="B1410" t="str">
        <f t="shared" si="546"/>
        <v>F</v>
      </c>
      <c r="C1410">
        <v>213928</v>
      </c>
      <c r="D1410">
        <f t="shared" si="547"/>
        <v>0</v>
      </c>
      <c r="E1410">
        <f t="shared" si="548"/>
        <v>5</v>
      </c>
      <c r="F1410" t="str">
        <f t="shared" si="549"/>
        <v>1-25</v>
      </c>
      <c r="G1410">
        <v>1</v>
      </c>
      <c r="H1410" t="str">
        <f t="shared" si="550"/>
        <v>Pariente gordo</v>
      </c>
      <c r="I1410">
        <v>1</v>
      </c>
      <c r="J1410" t="str">
        <f t="shared" si="551"/>
        <v>Hipercaloricos</v>
      </c>
      <c r="K1410">
        <v>2607747</v>
      </c>
      <c r="L1410">
        <f t="shared" si="552"/>
        <v>1</v>
      </c>
      <c r="M1410" t="str">
        <f t="shared" si="553"/>
        <v>Suele comer</v>
      </c>
      <c r="N1410">
        <v>1000414</v>
      </c>
      <c r="O1410">
        <f t="shared" si="554"/>
        <v>2</v>
      </c>
      <c r="P1410" t="str">
        <f t="shared" si="555"/>
        <v>Mas de 3</v>
      </c>
      <c r="Q1410">
        <v>1</v>
      </c>
      <c r="R1410" t="str">
        <f t="shared" si="556"/>
        <v>A veces</v>
      </c>
      <c r="S1410">
        <v>0</v>
      </c>
      <c r="T1410" t="str">
        <f t="shared" si="557"/>
        <v>No fuma</v>
      </c>
      <c r="U1410">
        <v>3</v>
      </c>
      <c r="V1410">
        <f t="shared" si="558"/>
        <v>2</v>
      </c>
      <c r="W1410" t="str">
        <f t="shared" si="559"/>
        <v>Siempre</v>
      </c>
      <c r="X1410">
        <v>0</v>
      </c>
      <c r="Y1410" t="str">
        <f t="shared" si="560"/>
        <v>No controla</v>
      </c>
      <c r="Z1410">
        <v>1269169</v>
      </c>
      <c r="AA1410">
        <f t="shared" si="561"/>
        <v>3</v>
      </c>
      <c r="AB1410" t="str">
        <f t="shared" si="562"/>
        <v>Siempre</v>
      </c>
      <c r="AC1410">
        <v>1460564</v>
      </c>
      <c r="AD1410">
        <f t="shared" si="563"/>
        <v>2</v>
      </c>
      <c r="AE1410" t="str">
        <f t="shared" si="564"/>
        <v>Siempre</v>
      </c>
      <c r="AF1410">
        <v>0</v>
      </c>
      <c r="AG1410" t="str">
        <f t="shared" si="565"/>
        <v>Nunca</v>
      </c>
      <c r="AH1410">
        <v>0</v>
      </c>
      <c r="AI1410" t="str">
        <f t="shared" si="566"/>
        <v>No usa</v>
      </c>
      <c r="AJ1410">
        <v>0</v>
      </c>
      <c r="AK1410" t="str">
        <f t="shared" si="567"/>
        <v>No usa</v>
      </c>
      <c r="AL1410">
        <v>0</v>
      </c>
      <c r="AM1410" t="str">
        <f t="shared" si="568"/>
        <v>No usa</v>
      </c>
      <c r="AN1410">
        <v>1</v>
      </c>
      <c r="AO1410" t="str">
        <f t="shared" si="569"/>
        <v>Usa Transporte</v>
      </c>
      <c r="AP1410">
        <v>0</v>
      </c>
      <c r="AQ1410" t="str">
        <f t="shared" si="570"/>
        <v>No camina</v>
      </c>
      <c r="AR1410">
        <v>1</v>
      </c>
      <c r="AS1410" t="str">
        <f t="shared" si="571"/>
        <v>Es Obeso</v>
      </c>
    </row>
    <row r="1411" spans="1:45" x14ac:dyDescent="0.25">
      <c r="A1411">
        <v>0</v>
      </c>
      <c r="B1411" t="str">
        <f t="shared" ref="B1411:B1474" si="572">IF(A1411=1,"M","F")</f>
        <v>F</v>
      </c>
      <c r="C1411">
        <v>18178076</v>
      </c>
      <c r="D1411">
        <f t="shared" ref="D1411:D1474" si="573">IF(C1411&lt;100,C1411,ROUNDDOWN((C1411/1000)/365,0))</f>
        <v>49</v>
      </c>
      <c r="E1411">
        <f t="shared" ref="E1411:E1474" si="574">IF(AND(D1411&gt;1,D1411&lt;=100),D1411,IF(D1411&gt;100,100,5))</f>
        <v>49</v>
      </c>
      <c r="F1411" t="str">
        <f t="shared" ref="F1411:F1474" si="575">IF(AND(E1411&gt;=1,E1411&lt;=25),"1-25",IF(AND(E1411&gt;25,E1411&lt;=50),"25-50",IF(AND(E1411&gt;50,E1411&lt;=75),"50-75","75-100")))</f>
        <v>25-50</v>
      </c>
      <c r="G1411">
        <v>1</v>
      </c>
      <c r="H1411" t="str">
        <f t="shared" ref="H1411:H1474" si="576">IF(G1411=1,"Pariente gordo","Pariente normal")</f>
        <v>Pariente gordo</v>
      </c>
      <c r="I1411">
        <v>1</v>
      </c>
      <c r="J1411" t="str">
        <f t="shared" ref="J1411:J1474" si="577">IF(I1411=1,"Hipercaloricos","Saludables")</f>
        <v>Hipercaloricos</v>
      </c>
      <c r="K1411">
        <v>266889</v>
      </c>
      <c r="L1411">
        <f t="shared" ref="L1411:L1474" si="578">IF(AND(K1411&gt;=1,K1411&lt;=3),1,IF(AND(K1411&gt;3,K1411&lt;3000000),1))</f>
        <v>1</v>
      </c>
      <c r="M1411" t="str">
        <f t="shared" ref="M1411:M1474" si="579">IF(L1411=1,"Suele comer","No come")</f>
        <v>Suele comer</v>
      </c>
      <c r="N1411">
        <v>3</v>
      </c>
      <c r="O1411">
        <f t="shared" ref="O1411:O1474" si="580">IF(N1411=1,N1411,IF(AND(N1411&gt;=2,N1411&lt;4000000),2))</f>
        <v>2</v>
      </c>
      <c r="P1411" t="str">
        <f t="shared" ref="P1411:P1474" si="581">IF(O1411=0,"1-2",IF(O1411=1,3,"Mas de 3"))</f>
        <v>Mas de 3</v>
      </c>
      <c r="Q1411">
        <v>1</v>
      </c>
      <c r="R1411" t="str">
        <f t="shared" ref="R1411:R1474" si="582">IF(Q1411=0,"Nunca",IF(Q1411=1,"A veces",IF(Q1411=2,"Usualmente","Siempre")))</f>
        <v>A veces</v>
      </c>
      <c r="S1411">
        <v>0</v>
      </c>
      <c r="T1411" t="str">
        <f t="shared" ref="T1411:T1474" si="583">IF(S1411=1,"Fuma","No fuma")</f>
        <v>No fuma</v>
      </c>
      <c r="U1411">
        <v>1172593</v>
      </c>
      <c r="V1411">
        <f t="shared" ref="V1411:V1474" si="584">IF(U1411=1,U1411,IF(U1411=2,U1411,IF(AND(U1411&gt;=3,U1411&lt;3000000),2)))</f>
        <v>2</v>
      </c>
      <c r="W1411" t="str">
        <f t="shared" ref="W1411:W1474" si="585">IF(V1411=0,"Nunca",IF(V1411=1,"Usualmente","Siempre"))</f>
        <v>Siempre</v>
      </c>
      <c r="X1411">
        <v>0</v>
      </c>
      <c r="Y1411" t="str">
        <f t="shared" ref="Y1411:Y1474" si="586">IF(X1411=1,"Controla","No controla")</f>
        <v>No controla</v>
      </c>
      <c r="Z1411">
        <v>0.88644800000000001</v>
      </c>
      <c r="AA1411">
        <f t="shared" ref="AA1411:AA1474" si="587">IF(Z1411=0,Z1411,IF(Z1411=1,Z1411,IF(Z1411=2,Z1411,IF(Z1411=3,Z1411,IF(AND(Z1411&gt;3,Z1411&lt;300000),2,IF(AND(Z1411&gt;300000,Z1411&lt;3000000),3,IF(AND(Z1411&gt;0,Z1411&lt;1),0)))))))</f>
        <v>0</v>
      </c>
      <c r="AB1411" t="str">
        <f t="shared" ref="AB1411:AB1474" si="588">IF(AA1411=0,"Nunca",IF(AA1411=1,"A veces",IF(AA1411=2,"Usualmente","Siempre")))</f>
        <v>Nunca</v>
      </c>
      <c r="AC1411">
        <v>1252677</v>
      </c>
      <c r="AD1411">
        <f t="shared" ref="AD1411:AD1474" si="589">IF(AC1411= 0,AC1411,IF(AC1411=1,AC1411,IF(AC1411=2,AC1411,IF(AND(AC1411&gt;2,AC1411&lt;200000),1,IF(AND(AC1411&gt;200000,AC1411&lt;2000000),2,IF(AND(AC1411&gt;0,AC1411&lt;1),0))))))</f>
        <v>2</v>
      </c>
      <c r="AE1411" t="str">
        <f t="shared" ref="AE1411:AE1474" si="590">IF(AD1411=0,"Nunca",IF(AD1411=1,"Usualmente","Siempre"))</f>
        <v>Siempre</v>
      </c>
      <c r="AF1411">
        <v>0</v>
      </c>
      <c r="AG1411" t="str">
        <f t="shared" ref="AG1411:AG1474" si="591">IF(AF1411=0,"Nunca",IF(AF1411=1,"A veces",IF(AF1411=2,"Usualmente","Siempre")))</f>
        <v>Nunca</v>
      </c>
      <c r="AH1411">
        <v>0</v>
      </c>
      <c r="AI1411" t="str">
        <f t="shared" ref="AI1411:AI1474" si="592">IF(AH1411=1,"Usa auto","No usa")</f>
        <v>No usa</v>
      </c>
      <c r="AJ1411">
        <v>0</v>
      </c>
      <c r="AK1411" t="str">
        <f t="shared" ref="AK1411:AK1474" si="593">IF(AJ1411=1,"Usa Bici","No usa")</f>
        <v>No usa</v>
      </c>
      <c r="AL1411">
        <v>0</v>
      </c>
      <c r="AM1411" t="str">
        <f t="shared" ref="AM1411:AM1474" si="594">IF(AL1411=1,"Usa Moto","No usa")</f>
        <v>No usa</v>
      </c>
      <c r="AN1411">
        <v>1</v>
      </c>
      <c r="AO1411" t="str">
        <f t="shared" ref="AO1411:AO1474" si="595">IF(AN1411=1,"Usa Transporte","No usa")</f>
        <v>Usa Transporte</v>
      </c>
      <c r="AP1411">
        <v>0</v>
      </c>
      <c r="AQ1411" t="str">
        <f t="shared" ref="AQ1411:AQ1474" si="596">IF(AP1411=1,"Camina","No camina")</f>
        <v>No camina</v>
      </c>
      <c r="AR1411">
        <v>1</v>
      </c>
      <c r="AS1411" t="str">
        <f t="shared" ref="AS1411:AS1474" si="597">IF(AR1411=1,"Es Obeso","No es obeso")</f>
        <v>Es Obeso</v>
      </c>
    </row>
    <row r="1412" spans="1:45" x14ac:dyDescent="0.25">
      <c r="A1412">
        <v>0</v>
      </c>
      <c r="B1412" t="str">
        <f t="shared" si="572"/>
        <v>F</v>
      </c>
      <c r="C1412">
        <v>18907514</v>
      </c>
      <c r="D1412">
        <f t="shared" si="573"/>
        <v>51</v>
      </c>
      <c r="E1412">
        <f t="shared" si="574"/>
        <v>51</v>
      </c>
      <c r="F1412" t="str">
        <f t="shared" si="575"/>
        <v>50-75</v>
      </c>
      <c r="G1412">
        <v>1</v>
      </c>
      <c r="H1412" t="str">
        <f t="shared" si="576"/>
        <v>Pariente gordo</v>
      </c>
      <c r="I1412">
        <v>1</v>
      </c>
      <c r="J1412" t="str">
        <f t="shared" si="577"/>
        <v>Hipercaloricos</v>
      </c>
      <c r="K1412">
        <v>3</v>
      </c>
      <c r="L1412">
        <f t="shared" si="578"/>
        <v>1</v>
      </c>
      <c r="M1412" t="str">
        <f t="shared" si="579"/>
        <v>Suele comer</v>
      </c>
      <c r="N1412">
        <v>3</v>
      </c>
      <c r="O1412">
        <f t="shared" si="580"/>
        <v>2</v>
      </c>
      <c r="P1412" t="str">
        <f t="shared" si="581"/>
        <v>Mas de 3</v>
      </c>
      <c r="Q1412">
        <v>1</v>
      </c>
      <c r="R1412" t="str">
        <f t="shared" si="582"/>
        <v>A veces</v>
      </c>
      <c r="S1412">
        <v>0</v>
      </c>
      <c r="T1412" t="str">
        <f t="shared" si="583"/>
        <v>No fuma</v>
      </c>
      <c r="U1412">
        <v>1</v>
      </c>
      <c r="V1412">
        <f t="shared" si="584"/>
        <v>1</v>
      </c>
      <c r="W1412" t="str">
        <f t="shared" si="585"/>
        <v>Usualmente</v>
      </c>
      <c r="X1412">
        <v>0</v>
      </c>
      <c r="Y1412" t="str">
        <f t="shared" si="586"/>
        <v>No controla</v>
      </c>
      <c r="Z1412">
        <v>0.21518699999999999</v>
      </c>
      <c r="AA1412">
        <f t="shared" si="587"/>
        <v>0</v>
      </c>
      <c r="AB1412" t="str">
        <f t="shared" si="588"/>
        <v>Nunca</v>
      </c>
      <c r="AC1412">
        <v>1195929</v>
      </c>
      <c r="AD1412">
        <f t="shared" si="589"/>
        <v>2</v>
      </c>
      <c r="AE1412" t="str">
        <f t="shared" si="590"/>
        <v>Siempre</v>
      </c>
      <c r="AF1412">
        <v>0</v>
      </c>
      <c r="AG1412" t="str">
        <f t="shared" si="591"/>
        <v>Nunca</v>
      </c>
      <c r="AH1412">
        <v>0</v>
      </c>
      <c r="AI1412" t="str">
        <f t="shared" si="592"/>
        <v>No usa</v>
      </c>
      <c r="AJ1412">
        <v>0</v>
      </c>
      <c r="AK1412" t="str">
        <f t="shared" si="593"/>
        <v>No usa</v>
      </c>
      <c r="AL1412">
        <v>0</v>
      </c>
      <c r="AM1412" t="str">
        <f t="shared" si="594"/>
        <v>No usa</v>
      </c>
      <c r="AN1412">
        <v>1</v>
      </c>
      <c r="AO1412" t="str">
        <f t="shared" si="595"/>
        <v>Usa Transporte</v>
      </c>
      <c r="AP1412">
        <v>0</v>
      </c>
      <c r="AQ1412" t="str">
        <f t="shared" si="596"/>
        <v>No camina</v>
      </c>
      <c r="AR1412">
        <v>1</v>
      </c>
      <c r="AS1412" t="str">
        <f t="shared" si="597"/>
        <v>Es Obeso</v>
      </c>
    </row>
    <row r="1413" spans="1:45" x14ac:dyDescent="0.25">
      <c r="A1413">
        <v>1</v>
      </c>
      <c r="B1413" t="str">
        <f t="shared" si="572"/>
        <v>M</v>
      </c>
      <c r="C1413">
        <v>26011928</v>
      </c>
      <c r="D1413">
        <f t="shared" si="573"/>
        <v>71</v>
      </c>
      <c r="E1413">
        <f t="shared" si="574"/>
        <v>71</v>
      </c>
      <c r="F1413" t="str">
        <f t="shared" si="575"/>
        <v>50-75</v>
      </c>
      <c r="G1413">
        <v>1</v>
      </c>
      <c r="H1413" t="str">
        <f t="shared" si="576"/>
        <v>Pariente gordo</v>
      </c>
      <c r="I1413">
        <v>1</v>
      </c>
      <c r="J1413" t="str">
        <f t="shared" si="577"/>
        <v>Hipercaloricos</v>
      </c>
      <c r="K1413">
        <v>3</v>
      </c>
      <c r="L1413">
        <f t="shared" si="578"/>
        <v>1</v>
      </c>
      <c r="M1413" t="str">
        <f t="shared" si="579"/>
        <v>Suele comer</v>
      </c>
      <c r="N1413">
        <v>3</v>
      </c>
      <c r="O1413">
        <f t="shared" si="580"/>
        <v>2</v>
      </c>
      <c r="P1413" t="str">
        <f t="shared" si="581"/>
        <v>Mas de 3</v>
      </c>
      <c r="Q1413">
        <v>1</v>
      </c>
      <c r="R1413" t="str">
        <f t="shared" si="582"/>
        <v>A veces</v>
      </c>
      <c r="S1413">
        <v>0</v>
      </c>
      <c r="T1413" t="str">
        <f t="shared" si="583"/>
        <v>No fuma</v>
      </c>
      <c r="U1413">
        <v>1911379</v>
      </c>
      <c r="V1413">
        <f t="shared" si="584"/>
        <v>2</v>
      </c>
      <c r="W1413" t="str">
        <f t="shared" si="585"/>
        <v>Siempre</v>
      </c>
      <c r="X1413">
        <v>0</v>
      </c>
      <c r="Y1413" t="str">
        <f t="shared" si="586"/>
        <v>No controla</v>
      </c>
      <c r="Z1413">
        <v>1911096</v>
      </c>
      <c r="AA1413">
        <f t="shared" si="587"/>
        <v>3</v>
      </c>
      <c r="AB1413" t="str">
        <f t="shared" si="588"/>
        <v>Siempre</v>
      </c>
      <c r="AC1413">
        <v>1032392</v>
      </c>
      <c r="AD1413">
        <f t="shared" si="589"/>
        <v>2</v>
      </c>
      <c r="AE1413" t="str">
        <f t="shared" si="590"/>
        <v>Siempre</v>
      </c>
      <c r="AF1413">
        <v>1</v>
      </c>
      <c r="AG1413" t="str">
        <f t="shared" si="591"/>
        <v>A veces</v>
      </c>
      <c r="AH1413">
        <v>0</v>
      </c>
      <c r="AI1413" t="str">
        <f t="shared" si="592"/>
        <v>No usa</v>
      </c>
      <c r="AJ1413">
        <v>0</v>
      </c>
      <c r="AK1413" t="str">
        <f t="shared" si="593"/>
        <v>No usa</v>
      </c>
      <c r="AL1413">
        <v>0</v>
      </c>
      <c r="AM1413" t="str">
        <f t="shared" si="594"/>
        <v>No usa</v>
      </c>
      <c r="AN1413">
        <v>1</v>
      </c>
      <c r="AO1413" t="str">
        <f t="shared" si="595"/>
        <v>Usa Transporte</v>
      </c>
      <c r="AP1413">
        <v>0</v>
      </c>
      <c r="AQ1413" t="str">
        <f t="shared" si="596"/>
        <v>No camina</v>
      </c>
      <c r="AR1413">
        <v>1</v>
      </c>
      <c r="AS1413" t="str">
        <f t="shared" si="597"/>
        <v>Es Obeso</v>
      </c>
    </row>
    <row r="1414" spans="1:45" x14ac:dyDescent="0.25">
      <c r="A1414">
        <v>1</v>
      </c>
      <c r="B1414" t="str">
        <f t="shared" si="572"/>
        <v>M</v>
      </c>
      <c r="C1414">
        <v>25696736</v>
      </c>
      <c r="D1414">
        <f t="shared" si="573"/>
        <v>70</v>
      </c>
      <c r="E1414">
        <f t="shared" si="574"/>
        <v>70</v>
      </c>
      <c r="F1414" t="str">
        <f t="shared" si="575"/>
        <v>50-75</v>
      </c>
      <c r="G1414">
        <v>1</v>
      </c>
      <c r="H1414" t="str">
        <f t="shared" si="576"/>
        <v>Pariente gordo</v>
      </c>
      <c r="I1414">
        <v>1</v>
      </c>
      <c r="J1414" t="str">
        <f t="shared" si="577"/>
        <v>Hipercaloricos</v>
      </c>
      <c r="K1414">
        <v>2921225</v>
      </c>
      <c r="L1414">
        <f t="shared" si="578"/>
        <v>1</v>
      </c>
      <c r="M1414" t="str">
        <f t="shared" si="579"/>
        <v>Suele comer</v>
      </c>
      <c r="N1414">
        <v>3</v>
      </c>
      <c r="O1414">
        <f t="shared" si="580"/>
        <v>2</v>
      </c>
      <c r="P1414" t="str">
        <f t="shared" si="581"/>
        <v>Mas de 3</v>
      </c>
      <c r="Q1414">
        <v>1</v>
      </c>
      <c r="R1414" t="str">
        <f t="shared" si="582"/>
        <v>A veces</v>
      </c>
      <c r="S1414">
        <v>0</v>
      </c>
      <c r="T1414" t="str">
        <f t="shared" si="583"/>
        <v>No fuma</v>
      </c>
      <c r="U1414">
        <v>2869439</v>
      </c>
      <c r="V1414">
        <f t="shared" si="584"/>
        <v>2</v>
      </c>
      <c r="W1414" t="str">
        <f t="shared" si="585"/>
        <v>Siempre</v>
      </c>
      <c r="X1414">
        <v>0</v>
      </c>
      <c r="Y1414" t="str">
        <f t="shared" si="586"/>
        <v>No controla</v>
      </c>
      <c r="Z1414">
        <v>0.181753</v>
      </c>
      <c r="AA1414">
        <f t="shared" si="587"/>
        <v>0</v>
      </c>
      <c r="AB1414" t="str">
        <f t="shared" si="588"/>
        <v>Nunca</v>
      </c>
      <c r="AC1414">
        <v>0.133523</v>
      </c>
      <c r="AD1414">
        <f t="shared" si="589"/>
        <v>0</v>
      </c>
      <c r="AE1414" t="str">
        <f t="shared" si="590"/>
        <v>Nunca</v>
      </c>
      <c r="AF1414">
        <v>1</v>
      </c>
      <c r="AG1414" t="str">
        <f t="shared" si="591"/>
        <v>A veces</v>
      </c>
      <c r="AH1414">
        <v>0</v>
      </c>
      <c r="AI1414" t="str">
        <f t="shared" si="592"/>
        <v>No usa</v>
      </c>
      <c r="AJ1414">
        <v>0</v>
      </c>
      <c r="AK1414" t="str">
        <f t="shared" si="593"/>
        <v>No usa</v>
      </c>
      <c r="AL1414">
        <v>0</v>
      </c>
      <c r="AM1414" t="str">
        <f t="shared" si="594"/>
        <v>No usa</v>
      </c>
      <c r="AN1414">
        <v>1</v>
      </c>
      <c r="AO1414" t="str">
        <f t="shared" si="595"/>
        <v>Usa Transporte</v>
      </c>
      <c r="AP1414">
        <v>0</v>
      </c>
      <c r="AQ1414" t="str">
        <f t="shared" si="596"/>
        <v>No camina</v>
      </c>
      <c r="AR1414">
        <v>1</v>
      </c>
      <c r="AS1414" t="str">
        <f t="shared" si="597"/>
        <v>Es Obeso</v>
      </c>
    </row>
    <row r="1415" spans="1:45" x14ac:dyDescent="0.25">
      <c r="A1415">
        <v>0</v>
      </c>
      <c r="B1415" t="str">
        <f t="shared" si="572"/>
        <v>F</v>
      </c>
      <c r="C1415">
        <v>40466313</v>
      </c>
      <c r="D1415">
        <f t="shared" si="573"/>
        <v>110</v>
      </c>
      <c r="E1415">
        <f t="shared" si="574"/>
        <v>100</v>
      </c>
      <c r="F1415" t="str">
        <f t="shared" si="575"/>
        <v>75-100</v>
      </c>
      <c r="G1415">
        <v>1</v>
      </c>
      <c r="H1415" t="str">
        <f t="shared" si="576"/>
        <v>Pariente gordo</v>
      </c>
      <c r="I1415">
        <v>1</v>
      </c>
      <c r="J1415" t="str">
        <f t="shared" si="577"/>
        <v>Hipercaloricos</v>
      </c>
      <c r="K1415">
        <v>2</v>
      </c>
      <c r="L1415">
        <f t="shared" si="578"/>
        <v>1</v>
      </c>
      <c r="M1415" t="str">
        <f t="shared" si="579"/>
        <v>Suele comer</v>
      </c>
      <c r="N1415">
        <v>3</v>
      </c>
      <c r="O1415">
        <f t="shared" si="580"/>
        <v>2</v>
      </c>
      <c r="P1415" t="str">
        <f t="shared" si="581"/>
        <v>Mas de 3</v>
      </c>
      <c r="Q1415">
        <v>1</v>
      </c>
      <c r="R1415" t="str">
        <f t="shared" si="582"/>
        <v>A veces</v>
      </c>
      <c r="S1415">
        <v>0</v>
      </c>
      <c r="T1415" t="str">
        <f t="shared" si="583"/>
        <v>No fuma</v>
      </c>
      <c r="U1415">
        <v>1572371</v>
      </c>
      <c r="V1415">
        <f t="shared" si="584"/>
        <v>2</v>
      </c>
      <c r="W1415" t="str">
        <f t="shared" si="585"/>
        <v>Siempre</v>
      </c>
      <c r="X1415">
        <v>0</v>
      </c>
      <c r="Y1415" t="str">
        <f t="shared" si="586"/>
        <v>No controla</v>
      </c>
      <c r="Z1415">
        <v>0</v>
      </c>
      <c r="AA1415">
        <f t="shared" si="587"/>
        <v>0</v>
      </c>
      <c r="AB1415" t="str">
        <f t="shared" si="588"/>
        <v>Nunca</v>
      </c>
      <c r="AC1415">
        <v>0</v>
      </c>
      <c r="AD1415">
        <f t="shared" si="589"/>
        <v>0</v>
      </c>
      <c r="AE1415" t="str">
        <f t="shared" si="590"/>
        <v>Nunca</v>
      </c>
      <c r="AF1415">
        <v>1</v>
      </c>
      <c r="AG1415" t="str">
        <f t="shared" si="591"/>
        <v>A veces</v>
      </c>
      <c r="AH1415">
        <v>1</v>
      </c>
      <c r="AI1415" t="str">
        <f t="shared" si="592"/>
        <v>Usa auto</v>
      </c>
      <c r="AJ1415">
        <v>0</v>
      </c>
      <c r="AK1415" t="str">
        <f t="shared" si="593"/>
        <v>No usa</v>
      </c>
      <c r="AL1415">
        <v>0</v>
      </c>
      <c r="AM1415" t="str">
        <f t="shared" si="594"/>
        <v>No usa</v>
      </c>
      <c r="AN1415">
        <v>0</v>
      </c>
      <c r="AO1415" t="str">
        <f t="shared" si="595"/>
        <v>No usa</v>
      </c>
      <c r="AP1415">
        <v>0</v>
      </c>
      <c r="AQ1415" t="str">
        <f t="shared" si="596"/>
        <v>No camina</v>
      </c>
      <c r="AR1415">
        <v>1</v>
      </c>
      <c r="AS1415" t="str">
        <f t="shared" si="597"/>
        <v>Es Obeso</v>
      </c>
    </row>
    <row r="1416" spans="1:45" x14ac:dyDescent="0.25">
      <c r="A1416">
        <v>0</v>
      </c>
      <c r="B1416" t="str">
        <f t="shared" si="572"/>
        <v>F</v>
      </c>
      <c r="C1416">
        <v>38445148</v>
      </c>
      <c r="D1416">
        <f t="shared" si="573"/>
        <v>105</v>
      </c>
      <c r="E1416">
        <f t="shared" si="574"/>
        <v>100</v>
      </c>
      <c r="F1416" t="str">
        <f t="shared" si="575"/>
        <v>75-100</v>
      </c>
      <c r="G1416">
        <v>1</v>
      </c>
      <c r="H1416" t="str">
        <f t="shared" si="576"/>
        <v>Pariente gordo</v>
      </c>
      <c r="I1416">
        <v>1</v>
      </c>
      <c r="J1416" t="str">
        <f t="shared" si="577"/>
        <v>Hipercaloricos</v>
      </c>
      <c r="K1416">
        <v>2</v>
      </c>
      <c r="L1416">
        <f t="shared" si="578"/>
        <v>1</v>
      </c>
      <c r="M1416" t="str">
        <f t="shared" si="579"/>
        <v>Suele comer</v>
      </c>
      <c r="N1416">
        <v>3</v>
      </c>
      <c r="O1416">
        <f t="shared" si="580"/>
        <v>2</v>
      </c>
      <c r="P1416" t="str">
        <f t="shared" si="581"/>
        <v>Mas de 3</v>
      </c>
      <c r="Q1416">
        <v>1</v>
      </c>
      <c r="R1416" t="str">
        <f t="shared" si="582"/>
        <v>A veces</v>
      </c>
      <c r="S1416">
        <v>0</v>
      </c>
      <c r="T1416" t="str">
        <f t="shared" si="583"/>
        <v>No fuma</v>
      </c>
      <c r="U1416">
        <v>1440629</v>
      </c>
      <c r="V1416">
        <f t="shared" si="584"/>
        <v>2</v>
      </c>
      <c r="W1416" t="str">
        <f t="shared" si="585"/>
        <v>Siempre</v>
      </c>
      <c r="X1416">
        <v>0</v>
      </c>
      <c r="Y1416" t="str">
        <f t="shared" si="586"/>
        <v>No controla</v>
      </c>
      <c r="Z1416">
        <v>0</v>
      </c>
      <c r="AA1416">
        <f t="shared" si="587"/>
        <v>0</v>
      </c>
      <c r="AB1416" t="str">
        <f t="shared" si="588"/>
        <v>Nunca</v>
      </c>
      <c r="AC1416">
        <v>0</v>
      </c>
      <c r="AD1416">
        <f t="shared" si="589"/>
        <v>0</v>
      </c>
      <c r="AE1416" t="str">
        <f t="shared" si="590"/>
        <v>Nunca</v>
      </c>
      <c r="AF1416">
        <v>1</v>
      </c>
      <c r="AG1416" t="str">
        <f t="shared" si="591"/>
        <v>A veces</v>
      </c>
      <c r="AH1416">
        <v>1</v>
      </c>
      <c r="AI1416" t="str">
        <f t="shared" si="592"/>
        <v>Usa auto</v>
      </c>
      <c r="AJ1416">
        <v>0</v>
      </c>
      <c r="AK1416" t="str">
        <f t="shared" si="593"/>
        <v>No usa</v>
      </c>
      <c r="AL1416">
        <v>0</v>
      </c>
      <c r="AM1416" t="str">
        <f t="shared" si="594"/>
        <v>No usa</v>
      </c>
      <c r="AN1416">
        <v>0</v>
      </c>
      <c r="AO1416" t="str">
        <f t="shared" si="595"/>
        <v>No usa</v>
      </c>
      <c r="AP1416">
        <v>0</v>
      </c>
      <c r="AQ1416" t="str">
        <f t="shared" si="596"/>
        <v>No camina</v>
      </c>
      <c r="AR1416">
        <v>1</v>
      </c>
      <c r="AS1416" t="str">
        <f t="shared" si="597"/>
        <v>Es Obeso</v>
      </c>
    </row>
    <row r="1417" spans="1:45" x14ac:dyDescent="0.25">
      <c r="A1417">
        <v>1</v>
      </c>
      <c r="B1417" t="str">
        <f t="shared" si="572"/>
        <v>M</v>
      </c>
      <c r="C1417">
        <v>24473062</v>
      </c>
      <c r="D1417">
        <f t="shared" si="573"/>
        <v>67</v>
      </c>
      <c r="E1417">
        <f t="shared" si="574"/>
        <v>67</v>
      </c>
      <c r="F1417" t="str">
        <f t="shared" si="575"/>
        <v>50-75</v>
      </c>
      <c r="G1417">
        <v>1</v>
      </c>
      <c r="H1417" t="str">
        <f t="shared" si="576"/>
        <v>Pariente gordo</v>
      </c>
      <c r="I1417">
        <v>1</v>
      </c>
      <c r="J1417" t="str">
        <f t="shared" si="577"/>
        <v>Hipercaloricos</v>
      </c>
      <c r="K1417">
        <v>1492834</v>
      </c>
      <c r="L1417">
        <f t="shared" si="578"/>
        <v>1</v>
      </c>
      <c r="M1417" t="str">
        <f t="shared" si="579"/>
        <v>Suele comer</v>
      </c>
      <c r="N1417">
        <v>3</v>
      </c>
      <c r="O1417">
        <f t="shared" si="580"/>
        <v>2</v>
      </c>
      <c r="P1417" t="str">
        <f t="shared" si="581"/>
        <v>Mas de 3</v>
      </c>
      <c r="Q1417">
        <v>1</v>
      </c>
      <c r="R1417" t="str">
        <f t="shared" si="582"/>
        <v>A veces</v>
      </c>
      <c r="S1417">
        <v>0</v>
      </c>
      <c r="T1417" t="str">
        <f t="shared" si="583"/>
        <v>No fuma</v>
      </c>
      <c r="U1417">
        <v>1005367</v>
      </c>
      <c r="V1417">
        <f t="shared" si="584"/>
        <v>2</v>
      </c>
      <c r="W1417" t="str">
        <f t="shared" si="585"/>
        <v>Siempre</v>
      </c>
      <c r="X1417">
        <v>0</v>
      </c>
      <c r="Y1417" t="str">
        <f t="shared" si="586"/>
        <v>No controla</v>
      </c>
      <c r="Z1417">
        <v>0.92273899999999998</v>
      </c>
      <c r="AA1417">
        <f t="shared" si="587"/>
        <v>0</v>
      </c>
      <c r="AB1417" t="str">
        <f t="shared" si="588"/>
        <v>Nunca</v>
      </c>
      <c r="AC1417">
        <v>0.73322100000000001</v>
      </c>
      <c r="AD1417">
        <f t="shared" si="589"/>
        <v>0</v>
      </c>
      <c r="AE1417" t="str">
        <f t="shared" si="590"/>
        <v>Nunca</v>
      </c>
      <c r="AF1417">
        <v>0</v>
      </c>
      <c r="AG1417" t="str">
        <f t="shared" si="591"/>
        <v>Nunca</v>
      </c>
      <c r="AH1417">
        <v>1</v>
      </c>
      <c r="AI1417" t="str">
        <f t="shared" si="592"/>
        <v>Usa auto</v>
      </c>
      <c r="AJ1417">
        <v>0</v>
      </c>
      <c r="AK1417" t="str">
        <f t="shared" si="593"/>
        <v>No usa</v>
      </c>
      <c r="AL1417">
        <v>0</v>
      </c>
      <c r="AM1417" t="str">
        <f t="shared" si="594"/>
        <v>No usa</v>
      </c>
      <c r="AN1417">
        <v>0</v>
      </c>
      <c r="AO1417" t="str">
        <f t="shared" si="595"/>
        <v>No usa</v>
      </c>
      <c r="AP1417">
        <v>0</v>
      </c>
      <c r="AQ1417" t="str">
        <f t="shared" si="596"/>
        <v>No camina</v>
      </c>
      <c r="AR1417">
        <v>1</v>
      </c>
      <c r="AS1417" t="str">
        <f t="shared" si="597"/>
        <v>Es Obeso</v>
      </c>
    </row>
    <row r="1418" spans="1:45" x14ac:dyDescent="0.25">
      <c r="A1418">
        <v>1</v>
      </c>
      <c r="B1418" t="str">
        <f t="shared" si="572"/>
        <v>M</v>
      </c>
      <c r="C1418">
        <v>23479181</v>
      </c>
      <c r="D1418">
        <f t="shared" si="573"/>
        <v>64</v>
      </c>
      <c r="E1418">
        <f t="shared" si="574"/>
        <v>64</v>
      </c>
      <c r="F1418" t="str">
        <f t="shared" si="575"/>
        <v>50-75</v>
      </c>
      <c r="G1418">
        <v>1</v>
      </c>
      <c r="H1418" t="str">
        <f t="shared" si="576"/>
        <v>Pariente gordo</v>
      </c>
      <c r="I1418">
        <v>1</v>
      </c>
      <c r="J1418" t="str">
        <f t="shared" si="577"/>
        <v>Hipercaloricos</v>
      </c>
      <c r="K1418">
        <v>1220024</v>
      </c>
      <c r="L1418">
        <f t="shared" si="578"/>
        <v>1</v>
      </c>
      <c r="M1418" t="str">
        <f t="shared" si="579"/>
        <v>Suele comer</v>
      </c>
      <c r="N1418">
        <v>3</v>
      </c>
      <c r="O1418">
        <f t="shared" si="580"/>
        <v>2</v>
      </c>
      <c r="P1418" t="str">
        <f t="shared" si="581"/>
        <v>Mas de 3</v>
      </c>
      <c r="Q1418">
        <v>1</v>
      </c>
      <c r="R1418" t="str">
        <f t="shared" si="582"/>
        <v>A veces</v>
      </c>
      <c r="S1418">
        <v>0</v>
      </c>
      <c r="T1418" t="str">
        <f t="shared" si="583"/>
        <v>No fuma</v>
      </c>
      <c r="U1418">
        <v>1046254</v>
      </c>
      <c r="V1418">
        <f t="shared" si="584"/>
        <v>2</v>
      </c>
      <c r="W1418" t="str">
        <f t="shared" si="585"/>
        <v>Siempre</v>
      </c>
      <c r="X1418">
        <v>0</v>
      </c>
      <c r="Y1418" t="str">
        <f t="shared" si="586"/>
        <v>No controla</v>
      </c>
      <c r="Z1418">
        <v>0.52098900000000004</v>
      </c>
      <c r="AA1418">
        <f t="shared" si="587"/>
        <v>0</v>
      </c>
      <c r="AB1418" t="str">
        <f t="shared" si="588"/>
        <v>Nunca</v>
      </c>
      <c r="AC1418">
        <v>0.61599000000000004</v>
      </c>
      <c r="AD1418">
        <f t="shared" si="589"/>
        <v>0</v>
      </c>
      <c r="AE1418" t="str">
        <f t="shared" si="590"/>
        <v>Nunca</v>
      </c>
      <c r="AF1418">
        <v>0</v>
      </c>
      <c r="AG1418" t="str">
        <f t="shared" si="591"/>
        <v>Nunca</v>
      </c>
      <c r="AH1418">
        <v>1</v>
      </c>
      <c r="AI1418" t="str">
        <f t="shared" si="592"/>
        <v>Usa auto</v>
      </c>
      <c r="AJ1418">
        <v>0</v>
      </c>
      <c r="AK1418" t="str">
        <f t="shared" si="593"/>
        <v>No usa</v>
      </c>
      <c r="AL1418">
        <v>0</v>
      </c>
      <c r="AM1418" t="str">
        <f t="shared" si="594"/>
        <v>No usa</v>
      </c>
      <c r="AN1418">
        <v>0</v>
      </c>
      <c r="AO1418" t="str">
        <f t="shared" si="595"/>
        <v>No usa</v>
      </c>
      <c r="AP1418">
        <v>0</v>
      </c>
      <c r="AQ1418" t="str">
        <f t="shared" si="596"/>
        <v>No camina</v>
      </c>
      <c r="AR1418">
        <v>1</v>
      </c>
      <c r="AS1418" t="str">
        <f t="shared" si="597"/>
        <v>Es Obeso</v>
      </c>
    </row>
    <row r="1419" spans="1:45" x14ac:dyDescent="0.25">
      <c r="A1419">
        <v>0</v>
      </c>
      <c r="B1419" t="str">
        <f t="shared" si="572"/>
        <v>F</v>
      </c>
      <c r="C1419">
        <v>38397463</v>
      </c>
      <c r="D1419">
        <f t="shared" si="573"/>
        <v>105</v>
      </c>
      <c r="E1419">
        <f t="shared" si="574"/>
        <v>100</v>
      </c>
      <c r="F1419" t="str">
        <f t="shared" si="575"/>
        <v>75-100</v>
      </c>
      <c r="G1419">
        <v>1</v>
      </c>
      <c r="H1419" t="str">
        <f t="shared" si="576"/>
        <v>Pariente gordo</v>
      </c>
      <c r="I1419">
        <v>1</v>
      </c>
      <c r="J1419" t="str">
        <f t="shared" si="577"/>
        <v>Hipercaloricos</v>
      </c>
      <c r="K1419">
        <v>2667676</v>
      </c>
      <c r="L1419">
        <f t="shared" si="578"/>
        <v>1</v>
      </c>
      <c r="M1419" t="str">
        <f t="shared" si="579"/>
        <v>Suele comer</v>
      </c>
      <c r="N1419">
        <v>1135278</v>
      </c>
      <c r="O1419">
        <f t="shared" si="580"/>
        <v>2</v>
      </c>
      <c r="P1419" t="str">
        <f t="shared" si="581"/>
        <v>Mas de 3</v>
      </c>
      <c r="Q1419">
        <v>1</v>
      </c>
      <c r="R1419" t="str">
        <f t="shared" si="582"/>
        <v>A veces</v>
      </c>
      <c r="S1419">
        <v>0</v>
      </c>
      <c r="T1419" t="str">
        <f t="shared" si="583"/>
        <v>No fuma</v>
      </c>
      <c r="U1419">
        <v>1399629</v>
      </c>
      <c r="V1419">
        <f t="shared" si="584"/>
        <v>2</v>
      </c>
      <c r="W1419" t="str">
        <f t="shared" si="585"/>
        <v>Siempre</v>
      </c>
      <c r="X1419">
        <v>0</v>
      </c>
      <c r="Y1419" t="str">
        <f t="shared" si="586"/>
        <v>No controla</v>
      </c>
      <c r="Z1419">
        <v>1648883</v>
      </c>
      <c r="AA1419">
        <f t="shared" si="587"/>
        <v>3</v>
      </c>
      <c r="AB1419" t="str">
        <f t="shared" si="588"/>
        <v>Siempre</v>
      </c>
      <c r="AC1419">
        <v>0</v>
      </c>
      <c r="AD1419">
        <f t="shared" si="589"/>
        <v>0</v>
      </c>
      <c r="AE1419" t="str">
        <f t="shared" si="590"/>
        <v>Nunca</v>
      </c>
      <c r="AF1419">
        <v>1</v>
      </c>
      <c r="AG1419" t="str">
        <f t="shared" si="591"/>
        <v>A veces</v>
      </c>
      <c r="AH1419">
        <v>1</v>
      </c>
      <c r="AI1419" t="str">
        <f t="shared" si="592"/>
        <v>Usa auto</v>
      </c>
      <c r="AJ1419">
        <v>0</v>
      </c>
      <c r="AK1419" t="str">
        <f t="shared" si="593"/>
        <v>No usa</v>
      </c>
      <c r="AL1419">
        <v>0</v>
      </c>
      <c r="AM1419" t="str">
        <f t="shared" si="594"/>
        <v>No usa</v>
      </c>
      <c r="AN1419">
        <v>0</v>
      </c>
      <c r="AO1419" t="str">
        <f t="shared" si="595"/>
        <v>No usa</v>
      </c>
      <c r="AP1419">
        <v>0</v>
      </c>
      <c r="AQ1419" t="str">
        <f t="shared" si="596"/>
        <v>No camina</v>
      </c>
      <c r="AR1419">
        <v>1</v>
      </c>
      <c r="AS1419" t="str">
        <f t="shared" si="597"/>
        <v>Es Obeso</v>
      </c>
    </row>
    <row r="1420" spans="1:45" x14ac:dyDescent="0.25">
      <c r="A1420">
        <v>0</v>
      </c>
      <c r="B1420" t="str">
        <f t="shared" si="572"/>
        <v>F</v>
      </c>
      <c r="C1420">
        <v>37974483</v>
      </c>
      <c r="D1420">
        <f t="shared" si="573"/>
        <v>104</v>
      </c>
      <c r="E1420">
        <f t="shared" si="574"/>
        <v>100</v>
      </c>
      <c r="F1420" t="str">
        <f t="shared" si="575"/>
        <v>75-100</v>
      </c>
      <c r="G1420">
        <v>1</v>
      </c>
      <c r="H1420" t="str">
        <f t="shared" si="576"/>
        <v>Pariente gordo</v>
      </c>
      <c r="I1420">
        <v>1</v>
      </c>
      <c r="J1420" t="str">
        <f t="shared" si="577"/>
        <v>Hipercaloricos</v>
      </c>
      <c r="K1420">
        <v>2569075</v>
      </c>
      <c r="L1420">
        <f t="shared" si="578"/>
        <v>1</v>
      </c>
      <c r="M1420" t="str">
        <f t="shared" si="579"/>
        <v>Suele comer</v>
      </c>
      <c r="N1420">
        <v>2463113</v>
      </c>
      <c r="O1420">
        <f t="shared" si="580"/>
        <v>2</v>
      </c>
      <c r="P1420" t="str">
        <f t="shared" si="581"/>
        <v>Mas de 3</v>
      </c>
      <c r="Q1420">
        <v>1</v>
      </c>
      <c r="R1420" t="str">
        <f t="shared" si="582"/>
        <v>A veces</v>
      </c>
      <c r="S1420">
        <v>0</v>
      </c>
      <c r="T1420" t="str">
        <f t="shared" si="583"/>
        <v>No fuma</v>
      </c>
      <c r="U1420">
        <v>1567366</v>
      </c>
      <c r="V1420">
        <f t="shared" si="584"/>
        <v>2</v>
      </c>
      <c r="W1420" t="str">
        <f t="shared" si="585"/>
        <v>Siempre</v>
      </c>
      <c r="X1420">
        <v>0</v>
      </c>
      <c r="Y1420" t="str">
        <f t="shared" si="586"/>
        <v>No controla</v>
      </c>
      <c r="Z1420">
        <v>0.35913400000000001</v>
      </c>
      <c r="AA1420">
        <f t="shared" si="587"/>
        <v>0</v>
      </c>
      <c r="AB1420" t="str">
        <f t="shared" si="588"/>
        <v>Nunca</v>
      </c>
      <c r="AC1420">
        <v>0</v>
      </c>
      <c r="AD1420">
        <f t="shared" si="589"/>
        <v>0</v>
      </c>
      <c r="AE1420" t="str">
        <f t="shared" si="590"/>
        <v>Nunca</v>
      </c>
      <c r="AF1420">
        <v>1</v>
      </c>
      <c r="AG1420" t="str">
        <f t="shared" si="591"/>
        <v>A veces</v>
      </c>
      <c r="AH1420">
        <v>1</v>
      </c>
      <c r="AI1420" t="str">
        <f t="shared" si="592"/>
        <v>Usa auto</v>
      </c>
      <c r="AJ1420">
        <v>0</v>
      </c>
      <c r="AK1420" t="str">
        <f t="shared" si="593"/>
        <v>No usa</v>
      </c>
      <c r="AL1420">
        <v>0</v>
      </c>
      <c r="AM1420" t="str">
        <f t="shared" si="594"/>
        <v>No usa</v>
      </c>
      <c r="AN1420">
        <v>0</v>
      </c>
      <c r="AO1420" t="str">
        <f t="shared" si="595"/>
        <v>No usa</v>
      </c>
      <c r="AP1420">
        <v>0</v>
      </c>
      <c r="AQ1420" t="str">
        <f t="shared" si="596"/>
        <v>No camina</v>
      </c>
      <c r="AR1420">
        <v>1</v>
      </c>
      <c r="AS1420" t="str">
        <f t="shared" si="597"/>
        <v>Es Obeso</v>
      </c>
    </row>
    <row r="1421" spans="1:45" x14ac:dyDescent="0.25">
      <c r="A1421">
        <v>1</v>
      </c>
      <c r="B1421" t="str">
        <f t="shared" si="572"/>
        <v>M</v>
      </c>
      <c r="C1421">
        <v>31783524</v>
      </c>
      <c r="D1421">
        <f t="shared" si="573"/>
        <v>87</v>
      </c>
      <c r="E1421">
        <f t="shared" si="574"/>
        <v>87</v>
      </c>
      <c r="F1421" t="str">
        <f t="shared" si="575"/>
        <v>75-100</v>
      </c>
      <c r="G1421">
        <v>1</v>
      </c>
      <c r="H1421" t="str">
        <f t="shared" si="576"/>
        <v>Pariente gordo</v>
      </c>
      <c r="I1421">
        <v>1</v>
      </c>
      <c r="J1421" t="str">
        <f t="shared" si="577"/>
        <v>Hipercaloricos</v>
      </c>
      <c r="K1421">
        <v>2949242</v>
      </c>
      <c r="L1421">
        <f t="shared" si="578"/>
        <v>1</v>
      </c>
      <c r="M1421" t="str">
        <f t="shared" si="579"/>
        <v>Suele comer</v>
      </c>
      <c r="N1421">
        <v>1782109</v>
      </c>
      <c r="O1421">
        <f t="shared" si="580"/>
        <v>2</v>
      </c>
      <c r="P1421" t="str">
        <f t="shared" si="581"/>
        <v>Mas de 3</v>
      </c>
      <c r="Q1421">
        <v>1</v>
      </c>
      <c r="R1421" t="str">
        <f t="shared" si="582"/>
        <v>A veces</v>
      </c>
      <c r="S1421">
        <v>0</v>
      </c>
      <c r="T1421" t="str">
        <f t="shared" si="583"/>
        <v>No fuma</v>
      </c>
      <c r="U1421">
        <v>2210997</v>
      </c>
      <c r="V1421">
        <f t="shared" si="584"/>
        <v>2</v>
      </c>
      <c r="W1421" t="str">
        <f t="shared" si="585"/>
        <v>Siempre</v>
      </c>
      <c r="X1421">
        <v>0</v>
      </c>
      <c r="Y1421" t="str">
        <f t="shared" si="586"/>
        <v>No controla</v>
      </c>
      <c r="Z1421">
        <v>1992719</v>
      </c>
      <c r="AA1421">
        <f t="shared" si="587"/>
        <v>3</v>
      </c>
      <c r="AB1421" t="str">
        <f t="shared" si="588"/>
        <v>Siempre</v>
      </c>
      <c r="AC1421">
        <v>0</v>
      </c>
      <c r="AD1421">
        <f t="shared" si="589"/>
        <v>0</v>
      </c>
      <c r="AE1421" t="str">
        <f t="shared" si="590"/>
        <v>Nunca</v>
      </c>
      <c r="AF1421">
        <v>1</v>
      </c>
      <c r="AG1421" t="str">
        <f t="shared" si="591"/>
        <v>A veces</v>
      </c>
      <c r="AH1421">
        <v>1</v>
      </c>
      <c r="AI1421" t="str">
        <f t="shared" si="592"/>
        <v>Usa auto</v>
      </c>
      <c r="AJ1421">
        <v>0</v>
      </c>
      <c r="AK1421" t="str">
        <f t="shared" si="593"/>
        <v>No usa</v>
      </c>
      <c r="AL1421">
        <v>0</v>
      </c>
      <c r="AM1421" t="str">
        <f t="shared" si="594"/>
        <v>No usa</v>
      </c>
      <c r="AN1421">
        <v>0</v>
      </c>
      <c r="AO1421" t="str">
        <f t="shared" si="595"/>
        <v>No usa</v>
      </c>
      <c r="AP1421">
        <v>0</v>
      </c>
      <c r="AQ1421" t="str">
        <f t="shared" si="596"/>
        <v>No camina</v>
      </c>
      <c r="AR1421">
        <v>1</v>
      </c>
      <c r="AS1421" t="str">
        <f t="shared" si="597"/>
        <v>Es Obeso</v>
      </c>
    </row>
    <row r="1422" spans="1:45" x14ac:dyDescent="0.25">
      <c r="A1422">
        <v>1</v>
      </c>
      <c r="B1422" t="str">
        <f t="shared" si="572"/>
        <v>M</v>
      </c>
      <c r="C1422">
        <v>29681308</v>
      </c>
      <c r="D1422">
        <f t="shared" si="573"/>
        <v>81</v>
      </c>
      <c r="E1422">
        <f t="shared" si="574"/>
        <v>81</v>
      </c>
      <c r="F1422" t="str">
        <f t="shared" si="575"/>
        <v>75-100</v>
      </c>
      <c r="G1422">
        <v>1</v>
      </c>
      <c r="H1422" t="str">
        <f t="shared" si="576"/>
        <v>Pariente gordo</v>
      </c>
      <c r="I1422">
        <v>1</v>
      </c>
      <c r="J1422" t="str">
        <f t="shared" si="577"/>
        <v>Hipercaloricos</v>
      </c>
      <c r="K1422">
        <v>2104772</v>
      </c>
      <c r="L1422">
        <f t="shared" si="578"/>
        <v>1</v>
      </c>
      <c r="M1422" t="str">
        <f t="shared" si="579"/>
        <v>Suele comer</v>
      </c>
      <c r="N1422">
        <v>2376374</v>
      </c>
      <c r="O1422">
        <f t="shared" si="580"/>
        <v>2</v>
      </c>
      <c r="P1422" t="str">
        <f t="shared" si="581"/>
        <v>Mas de 3</v>
      </c>
      <c r="Q1422">
        <v>1</v>
      </c>
      <c r="R1422" t="str">
        <f t="shared" si="582"/>
        <v>A veces</v>
      </c>
      <c r="S1422">
        <v>0</v>
      </c>
      <c r="T1422" t="str">
        <f t="shared" si="583"/>
        <v>No fuma</v>
      </c>
      <c r="U1422">
        <v>2218691</v>
      </c>
      <c r="V1422">
        <f t="shared" si="584"/>
        <v>2</v>
      </c>
      <c r="W1422" t="str">
        <f t="shared" si="585"/>
        <v>Siempre</v>
      </c>
      <c r="X1422">
        <v>0</v>
      </c>
      <c r="Y1422" t="str">
        <f t="shared" si="586"/>
        <v>No controla</v>
      </c>
      <c r="Z1422">
        <v>152184</v>
      </c>
      <c r="AA1422">
        <f t="shared" si="587"/>
        <v>2</v>
      </c>
      <c r="AB1422" t="str">
        <f t="shared" si="588"/>
        <v>Usualmente</v>
      </c>
      <c r="AC1422">
        <v>0</v>
      </c>
      <c r="AD1422">
        <f t="shared" si="589"/>
        <v>0</v>
      </c>
      <c r="AE1422" t="str">
        <f t="shared" si="590"/>
        <v>Nunca</v>
      </c>
      <c r="AF1422">
        <v>1</v>
      </c>
      <c r="AG1422" t="str">
        <f t="shared" si="591"/>
        <v>A veces</v>
      </c>
      <c r="AH1422">
        <v>1</v>
      </c>
      <c r="AI1422" t="str">
        <f t="shared" si="592"/>
        <v>Usa auto</v>
      </c>
      <c r="AJ1422">
        <v>0</v>
      </c>
      <c r="AK1422" t="str">
        <f t="shared" si="593"/>
        <v>No usa</v>
      </c>
      <c r="AL1422">
        <v>0</v>
      </c>
      <c r="AM1422" t="str">
        <f t="shared" si="594"/>
        <v>No usa</v>
      </c>
      <c r="AN1422">
        <v>0</v>
      </c>
      <c r="AO1422" t="str">
        <f t="shared" si="595"/>
        <v>No usa</v>
      </c>
      <c r="AP1422">
        <v>0</v>
      </c>
      <c r="AQ1422" t="str">
        <f t="shared" si="596"/>
        <v>No camina</v>
      </c>
      <c r="AR1422">
        <v>1</v>
      </c>
      <c r="AS1422" t="str">
        <f t="shared" si="597"/>
        <v>Es Obeso</v>
      </c>
    </row>
    <row r="1423" spans="1:45" x14ac:dyDescent="0.25">
      <c r="A1423">
        <v>1</v>
      </c>
      <c r="B1423" t="str">
        <f t="shared" si="572"/>
        <v>M</v>
      </c>
      <c r="C1423">
        <v>21587743</v>
      </c>
      <c r="D1423">
        <f t="shared" si="573"/>
        <v>59</v>
      </c>
      <c r="E1423">
        <f t="shared" si="574"/>
        <v>59</v>
      </c>
      <c r="F1423" t="str">
        <f t="shared" si="575"/>
        <v>50-75</v>
      </c>
      <c r="G1423">
        <v>1</v>
      </c>
      <c r="H1423" t="str">
        <f t="shared" si="576"/>
        <v>Pariente gordo</v>
      </c>
      <c r="I1423">
        <v>1</v>
      </c>
      <c r="J1423" t="str">
        <f t="shared" si="577"/>
        <v>Hipercaloricos</v>
      </c>
      <c r="K1423">
        <v>2</v>
      </c>
      <c r="L1423">
        <f t="shared" si="578"/>
        <v>1</v>
      </c>
      <c r="M1423" t="str">
        <f t="shared" si="579"/>
        <v>Suele comer</v>
      </c>
      <c r="N1423">
        <v>2976098</v>
      </c>
      <c r="O1423">
        <f t="shared" si="580"/>
        <v>2</v>
      </c>
      <c r="P1423" t="str">
        <f t="shared" si="581"/>
        <v>Mas de 3</v>
      </c>
      <c r="Q1423">
        <v>1</v>
      </c>
      <c r="R1423" t="str">
        <f t="shared" si="582"/>
        <v>A veces</v>
      </c>
      <c r="S1423">
        <v>0</v>
      </c>
      <c r="T1423" t="str">
        <f t="shared" si="583"/>
        <v>No fuma</v>
      </c>
      <c r="U1423">
        <v>2</v>
      </c>
      <c r="V1423">
        <f t="shared" si="584"/>
        <v>2</v>
      </c>
      <c r="W1423" t="str">
        <f t="shared" si="585"/>
        <v>Siempre</v>
      </c>
      <c r="X1423">
        <v>0</v>
      </c>
      <c r="Y1423" t="str">
        <f t="shared" si="586"/>
        <v>No controla</v>
      </c>
      <c r="Z1423">
        <v>0</v>
      </c>
      <c r="AA1423">
        <f t="shared" si="587"/>
        <v>0</v>
      </c>
      <c r="AB1423" t="str">
        <f t="shared" si="588"/>
        <v>Nunca</v>
      </c>
      <c r="AC1423">
        <v>139322</v>
      </c>
      <c r="AD1423">
        <f t="shared" si="589"/>
        <v>1</v>
      </c>
      <c r="AE1423" t="str">
        <f t="shared" si="590"/>
        <v>Usualmente</v>
      </c>
      <c r="AF1423">
        <v>0</v>
      </c>
      <c r="AG1423" t="str">
        <f t="shared" si="591"/>
        <v>Nunca</v>
      </c>
      <c r="AH1423">
        <v>0</v>
      </c>
      <c r="AI1423" t="str">
        <f t="shared" si="592"/>
        <v>No usa</v>
      </c>
      <c r="AJ1423">
        <v>0</v>
      </c>
      <c r="AK1423" t="str">
        <f t="shared" si="593"/>
        <v>No usa</v>
      </c>
      <c r="AL1423">
        <v>0</v>
      </c>
      <c r="AM1423" t="str">
        <f t="shared" si="594"/>
        <v>No usa</v>
      </c>
      <c r="AN1423">
        <v>1</v>
      </c>
      <c r="AO1423" t="str">
        <f t="shared" si="595"/>
        <v>Usa Transporte</v>
      </c>
      <c r="AP1423">
        <v>0</v>
      </c>
      <c r="AQ1423" t="str">
        <f t="shared" si="596"/>
        <v>No camina</v>
      </c>
      <c r="AR1423">
        <v>1</v>
      </c>
      <c r="AS1423" t="str">
        <f t="shared" si="597"/>
        <v>Es Obeso</v>
      </c>
    </row>
    <row r="1424" spans="1:45" x14ac:dyDescent="0.25">
      <c r="A1424">
        <v>1</v>
      </c>
      <c r="B1424" t="str">
        <f t="shared" si="572"/>
        <v>M</v>
      </c>
      <c r="C1424">
        <v>21746113</v>
      </c>
      <c r="D1424">
        <f t="shared" si="573"/>
        <v>59</v>
      </c>
      <c r="E1424">
        <f t="shared" si="574"/>
        <v>59</v>
      </c>
      <c r="F1424" t="str">
        <f t="shared" si="575"/>
        <v>50-75</v>
      </c>
      <c r="G1424">
        <v>1</v>
      </c>
      <c r="H1424" t="str">
        <f t="shared" si="576"/>
        <v>Pariente gordo</v>
      </c>
      <c r="I1424">
        <v>1</v>
      </c>
      <c r="J1424" t="str">
        <f t="shared" si="577"/>
        <v>Hipercaloricos</v>
      </c>
      <c r="K1424">
        <v>2</v>
      </c>
      <c r="L1424">
        <f t="shared" si="578"/>
        <v>1</v>
      </c>
      <c r="M1424" t="str">
        <f t="shared" si="579"/>
        <v>Suele comer</v>
      </c>
      <c r="N1424">
        <v>2968098</v>
      </c>
      <c r="O1424">
        <f t="shared" si="580"/>
        <v>2</v>
      </c>
      <c r="P1424" t="str">
        <f t="shared" si="581"/>
        <v>Mas de 3</v>
      </c>
      <c r="Q1424">
        <v>1</v>
      </c>
      <c r="R1424" t="str">
        <f t="shared" si="582"/>
        <v>A veces</v>
      </c>
      <c r="S1424">
        <v>0</v>
      </c>
      <c r="T1424" t="str">
        <f t="shared" si="583"/>
        <v>No fuma</v>
      </c>
      <c r="U1424">
        <v>2</v>
      </c>
      <c r="V1424">
        <f t="shared" si="584"/>
        <v>2</v>
      </c>
      <c r="W1424" t="str">
        <f t="shared" si="585"/>
        <v>Siempre</v>
      </c>
      <c r="X1424">
        <v>0</v>
      </c>
      <c r="Y1424" t="str">
        <f t="shared" si="586"/>
        <v>No controla</v>
      </c>
      <c r="Z1424">
        <v>0</v>
      </c>
      <c r="AA1424">
        <f t="shared" si="587"/>
        <v>0</v>
      </c>
      <c r="AB1424" t="str">
        <f t="shared" si="588"/>
        <v>Nunca</v>
      </c>
      <c r="AC1424">
        <v>1292476</v>
      </c>
      <c r="AD1424">
        <f t="shared" si="589"/>
        <v>2</v>
      </c>
      <c r="AE1424" t="str">
        <f t="shared" si="590"/>
        <v>Siempre</v>
      </c>
      <c r="AF1424">
        <v>0</v>
      </c>
      <c r="AG1424" t="str">
        <f t="shared" si="591"/>
        <v>Nunca</v>
      </c>
      <c r="AH1424">
        <v>0</v>
      </c>
      <c r="AI1424" t="str">
        <f t="shared" si="592"/>
        <v>No usa</v>
      </c>
      <c r="AJ1424">
        <v>0</v>
      </c>
      <c r="AK1424" t="str">
        <f t="shared" si="593"/>
        <v>No usa</v>
      </c>
      <c r="AL1424">
        <v>0</v>
      </c>
      <c r="AM1424" t="str">
        <f t="shared" si="594"/>
        <v>No usa</v>
      </c>
      <c r="AN1424">
        <v>1</v>
      </c>
      <c r="AO1424" t="str">
        <f t="shared" si="595"/>
        <v>Usa Transporte</v>
      </c>
      <c r="AP1424">
        <v>0</v>
      </c>
      <c r="AQ1424" t="str">
        <f t="shared" si="596"/>
        <v>No camina</v>
      </c>
      <c r="AR1424">
        <v>1</v>
      </c>
      <c r="AS1424" t="str">
        <f t="shared" si="597"/>
        <v>Es Obeso</v>
      </c>
    </row>
    <row r="1425" spans="1:45" x14ac:dyDescent="0.25">
      <c r="A1425">
        <v>1</v>
      </c>
      <c r="B1425" t="str">
        <f t="shared" si="572"/>
        <v>M</v>
      </c>
      <c r="C1425">
        <v>39569004</v>
      </c>
      <c r="D1425">
        <f t="shared" si="573"/>
        <v>108</v>
      </c>
      <c r="E1425">
        <f t="shared" si="574"/>
        <v>100</v>
      </c>
      <c r="F1425" t="str">
        <f t="shared" si="575"/>
        <v>75-100</v>
      </c>
      <c r="G1425">
        <v>1</v>
      </c>
      <c r="H1425" t="str">
        <f t="shared" si="576"/>
        <v>Pariente gordo</v>
      </c>
      <c r="I1425">
        <v>1</v>
      </c>
      <c r="J1425" t="str">
        <f t="shared" si="577"/>
        <v>Hipercaloricos</v>
      </c>
      <c r="K1425">
        <v>2871768</v>
      </c>
      <c r="L1425">
        <f t="shared" si="578"/>
        <v>1</v>
      </c>
      <c r="M1425" t="str">
        <f t="shared" si="579"/>
        <v>Suele comer</v>
      </c>
      <c r="N1425">
        <v>1792695</v>
      </c>
      <c r="O1425">
        <f t="shared" si="580"/>
        <v>2</v>
      </c>
      <c r="P1425" t="str">
        <f t="shared" si="581"/>
        <v>Mas de 3</v>
      </c>
      <c r="Q1425">
        <v>1</v>
      </c>
      <c r="R1425" t="str">
        <f t="shared" si="582"/>
        <v>A veces</v>
      </c>
      <c r="S1425">
        <v>0</v>
      </c>
      <c r="T1425" t="str">
        <f t="shared" si="583"/>
        <v>No fuma</v>
      </c>
      <c r="U1425">
        <v>2691322</v>
      </c>
      <c r="V1425">
        <f t="shared" si="584"/>
        <v>2</v>
      </c>
      <c r="W1425" t="str">
        <f t="shared" si="585"/>
        <v>Siempre</v>
      </c>
      <c r="X1425">
        <v>0</v>
      </c>
      <c r="Y1425" t="str">
        <f t="shared" si="586"/>
        <v>No controla</v>
      </c>
      <c r="Z1425">
        <v>2545707</v>
      </c>
      <c r="AA1425">
        <f t="shared" si="587"/>
        <v>3</v>
      </c>
      <c r="AB1425" t="str">
        <f t="shared" si="588"/>
        <v>Siempre</v>
      </c>
      <c r="AC1425">
        <v>0.90390300000000001</v>
      </c>
      <c r="AD1425">
        <f t="shared" si="589"/>
        <v>0</v>
      </c>
      <c r="AE1425" t="str">
        <f t="shared" si="590"/>
        <v>Nunca</v>
      </c>
      <c r="AF1425">
        <v>2</v>
      </c>
      <c r="AG1425" t="str">
        <f t="shared" si="591"/>
        <v>Usualmente</v>
      </c>
      <c r="AH1425">
        <v>1</v>
      </c>
      <c r="AI1425" t="str">
        <f t="shared" si="592"/>
        <v>Usa auto</v>
      </c>
      <c r="AJ1425">
        <v>0</v>
      </c>
      <c r="AK1425" t="str">
        <f t="shared" si="593"/>
        <v>No usa</v>
      </c>
      <c r="AL1425">
        <v>0</v>
      </c>
      <c r="AM1425" t="str">
        <f t="shared" si="594"/>
        <v>No usa</v>
      </c>
      <c r="AN1425">
        <v>0</v>
      </c>
      <c r="AO1425" t="str">
        <f t="shared" si="595"/>
        <v>No usa</v>
      </c>
      <c r="AP1425">
        <v>0</v>
      </c>
      <c r="AQ1425" t="str">
        <f t="shared" si="596"/>
        <v>No camina</v>
      </c>
      <c r="AR1425">
        <v>1</v>
      </c>
      <c r="AS1425" t="str">
        <f t="shared" si="597"/>
        <v>Es Obeso</v>
      </c>
    </row>
    <row r="1426" spans="1:45" x14ac:dyDescent="0.25">
      <c r="A1426">
        <v>1</v>
      </c>
      <c r="B1426" t="str">
        <f t="shared" si="572"/>
        <v>M</v>
      </c>
      <c r="C1426">
        <v>3667933</v>
      </c>
      <c r="D1426">
        <f t="shared" si="573"/>
        <v>10</v>
      </c>
      <c r="E1426">
        <f t="shared" si="574"/>
        <v>10</v>
      </c>
      <c r="F1426" t="str">
        <f t="shared" si="575"/>
        <v>1-25</v>
      </c>
      <c r="G1426">
        <v>1</v>
      </c>
      <c r="H1426" t="str">
        <f t="shared" si="576"/>
        <v>Pariente gordo</v>
      </c>
      <c r="I1426">
        <v>1</v>
      </c>
      <c r="J1426" t="str">
        <f t="shared" si="577"/>
        <v>Hipercaloricos</v>
      </c>
      <c r="K1426">
        <v>2540949</v>
      </c>
      <c r="L1426">
        <f t="shared" si="578"/>
        <v>1</v>
      </c>
      <c r="M1426" t="str">
        <f t="shared" si="579"/>
        <v>Suele comer</v>
      </c>
      <c r="N1426">
        <v>1116401</v>
      </c>
      <c r="O1426">
        <f t="shared" si="580"/>
        <v>2</v>
      </c>
      <c r="P1426" t="str">
        <f t="shared" si="581"/>
        <v>Mas de 3</v>
      </c>
      <c r="Q1426">
        <v>1</v>
      </c>
      <c r="R1426" t="str">
        <f t="shared" si="582"/>
        <v>A veces</v>
      </c>
      <c r="S1426">
        <v>0</v>
      </c>
      <c r="T1426" t="str">
        <f t="shared" si="583"/>
        <v>No fuma</v>
      </c>
      <c r="U1426">
        <v>2929123</v>
      </c>
      <c r="V1426">
        <f t="shared" si="584"/>
        <v>2</v>
      </c>
      <c r="W1426" t="str">
        <f t="shared" si="585"/>
        <v>Siempre</v>
      </c>
      <c r="X1426">
        <v>0</v>
      </c>
      <c r="Y1426" t="str">
        <f t="shared" si="586"/>
        <v>No controla</v>
      </c>
      <c r="Z1426">
        <v>2787319</v>
      </c>
      <c r="AA1426">
        <f t="shared" si="587"/>
        <v>3</v>
      </c>
      <c r="AB1426" t="str">
        <f t="shared" si="588"/>
        <v>Siempre</v>
      </c>
      <c r="AC1426">
        <v>0.732881</v>
      </c>
      <c r="AD1426">
        <f t="shared" si="589"/>
        <v>0</v>
      </c>
      <c r="AE1426" t="str">
        <f t="shared" si="590"/>
        <v>Nunca</v>
      </c>
      <c r="AF1426">
        <v>2</v>
      </c>
      <c r="AG1426" t="str">
        <f t="shared" si="591"/>
        <v>Usualmente</v>
      </c>
      <c r="AH1426">
        <v>1</v>
      </c>
      <c r="AI1426" t="str">
        <f t="shared" si="592"/>
        <v>Usa auto</v>
      </c>
      <c r="AJ1426">
        <v>0</v>
      </c>
      <c r="AK1426" t="str">
        <f t="shared" si="593"/>
        <v>No usa</v>
      </c>
      <c r="AL1426">
        <v>0</v>
      </c>
      <c r="AM1426" t="str">
        <f t="shared" si="594"/>
        <v>No usa</v>
      </c>
      <c r="AN1426">
        <v>0</v>
      </c>
      <c r="AO1426" t="str">
        <f t="shared" si="595"/>
        <v>No usa</v>
      </c>
      <c r="AP1426">
        <v>0</v>
      </c>
      <c r="AQ1426" t="str">
        <f t="shared" si="596"/>
        <v>No camina</v>
      </c>
      <c r="AR1426">
        <v>1</v>
      </c>
      <c r="AS1426" t="str">
        <f t="shared" si="597"/>
        <v>Es Obeso</v>
      </c>
    </row>
    <row r="1427" spans="1:45" x14ac:dyDescent="0.25">
      <c r="A1427">
        <v>1</v>
      </c>
      <c r="B1427" t="str">
        <f t="shared" si="572"/>
        <v>M</v>
      </c>
      <c r="C1427">
        <v>22927011</v>
      </c>
      <c r="D1427">
        <f t="shared" si="573"/>
        <v>62</v>
      </c>
      <c r="E1427">
        <f t="shared" si="574"/>
        <v>62</v>
      </c>
      <c r="F1427" t="str">
        <f t="shared" si="575"/>
        <v>50-75</v>
      </c>
      <c r="G1427">
        <v>1</v>
      </c>
      <c r="H1427" t="str">
        <f t="shared" si="576"/>
        <v>Pariente gordo</v>
      </c>
      <c r="I1427">
        <v>1</v>
      </c>
      <c r="J1427" t="str">
        <f t="shared" si="577"/>
        <v>Hipercaloricos</v>
      </c>
      <c r="K1427">
        <v>2</v>
      </c>
      <c r="L1427">
        <f t="shared" si="578"/>
        <v>1</v>
      </c>
      <c r="M1427" t="str">
        <f t="shared" si="579"/>
        <v>Suele comer</v>
      </c>
      <c r="N1427">
        <v>3</v>
      </c>
      <c r="O1427">
        <f t="shared" si="580"/>
        <v>2</v>
      </c>
      <c r="P1427" t="str">
        <f t="shared" si="581"/>
        <v>Mas de 3</v>
      </c>
      <c r="Q1427">
        <v>1</v>
      </c>
      <c r="R1427" t="str">
        <f t="shared" si="582"/>
        <v>A veces</v>
      </c>
      <c r="S1427">
        <v>0</v>
      </c>
      <c r="T1427" t="str">
        <f t="shared" si="583"/>
        <v>No fuma</v>
      </c>
      <c r="U1427">
        <v>2530301</v>
      </c>
      <c r="V1427">
        <f t="shared" si="584"/>
        <v>2</v>
      </c>
      <c r="W1427" t="str">
        <f t="shared" si="585"/>
        <v>Siempre</v>
      </c>
      <c r="X1427">
        <v>0</v>
      </c>
      <c r="Y1427" t="str">
        <f t="shared" si="586"/>
        <v>No controla</v>
      </c>
      <c r="Z1427">
        <v>289118</v>
      </c>
      <c r="AA1427">
        <f t="shared" si="587"/>
        <v>2</v>
      </c>
      <c r="AB1427" t="str">
        <f t="shared" si="588"/>
        <v>Usualmente</v>
      </c>
      <c r="AC1427">
        <v>1287117</v>
      </c>
      <c r="AD1427">
        <f t="shared" si="589"/>
        <v>2</v>
      </c>
      <c r="AE1427" t="str">
        <f t="shared" si="590"/>
        <v>Siempre</v>
      </c>
      <c r="AF1427">
        <v>0</v>
      </c>
      <c r="AG1427" t="str">
        <f t="shared" si="591"/>
        <v>Nunca</v>
      </c>
      <c r="AH1427">
        <v>0</v>
      </c>
      <c r="AI1427" t="str">
        <f t="shared" si="592"/>
        <v>No usa</v>
      </c>
      <c r="AJ1427">
        <v>0</v>
      </c>
      <c r="AK1427" t="str">
        <f t="shared" si="593"/>
        <v>No usa</v>
      </c>
      <c r="AL1427">
        <v>0</v>
      </c>
      <c r="AM1427" t="str">
        <f t="shared" si="594"/>
        <v>No usa</v>
      </c>
      <c r="AN1427">
        <v>1</v>
      </c>
      <c r="AO1427" t="str">
        <f t="shared" si="595"/>
        <v>Usa Transporte</v>
      </c>
      <c r="AP1427">
        <v>0</v>
      </c>
      <c r="AQ1427" t="str">
        <f t="shared" si="596"/>
        <v>No camina</v>
      </c>
      <c r="AR1427">
        <v>1</v>
      </c>
      <c r="AS1427" t="str">
        <f t="shared" si="597"/>
        <v>Es Obeso</v>
      </c>
    </row>
    <row r="1428" spans="1:45" x14ac:dyDescent="0.25">
      <c r="A1428">
        <v>1</v>
      </c>
      <c r="B1428" t="str">
        <f t="shared" si="572"/>
        <v>M</v>
      </c>
      <c r="C1428">
        <v>23329344</v>
      </c>
      <c r="D1428">
        <f t="shared" si="573"/>
        <v>63</v>
      </c>
      <c r="E1428">
        <f t="shared" si="574"/>
        <v>63</v>
      </c>
      <c r="F1428" t="str">
        <f t="shared" si="575"/>
        <v>50-75</v>
      </c>
      <c r="G1428">
        <v>1</v>
      </c>
      <c r="H1428" t="str">
        <f t="shared" si="576"/>
        <v>Pariente gordo</v>
      </c>
      <c r="I1428">
        <v>1</v>
      </c>
      <c r="J1428" t="str">
        <f t="shared" si="577"/>
        <v>Hipercaloricos</v>
      </c>
      <c r="K1428">
        <v>2</v>
      </c>
      <c r="L1428">
        <f t="shared" si="578"/>
        <v>1</v>
      </c>
      <c r="M1428" t="str">
        <f t="shared" si="579"/>
        <v>Suele comer</v>
      </c>
      <c r="N1428">
        <v>3</v>
      </c>
      <c r="O1428">
        <f t="shared" si="580"/>
        <v>2</v>
      </c>
      <c r="P1428" t="str">
        <f t="shared" si="581"/>
        <v>Mas de 3</v>
      </c>
      <c r="Q1428">
        <v>1</v>
      </c>
      <c r="R1428" t="str">
        <f t="shared" si="582"/>
        <v>A veces</v>
      </c>
      <c r="S1428">
        <v>0</v>
      </c>
      <c r="T1428" t="str">
        <f t="shared" si="583"/>
        <v>No fuma</v>
      </c>
      <c r="U1428">
        <v>3</v>
      </c>
      <c r="V1428">
        <f t="shared" si="584"/>
        <v>2</v>
      </c>
      <c r="W1428" t="str">
        <f t="shared" si="585"/>
        <v>Siempre</v>
      </c>
      <c r="X1428">
        <v>0</v>
      </c>
      <c r="Y1428" t="str">
        <f t="shared" si="586"/>
        <v>No controla</v>
      </c>
      <c r="Z1428">
        <v>3</v>
      </c>
      <c r="AA1428">
        <f t="shared" si="587"/>
        <v>3</v>
      </c>
      <c r="AB1428" t="str">
        <f t="shared" si="588"/>
        <v>Siempre</v>
      </c>
      <c r="AC1428">
        <v>2</v>
      </c>
      <c r="AD1428">
        <f t="shared" si="589"/>
        <v>2</v>
      </c>
      <c r="AE1428" t="str">
        <f t="shared" si="590"/>
        <v>Siempre</v>
      </c>
      <c r="AF1428">
        <v>0</v>
      </c>
      <c r="AG1428" t="str">
        <f t="shared" si="591"/>
        <v>Nunca</v>
      </c>
      <c r="AH1428">
        <v>0</v>
      </c>
      <c r="AI1428" t="str">
        <f t="shared" si="592"/>
        <v>No usa</v>
      </c>
      <c r="AJ1428">
        <v>0</v>
      </c>
      <c r="AK1428" t="str">
        <f t="shared" si="593"/>
        <v>No usa</v>
      </c>
      <c r="AL1428">
        <v>0</v>
      </c>
      <c r="AM1428" t="str">
        <f t="shared" si="594"/>
        <v>No usa</v>
      </c>
      <c r="AN1428">
        <v>1</v>
      </c>
      <c r="AO1428" t="str">
        <f t="shared" si="595"/>
        <v>Usa Transporte</v>
      </c>
      <c r="AP1428">
        <v>0</v>
      </c>
      <c r="AQ1428" t="str">
        <f t="shared" si="596"/>
        <v>No camina</v>
      </c>
      <c r="AR1428">
        <v>1</v>
      </c>
      <c r="AS1428" t="str">
        <f t="shared" si="597"/>
        <v>Es Obeso</v>
      </c>
    </row>
    <row r="1429" spans="1:45" x14ac:dyDescent="0.25">
      <c r="A1429">
        <v>1</v>
      </c>
      <c r="B1429" t="str">
        <f t="shared" si="572"/>
        <v>M</v>
      </c>
      <c r="C1429">
        <v>22126325</v>
      </c>
      <c r="D1429">
        <f t="shared" si="573"/>
        <v>60</v>
      </c>
      <c r="E1429">
        <f t="shared" si="574"/>
        <v>60</v>
      </c>
      <c r="F1429" t="str">
        <f t="shared" si="575"/>
        <v>50-75</v>
      </c>
      <c r="G1429">
        <v>1</v>
      </c>
      <c r="H1429" t="str">
        <f t="shared" si="576"/>
        <v>Pariente gordo</v>
      </c>
      <c r="I1429">
        <v>1</v>
      </c>
      <c r="J1429" t="str">
        <f t="shared" si="577"/>
        <v>Hipercaloricos</v>
      </c>
      <c r="K1429">
        <v>2</v>
      </c>
      <c r="L1429">
        <f t="shared" si="578"/>
        <v>1</v>
      </c>
      <c r="M1429" t="str">
        <f t="shared" si="579"/>
        <v>Suele comer</v>
      </c>
      <c r="N1429">
        <v>2984523</v>
      </c>
      <c r="O1429">
        <f t="shared" si="580"/>
        <v>2</v>
      </c>
      <c r="P1429" t="str">
        <f t="shared" si="581"/>
        <v>Mas de 3</v>
      </c>
      <c r="Q1429">
        <v>1</v>
      </c>
      <c r="R1429" t="str">
        <f t="shared" si="582"/>
        <v>A veces</v>
      </c>
      <c r="S1429">
        <v>0</v>
      </c>
      <c r="T1429" t="str">
        <f t="shared" si="583"/>
        <v>No fuma</v>
      </c>
      <c r="U1429">
        <v>2263551</v>
      </c>
      <c r="V1429">
        <f t="shared" si="584"/>
        <v>2</v>
      </c>
      <c r="W1429" t="str">
        <f t="shared" si="585"/>
        <v>Siempre</v>
      </c>
      <c r="X1429">
        <v>0</v>
      </c>
      <c r="Y1429" t="str">
        <f t="shared" si="586"/>
        <v>No controla</v>
      </c>
      <c r="Z1429">
        <v>2819661</v>
      </c>
      <c r="AA1429">
        <f t="shared" si="587"/>
        <v>3</v>
      </c>
      <c r="AB1429" t="str">
        <f t="shared" si="588"/>
        <v>Siempre</v>
      </c>
      <c r="AC1429">
        <v>2</v>
      </c>
      <c r="AD1429">
        <f t="shared" si="589"/>
        <v>2</v>
      </c>
      <c r="AE1429" t="str">
        <f t="shared" si="590"/>
        <v>Siempre</v>
      </c>
      <c r="AF1429">
        <v>0</v>
      </c>
      <c r="AG1429" t="str">
        <f t="shared" si="591"/>
        <v>Nunca</v>
      </c>
      <c r="AH1429">
        <v>0</v>
      </c>
      <c r="AI1429" t="str">
        <f t="shared" si="592"/>
        <v>No usa</v>
      </c>
      <c r="AJ1429">
        <v>0</v>
      </c>
      <c r="AK1429" t="str">
        <f t="shared" si="593"/>
        <v>No usa</v>
      </c>
      <c r="AL1429">
        <v>0</v>
      </c>
      <c r="AM1429" t="str">
        <f t="shared" si="594"/>
        <v>No usa</v>
      </c>
      <c r="AN1429">
        <v>1</v>
      </c>
      <c r="AO1429" t="str">
        <f t="shared" si="595"/>
        <v>Usa Transporte</v>
      </c>
      <c r="AP1429">
        <v>0</v>
      </c>
      <c r="AQ1429" t="str">
        <f t="shared" si="596"/>
        <v>No camina</v>
      </c>
      <c r="AR1429">
        <v>1</v>
      </c>
      <c r="AS1429" t="str">
        <f t="shared" si="597"/>
        <v>Es Obeso</v>
      </c>
    </row>
    <row r="1430" spans="1:45" x14ac:dyDescent="0.25">
      <c r="A1430">
        <v>1</v>
      </c>
      <c r="B1430" t="str">
        <f t="shared" si="572"/>
        <v>M</v>
      </c>
      <c r="C1430">
        <v>21679158</v>
      </c>
      <c r="D1430">
        <f t="shared" si="573"/>
        <v>59</v>
      </c>
      <c r="E1430">
        <f t="shared" si="574"/>
        <v>59</v>
      </c>
      <c r="F1430" t="str">
        <f t="shared" si="575"/>
        <v>50-75</v>
      </c>
      <c r="G1430">
        <v>1</v>
      </c>
      <c r="H1430" t="str">
        <f t="shared" si="576"/>
        <v>Pariente gordo</v>
      </c>
      <c r="I1430">
        <v>1</v>
      </c>
      <c r="J1430" t="str">
        <f t="shared" si="577"/>
        <v>Hipercaloricos</v>
      </c>
      <c r="K1430">
        <v>2</v>
      </c>
      <c r="L1430">
        <f t="shared" si="578"/>
        <v>1</v>
      </c>
      <c r="M1430" t="str">
        <f t="shared" si="579"/>
        <v>Suele comer</v>
      </c>
      <c r="N1430">
        <v>2978103</v>
      </c>
      <c r="O1430">
        <f t="shared" si="580"/>
        <v>2</v>
      </c>
      <c r="P1430" t="str">
        <f t="shared" si="581"/>
        <v>Mas de 3</v>
      </c>
      <c r="Q1430">
        <v>1</v>
      </c>
      <c r="R1430" t="str">
        <f t="shared" si="582"/>
        <v>A veces</v>
      </c>
      <c r="S1430">
        <v>0</v>
      </c>
      <c r="T1430" t="str">
        <f t="shared" si="583"/>
        <v>No fuma</v>
      </c>
      <c r="U1430">
        <v>2668261</v>
      </c>
      <c r="V1430">
        <f t="shared" si="584"/>
        <v>2</v>
      </c>
      <c r="W1430" t="str">
        <f t="shared" si="585"/>
        <v>Siempre</v>
      </c>
      <c r="X1430">
        <v>0</v>
      </c>
      <c r="Y1430" t="str">
        <f t="shared" si="586"/>
        <v>No controla</v>
      </c>
      <c r="Z1430">
        <v>2462269</v>
      </c>
      <c r="AA1430">
        <f t="shared" si="587"/>
        <v>3</v>
      </c>
      <c r="AB1430" t="str">
        <f t="shared" si="588"/>
        <v>Siempre</v>
      </c>
      <c r="AC1430">
        <v>1402414</v>
      </c>
      <c r="AD1430">
        <f t="shared" si="589"/>
        <v>2</v>
      </c>
      <c r="AE1430" t="str">
        <f t="shared" si="590"/>
        <v>Siempre</v>
      </c>
      <c r="AF1430">
        <v>0</v>
      </c>
      <c r="AG1430" t="str">
        <f t="shared" si="591"/>
        <v>Nunca</v>
      </c>
      <c r="AH1430">
        <v>0</v>
      </c>
      <c r="AI1430" t="str">
        <f t="shared" si="592"/>
        <v>No usa</v>
      </c>
      <c r="AJ1430">
        <v>0</v>
      </c>
      <c r="AK1430" t="str">
        <f t="shared" si="593"/>
        <v>No usa</v>
      </c>
      <c r="AL1430">
        <v>0</v>
      </c>
      <c r="AM1430" t="str">
        <f t="shared" si="594"/>
        <v>No usa</v>
      </c>
      <c r="AN1430">
        <v>1</v>
      </c>
      <c r="AO1430" t="str">
        <f t="shared" si="595"/>
        <v>Usa Transporte</v>
      </c>
      <c r="AP1430">
        <v>0</v>
      </c>
      <c r="AQ1430" t="str">
        <f t="shared" si="596"/>
        <v>No camina</v>
      </c>
      <c r="AR1430">
        <v>1</v>
      </c>
      <c r="AS1430" t="str">
        <f t="shared" si="597"/>
        <v>Es Obeso</v>
      </c>
    </row>
    <row r="1431" spans="1:45" x14ac:dyDescent="0.25">
      <c r="A1431">
        <v>1</v>
      </c>
      <c r="B1431" t="str">
        <f t="shared" si="572"/>
        <v>M</v>
      </c>
      <c r="C1431">
        <v>36673882</v>
      </c>
      <c r="D1431">
        <f t="shared" si="573"/>
        <v>100</v>
      </c>
      <c r="E1431">
        <f t="shared" si="574"/>
        <v>100</v>
      </c>
      <c r="F1431" t="str">
        <f t="shared" si="575"/>
        <v>75-100</v>
      </c>
      <c r="G1431">
        <v>1</v>
      </c>
      <c r="H1431" t="str">
        <f t="shared" si="576"/>
        <v>Pariente gordo</v>
      </c>
      <c r="I1431">
        <v>1</v>
      </c>
      <c r="J1431" t="str">
        <f t="shared" si="577"/>
        <v>Hipercaloricos</v>
      </c>
      <c r="K1431">
        <v>2222282</v>
      </c>
      <c r="L1431">
        <f t="shared" si="578"/>
        <v>1</v>
      </c>
      <c r="M1431" t="str">
        <f t="shared" si="579"/>
        <v>Suele comer</v>
      </c>
      <c r="N1431">
        <v>1578751</v>
      </c>
      <c r="O1431">
        <f t="shared" si="580"/>
        <v>2</v>
      </c>
      <c r="P1431" t="str">
        <f t="shared" si="581"/>
        <v>Mas de 3</v>
      </c>
      <c r="Q1431">
        <v>1</v>
      </c>
      <c r="R1431" t="str">
        <f t="shared" si="582"/>
        <v>A veces</v>
      </c>
      <c r="S1431">
        <v>0</v>
      </c>
      <c r="T1431" t="str">
        <f t="shared" si="583"/>
        <v>No fuma</v>
      </c>
      <c r="U1431">
        <v>2791604</v>
      </c>
      <c r="V1431">
        <f t="shared" si="584"/>
        <v>2</v>
      </c>
      <c r="W1431" t="str">
        <f t="shared" si="585"/>
        <v>Siempre</v>
      </c>
      <c r="X1431">
        <v>0</v>
      </c>
      <c r="Y1431" t="str">
        <f t="shared" si="586"/>
        <v>No controla</v>
      </c>
      <c r="Z1431">
        <v>2352091</v>
      </c>
      <c r="AA1431">
        <f t="shared" si="587"/>
        <v>3</v>
      </c>
      <c r="AB1431" t="str">
        <f t="shared" si="588"/>
        <v>Siempre</v>
      </c>
      <c r="AC1431">
        <v>0.31784600000000002</v>
      </c>
      <c r="AD1431">
        <f t="shared" si="589"/>
        <v>0</v>
      </c>
      <c r="AE1431" t="str">
        <f t="shared" si="590"/>
        <v>Nunca</v>
      </c>
      <c r="AF1431">
        <v>1</v>
      </c>
      <c r="AG1431" t="str">
        <f t="shared" si="591"/>
        <v>A veces</v>
      </c>
      <c r="AH1431">
        <v>1</v>
      </c>
      <c r="AI1431" t="str">
        <f t="shared" si="592"/>
        <v>Usa auto</v>
      </c>
      <c r="AJ1431">
        <v>0</v>
      </c>
      <c r="AK1431" t="str">
        <f t="shared" si="593"/>
        <v>No usa</v>
      </c>
      <c r="AL1431">
        <v>0</v>
      </c>
      <c r="AM1431" t="str">
        <f t="shared" si="594"/>
        <v>No usa</v>
      </c>
      <c r="AN1431">
        <v>0</v>
      </c>
      <c r="AO1431" t="str">
        <f t="shared" si="595"/>
        <v>No usa</v>
      </c>
      <c r="AP1431">
        <v>0</v>
      </c>
      <c r="AQ1431" t="str">
        <f t="shared" si="596"/>
        <v>No camina</v>
      </c>
      <c r="AR1431">
        <v>1</v>
      </c>
      <c r="AS1431" t="str">
        <f t="shared" si="597"/>
        <v>Es Obeso</v>
      </c>
    </row>
    <row r="1432" spans="1:45" x14ac:dyDescent="0.25">
      <c r="A1432">
        <v>1</v>
      </c>
      <c r="B1432" t="str">
        <f t="shared" si="572"/>
        <v>M</v>
      </c>
      <c r="C1432">
        <v>37936044</v>
      </c>
      <c r="D1432">
        <f t="shared" si="573"/>
        <v>103</v>
      </c>
      <c r="E1432">
        <f t="shared" si="574"/>
        <v>100</v>
      </c>
      <c r="F1432" t="str">
        <f t="shared" si="575"/>
        <v>75-100</v>
      </c>
      <c r="G1432">
        <v>1</v>
      </c>
      <c r="H1432" t="str">
        <f t="shared" si="576"/>
        <v>Pariente gordo</v>
      </c>
      <c r="I1432">
        <v>1</v>
      </c>
      <c r="J1432" t="str">
        <f t="shared" si="577"/>
        <v>Hipercaloricos</v>
      </c>
      <c r="K1432">
        <v>204516</v>
      </c>
      <c r="L1432">
        <f t="shared" si="578"/>
        <v>1</v>
      </c>
      <c r="M1432" t="str">
        <f t="shared" si="579"/>
        <v>Suele comer</v>
      </c>
      <c r="N1432">
        <v>1874532</v>
      </c>
      <c r="O1432">
        <f t="shared" si="580"/>
        <v>2</v>
      </c>
      <c r="P1432" t="str">
        <f t="shared" si="581"/>
        <v>Mas de 3</v>
      </c>
      <c r="Q1432">
        <v>1</v>
      </c>
      <c r="R1432" t="str">
        <f t="shared" si="582"/>
        <v>A veces</v>
      </c>
      <c r="S1432">
        <v>0</v>
      </c>
      <c r="T1432" t="str">
        <f t="shared" si="583"/>
        <v>No fuma</v>
      </c>
      <c r="U1432">
        <v>2856521</v>
      </c>
      <c r="V1432">
        <f t="shared" si="584"/>
        <v>2</v>
      </c>
      <c r="W1432" t="str">
        <f t="shared" si="585"/>
        <v>Siempre</v>
      </c>
      <c r="X1432">
        <v>0</v>
      </c>
      <c r="Y1432" t="str">
        <f t="shared" si="586"/>
        <v>No controla</v>
      </c>
      <c r="Z1432">
        <v>2005286</v>
      </c>
      <c r="AA1432">
        <f t="shared" si="587"/>
        <v>3</v>
      </c>
      <c r="AB1432" t="str">
        <f t="shared" si="588"/>
        <v>Siempre</v>
      </c>
      <c r="AC1432">
        <v>0.105408</v>
      </c>
      <c r="AD1432">
        <f t="shared" si="589"/>
        <v>0</v>
      </c>
      <c r="AE1432" t="str">
        <f t="shared" si="590"/>
        <v>Nunca</v>
      </c>
      <c r="AF1432">
        <v>1</v>
      </c>
      <c r="AG1432" t="str">
        <f t="shared" si="591"/>
        <v>A veces</v>
      </c>
      <c r="AH1432">
        <v>1</v>
      </c>
      <c r="AI1432" t="str">
        <f t="shared" si="592"/>
        <v>Usa auto</v>
      </c>
      <c r="AJ1432">
        <v>0</v>
      </c>
      <c r="AK1432" t="str">
        <f t="shared" si="593"/>
        <v>No usa</v>
      </c>
      <c r="AL1432">
        <v>0</v>
      </c>
      <c r="AM1432" t="str">
        <f t="shared" si="594"/>
        <v>No usa</v>
      </c>
      <c r="AN1432">
        <v>0</v>
      </c>
      <c r="AO1432" t="str">
        <f t="shared" si="595"/>
        <v>No usa</v>
      </c>
      <c r="AP1432">
        <v>0</v>
      </c>
      <c r="AQ1432" t="str">
        <f t="shared" si="596"/>
        <v>No camina</v>
      </c>
      <c r="AR1432">
        <v>1</v>
      </c>
      <c r="AS1432" t="str">
        <f t="shared" si="597"/>
        <v>Es Obeso</v>
      </c>
    </row>
    <row r="1433" spans="1:45" x14ac:dyDescent="0.25">
      <c r="A1433">
        <v>0</v>
      </c>
      <c r="B1433" t="str">
        <f t="shared" si="572"/>
        <v>F</v>
      </c>
      <c r="C1433">
        <v>22226815</v>
      </c>
      <c r="D1433">
        <f t="shared" si="573"/>
        <v>60</v>
      </c>
      <c r="E1433">
        <f t="shared" si="574"/>
        <v>60</v>
      </c>
      <c r="F1433" t="str">
        <f t="shared" si="575"/>
        <v>50-75</v>
      </c>
      <c r="G1433">
        <v>1</v>
      </c>
      <c r="H1433" t="str">
        <f t="shared" si="576"/>
        <v>Pariente gordo</v>
      </c>
      <c r="I1433">
        <v>1</v>
      </c>
      <c r="J1433" t="str">
        <f t="shared" si="577"/>
        <v>Hipercaloricos</v>
      </c>
      <c r="K1433">
        <v>2094184</v>
      </c>
      <c r="L1433">
        <f t="shared" si="578"/>
        <v>1</v>
      </c>
      <c r="M1433" t="str">
        <f t="shared" si="579"/>
        <v>Suele comer</v>
      </c>
      <c r="N1433">
        <v>2735706</v>
      </c>
      <c r="O1433">
        <f t="shared" si="580"/>
        <v>2</v>
      </c>
      <c r="P1433" t="str">
        <f t="shared" si="581"/>
        <v>Mas de 3</v>
      </c>
      <c r="Q1433">
        <v>1</v>
      </c>
      <c r="R1433" t="str">
        <f t="shared" si="582"/>
        <v>A veces</v>
      </c>
      <c r="S1433">
        <v>0</v>
      </c>
      <c r="T1433" t="str">
        <f t="shared" si="583"/>
        <v>No fuma</v>
      </c>
      <c r="U1433">
        <v>2257922</v>
      </c>
      <c r="V1433">
        <f t="shared" si="584"/>
        <v>2</v>
      </c>
      <c r="W1433" t="str">
        <f t="shared" si="585"/>
        <v>Siempre</v>
      </c>
      <c r="X1433">
        <v>0</v>
      </c>
      <c r="Y1433" t="str">
        <f t="shared" si="586"/>
        <v>No controla</v>
      </c>
      <c r="Z1433">
        <v>2230547</v>
      </c>
      <c r="AA1433">
        <f t="shared" si="587"/>
        <v>3</v>
      </c>
      <c r="AB1433" t="str">
        <f t="shared" si="588"/>
        <v>Siempre</v>
      </c>
      <c r="AC1433">
        <v>0.19533900000000001</v>
      </c>
      <c r="AD1433">
        <f t="shared" si="589"/>
        <v>0</v>
      </c>
      <c r="AE1433" t="str">
        <f t="shared" si="590"/>
        <v>Nunca</v>
      </c>
      <c r="AF1433">
        <v>0</v>
      </c>
      <c r="AG1433" t="str">
        <f t="shared" si="591"/>
        <v>Nunca</v>
      </c>
      <c r="AH1433">
        <v>0</v>
      </c>
      <c r="AI1433" t="str">
        <f t="shared" si="592"/>
        <v>No usa</v>
      </c>
      <c r="AJ1433">
        <v>0</v>
      </c>
      <c r="AK1433" t="str">
        <f t="shared" si="593"/>
        <v>No usa</v>
      </c>
      <c r="AL1433">
        <v>0</v>
      </c>
      <c r="AM1433" t="str">
        <f t="shared" si="594"/>
        <v>No usa</v>
      </c>
      <c r="AN1433">
        <v>1</v>
      </c>
      <c r="AO1433" t="str">
        <f t="shared" si="595"/>
        <v>Usa Transporte</v>
      </c>
      <c r="AP1433">
        <v>0</v>
      </c>
      <c r="AQ1433" t="str">
        <f t="shared" si="596"/>
        <v>No camina</v>
      </c>
      <c r="AR1433">
        <v>1</v>
      </c>
      <c r="AS1433" t="str">
        <f t="shared" si="597"/>
        <v>Es Obeso</v>
      </c>
    </row>
    <row r="1434" spans="1:45" x14ac:dyDescent="0.25">
      <c r="A1434">
        <v>0</v>
      </c>
      <c r="B1434" t="str">
        <f t="shared" si="572"/>
        <v>F</v>
      </c>
      <c r="C1434">
        <v>22538932</v>
      </c>
      <c r="D1434">
        <f t="shared" si="573"/>
        <v>61</v>
      </c>
      <c r="E1434">
        <f t="shared" si="574"/>
        <v>61</v>
      </c>
      <c r="F1434" t="str">
        <f t="shared" si="575"/>
        <v>50-75</v>
      </c>
      <c r="G1434">
        <v>1</v>
      </c>
      <c r="H1434" t="str">
        <f t="shared" si="576"/>
        <v>Pariente gordo</v>
      </c>
      <c r="I1434">
        <v>1</v>
      </c>
      <c r="J1434" t="str">
        <f t="shared" si="577"/>
        <v>Hipercaloricos</v>
      </c>
      <c r="K1434">
        <v>1123672</v>
      </c>
      <c r="L1434">
        <f t="shared" si="578"/>
        <v>1</v>
      </c>
      <c r="M1434" t="str">
        <f t="shared" si="579"/>
        <v>Suele comer</v>
      </c>
      <c r="N1434">
        <v>1014916</v>
      </c>
      <c r="O1434">
        <f t="shared" si="580"/>
        <v>2</v>
      </c>
      <c r="P1434" t="str">
        <f t="shared" si="581"/>
        <v>Mas de 3</v>
      </c>
      <c r="Q1434">
        <v>1</v>
      </c>
      <c r="R1434" t="str">
        <f t="shared" si="582"/>
        <v>A veces</v>
      </c>
      <c r="S1434">
        <v>0</v>
      </c>
      <c r="T1434" t="str">
        <f t="shared" si="583"/>
        <v>No fuma</v>
      </c>
      <c r="U1434">
        <v>2042078</v>
      </c>
      <c r="V1434">
        <f t="shared" si="584"/>
        <v>2</v>
      </c>
      <c r="W1434" t="str">
        <f t="shared" si="585"/>
        <v>Siempre</v>
      </c>
      <c r="X1434">
        <v>0</v>
      </c>
      <c r="Y1434" t="str">
        <f t="shared" si="586"/>
        <v>No controla</v>
      </c>
      <c r="Z1434">
        <v>1846666</v>
      </c>
      <c r="AA1434">
        <f t="shared" si="587"/>
        <v>3</v>
      </c>
      <c r="AB1434" t="str">
        <f t="shared" si="588"/>
        <v>Siempre</v>
      </c>
      <c r="AC1434">
        <v>1426103</v>
      </c>
      <c r="AD1434">
        <f t="shared" si="589"/>
        <v>2</v>
      </c>
      <c r="AE1434" t="str">
        <f t="shared" si="590"/>
        <v>Siempre</v>
      </c>
      <c r="AF1434">
        <v>0</v>
      </c>
      <c r="AG1434" t="str">
        <f t="shared" si="591"/>
        <v>Nunca</v>
      </c>
      <c r="AH1434">
        <v>0</v>
      </c>
      <c r="AI1434" t="str">
        <f t="shared" si="592"/>
        <v>No usa</v>
      </c>
      <c r="AJ1434">
        <v>0</v>
      </c>
      <c r="AK1434" t="str">
        <f t="shared" si="593"/>
        <v>No usa</v>
      </c>
      <c r="AL1434">
        <v>0</v>
      </c>
      <c r="AM1434" t="str">
        <f t="shared" si="594"/>
        <v>No usa</v>
      </c>
      <c r="AN1434">
        <v>1</v>
      </c>
      <c r="AO1434" t="str">
        <f t="shared" si="595"/>
        <v>Usa Transporte</v>
      </c>
      <c r="AP1434">
        <v>0</v>
      </c>
      <c r="AQ1434" t="str">
        <f t="shared" si="596"/>
        <v>No camina</v>
      </c>
      <c r="AR1434">
        <v>1</v>
      </c>
      <c r="AS1434" t="str">
        <f t="shared" si="597"/>
        <v>Es Obeso</v>
      </c>
    </row>
    <row r="1435" spans="1:45" x14ac:dyDescent="0.25">
      <c r="A1435">
        <v>0</v>
      </c>
      <c r="B1435" t="str">
        <f t="shared" si="572"/>
        <v>F</v>
      </c>
      <c r="C1435">
        <v>22307413</v>
      </c>
      <c r="D1435">
        <f t="shared" si="573"/>
        <v>61</v>
      </c>
      <c r="E1435">
        <f t="shared" si="574"/>
        <v>61</v>
      </c>
      <c r="F1435" t="str">
        <f t="shared" si="575"/>
        <v>50-75</v>
      </c>
      <c r="G1435">
        <v>1</v>
      </c>
      <c r="H1435" t="str">
        <f t="shared" si="576"/>
        <v>Pariente gordo</v>
      </c>
      <c r="I1435">
        <v>1</v>
      </c>
      <c r="J1435" t="str">
        <f t="shared" si="577"/>
        <v>Hipercaloricos</v>
      </c>
      <c r="K1435">
        <v>2049112</v>
      </c>
      <c r="L1435">
        <f t="shared" si="578"/>
        <v>1</v>
      </c>
      <c r="M1435" t="str">
        <f t="shared" si="579"/>
        <v>Suele comer</v>
      </c>
      <c r="N1435">
        <v>2622055</v>
      </c>
      <c r="O1435">
        <f t="shared" si="580"/>
        <v>2</v>
      </c>
      <c r="P1435" t="str">
        <f t="shared" si="581"/>
        <v>Mas de 3</v>
      </c>
      <c r="Q1435">
        <v>1</v>
      </c>
      <c r="R1435" t="str">
        <f t="shared" si="582"/>
        <v>A veces</v>
      </c>
      <c r="S1435">
        <v>0</v>
      </c>
      <c r="T1435" t="str">
        <f t="shared" si="583"/>
        <v>No fuma</v>
      </c>
      <c r="U1435">
        <v>2280555</v>
      </c>
      <c r="V1435">
        <f t="shared" si="584"/>
        <v>2</v>
      </c>
      <c r="W1435" t="str">
        <f t="shared" si="585"/>
        <v>Siempre</v>
      </c>
      <c r="X1435">
        <v>0</v>
      </c>
      <c r="Y1435" t="str">
        <f t="shared" si="586"/>
        <v>No controla</v>
      </c>
      <c r="Z1435">
        <v>2052896</v>
      </c>
      <c r="AA1435">
        <f t="shared" si="587"/>
        <v>3</v>
      </c>
      <c r="AB1435" t="str">
        <f t="shared" si="588"/>
        <v>Siempre</v>
      </c>
      <c r="AC1435">
        <v>0.89618500000000001</v>
      </c>
      <c r="AD1435">
        <f t="shared" si="589"/>
        <v>0</v>
      </c>
      <c r="AE1435" t="str">
        <f t="shared" si="590"/>
        <v>Nunca</v>
      </c>
      <c r="AF1435">
        <v>0</v>
      </c>
      <c r="AG1435" t="str">
        <f t="shared" si="591"/>
        <v>Nunca</v>
      </c>
      <c r="AH1435">
        <v>0</v>
      </c>
      <c r="AI1435" t="str">
        <f t="shared" si="592"/>
        <v>No usa</v>
      </c>
      <c r="AJ1435">
        <v>0</v>
      </c>
      <c r="AK1435" t="str">
        <f t="shared" si="593"/>
        <v>No usa</v>
      </c>
      <c r="AL1435">
        <v>0</v>
      </c>
      <c r="AM1435" t="str">
        <f t="shared" si="594"/>
        <v>No usa</v>
      </c>
      <c r="AN1435">
        <v>1</v>
      </c>
      <c r="AO1435" t="str">
        <f t="shared" si="595"/>
        <v>Usa Transporte</v>
      </c>
      <c r="AP1435">
        <v>0</v>
      </c>
      <c r="AQ1435" t="str">
        <f t="shared" si="596"/>
        <v>No camina</v>
      </c>
      <c r="AR1435">
        <v>1</v>
      </c>
      <c r="AS1435" t="str">
        <f t="shared" si="597"/>
        <v>Es Obeso</v>
      </c>
    </row>
    <row r="1436" spans="1:45" x14ac:dyDescent="0.25">
      <c r="A1436">
        <v>0</v>
      </c>
      <c r="B1436" t="str">
        <f t="shared" si="572"/>
        <v>F</v>
      </c>
      <c r="C1436">
        <v>22362877</v>
      </c>
      <c r="D1436">
        <f t="shared" si="573"/>
        <v>61</v>
      </c>
      <c r="E1436">
        <f t="shared" si="574"/>
        <v>61</v>
      </c>
      <c r="F1436" t="str">
        <f t="shared" si="575"/>
        <v>50-75</v>
      </c>
      <c r="G1436">
        <v>1</v>
      </c>
      <c r="H1436" t="str">
        <f t="shared" si="576"/>
        <v>Pariente gordo</v>
      </c>
      <c r="I1436">
        <v>1</v>
      </c>
      <c r="J1436" t="str">
        <f t="shared" si="577"/>
        <v>Hipercaloricos</v>
      </c>
      <c r="K1436">
        <v>1880534</v>
      </c>
      <c r="L1436">
        <f t="shared" si="578"/>
        <v>1</v>
      </c>
      <c r="M1436" t="str">
        <f t="shared" si="579"/>
        <v>Suele comer</v>
      </c>
      <c r="N1436">
        <v>2806566</v>
      </c>
      <c r="O1436">
        <f t="shared" si="580"/>
        <v>2</v>
      </c>
      <c r="P1436" t="str">
        <f t="shared" si="581"/>
        <v>Mas de 3</v>
      </c>
      <c r="Q1436">
        <v>1</v>
      </c>
      <c r="R1436" t="str">
        <f t="shared" si="582"/>
        <v>A veces</v>
      </c>
      <c r="S1436">
        <v>0</v>
      </c>
      <c r="T1436" t="str">
        <f t="shared" si="583"/>
        <v>No fuma</v>
      </c>
      <c r="U1436">
        <v>2313245</v>
      </c>
      <c r="V1436">
        <f t="shared" si="584"/>
        <v>2</v>
      </c>
      <c r="W1436" t="str">
        <f t="shared" si="585"/>
        <v>Siempre</v>
      </c>
      <c r="X1436">
        <v>0</v>
      </c>
      <c r="Y1436" t="str">
        <f t="shared" si="586"/>
        <v>No controla</v>
      </c>
      <c r="Z1436">
        <v>2146778</v>
      </c>
      <c r="AA1436">
        <f t="shared" si="587"/>
        <v>3</v>
      </c>
      <c r="AB1436" t="str">
        <f t="shared" si="588"/>
        <v>Siempre</v>
      </c>
      <c r="AC1436">
        <v>0.19608400000000001</v>
      </c>
      <c r="AD1436">
        <f t="shared" si="589"/>
        <v>0</v>
      </c>
      <c r="AE1436" t="str">
        <f t="shared" si="590"/>
        <v>Nunca</v>
      </c>
      <c r="AF1436">
        <v>0</v>
      </c>
      <c r="AG1436" t="str">
        <f t="shared" si="591"/>
        <v>Nunca</v>
      </c>
      <c r="AH1436">
        <v>0</v>
      </c>
      <c r="AI1436" t="str">
        <f t="shared" si="592"/>
        <v>No usa</v>
      </c>
      <c r="AJ1436">
        <v>0</v>
      </c>
      <c r="AK1436" t="str">
        <f t="shared" si="593"/>
        <v>No usa</v>
      </c>
      <c r="AL1436">
        <v>0</v>
      </c>
      <c r="AM1436" t="str">
        <f t="shared" si="594"/>
        <v>No usa</v>
      </c>
      <c r="AN1436">
        <v>1</v>
      </c>
      <c r="AO1436" t="str">
        <f t="shared" si="595"/>
        <v>Usa Transporte</v>
      </c>
      <c r="AP1436">
        <v>0</v>
      </c>
      <c r="AQ1436" t="str">
        <f t="shared" si="596"/>
        <v>No camina</v>
      </c>
      <c r="AR1436">
        <v>1</v>
      </c>
      <c r="AS1436" t="str">
        <f t="shared" si="597"/>
        <v>Es Obeso</v>
      </c>
    </row>
    <row r="1437" spans="1:45" x14ac:dyDescent="0.25">
      <c r="A1437">
        <v>0</v>
      </c>
      <c r="B1437" t="str">
        <f t="shared" si="572"/>
        <v>F</v>
      </c>
      <c r="C1437">
        <v>2289974</v>
      </c>
      <c r="D1437">
        <f t="shared" si="573"/>
        <v>6</v>
      </c>
      <c r="E1437">
        <f t="shared" si="574"/>
        <v>6</v>
      </c>
      <c r="F1437" t="str">
        <f t="shared" si="575"/>
        <v>1-25</v>
      </c>
      <c r="G1437">
        <v>1</v>
      </c>
      <c r="H1437" t="str">
        <f t="shared" si="576"/>
        <v>Pariente gordo</v>
      </c>
      <c r="I1437">
        <v>1</v>
      </c>
      <c r="J1437" t="str">
        <f t="shared" si="577"/>
        <v>Hipercaloricos</v>
      </c>
      <c r="K1437">
        <v>1203754</v>
      </c>
      <c r="L1437">
        <f t="shared" si="578"/>
        <v>1</v>
      </c>
      <c r="M1437" t="str">
        <f t="shared" si="579"/>
        <v>Suele comer</v>
      </c>
      <c r="N1437">
        <v>1355354</v>
      </c>
      <c r="O1437">
        <f t="shared" si="580"/>
        <v>2</v>
      </c>
      <c r="P1437" t="str">
        <f t="shared" si="581"/>
        <v>Mas de 3</v>
      </c>
      <c r="Q1437">
        <v>1</v>
      </c>
      <c r="R1437" t="str">
        <f t="shared" si="582"/>
        <v>A veces</v>
      </c>
      <c r="S1437">
        <v>0</v>
      </c>
      <c r="T1437" t="str">
        <f t="shared" si="583"/>
        <v>No fuma</v>
      </c>
      <c r="U1437">
        <v>2765593</v>
      </c>
      <c r="V1437">
        <f t="shared" si="584"/>
        <v>2</v>
      </c>
      <c r="W1437" t="str">
        <f t="shared" si="585"/>
        <v>Siempre</v>
      </c>
      <c r="X1437">
        <v>0</v>
      </c>
      <c r="Y1437" t="str">
        <f t="shared" si="586"/>
        <v>No controla</v>
      </c>
      <c r="Z1437">
        <v>0.12834200000000001</v>
      </c>
      <c r="AA1437">
        <f t="shared" si="587"/>
        <v>0</v>
      </c>
      <c r="AB1437" t="str">
        <f t="shared" si="588"/>
        <v>Nunca</v>
      </c>
      <c r="AC1437">
        <v>1659476</v>
      </c>
      <c r="AD1437">
        <f t="shared" si="589"/>
        <v>2</v>
      </c>
      <c r="AE1437" t="str">
        <f t="shared" si="590"/>
        <v>Siempre</v>
      </c>
      <c r="AF1437">
        <v>1</v>
      </c>
      <c r="AG1437" t="str">
        <f t="shared" si="591"/>
        <v>A veces</v>
      </c>
      <c r="AH1437">
        <v>0</v>
      </c>
      <c r="AI1437" t="str">
        <f t="shared" si="592"/>
        <v>No usa</v>
      </c>
      <c r="AJ1437">
        <v>0</v>
      </c>
      <c r="AK1437" t="str">
        <f t="shared" si="593"/>
        <v>No usa</v>
      </c>
      <c r="AL1437">
        <v>0</v>
      </c>
      <c r="AM1437" t="str">
        <f t="shared" si="594"/>
        <v>No usa</v>
      </c>
      <c r="AN1437">
        <v>1</v>
      </c>
      <c r="AO1437" t="str">
        <f t="shared" si="595"/>
        <v>Usa Transporte</v>
      </c>
      <c r="AP1437">
        <v>0</v>
      </c>
      <c r="AQ1437" t="str">
        <f t="shared" si="596"/>
        <v>No camina</v>
      </c>
      <c r="AR1437">
        <v>1</v>
      </c>
      <c r="AS1437" t="str">
        <f t="shared" si="597"/>
        <v>Es Obeso</v>
      </c>
    </row>
    <row r="1438" spans="1:45" x14ac:dyDescent="0.25">
      <c r="A1438">
        <v>0</v>
      </c>
      <c r="B1438" t="str">
        <f t="shared" si="572"/>
        <v>F</v>
      </c>
      <c r="C1438">
        <v>22997168</v>
      </c>
      <c r="D1438">
        <f t="shared" si="573"/>
        <v>63</v>
      </c>
      <c r="E1438">
        <f t="shared" si="574"/>
        <v>63</v>
      </c>
      <c r="F1438" t="str">
        <f t="shared" si="575"/>
        <v>50-75</v>
      </c>
      <c r="G1438">
        <v>1</v>
      </c>
      <c r="H1438" t="str">
        <f t="shared" si="576"/>
        <v>Pariente gordo</v>
      </c>
      <c r="I1438">
        <v>1</v>
      </c>
      <c r="J1438" t="str">
        <f t="shared" si="577"/>
        <v>Hipercaloricos</v>
      </c>
      <c r="K1438">
        <v>273691</v>
      </c>
      <c r="L1438">
        <f t="shared" si="578"/>
        <v>1</v>
      </c>
      <c r="M1438" t="str">
        <f t="shared" si="579"/>
        <v>Suele comer</v>
      </c>
      <c r="N1438">
        <v>1478334</v>
      </c>
      <c r="O1438">
        <f t="shared" si="580"/>
        <v>2</v>
      </c>
      <c r="P1438" t="str">
        <f t="shared" si="581"/>
        <v>Mas de 3</v>
      </c>
      <c r="Q1438">
        <v>1</v>
      </c>
      <c r="R1438" t="str">
        <f t="shared" si="582"/>
        <v>A veces</v>
      </c>
      <c r="S1438">
        <v>0</v>
      </c>
      <c r="T1438" t="str">
        <f t="shared" si="583"/>
        <v>No fuma</v>
      </c>
      <c r="U1438">
        <v>2677409</v>
      </c>
      <c r="V1438">
        <f t="shared" si="584"/>
        <v>2</v>
      </c>
      <c r="W1438" t="str">
        <f t="shared" si="585"/>
        <v>Siempre</v>
      </c>
      <c r="X1438">
        <v>0</v>
      </c>
      <c r="Y1438" t="str">
        <f t="shared" si="586"/>
        <v>No controla</v>
      </c>
      <c r="Z1438">
        <v>6.5264000000000003E-2</v>
      </c>
      <c r="AA1438">
        <f t="shared" si="587"/>
        <v>0</v>
      </c>
      <c r="AB1438" t="str">
        <f t="shared" si="588"/>
        <v>Nunca</v>
      </c>
      <c r="AC1438">
        <v>0.40699000000000002</v>
      </c>
      <c r="AD1438">
        <f t="shared" si="589"/>
        <v>0</v>
      </c>
      <c r="AE1438" t="str">
        <f t="shared" si="590"/>
        <v>Nunca</v>
      </c>
      <c r="AF1438">
        <v>1</v>
      </c>
      <c r="AG1438" t="str">
        <f t="shared" si="591"/>
        <v>A veces</v>
      </c>
      <c r="AH1438">
        <v>0</v>
      </c>
      <c r="AI1438" t="str">
        <f t="shared" si="592"/>
        <v>No usa</v>
      </c>
      <c r="AJ1438">
        <v>0</v>
      </c>
      <c r="AK1438" t="str">
        <f t="shared" si="593"/>
        <v>No usa</v>
      </c>
      <c r="AL1438">
        <v>0</v>
      </c>
      <c r="AM1438" t="str">
        <f t="shared" si="594"/>
        <v>No usa</v>
      </c>
      <c r="AN1438">
        <v>1</v>
      </c>
      <c r="AO1438" t="str">
        <f t="shared" si="595"/>
        <v>Usa Transporte</v>
      </c>
      <c r="AP1438">
        <v>0</v>
      </c>
      <c r="AQ1438" t="str">
        <f t="shared" si="596"/>
        <v>No camina</v>
      </c>
      <c r="AR1438">
        <v>1</v>
      </c>
      <c r="AS1438" t="str">
        <f t="shared" si="597"/>
        <v>Es Obeso</v>
      </c>
    </row>
    <row r="1439" spans="1:45" x14ac:dyDescent="0.25">
      <c r="A1439">
        <v>0</v>
      </c>
      <c r="B1439" t="str">
        <f t="shared" si="572"/>
        <v>F</v>
      </c>
      <c r="C1439">
        <v>38895069</v>
      </c>
      <c r="D1439">
        <f t="shared" si="573"/>
        <v>106</v>
      </c>
      <c r="E1439">
        <f t="shared" si="574"/>
        <v>100</v>
      </c>
      <c r="F1439" t="str">
        <f t="shared" si="575"/>
        <v>75-100</v>
      </c>
      <c r="G1439">
        <v>1</v>
      </c>
      <c r="H1439" t="str">
        <f t="shared" si="576"/>
        <v>Pariente gordo</v>
      </c>
      <c r="I1439">
        <v>1</v>
      </c>
      <c r="J1439" t="str">
        <f t="shared" si="577"/>
        <v>Hipercaloricos</v>
      </c>
      <c r="K1439">
        <v>2736628</v>
      </c>
      <c r="L1439">
        <f t="shared" si="578"/>
        <v>1</v>
      </c>
      <c r="M1439" t="str">
        <f t="shared" si="579"/>
        <v>Suele comer</v>
      </c>
      <c r="N1439">
        <v>1130751</v>
      </c>
      <c r="O1439">
        <f t="shared" si="580"/>
        <v>2</v>
      </c>
      <c r="P1439" t="str">
        <f t="shared" si="581"/>
        <v>Mas de 3</v>
      </c>
      <c r="Q1439">
        <v>1</v>
      </c>
      <c r="R1439" t="str">
        <f t="shared" si="582"/>
        <v>A veces</v>
      </c>
      <c r="S1439">
        <v>0</v>
      </c>
      <c r="T1439" t="str">
        <f t="shared" si="583"/>
        <v>No fuma</v>
      </c>
      <c r="U1439">
        <v>1385175</v>
      </c>
      <c r="V1439">
        <f t="shared" si="584"/>
        <v>2</v>
      </c>
      <c r="W1439" t="str">
        <f t="shared" si="585"/>
        <v>Siempre</v>
      </c>
      <c r="X1439">
        <v>0</v>
      </c>
      <c r="Y1439" t="str">
        <f t="shared" si="586"/>
        <v>No controla</v>
      </c>
      <c r="Z1439">
        <v>1666965</v>
      </c>
      <c r="AA1439">
        <f t="shared" si="587"/>
        <v>3</v>
      </c>
      <c r="AB1439" t="str">
        <f t="shared" si="588"/>
        <v>Siempre</v>
      </c>
      <c r="AC1439">
        <v>0</v>
      </c>
      <c r="AD1439">
        <f t="shared" si="589"/>
        <v>0</v>
      </c>
      <c r="AE1439" t="str">
        <f t="shared" si="590"/>
        <v>Nunca</v>
      </c>
      <c r="AF1439">
        <v>1</v>
      </c>
      <c r="AG1439" t="str">
        <f t="shared" si="591"/>
        <v>A veces</v>
      </c>
      <c r="AH1439">
        <v>1</v>
      </c>
      <c r="AI1439" t="str">
        <f t="shared" si="592"/>
        <v>Usa auto</v>
      </c>
      <c r="AJ1439">
        <v>0</v>
      </c>
      <c r="AK1439" t="str">
        <f t="shared" si="593"/>
        <v>No usa</v>
      </c>
      <c r="AL1439">
        <v>0</v>
      </c>
      <c r="AM1439" t="str">
        <f t="shared" si="594"/>
        <v>No usa</v>
      </c>
      <c r="AN1439">
        <v>0</v>
      </c>
      <c r="AO1439" t="str">
        <f t="shared" si="595"/>
        <v>No usa</v>
      </c>
      <c r="AP1439">
        <v>0</v>
      </c>
      <c r="AQ1439" t="str">
        <f t="shared" si="596"/>
        <v>No camina</v>
      </c>
      <c r="AR1439">
        <v>1</v>
      </c>
      <c r="AS1439" t="str">
        <f t="shared" si="597"/>
        <v>Es Obeso</v>
      </c>
    </row>
    <row r="1440" spans="1:45" x14ac:dyDescent="0.25">
      <c r="A1440">
        <v>0</v>
      </c>
      <c r="B1440" t="str">
        <f t="shared" si="572"/>
        <v>F</v>
      </c>
      <c r="C1440">
        <v>40789529</v>
      </c>
      <c r="D1440">
        <f t="shared" si="573"/>
        <v>111</v>
      </c>
      <c r="E1440">
        <f t="shared" si="574"/>
        <v>100</v>
      </c>
      <c r="F1440" t="str">
        <f t="shared" si="575"/>
        <v>75-100</v>
      </c>
      <c r="G1440">
        <v>1</v>
      </c>
      <c r="H1440" t="str">
        <f t="shared" si="576"/>
        <v>Pariente gordo</v>
      </c>
      <c r="I1440">
        <v>1</v>
      </c>
      <c r="J1440" t="str">
        <f t="shared" si="577"/>
        <v>Hipercaloricos</v>
      </c>
      <c r="K1440">
        <v>2</v>
      </c>
      <c r="L1440">
        <f t="shared" si="578"/>
        <v>1</v>
      </c>
      <c r="M1440" t="str">
        <f t="shared" si="579"/>
        <v>Suele comer</v>
      </c>
      <c r="N1440">
        <v>1099151</v>
      </c>
      <c r="O1440">
        <f t="shared" si="580"/>
        <v>2</v>
      </c>
      <c r="P1440" t="str">
        <f t="shared" si="581"/>
        <v>Mas de 3</v>
      </c>
      <c r="Q1440">
        <v>1</v>
      </c>
      <c r="R1440" t="str">
        <f t="shared" si="582"/>
        <v>A veces</v>
      </c>
      <c r="S1440">
        <v>0</v>
      </c>
      <c r="T1440" t="str">
        <f t="shared" si="583"/>
        <v>No fuma</v>
      </c>
      <c r="U1440">
        <v>1687611</v>
      </c>
      <c r="V1440">
        <f t="shared" si="584"/>
        <v>2</v>
      </c>
      <c r="W1440" t="str">
        <f t="shared" si="585"/>
        <v>Siempre</v>
      </c>
      <c r="X1440">
        <v>0</v>
      </c>
      <c r="Y1440" t="str">
        <f t="shared" si="586"/>
        <v>No controla</v>
      </c>
      <c r="Z1440">
        <v>1874662</v>
      </c>
      <c r="AA1440">
        <f t="shared" si="587"/>
        <v>3</v>
      </c>
      <c r="AB1440" t="str">
        <f t="shared" si="588"/>
        <v>Siempre</v>
      </c>
      <c r="AC1440">
        <v>0</v>
      </c>
      <c r="AD1440">
        <f t="shared" si="589"/>
        <v>0</v>
      </c>
      <c r="AE1440" t="str">
        <f t="shared" si="590"/>
        <v>Nunca</v>
      </c>
      <c r="AF1440">
        <v>1</v>
      </c>
      <c r="AG1440" t="str">
        <f t="shared" si="591"/>
        <v>A veces</v>
      </c>
      <c r="AH1440">
        <v>1</v>
      </c>
      <c r="AI1440" t="str">
        <f t="shared" si="592"/>
        <v>Usa auto</v>
      </c>
      <c r="AJ1440">
        <v>0</v>
      </c>
      <c r="AK1440" t="str">
        <f t="shared" si="593"/>
        <v>No usa</v>
      </c>
      <c r="AL1440">
        <v>0</v>
      </c>
      <c r="AM1440" t="str">
        <f t="shared" si="594"/>
        <v>No usa</v>
      </c>
      <c r="AN1440">
        <v>0</v>
      </c>
      <c r="AO1440" t="str">
        <f t="shared" si="595"/>
        <v>No usa</v>
      </c>
      <c r="AP1440">
        <v>0</v>
      </c>
      <c r="AQ1440" t="str">
        <f t="shared" si="596"/>
        <v>No camina</v>
      </c>
      <c r="AR1440">
        <v>1</v>
      </c>
      <c r="AS1440" t="str">
        <f t="shared" si="597"/>
        <v>Es Obeso</v>
      </c>
    </row>
    <row r="1441" spans="1:45" x14ac:dyDescent="0.25">
      <c r="A1441">
        <v>0</v>
      </c>
      <c r="B1441" t="str">
        <f t="shared" si="572"/>
        <v>F</v>
      </c>
      <c r="C1441">
        <v>40654155</v>
      </c>
      <c r="D1441">
        <f t="shared" si="573"/>
        <v>111</v>
      </c>
      <c r="E1441">
        <f t="shared" si="574"/>
        <v>100</v>
      </c>
      <c r="F1441" t="str">
        <f t="shared" si="575"/>
        <v>75-100</v>
      </c>
      <c r="G1441">
        <v>1</v>
      </c>
      <c r="H1441" t="str">
        <f t="shared" si="576"/>
        <v>Pariente gordo</v>
      </c>
      <c r="I1441">
        <v>1</v>
      </c>
      <c r="J1441" t="str">
        <f t="shared" si="577"/>
        <v>Hipercaloricos</v>
      </c>
      <c r="K1441">
        <v>2</v>
      </c>
      <c r="L1441">
        <f t="shared" si="578"/>
        <v>1</v>
      </c>
      <c r="M1441" t="str">
        <f t="shared" si="579"/>
        <v>Suele comer</v>
      </c>
      <c r="N1441">
        <v>3</v>
      </c>
      <c r="O1441">
        <f t="shared" si="580"/>
        <v>2</v>
      </c>
      <c r="P1441" t="str">
        <f t="shared" si="581"/>
        <v>Mas de 3</v>
      </c>
      <c r="Q1441">
        <v>1</v>
      </c>
      <c r="R1441" t="str">
        <f t="shared" si="582"/>
        <v>A veces</v>
      </c>
      <c r="S1441">
        <v>0</v>
      </c>
      <c r="T1441" t="str">
        <f t="shared" si="583"/>
        <v>No fuma</v>
      </c>
      <c r="U1441">
        <v>1</v>
      </c>
      <c r="V1441">
        <f t="shared" si="584"/>
        <v>1</v>
      </c>
      <c r="W1441" t="str">
        <f t="shared" si="585"/>
        <v>Usualmente</v>
      </c>
      <c r="X1441">
        <v>0</v>
      </c>
      <c r="Y1441" t="str">
        <f t="shared" si="586"/>
        <v>No controla</v>
      </c>
      <c r="Z1441">
        <v>0</v>
      </c>
      <c r="AA1441">
        <f t="shared" si="587"/>
        <v>0</v>
      </c>
      <c r="AB1441" t="str">
        <f t="shared" si="588"/>
        <v>Nunca</v>
      </c>
      <c r="AC1441">
        <v>0</v>
      </c>
      <c r="AD1441">
        <f t="shared" si="589"/>
        <v>0</v>
      </c>
      <c r="AE1441" t="str">
        <f t="shared" si="590"/>
        <v>Nunca</v>
      </c>
      <c r="AF1441">
        <v>1</v>
      </c>
      <c r="AG1441" t="str">
        <f t="shared" si="591"/>
        <v>A veces</v>
      </c>
      <c r="AH1441">
        <v>1</v>
      </c>
      <c r="AI1441" t="str">
        <f t="shared" si="592"/>
        <v>Usa auto</v>
      </c>
      <c r="AJ1441">
        <v>0</v>
      </c>
      <c r="AK1441" t="str">
        <f t="shared" si="593"/>
        <v>No usa</v>
      </c>
      <c r="AL1441">
        <v>0</v>
      </c>
      <c r="AM1441" t="str">
        <f t="shared" si="594"/>
        <v>No usa</v>
      </c>
      <c r="AN1441">
        <v>0</v>
      </c>
      <c r="AO1441" t="str">
        <f t="shared" si="595"/>
        <v>No usa</v>
      </c>
      <c r="AP1441">
        <v>0</v>
      </c>
      <c r="AQ1441" t="str">
        <f t="shared" si="596"/>
        <v>No camina</v>
      </c>
      <c r="AR1441">
        <v>1</v>
      </c>
      <c r="AS1441" t="str">
        <f t="shared" si="597"/>
        <v>Es Obeso</v>
      </c>
    </row>
    <row r="1442" spans="1:45" x14ac:dyDescent="0.25">
      <c r="A1442">
        <v>0</v>
      </c>
      <c r="B1442" t="str">
        <f t="shared" si="572"/>
        <v>F</v>
      </c>
      <c r="C1442">
        <v>38542937</v>
      </c>
      <c r="D1442">
        <f t="shared" si="573"/>
        <v>105</v>
      </c>
      <c r="E1442">
        <f t="shared" si="574"/>
        <v>100</v>
      </c>
      <c r="F1442" t="str">
        <f t="shared" si="575"/>
        <v>75-100</v>
      </c>
      <c r="G1442">
        <v>1</v>
      </c>
      <c r="H1442" t="str">
        <f t="shared" si="576"/>
        <v>Pariente gordo</v>
      </c>
      <c r="I1442">
        <v>1</v>
      </c>
      <c r="J1442" t="str">
        <f t="shared" si="577"/>
        <v>Hipercaloricos</v>
      </c>
      <c r="K1442">
        <v>2</v>
      </c>
      <c r="L1442">
        <f t="shared" si="578"/>
        <v>1</v>
      </c>
      <c r="M1442" t="str">
        <f t="shared" si="579"/>
        <v>Suele comer</v>
      </c>
      <c r="N1442">
        <v>3</v>
      </c>
      <c r="O1442">
        <f t="shared" si="580"/>
        <v>2</v>
      </c>
      <c r="P1442" t="str">
        <f t="shared" si="581"/>
        <v>Mas de 3</v>
      </c>
      <c r="Q1442">
        <v>1</v>
      </c>
      <c r="R1442" t="str">
        <f t="shared" si="582"/>
        <v>A veces</v>
      </c>
      <c r="S1442">
        <v>0</v>
      </c>
      <c r="T1442" t="str">
        <f t="shared" si="583"/>
        <v>No fuma</v>
      </c>
      <c r="U1442">
        <v>1095134</v>
      </c>
      <c r="V1442">
        <f t="shared" si="584"/>
        <v>2</v>
      </c>
      <c r="W1442" t="str">
        <f t="shared" si="585"/>
        <v>Siempre</v>
      </c>
      <c r="X1442">
        <v>0</v>
      </c>
      <c r="Y1442" t="str">
        <f t="shared" si="586"/>
        <v>No controla</v>
      </c>
      <c r="Z1442">
        <v>0</v>
      </c>
      <c r="AA1442">
        <f t="shared" si="587"/>
        <v>0</v>
      </c>
      <c r="AB1442" t="str">
        <f t="shared" si="588"/>
        <v>Nunca</v>
      </c>
      <c r="AC1442">
        <v>0</v>
      </c>
      <c r="AD1442">
        <f t="shared" si="589"/>
        <v>0</v>
      </c>
      <c r="AE1442" t="str">
        <f t="shared" si="590"/>
        <v>Nunca</v>
      </c>
      <c r="AF1442">
        <v>1</v>
      </c>
      <c r="AG1442" t="str">
        <f t="shared" si="591"/>
        <v>A veces</v>
      </c>
      <c r="AH1442">
        <v>1</v>
      </c>
      <c r="AI1442" t="str">
        <f t="shared" si="592"/>
        <v>Usa auto</v>
      </c>
      <c r="AJ1442">
        <v>0</v>
      </c>
      <c r="AK1442" t="str">
        <f t="shared" si="593"/>
        <v>No usa</v>
      </c>
      <c r="AL1442">
        <v>0</v>
      </c>
      <c r="AM1442" t="str">
        <f t="shared" si="594"/>
        <v>No usa</v>
      </c>
      <c r="AN1442">
        <v>0</v>
      </c>
      <c r="AO1442" t="str">
        <f t="shared" si="595"/>
        <v>No usa</v>
      </c>
      <c r="AP1442">
        <v>0</v>
      </c>
      <c r="AQ1442" t="str">
        <f t="shared" si="596"/>
        <v>No camina</v>
      </c>
      <c r="AR1442">
        <v>1</v>
      </c>
      <c r="AS1442" t="str">
        <f t="shared" si="597"/>
        <v>Es Obeso</v>
      </c>
    </row>
    <row r="1443" spans="1:45" x14ac:dyDescent="0.25">
      <c r="A1443">
        <v>1</v>
      </c>
      <c r="B1443" t="str">
        <f t="shared" si="572"/>
        <v>M</v>
      </c>
      <c r="C1443">
        <v>2595383</v>
      </c>
      <c r="D1443">
        <f t="shared" si="573"/>
        <v>7</v>
      </c>
      <c r="E1443">
        <f t="shared" si="574"/>
        <v>7</v>
      </c>
      <c r="F1443" t="str">
        <f t="shared" si="575"/>
        <v>1-25</v>
      </c>
      <c r="G1443">
        <v>1</v>
      </c>
      <c r="H1443" t="str">
        <f t="shared" si="576"/>
        <v>Pariente gordo</v>
      </c>
      <c r="I1443">
        <v>1</v>
      </c>
      <c r="J1443" t="str">
        <f t="shared" si="577"/>
        <v>Hipercaloricos</v>
      </c>
      <c r="K1443">
        <v>2</v>
      </c>
      <c r="L1443">
        <f t="shared" si="578"/>
        <v>1</v>
      </c>
      <c r="M1443" t="str">
        <f t="shared" si="579"/>
        <v>Suele comer</v>
      </c>
      <c r="N1443">
        <v>3</v>
      </c>
      <c r="O1443">
        <f t="shared" si="580"/>
        <v>2</v>
      </c>
      <c r="P1443" t="str">
        <f t="shared" si="581"/>
        <v>Mas de 3</v>
      </c>
      <c r="Q1443">
        <v>1</v>
      </c>
      <c r="R1443" t="str">
        <f t="shared" si="582"/>
        <v>A veces</v>
      </c>
      <c r="S1443">
        <v>0</v>
      </c>
      <c r="T1443" t="str">
        <f t="shared" si="583"/>
        <v>No fuma</v>
      </c>
      <c r="U1443">
        <v>3</v>
      </c>
      <c r="V1443">
        <f t="shared" si="584"/>
        <v>2</v>
      </c>
      <c r="W1443" t="str">
        <f t="shared" si="585"/>
        <v>Siempre</v>
      </c>
      <c r="X1443">
        <v>0</v>
      </c>
      <c r="Y1443" t="str">
        <f t="shared" si="586"/>
        <v>No controla</v>
      </c>
      <c r="Z1443">
        <v>0.41364299999999998</v>
      </c>
      <c r="AA1443">
        <f t="shared" si="587"/>
        <v>0</v>
      </c>
      <c r="AB1443" t="str">
        <f t="shared" si="588"/>
        <v>Nunca</v>
      </c>
      <c r="AC1443">
        <v>0.92085799999999995</v>
      </c>
      <c r="AD1443">
        <f t="shared" si="589"/>
        <v>0</v>
      </c>
      <c r="AE1443" t="str">
        <f t="shared" si="590"/>
        <v>Nunca</v>
      </c>
      <c r="AF1443">
        <v>1</v>
      </c>
      <c r="AG1443" t="str">
        <f t="shared" si="591"/>
        <v>A veces</v>
      </c>
      <c r="AH1443">
        <v>1</v>
      </c>
      <c r="AI1443" t="str">
        <f t="shared" si="592"/>
        <v>Usa auto</v>
      </c>
      <c r="AJ1443">
        <v>0</v>
      </c>
      <c r="AK1443" t="str">
        <f t="shared" si="593"/>
        <v>No usa</v>
      </c>
      <c r="AL1443">
        <v>0</v>
      </c>
      <c r="AM1443" t="str">
        <f t="shared" si="594"/>
        <v>No usa</v>
      </c>
      <c r="AN1443">
        <v>0</v>
      </c>
      <c r="AO1443" t="str">
        <f t="shared" si="595"/>
        <v>No usa</v>
      </c>
      <c r="AP1443">
        <v>0</v>
      </c>
      <c r="AQ1443" t="str">
        <f t="shared" si="596"/>
        <v>No camina</v>
      </c>
      <c r="AR1443">
        <v>1</v>
      </c>
      <c r="AS1443" t="str">
        <f t="shared" si="597"/>
        <v>Es Obeso</v>
      </c>
    </row>
    <row r="1444" spans="1:45" x14ac:dyDescent="0.25">
      <c r="A1444">
        <v>1</v>
      </c>
      <c r="B1444" t="str">
        <f t="shared" si="572"/>
        <v>M</v>
      </c>
      <c r="C1444">
        <v>26826961</v>
      </c>
      <c r="D1444">
        <f t="shared" si="573"/>
        <v>73</v>
      </c>
      <c r="E1444">
        <f t="shared" si="574"/>
        <v>73</v>
      </c>
      <c r="F1444" t="str">
        <f t="shared" si="575"/>
        <v>50-75</v>
      </c>
      <c r="G1444">
        <v>1</v>
      </c>
      <c r="H1444" t="str">
        <f t="shared" si="576"/>
        <v>Pariente gordo</v>
      </c>
      <c r="I1444">
        <v>1</v>
      </c>
      <c r="J1444" t="str">
        <f t="shared" si="577"/>
        <v>Hipercaloricos</v>
      </c>
      <c r="K1444">
        <v>2</v>
      </c>
      <c r="L1444">
        <f t="shared" si="578"/>
        <v>1</v>
      </c>
      <c r="M1444" t="str">
        <f t="shared" si="579"/>
        <v>Suele comer</v>
      </c>
      <c r="N1444">
        <v>3</v>
      </c>
      <c r="O1444">
        <f t="shared" si="580"/>
        <v>2</v>
      </c>
      <c r="P1444" t="str">
        <f t="shared" si="581"/>
        <v>Mas de 3</v>
      </c>
      <c r="Q1444">
        <v>1</v>
      </c>
      <c r="R1444" t="str">
        <f t="shared" si="582"/>
        <v>A veces</v>
      </c>
      <c r="S1444">
        <v>0</v>
      </c>
      <c r="T1444" t="str">
        <f t="shared" si="583"/>
        <v>No fuma</v>
      </c>
      <c r="U1444">
        <v>3</v>
      </c>
      <c r="V1444">
        <f t="shared" si="584"/>
        <v>2</v>
      </c>
      <c r="W1444" t="str">
        <f t="shared" si="585"/>
        <v>Siempre</v>
      </c>
      <c r="X1444">
        <v>0</v>
      </c>
      <c r="Y1444" t="str">
        <f t="shared" si="586"/>
        <v>No controla</v>
      </c>
      <c r="Z1444">
        <v>0.88493500000000003</v>
      </c>
      <c r="AA1444">
        <f t="shared" si="587"/>
        <v>0</v>
      </c>
      <c r="AB1444" t="str">
        <f t="shared" si="588"/>
        <v>Nunca</v>
      </c>
      <c r="AC1444">
        <v>0.12228</v>
      </c>
      <c r="AD1444">
        <f t="shared" si="589"/>
        <v>0</v>
      </c>
      <c r="AE1444" t="str">
        <f t="shared" si="590"/>
        <v>Nunca</v>
      </c>
      <c r="AF1444">
        <v>1</v>
      </c>
      <c r="AG1444" t="str">
        <f t="shared" si="591"/>
        <v>A veces</v>
      </c>
      <c r="AH1444">
        <v>1</v>
      </c>
      <c r="AI1444" t="str">
        <f t="shared" si="592"/>
        <v>Usa auto</v>
      </c>
      <c r="AJ1444">
        <v>0</v>
      </c>
      <c r="AK1444" t="str">
        <f t="shared" si="593"/>
        <v>No usa</v>
      </c>
      <c r="AL1444">
        <v>0</v>
      </c>
      <c r="AM1444" t="str">
        <f t="shared" si="594"/>
        <v>No usa</v>
      </c>
      <c r="AN1444">
        <v>0</v>
      </c>
      <c r="AO1444" t="str">
        <f t="shared" si="595"/>
        <v>No usa</v>
      </c>
      <c r="AP1444">
        <v>0</v>
      </c>
      <c r="AQ1444" t="str">
        <f t="shared" si="596"/>
        <v>No camina</v>
      </c>
      <c r="AR1444">
        <v>1</v>
      </c>
      <c r="AS1444" t="str">
        <f t="shared" si="597"/>
        <v>Es Obeso</v>
      </c>
    </row>
    <row r="1445" spans="1:45" x14ac:dyDescent="0.25">
      <c r="A1445">
        <v>0</v>
      </c>
      <c r="B1445" t="str">
        <f t="shared" si="572"/>
        <v>F</v>
      </c>
      <c r="C1445">
        <v>23803904</v>
      </c>
      <c r="D1445">
        <f t="shared" si="573"/>
        <v>65</v>
      </c>
      <c r="E1445">
        <f t="shared" si="574"/>
        <v>65</v>
      </c>
      <c r="F1445" t="str">
        <f t="shared" si="575"/>
        <v>50-75</v>
      </c>
      <c r="G1445">
        <v>1</v>
      </c>
      <c r="H1445" t="str">
        <f t="shared" si="576"/>
        <v>Pariente gordo</v>
      </c>
      <c r="I1445">
        <v>1</v>
      </c>
      <c r="J1445" t="str">
        <f t="shared" si="577"/>
        <v>Hipercaloricos</v>
      </c>
      <c r="K1445">
        <v>2</v>
      </c>
      <c r="L1445">
        <f t="shared" si="578"/>
        <v>1</v>
      </c>
      <c r="M1445" t="str">
        <f t="shared" si="579"/>
        <v>Suele comer</v>
      </c>
      <c r="N1445">
        <v>1</v>
      </c>
      <c r="O1445">
        <f t="shared" si="580"/>
        <v>1</v>
      </c>
      <c r="P1445">
        <f t="shared" si="581"/>
        <v>3</v>
      </c>
      <c r="Q1445">
        <v>1</v>
      </c>
      <c r="R1445" t="str">
        <f t="shared" si="582"/>
        <v>A veces</v>
      </c>
      <c r="S1445">
        <v>0</v>
      </c>
      <c r="T1445" t="str">
        <f t="shared" si="583"/>
        <v>No fuma</v>
      </c>
      <c r="U1445">
        <v>2</v>
      </c>
      <c r="V1445">
        <f t="shared" si="584"/>
        <v>2</v>
      </c>
      <c r="W1445" t="str">
        <f t="shared" si="585"/>
        <v>Siempre</v>
      </c>
      <c r="X1445">
        <v>0</v>
      </c>
      <c r="Y1445" t="str">
        <f t="shared" si="586"/>
        <v>No controla</v>
      </c>
      <c r="Z1445">
        <v>5.7757999999999997E-2</v>
      </c>
      <c r="AA1445">
        <f t="shared" si="587"/>
        <v>0</v>
      </c>
      <c r="AB1445" t="str">
        <f t="shared" si="588"/>
        <v>Nunca</v>
      </c>
      <c r="AC1445">
        <v>0</v>
      </c>
      <c r="AD1445">
        <f t="shared" si="589"/>
        <v>0</v>
      </c>
      <c r="AE1445" t="str">
        <f t="shared" si="590"/>
        <v>Nunca</v>
      </c>
      <c r="AF1445">
        <v>0</v>
      </c>
      <c r="AG1445" t="str">
        <f t="shared" si="591"/>
        <v>Nunca</v>
      </c>
      <c r="AH1445">
        <v>0</v>
      </c>
      <c r="AI1445" t="str">
        <f t="shared" si="592"/>
        <v>No usa</v>
      </c>
      <c r="AJ1445">
        <v>0</v>
      </c>
      <c r="AK1445" t="str">
        <f t="shared" si="593"/>
        <v>No usa</v>
      </c>
      <c r="AL1445">
        <v>0</v>
      </c>
      <c r="AM1445" t="str">
        <f t="shared" si="594"/>
        <v>No usa</v>
      </c>
      <c r="AN1445">
        <v>1</v>
      </c>
      <c r="AO1445" t="str">
        <f t="shared" si="595"/>
        <v>Usa Transporte</v>
      </c>
      <c r="AP1445">
        <v>0</v>
      </c>
      <c r="AQ1445" t="str">
        <f t="shared" si="596"/>
        <v>No camina</v>
      </c>
      <c r="AR1445">
        <v>1</v>
      </c>
      <c r="AS1445" t="str">
        <f t="shared" si="597"/>
        <v>Es Obeso</v>
      </c>
    </row>
    <row r="1446" spans="1:45" x14ac:dyDescent="0.25">
      <c r="A1446">
        <v>0</v>
      </c>
      <c r="B1446" t="str">
        <f t="shared" si="572"/>
        <v>F</v>
      </c>
      <c r="C1446">
        <v>23652435</v>
      </c>
      <c r="D1446">
        <f t="shared" si="573"/>
        <v>64</v>
      </c>
      <c r="E1446">
        <f t="shared" si="574"/>
        <v>64</v>
      </c>
      <c r="F1446" t="str">
        <f t="shared" si="575"/>
        <v>50-75</v>
      </c>
      <c r="G1446">
        <v>1</v>
      </c>
      <c r="H1446" t="str">
        <f t="shared" si="576"/>
        <v>Pariente gordo</v>
      </c>
      <c r="I1446">
        <v>1</v>
      </c>
      <c r="J1446" t="str">
        <f t="shared" si="577"/>
        <v>Hipercaloricos</v>
      </c>
      <c r="K1446">
        <v>2</v>
      </c>
      <c r="L1446">
        <f t="shared" si="578"/>
        <v>1</v>
      </c>
      <c r="M1446" t="str">
        <f t="shared" si="579"/>
        <v>Suele comer</v>
      </c>
      <c r="N1446">
        <v>1</v>
      </c>
      <c r="O1446">
        <f t="shared" si="580"/>
        <v>1</v>
      </c>
      <c r="P1446">
        <f t="shared" si="581"/>
        <v>3</v>
      </c>
      <c r="Q1446">
        <v>1</v>
      </c>
      <c r="R1446" t="str">
        <f t="shared" si="582"/>
        <v>A veces</v>
      </c>
      <c r="S1446">
        <v>0</v>
      </c>
      <c r="T1446" t="str">
        <f t="shared" si="583"/>
        <v>No fuma</v>
      </c>
      <c r="U1446">
        <v>2</v>
      </c>
      <c r="V1446">
        <f t="shared" si="584"/>
        <v>2</v>
      </c>
      <c r="W1446" t="str">
        <f t="shared" si="585"/>
        <v>Siempre</v>
      </c>
      <c r="X1446">
        <v>0</v>
      </c>
      <c r="Y1446" t="str">
        <f t="shared" si="586"/>
        <v>No controla</v>
      </c>
      <c r="Z1446">
        <v>0.38971699999999998</v>
      </c>
      <c r="AA1446">
        <f t="shared" si="587"/>
        <v>0</v>
      </c>
      <c r="AB1446" t="str">
        <f t="shared" si="588"/>
        <v>Nunca</v>
      </c>
      <c r="AC1446">
        <v>0</v>
      </c>
      <c r="AD1446">
        <f t="shared" si="589"/>
        <v>0</v>
      </c>
      <c r="AE1446" t="str">
        <f t="shared" si="590"/>
        <v>Nunca</v>
      </c>
      <c r="AF1446">
        <v>0</v>
      </c>
      <c r="AG1446" t="str">
        <f t="shared" si="591"/>
        <v>Nunca</v>
      </c>
      <c r="AH1446">
        <v>0</v>
      </c>
      <c r="AI1446" t="str">
        <f t="shared" si="592"/>
        <v>No usa</v>
      </c>
      <c r="AJ1446">
        <v>0</v>
      </c>
      <c r="AK1446" t="str">
        <f t="shared" si="593"/>
        <v>No usa</v>
      </c>
      <c r="AL1446">
        <v>0</v>
      </c>
      <c r="AM1446" t="str">
        <f t="shared" si="594"/>
        <v>No usa</v>
      </c>
      <c r="AN1446">
        <v>1</v>
      </c>
      <c r="AO1446" t="str">
        <f t="shared" si="595"/>
        <v>Usa Transporte</v>
      </c>
      <c r="AP1446">
        <v>0</v>
      </c>
      <c r="AQ1446" t="str">
        <f t="shared" si="596"/>
        <v>No camina</v>
      </c>
      <c r="AR1446">
        <v>1</v>
      </c>
      <c r="AS1446" t="str">
        <f t="shared" si="597"/>
        <v>Es Obeso</v>
      </c>
    </row>
    <row r="1447" spans="1:45" x14ac:dyDescent="0.25">
      <c r="A1447">
        <v>1</v>
      </c>
      <c r="B1447" t="str">
        <f t="shared" si="572"/>
        <v>M</v>
      </c>
      <c r="C1447">
        <v>20677105</v>
      </c>
      <c r="D1447">
        <f t="shared" si="573"/>
        <v>56</v>
      </c>
      <c r="E1447">
        <f t="shared" si="574"/>
        <v>56</v>
      </c>
      <c r="F1447" t="str">
        <f t="shared" si="575"/>
        <v>50-75</v>
      </c>
      <c r="G1447">
        <v>1</v>
      </c>
      <c r="H1447" t="str">
        <f t="shared" si="576"/>
        <v>Pariente gordo</v>
      </c>
      <c r="I1447">
        <v>1</v>
      </c>
      <c r="J1447" t="str">
        <f t="shared" si="577"/>
        <v>Hipercaloricos</v>
      </c>
      <c r="K1447">
        <v>2</v>
      </c>
      <c r="L1447">
        <f t="shared" si="578"/>
        <v>1</v>
      </c>
      <c r="M1447" t="str">
        <f t="shared" si="579"/>
        <v>Suele comer</v>
      </c>
      <c r="N1447">
        <v>3</v>
      </c>
      <c r="O1447">
        <f t="shared" si="580"/>
        <v>2</v>
      </c>
      <c r="P1447" t="str">
        <f t="shared" si="581"/>
        <v>Mas de 3</v>
      </c>
      <c r="Q1447">
        <v>1</v>
      </c>
      <c r="R1447" t="str">
        <f t="shared" si="582"/>
        <v>A veces</v>
      </c>
      <c r="S1447">
        <v>0</v>
      </c>
      <c r="T1447" t="str">
        <f t="shared" si="583"/>
        <v>No fuma</v>
      </c>
      <c r="U1447">
        <v>1618189</v>
      </c>
      <c r="V1447">
        <f t="shared" si="584"/>
        <v>2</v>
      </c>
      <c r="W1447" t="str">
        <f t="shared" si="585"/>
        <v>Siempre</v>
      </c>
      <c r="X1447">
        <v>0</v>
      </c>
      <c r="Y1447" t="str">
        <f t="shared" si="586"/>
        <v>No controla</v>
      </c>
      <c r="Z1447">
        <v>0.57164800000000004</v>
      </c>
      <c r="AA1447">
        <f t="shared" si="587"/>
        <v>0</v>
      </c>
      <c r="AB1447" t="str">
        <f t="shared" si="588"/>
        <v>Nunca</v>
      </c>
      <c r="AC1447">
        <v>0</v>
      </c>
      <c r="AD1447">
        <f t="shared" si="589"/>
        <v>0</v>
      </c>
      <c r="AE1447" t="str">
        <f t="shared" si="590"/>
        <v>Nunca</v>
      </c>
      <c r="AF1447">
        <v>0</v>
      </c>
      <c r="AG1447" t="str">
        <f t="shared" si="591"/>
        <v>Nunca</v>
      </c>
      <c r="AH1447">
        <v>0</v>
      </c>
      <c r="AI1447" t="str">
        <f t="shared" si="592"/>
        <v>No usa</v>
      </c>
      <c r="AJ1447">
        <v>0</v>
      </c>
      <c r="AK1447" t="str">
        <f t="shared" si="593"/>
        <v>No usa</v>
      </c>
      <c r="AL1447">
        <v>0</v>
      </c>
      <c r="AM1447" t="str">
        <f t="shared" si="594"/>
        <v>No usa</v>
      </c>
      <c r="AN1447">
        <v>1</v>
      </c>
      <c r="AO1447" t="str">
        <f t="shared" si="595"/>
        <v>Usa Transporte</v>
      </c>
      <c r="AP1447">
        <v>0</v>
      </c>
      <c r="AQ1447" t="str">
        <f t="shared" si="596"/>
        <v>No camina</v>
      </c>
      <c r="AR1447">
        <v>1</v>
      </c>
      <c r="AS1447" t="str">
        <f t="shared" si="597"/>
        <v>Es Obeso</v>
      </c>
    </row>
    <row r="1448" spans="1:45" x14ac:dyDescent="0.25">
      <c r="A1448">
        <v>1</v>
      </c>
      <c r="B1448" t="str">
        <f t="shared" si="572"/>
        <v>M</v>
      </c>
      <c r="C1448">
        <v>21797388</v>
      </c>
      <c r="D1448">
        <f t="shared" si="573"/>
        <v>59</v>
      </c>
      <c r="E1448">
        <f t="shared" si="574"/>
        <v>59</v>
      </c>
      <c r="F1448" t="str">
        <f t="shared" si="575"/>
        <v>50-75</v>
      </c>
      <c r="G1448">
        <v>1</v>
      </c>
      <c r="H1448" t="str">
        <f t="shared" si="576"/>
        <v>Pariente gordo</v>
      </c>
      <c r="I1448">
        <v>1</v>
      </c>
      <c r="J1448" t="str">
        <f t="shared" si="577"/>
        <v>Hipercaloricos</v>
      </c>
      <c r="K1448">
        <v>2121909</v>
      </c>
      <c r="L1448">
        <f t="shared" si="578"/>
        <v>1</v>
      </c>
      <c r="M1448" t="str">
        <f t="shared" si="579"/>
        <v>Suele comer</v>
      </c>
      <c r="N1448">
        <v>3</v>
      </c>
      <c r="O1448">
        <f t="shared" si="580"/>
        <v>2</v>
      </c>
      <c r="P1448" t="str">
        <f t="shared" si="581"/>
        <v>Mas de 3</v>
      </c>
      <c r="Q1448">
        <v>1</v>
      </c>
      <c r="R1448" t="str">
        <f t="shared" si="582"/>
        <v>A veces</v>
      </c>
      <c r="S1448">
        <v>0</v>
      </c>
      <c r="T1448" t="str">
        <f t="shared" si="583"/>
        <v>No fuma</v>
      </c>
      <c r="U1448">
        <v>2500556</v>
      </c>
      <c r="V1448">
        <f t="shared" si="584"/>
        <v>2</v>
      </c>
      <c r="W1448" t="str">
        <f t="shared" si="585"/>
        <v>Siempre</v>
      </c>
      <c r="X1448">
        <v>0</v>
      </c>
      <c r="Y1448" t="str">
        <f t="shared" si="586"/>
        <v>No controla</v>
      </c>
      <c r="Z1448">
        <v>120758</v>
      </c>
      <c r="AA1448">
        <f t="shared" si="587"/>
        <v>2</v>
      </c>
      <c r="AB1448" t="str">
        <f t="shared" si="588"/>
        <v>Usualmente</v>
      </c>
      <c r="AC1448">
        <v>0</v>
      </c>
      <c r="AD1448">
        <f t="shared" si="589"/>
        <v>0</v>
      </c>
      <c r="AE1448" t="str">
        <f t="shared" si="590"/>
        <v>Nunca</v>
      </c>
      <c r="AF1448">
        <v>0</v>
      </c>
      <c r="AG1448" t="str">
        <f t="shared" si="591"/>
        <v>Nunca</v>
      </c>
      <c r="AH1448">
        <v>0</v>
      </c>
      <c r="AI1448" t="str">
        <f t="shared" si="592"/>
        <v>No usa</v>
      </c>
      <c r="AJ1448">
        <v>0</v>
      </c>
      <c r="AK1448" t="str">
        <f t="shared" si="593"/>
        <v>No usa</v>
      </c>
      <c r="AL1448">
        <v>0</v>
      </c>
      <c r="AM1448" t="str">
        <f t="shared" si="594"/>
        <v>No usa</v>
      </c>
      <c r="AN1448">
        <v>1</v>
      </c>
      <c r="AO1448" t="str">
        <f t="shared" si="595"/>
        <v>Usa Transporte</v>
      </c>
      <c r="AP1448">
        <v>0</v>
      </c>
      <c r="AQ1448" t="str">
        <f t="shared" si="596"/>
        <v>No camina</v>
      </c>
      <c r="AR1448">
        <v>1</v>
      </c>
      <c r="AS1448" t="str">
        <f t="shared" si="597"/>
        <v>Es Obeso</v>
      </c>
    </row>
    <row r="1449" spans="1:45" x14ac:dyDescent="0.25">
      <c r="A1449">
        <v>1</v>
      </c>
      <c r="B1449" t="str">
        <f t="shared" si="572"/>
        <v>M</v>
      </c>
      <c r="C1449">
        <v>22719385</v>
      </c>
      <c r="D1449">
        <f t="shared" si="573"/>
        <v>62</v>
      </c>
      <c r="E1449">
        <f t="shared" si="574"/>
        <v>62</v>
      </c>
      <c r="F1449" t="str">
        <f t="shared" si="575"/>
        <v>50-75</v>
      </c>
      <c r="G1449">
        <v>1</v>
      </c>
      <c r="H1449" t="str">
        <f t="shared" si="576"/>
        <v>Pariente gordo</v>
      </c>
      <c r="I1449">
        <v>1</v>
      </c>
      <c r="J1449" t="str">
        <f t="shared" si="577"/>
        <v>Hipercaloricos</v>
      </c>
      <c r="K1449">
        <v>2</v>
      </c>
      <c r="L1449">
        <f t="shared" si="578"/>
        <v>1</v>
      </c>
      <c r="M1449" t="str">
        <f t="shared" si="579"/>
        <v>Suele comer</v>
      </c>
      <c r="N1449">
        <v>3</v>
      </c>
      <c r="O1449">
        <f t="shared" si="580"/>
        <v>2</v>
      </c>
      <c r="P1449" t="str">
        <f t="shared" si="581"/>
        <v>Mas de 3</v>
      </c>
      <c r="Q1449">
        <v>1</v>
      </c>
      <c r="R1449" t="str">
        <f t="shared" si="582"/>
        <v>A veces</v>
      </c>
      <c r="S1449">
        <v>0</v>
      </c>
      <c r="T1449" t="str">
        <f t="shared" si="583"/>
        <v>No fuma</v>
      </c>
      <c r="U1449">
        <v>2714091</v>
      </c>
      <c r="V1449">
        <f t="shared" si="584"/>
        <v>2</v>
      </c>
      <c r="W1449" t="str">
        <f t="shared" si="585"/>
        <v>Siempre</v>
      </c>
      <c r="X1449">
        <v>0</v>
      </c>
      <c r="Y1449" t="str">
        <f t="shared" si="586"/>
        <v>No controla</v>
      </c>
      <c r="Z1449">
        <v>264102</v>
      </c>
      <c r="AA1449">
        <f t="shared" si="587"/>
        <v>2</v>
      </c>
      <c r="AB1449" t="str">
        <f t="shared" si="588"/>
        <v>Usualmente</v>
      </c>
      <c r="AC1449">
        <v>1224737</v>
      </c>
      <c r="AD1449">
        <f t="shared" si="589"/>
        <v>2</v>
      </c>
      <c r="AE1449" t="str">
        <f t="shared" si="590"/>
        <v>Siempre</v>
      </c>
      <c r="AF1449">
        <v>0</v>
      </c>
      <c r="AG1449" t="str">
        <f t="shared" si="591"/>
        <v>Nunca</v>
      </c>
      <c r="AH1449">
        <v>0</v>
      </c>
      <c r="AI1449" t="str">
        <f t="shared" si="592"/>
        <v>No usa</v>
      </c>
      <c r="AJ1449">
        <v>0</v>
      </c>
      <c r="AK1449" t="str">
        <f t="shared" si="593"/>
        <v>No usa</v>
      </c>
      <c r="AL1449">
        <v>0</v>
      </c>
      <c r="AM1449" t="str">
        <f t="shared" si="594"/>
        <v>No usa</v>
      </c>
      <c r="AN1449">
        <v>1</v>
      </c>
      <c r="AO1449" t="str">
        <f t="shared" si="595"/>
        <v>Usa Transporte</v>
      </c>
      <c r="AP1449">
        <v>0</v>
      </c>
      <c r="AQ1449" t="str">
        <f t="shared" si="596"/>
        <v>No camina</v>
      </c>
      <c r="AR1449">
        <v>1</v>
      </c>
      <c r="AS1449" t="str">
        <f t="shared" si="597"/>
        <v>Es Obeso</v>
      </c>
    </row>
    <row r="1450" spans="1:45" x14ac:dyDescent="0.25">
      <c r="A1450">
        <v>1</v>
      </c>
      <c r="B1450" t="str">
        <f t="shared" si="572"/>
        <v>M</v>
      </c>
      <c r="C1450">
        <v>22177099</v>
      </c>
      <c r="D1450">
        <f t="shared" si="573"/>
        <v>60</v>
      </c>
      <c r="E1450">
        <f t="shared" si="574"/>
        <v>60</v>
      </c>
      <c r="F1450" t="str">
        <f t="shared" si="575"/>
        <v>50-75</v>
      </c>
      <c r="G1450">
        <v>1</v>
      </c>
      <c r="H1450" t="str">
        <f t="shared" si="576"/>
        <v>Pariente gordo</v>
      </c>
      <c r="I1450">
        <v>1</v>
      </c>
      <c r="J1450" t="str">
        <f t="shared" si="577"/>
        <v>Hipercaloricos</v>
      </c>
      <c r="K1450">
        <v>2</v>
      </c>
      <c r="L1450">
        <f t="shared" si="578"/>
        <v>1</v>
      </c>
      <c r="M1450" t="str">
        <f t="shared" si="579"/>
        <v>Suele comer</v>
      </c>
      <c r="N1450">
        <v>3</v>
      </c>
      <c r="O1450">
        <f t="shared" si="580"/>
        <v>2</v>
      </c>
      <c r="P1450" t="str">
        <f t="shared" si="581"/>
        <v>Mas de 3</v>
      </c>
      <c r="Q1450">
        <v>1</v>
      </c>
      <c r="R1450" t="str">
        <f t="shared" si="582"/>
        <v>A veces</v>
      </c>
      <c r="S1450">
        <v>0</v>
      </c>
      <c r="T1450" t="str">
        <f t="shared" si="583"/>
        <v>No fuma</v>
      </c>
      <c r="U1450">
        <v>2697661</v>
      </c>
      <c r="V1450">
        <f t="shared" si="584"/>
        <v>2</v>
      </c>
      <c r="W1450" t="str">
        <f t="shared" si="585"/>
        <v>Siempre</v>
      </c>
      <c r="X1450">
        <v>0</v>
      </c>
      <c r="Y1450" t="str">
        <f t="shared" si="586"/>
        <v>No controla</v>
      </c>
      <c r="Z1450">
        <v>2614909</v>
      </c>
      <c r="AA1450">
        <f t="shared" si="587"/>
        <v>3</v>
      </c>
      <c r="AB1450" t="str">
        <f t="shared" si="588"/>
        <v>Siempre</v>
      </c>
      <c r="AC1450">
        <v>1229474</v>
      </c>
      <c r="AD1450">
        <f t="shared" si="589"/>
        <v>2</v>
      </c>
      <c r="AE1450" t="str">
        <f t="shared" si="590"/>
        <v>Siempre</v>
      </c>
      <c r="AF1450">
        <v>0</v>
      </c>
      <c r="AG1450" t="str">
        <f t="shared" si="591"/>
        <v>Nunca</v>
      </c>
      <c r="AH1450">
        <v>0</v>
      </c>
      <c r="AI1450" t="str">
        <f t="shared" si="592"/>
        <v>No usa</v>
      </c>
      <c r="AJ1450">
        <v>0</v>
      </c>
      <c r="AK1450" t="str">
        <f t="shared" si="593"/>
        <v>No usa</v>
      </c>
      <c r="AL1450">
        <v>0</v>
      </c>
      <c r="AM1450" t="str">
        <f t="shared" si="594"/>
        <v>No usa</v>
      </c>
      <c r="AN1450">
        <v>1</v>
      </c>
      <c r="AO1450" t="str">
        <f t="shared" si="595"/>
        <v>Usa Transporte</v>
      </c>
      <c r="AP1450">
        <v>0</v>
      </c>
      <c r="AQ1450" t="str">
        <f t="shared" si="596"/>
        <v>No camina</v>
      </c>
      <c r="AR1450">
        <v>1</v>
      </c>
      <c r="AS1450" t="str">
        <f t="shared" si="597"/>
        <v>Es Obeso</v>
      </c>
    </row>
    <row r="1451" spans="1:45" x14ac:dyDescent="0.25">
      <c r="A1451">
        <v>0</v>
      </c>
      <c r="B1451" t="str">
        <f t="shared" si="572"/>
        <v>F</v>
      </c>
      <c r="C1451">
        <v>23099906</v>
      </c>
      <c r="D1451">
        <f t="shared" si="573"/>
        <v>63</v>
      </c>
      <c r="E1451">
        <f t="shared" si="574"/>
        <v>63</v>
      </c>
      <c r="F1451" t="str">
        <f t="shared" si="575"/>
        <v>50-75</v>
      </c>
      <c r="G1451">
        <v>1</v>
      </c>
      <c r="H1451" t="str">
        <f t="shared" si="576"/>
        <v>Pariente gordo</v>
      </c>
      <c r="I1451">
        <v>1</v>
      </c>
      <c r="J1451" t="str">
        <f t="shared" si="577"/>
        <v>Hipercaloricos</v>
      </c>
      <c r="K1451">
        <v>2</v>
      </c>
      <c r="L1451">
        <f t="shared" si="578"/>
        <v>1</v>
      </c>
      <c r="M1451" t="str">
        <f t="shared" si="579"/>
        <v>Suele comer</v>
      </c>
      <c r="N1451">
        <v>1</v>
      </c>
      <c r="O1451">
        <f t="shared" si="580"/>
        <v>1</v>
      </c>
      <c r="P1451">
        <f t="shared" si="581"/>
        <v>3</v>
      </c>
      <c r="Q1451">
        <v>1</v>
      </c>
      <c r="R1451" t="str">
        <f t="shared" si="582"/>
        <v>A veces</v>
      </c>
      <c r="S1451">
        <v>0</v>
      </c>
      <c r="T1451" t="str">
        <f t="shared" si="583"/>
        <v>No fuma</v>
      </c>
      <c r="U1451">
        <v>2</v>
      </c>
      <c r="V1451">
        <f t="shared" si="584"/>
        <v>2</v>
      </c>
      <c r="W1451" t="str">
        <f t="shared" si="585"/>
        <v>Siempre</v>
      </c>
      <c r="X1451">
        <v>0</v>
      </c>
      <c r="Y1451" t="str">
        <f t="shared" si="586"/>
        <v>No controla</v>
      </c>
      <c r="Z1451">
        <v>0.40261400000000003</v>
      </c>
      <c r="AA1451">
        <f t="shared" si="587"/>
        <v>0</v>
      </c>
      <c r="AB1451" t="str">
        <f t="shared" si="588"/>
        <v>Nunca</v>
      </c>
      <c r="AC1451">
        <v>0</v>
      </c>
      <c r="AD1451">
        <f t="shared" si="589"/>
        <v>0</v>
      </c>
      <c r="AE1451" t="str">
        <f t="shared" si="590"/>
        <v>Nunca</v>
      </c>
      <c r="AF1451">
        <v>0</v>
      </c>
      <c r="AG1451" t="str">
        <f t="shared" si="591"/>
        <v>Nunca</v>
      </c>
      <c r="AH1451">
        <v>0</v>
      </c>
      <c r="AI1451" t="str">
        <f t="shared" si="592"/>
        <v>No usa</v>
      </c>
      <c r="AJ1451">
        <v>0</v>
      </c>
      <c r="AK1451" t="str">
        <f t="shared" si="593"/>
        <v>No usa</v>
      </c>
      <c r="AL1451">
        <v>0</v>
      </c>
      <c r="AM1451" t="str">
        <f t="shared" si="594"/>
        <v>No usa</v>
      </c>
      <c r="AN1451">
        <v>1</v>
      </c>
      <c r="AO1451" t="str">
        <f t="shared" si="595"/>
        <v>Usa Transporte</v>
      </c>
      <c r="AP1451">
        <v>0</v>
      </c>
      <c r="AQ1451" t="str">
        <f t="shared" si="596"/>
        <v>No camina</v>
      </c>
      <c r="AR1451">
        <v>1</v>
      </c>
      <c r="AS1451" t="str">
        <f t="shared" si="597"/>
        <v>Es Obeso</v>
      </c>
    </row>
    <row r="1452" spans="1:45" x14ac:dyDescent="0.25">
      <c r="A1452">
        <v>0</v>
      </c>
      <c r="B1452" t="str">
        <f t="shared" si="572"/>
        <v>F</v>
      </c>
      <c r="C1452">
        <v>2417851</v>
      </c>
      <c r="D1452">
        <f t="shared" si="573"/>
        <v>6</v>
      </c>
      <c r="E1452">
        <f t="shared" si="574"/>
        <v>6</v>
      </c>
      <c r="F1452" t="str">
        <f t="shared" si="575"/>
        <v>1-25</v>
      </c>
      <c r="G1452">
        <v>1</v>
      </c>
      <c r="H1452" t="str">
        <f t="shared" si="576"/>
        <v>Pariente gordo</v>
      </c>
      <c r="I1452">
        <v>1</v>
      </c>
      <c r="J1452" t="str">
        <f t="shared" si="577"/>
        <v>Hipercaloricos</v>
      </c>
      <c r="K1452">
        <v>2</v>
      </c>
      <c r="L1452">
        <f t="shared" si="578"/>
        <v>1</v>
      </c>
      <c r="M1452" t="str">
        <f t="shared" si="579"/>
        <v>Suele comer</v>
      </c>
      <c r="N1452">
        <v>1</v>
      </c>
      <c r="O1452">
        <f t="shared" si="580"/>
        <v>1</v>
      </c>
      <c r="P1452">
        <f t="shared" si="581"/>
        <v>3</v>
      </c>
      <c r="Q1452">
        <v>1</v>
      </c>
      <c r="R1452" t="str">
        <f t="shared" si="582"/>
        <v>A veces</v>
      </c>
      <c r="S1452">
        <v>0</v>
      </c>
      <c r="T1452" t="str">
        <f t="shared" si="583"/>
        <v>No fuma</v>
      </c>
      <c r="U1452">
        <v>2</v>
      </c>
      <c r="V1452">
        <f t="shared" si="584"/>
        <v>2</v>
      </c>
      <c r="W1452" t="str">
        <f t="shared" si="585"/>
        <v>Siempre</v>
      </c>
      <c r="X1452">
        <v>0</v>
      </c>
      <c r="Y1452" t="str">
        <f t="shared" si="586"/>
        <v>No controla</v>
      </c>
      <c r="Z1452">
        <v>1.1476999999999999E-2</v>
      </c>
      <c r="AA1452">
        <f t="shared" si="587"/>
        <v>0</v>
      </c>
      <c r="AB1452" t="str">
        <f t="shared" si="588"/>
        <v>Nunca</v>
      </c>
      <c r="AC1452">
        <v>0</v>
      </c>
      <c r="AD1452">
        <f t="shared" si="589"/>
        <v>0</v>
      </c>
      <c r="AE1452" t="str">
        <f t="shared" si="590"/>
        <v>Nunca</v>
      </c>
      <c r="AF1452">
        <v>0</v>
      </c>
      <c r="AG1452" t="str">
        <f t="shared" si="591"/>
        <v>Nunca</v>
      </c>
      <c r="AH1452">
        <v>0</v>
      </c>
      <c r="AI1452" t="str">
        <f t="shared" si="592"/>
        <v>No usa</v>
      </c>
      <c r="AJ1452">
        <v>0</v>
      </c>
      <c r="AK1452" t="str">
        <f t="shared" si="593"/>
        <v>No usa</v>
      </c>
      <c r="AL1452">
        <v>0</v>
      </c>
      <c r="AM1452" t="str">
        <f t="shared" si="594"/>
        <v>No usa</v>
      </c>
      <c r="AN1452">
        <v>1</v>
      </c>
      <c r="AO1452" t="str">
        <f t="shared" si="595"/>
        <v>Usa Transporte</v>
      </c>
      <c r="AP1452">
        <v>0</v>
      </c>
      <c r="AQ1452" t="str">
        <f t="shared" si="596"/>
        <v>No camina</v>
      </c>
      <c r="AR1452">
        <v>1</v>
      </c>
      <c r="AS1452" t="str">
        <f t="shared" si="597"/>
        <v>Es Obeso</v>
      </c>
    </row>
    <row r="1453" spans="1:45" x14ac:dyDescent="0.25">
      <c r="A1453">
        <v>1</v>
      </c>
      <c r="B1453" t="str">
        <f t="shared" si="572"/>
        <v>M</v>
      </c>
      <c r="C1453">
        <v>20924808</v>
      </c>
      <c r="D1453">
        <f t="shared" si="573"/>
        <v>57</v>
      </c>
      <c r="E1453">
        <f t="shared" si="574"/>
        <v>57</v>
      </c>
      <c r="F1453" t="str">
        <f t="shared" si="575"/>
        <v>50-75</v>
      </c>
      <c r="G1453">
        <v>1</v>
      </c>
      <c r="H1453" t="str">
        <f t="shared" si="576"/>
        <v>Pariente gordo</v>
      </c>
      <c r="I1453">
        <v>1</v>
      </c>
      <c r="J1453" t="str">
        <f t="shared" si="577"/>
        <v>Hipercaloricos</v>
      </c>
      <c r="K1453">
        <v>2</v>
      </c>
      <c r="L1453">
        <f t="shared" si="578"/>
        <v>1</v>
      </c>
      <c r="M1453" t="str">
        <f t="shared" si="579"/>
        <v>Suele comer</v>
      </c>
      <c r="N1453">
        <v>3</v>
      </c>
      <c r="O1453">
        <f t="shared" si="580"/>
        <v>2</v>
      </c>
      <c r="P1453" t="str">
        <f t="shared" si="581"/>
        <v>Mas de 3</v>
      </c>
      <c r="Q1453">
        <v>1</v>
      </c>
      <c r="R1453" t="str">
        <f t="shared" si="582"/>
        <v>A veces</v>
      </c>
      <c r="S1453">
        <v>0</v>
      </c>
      <c r="T1453" t="str">
        <f t="shared" si="583"/>
        <v>No fuma</v>
      </c>
      <c r="U1453">
        <v>2290368</v>
      </c>
      <c r="V1453">
        <f t="shared" si="584"/>
        <v>2</v>
      </c>
      <c r="W1453" t="str">
        <f t="shared" si="585"/>
        <v>Siempre</v>
      </c>
      <c r="X1453">
        <v>0</v>
      </c>
      <c r="Y1453" t="str">
        <f t="shared" si="586"/>
        <v>No controla</v>
      </c>
      <c r="Z1453">
        <v>1.0859999999999999E-3</v>
      </c>
      <c r="AA1453">
        <f t="shared" si="587"/>
        <v>0</v>
      </c>
      <c r="AB1453" t="str">
        <f t="shared" si="588"/>
        <v>Nunca</v>
      </c>
      <c r="AC1453">
        <v>0.54412799999999995</v>
      </c>
      <c r="AD1453">
        <f t="shared" si="589"/>
        <v>0</v>
      </c>
      <c r="AE1453" t="str">
        <f t="shared" si="590"/>
        <v>Nunca</v>
      </c>
      <c r="AF1453">
        <v>1</v>
      </c>
      <c r="AG1453" t="str">
        <f t="shared" si="591"/>
        <v>A veces</v>
      </c>
      <c r="AH1453">
        <v>0</v>
      </c>
      <c r="AI1453" t="str">
        <f t="shared" si="592"/>
        <v>No usa</v>
      </c>
      <c r="AJ1453">
        <v>0</v>
      </c>
      <c r="AK1453" t="str">
        <f t="shared" si="593"/>
        <v>No usa</v>
      </c>
      <c r="AL1453">
        <v>0</v>
      </c>
      <c r="AM1453" t="str">
        <f t="shared" si="594"/>
        <v>No usa</v>
      </c>
      <c r="AN1453">
        <v>1</v>
      </c>
      <c r="AO1453" t="str">
        <f t="shared" si="595"/>
        <v>Usa Transporte</v>
      </c>
      <c r="AP1453">
        <v>0</v>
      </c>
      <c r="AQ1453" t="str">
        <f t="shared" si="596"/>
        <v>No camina</v>
      </c>
      <c r="AR1453">
        <v>1</v>
      </c>
      <c r="AS1453" t="str">
        <f t="shared" si="597"/>
        <v>Es Obeso</v>
      </c>
    </row>
    <row r="1454" spans="1:45" x14ac:dyDescent="0.25">
      <c r="A1454">
        <v>1</v>
      </c>
      <c r="B1454" t="str">
        <f t="shared" si="572"/>
        <v>M</v>
      </c>
      <c r="C1454">
        <v>20975973</v>
      </c>
      <c r="D1454">
        <f t="shared" si="573"/>
        <v>57</v>
      </c>
      <c r="E1454">
        <f t="shared" si="574"/>
        <v>57</v>
      </c>
      <c r="F1454" t="str">
        <f t="shared" si="575"/>
        <v>50-75</v>
      </c>
      <c r="G1454">
        <v>1</v>
      </c>
      <c r="H1454" t="str">
        <f t="shared" si="576"/>
        <v>Pariente gordo</v>
      </c>
      <c r="I1454">
        <v>1</v>
      </c>
      <c r="J1454" t="str">
        <f t="shared" si="577"/>
        <v>Hipercaloricos</v>
      </c>
      <c r="K1454">
        <v>2</v>
      </c>
      <c r="L1454">
        <f t="shared" si="578"/>
        <v>1</v>
      </c>
      <c r="M1454" t="str">
        <f t="shared" si="579"/>
        <v>Suele comer</v>
      </c>
      <c r="N1454">
        <v>3</v>
      </c>
      <c r="O1454">
        <f t="shared" si="580"/>
        <v>2</v>
      </c>
      <c r="P1454" t="str">
        <f t="shared" si="581"/>
        <v>Mas de 3</v>
      </c>
      <c r="Q1454">
        <v>1</v>
      </c>
      <c r="R1454" t="str">
        <f t="shared" si="582"/>
        <v>A veces</v>
      </c>
      <c r="S1454">
        <v>0</v>
      </c>
      <c r="T1454" t="str">
        <f t="shared" si="583"/>
        <v>No fuma</v>
      </c>
      <c r="U1454">
        <v>1025275</v>
      </c>
      <c r="V1454">
        <f t="shared" si="584"/>
        <v>2</v>
      </c>
      <c r="W1454" t="str">
        <f t="shared" si="585"/>
        <v>Siempre</v>
      </c>
      <c r="X1454">
        <v>0</v>
      </c>
      <c r="Y1454" t="str">
        <f t="shared" si="586"/>
        <v>No controla</v>
      </c>
      <c r="Z1454">
        <v>2.0300000000000001E-3</v>
      </c>
      <c r="AA1454">
        <f t="shared" si="587"/>
        <v>0</v>
      </c>
      <c r="AB1454" t="str">
        <f t="shared" si="588"/>
        <v>Nunca</v>
      </c>
      <c r="AC1454">
        <v>0.17558699999999999</v>
      </c>
      <c r="AD1454">
        <f t="shared" si="589"/>
        <v>0</v>
      </c>
      <c r="AE1454" t="str">
        <f t="shared" si="590"/>
        <v>Nunca</v>
      </c>
      <c r="AF1454">
        <v>1</v>
      </c>
      <c r="AG1454" t="str">
        <f t="shared" si="591"/>
        <v>A veces</v>
      </c>
      <c r="AH1454">
        <v>0</v>
      </c>
      <c r="AI1454" t="str">
        <f t="shared" si="592"/>
        <v>No usa</v>
      </c>
      <c r="AJ1454">
        <v>0</v>
      </c>
      <c r="AK1454" t="str">
        <f t="shared" si="593"/>
        <v>No usa</v>
      </c>
      <c r="AL1454">
        <v>0</v>
      </c>
      <c r="AM1454" t="str">
        <f t="shared" si="594"/>
        <v>No usa</v>
      </c>
      <c r="AN1454">
        <v>1</v>
      </c>
      <c r="AO1454" t="str">
        <f t="shared" si="595"/>
        <v>Usa Transporte</v>
      </c>
      <c r="AP1454">
        <v>0</v>
      </c>
      <c r="AQ1454" t="str">
        <f t="shared" si="596"/>
        <v>No camina</v>
      </c>
      <c r="AR1454">
        <v>1</v>
      </c>
      <c r="AS1454" t="str">
        <f t="shared" si="597"/>
        <v>Es Obeso</v>
      </c>
    </row>
    <row r="1455" spans="1:45" x14ac:dyDescent="0.25">
      <c r="A1455">
        <v>1</v>
      </c>
      <c r="B1455" t="str">
        <f t="shared" si="572"/>
        <v>M</v>
      </c>
      <c r="C1455">
        <v>21856301</v>
      </c>
      <c r="D1455">
        <f t="shared" si="573"/>
        <v>59</v>
      </c>
      <c r="E1455">
        <f t="shared" si="574"/>
        <v>59</v>
      </c>
      <c r="F1455" t="str">
        <f t="shared" si="575"/>
        <v>50-75</v>
      </c>
      <c r="G1455">
        <v>1</v>
      </c>
      <c r="H1455" t="str">
        <f t="shared" si="576"/>
        <v>Pariente gordo</v>
      </c>
      <c r="I1455">
        <v>1</v>
      </c>
      <c r="J1455" t="str">
        <f t="shared" si="577"/>
        <v>Hipercaloricos</v>
      </c>
      <c r="K1455">
        <v>2</v>
      </c>
      <c r="L1455">
        <f t="shared" si="578"/>
        <v>1</v>
      </c>
      <c r="M1455" t="str">
        <f t="shared" si="579"/>
        <v>Suele comer</v>
      </c>
      <c r="N1455">
        <v>2358455</v>
      </c>
      <c r="O1455">
        <f t="shared" si="580"/>
        <v>2</v>
      </c>
      <c r="P1455" t="str">
        <f t="shared" si="581"/>
        <v>Mas de 3</v>
      </c>
      <c r="Q1455">
        <v>1</v>
      </c>
      <c r="R1455" t="str">
        <f t="shared" si="582"/>
        <v>A veces</v>
      </c>
      <c r="S1455">
        <v>0</v>
      </c>
      <c r="T1455" t="str">
        <f t="shared" si="583"/>
        <v>No fuma</v>
      </c>
      <c r="U1455">
        <v>2515765</v>
      </c>
      <c r="V1455">
        <f t="shared" si="584"/>
        <v>2</v>
      </c>
      <c r="W1455" t="str">
        <f t="shared" si="585"/>
        <v>Siempre</v>
      </c>
      <c r="X1455">
        <v>0</v>
      </c>
      <c r="Y1455" t="str">
        <f t="shared" si="586"/>
        <v>No controla</v>
      </c>
      <c r="Z1455">
        <v>0.98231999999999997</v>
      </c>
      <c r="AA1455">
        <f t="shared" si="587"/>
        <v>0</v>
      </c>
      <c r="AB1455" t="str">
        <f t="shared" si="588"/>
        <v>Nunca</v>
      </c>
      <c r="AC1455">
        <v>1157466</v>
      </c>
      <c r="AD1455">
        <f t="shared" si="589"/>
        <v>2</v>
      </c>
      <c r="AE1455" t="str">
        <f t="shared" si="590"/>
        <v>Siempre</v>
      </c>
      <c r="AF1455">
        <v>1</v>
      </c>
      <c r="AG1455" t="str">
        <f t="shared" si="591"/>
        <v>A veces</v>
      </c>
      <c r="AH1455">
        <v>0</v>
      </c>
      <c r="AI1455" t="str">
        <f t="shared" si="592"/>
        <v>No usa</v>
      </c>
      <c r="AJ1455">
        <v>0</v>
      </c>
      <c r="AK1455" t="str">
        <f t="shared" si="593"/>
        <v>No usa</v>
      </c>
      <c r="AL1455">
        <v>0</v>
      </c>
      <c r="AM1455" t="str">
        <f t="shared" si="594"/>
        <v>No usa</v>
      </c>
      <c r="AN1455">
        <v>1</v>
      </c>
      <c r="AO1455" t="str">
        <f t="shared" si="595"/>
        <v>Usa Transporte</v>
      </c>
      <c r="AP1455">
        <v>0</v>
      </c>
      <c r="AQ1455" t="str">
        <f t="shared" si="596"/>
        <v>No camina</v>
      </c>
      <c r="AR1455">
        <v>1</v>
      </c>
      <c r="AS1455" t="str">
        <f t="shared" si="597"/>
        <v>Es Obeso</v>
      </c>
    </row>
    <row r="1456" spans="1:45" x14ac:dyDescent="0.25">
      <c r="A1456">
        <v>1</v>
      </c>
      <c r="B1456" t="str">
        <f t="shared" si="572"/>
        <v>M</v>
      </c>
      <c r="C1456">
        <v>18140751</v>
      </c>
      <c r="D1456">
        <f t="shared" si="573"/>
        <v>49</v>
      </c>
      <c r="E1456">
        <f t="shared" si="574"/>
        <v>49</v>
      </c>
      <c r="F1456" t="str">
        <f t="shared" si="575"/>
        <v>25-50</v>
      </c>
      <c r="G1456">
        <v>1</v>
      </c>
      <c r="H1456" t="str">
        <f t="shared" si="576"/>
        <v>Pariente gordo</v>
      </c>
      <c r="I1456">
        <v>1</v>
      </c>
      <c r="J1456" t="str">
        <f t="shared" si="577"/>
        <v>Hipercaloricos</v>
      </c>
      <c r="K1456">
        <v>2</v>
      </c>
      <c r="L1456">
        <f t="shared" si="578"/>
        <v>1</v>
      </c>
      <c r="M1456" t="str">
        <f t="shared" si="579"/>
        <v>Suele comer</v>
      </c>
      <c r="N1456">
        <v>1706551</v>
      </c>
      <c r="O1456">
        <f t="shared" si="580"/>
        <v>2</v>
      </c>
      <c r="P1456" t="str">
        <f t="shared" si="581"/>
        <v>Mas de 3</v>
      </c>
      <c r="Q1456">
        <v>1</v>
      </c>
      <c r="R1456" t="str">
        <f t="shared" si="582"/>
        <v>A veces</v>
      </c>
      <c r="S1456">
        <v>0</v>
      </c>
      <c r="T1456" t="str">
        <f t="shared" si="583"/>
        <v>No fuma</v>
      </c>
      <c r="U1456">
        <v>2039514</v>
      </c>
      <c r="V1456">
        <f t="shared" si="584"/>
        <v>2</v>
      </c>
      <c r="W1456" t="str">
        <f t="shared" si="585"/>
        <v>Siempre</v>
      </c>
      <c r="X1456">
        <v>0</v>
      </c>
      <c r="Y1456" t="str">
        <f t="shared" si="586"/>
        <v>No controla</v>
      </c>
      <c r="Z1456">
        <v>1</v>
      </c>
      <c r="AA1456">
        <f t="shared" si="587"/>
        <v>1</v>
      </c>
      <c r="AB1456" t="str">
        <f t="shared" si="588"/>
        <v>A veces</v>
      </c>
      <c r="AC1456">
        <v>2</v>
      </c>
      <c r="AD1456">
        <f t="shared" si="589"/>
        <v>2</v>
      </c>
      <c r="AE1456" t="str">
        <f t="shared" si="590"/>
        <v>Siempre</v>
      </c>
      <c r="AF1456">
        <v>1</v>
      </c>
      <c r="AG1456" t="str">
        <f t="shared" si="591"/>
        <v>A veces</v>
      </c>
      <c r="AH1456">
        <v>0</v>
      </c>
      <c r="AI1456" t="str">
        <f t="shared" si="592"/>
        <v>No usa</v>
      </c>
      <c r="AJ1456">
        <v>0</v>
      </c>
      <c r="AK1456" t="str">
        <f t="shared" si="593"/>
        <v>No usa</v>
      </c>
      <c r="AL1456">
        <v>0</v>
      </c>
      <c r="AM1456" t="str">
        <f t="shared" si="594"/>
        <v>No usa</v>
      </c>
      <c r="AN1456">
        <v>1</v>
      </c>
      <c r="AO1456" t="str">
        <f t="shared" si="595"/>
        <v>Usa Transporte</v>
      </c>
      <c r="AP1456">
        <v>0</v>
      </c>
      <c r="AQ1456" t="str">
        <f t="shared" si="596"/>
        <v>No camina</v>
      </c>
      <c r="AR1456">
        <v>1</v>
      </c>
      <c r="AS1456" t="str">
        <f t="shared" si="597"/>
        <v>Es Obeso</v>
      </c>
    </row>
    <row r="1457" spans="1:45" x14ac:dyDescent="0.25">
      <c r="A1457">
        <v>0</v>
      </c>
      <c r="B1457" t="str">
        <f t="shared" si="572"/>
        <v>F</v>
      </c>
      <c r="C1457">
        <v>18</v>
      </c>
      <c r="D1457">
        <f t="shared" si="573"/>
        <v>18</v>
      </c>
      <c r="E1457">
        <f t="shared" si="574"/>
        <v>18</v>
      </c>
      <c r="F1457" t="str">
        <f t="shared" si="575"/>
        <v>1-25</v>
      </c>
      <c r="G1457">
        <v>1</v>
      </c>
      <c r="H1457" t="str">
        <f t="shared" si="576"/>
        <v>Pariente gordo</v>
      </c>
      <c r="I1457">
        <v>1</v>
      </c>
      <c r="J1457" t="str">
        <f t="shared" si="577"/>
        <v>Hipercaloricos</v>
      </c>
      <c r="K1457">
        <v>2642744</v>
      </c>
      <c r="L1457">
        <f t="shared" si="578"/>
        <v>1</v>
      </c>
      <c r="M1457" t="str">
        <f t="shared" si="579"/>
        <v>Suele comer</v>
      </c>
      <c r="N1457">
        <v>3</v>
      </c>
      <c r="O1457">
        <f t="shared" si="580"/>
        <v>2</v>
      </c>
      <c r="P1457" t="str">
        <f t="shared" si="581"/>
        <v>Mas de 3</v>
      </c>
      <c r="Q1457">
        <v>1</v>
      </c>
      <c r="R1457" t="str">
        <f t="shared" si="582"/>
        <v>A veces</v>
      </c>
      <c r="S1457">
        <v>0</v>
      </c>
      <c r="T1457" t="str">
        <f t="shared" si="583"/>
        <v>No fuma</v>
      </c>
      <c r="U1457">
        <v>1904054</v>
      </c>
      <c r="V1457">
        <f t="shared" si="584"/>
        <v>2</v>
      </c>
      <c r="W1457" t="str">
        <f t="shared" si="585"/>
        <v>Siempre</v>
      </c>
      <c r="X1457">
        <v>0</v>
      </c>
      <c r="Y1457" t="str">
        <f t="shared" si="586"/>
        <v>No controla</v>
      </c>
      <c r="Z1457">
        <v>1645654</v>
      </c>
      <c r="AA1457">
        <f t="shared" si="587"/>
        <v>3</v>
      </c>
      <c r="AB1457" t="str">
        <f t="shared" si="588"/>
        <v>Siempre</v>
      </c>
      <c r="AC1457">
        <v>0.36354900000000001</v>
      </c>
      <c r="AD1457">
        <f t="shared" si="589"/>
        <v>0</v>
      </c>
      <c r="AE1457" t="str">
        <f t="shared" si="590"/>
        <v>Nunca</v>
      </c>
      <c r="AF1457">
        <v>1</v>
      </c>
      <c r="AG1457" t="str">
        <f t="shared" si="591"/>
        <v>A veces</v>
      </c>
      <c r="AH1457">
        <v>0</v>
      </c>
      <c r="AI1457" t="str">
        <f t="shared" si="592"/>
        <v>No usa</v>
      </c>
      <c r="AJ1457">
        <v>0</v>
      </c>
      <c r="AK1457" t="str">
        <f t="shared" si="593"/>
        <v>No usa</v>
      </c>
      <c r="AL1457">
        <v>0</v>
      </c>
      <c r="AM1457" t="str">
        <f t="shared" si="594"/>
        <v>No usa</v>
      </c>
      <c r="AN1457">
        <v>1</v>
      </c>
      <c r="AO1457" t="str">
        <f t="shared" si="595"/>
        <v>Usa Transporte</v>
      </c>
      <c r="AP1457">
        <v>0</v>
      </c>
      <c r="AQ1457" t="str">
        <f t="shared" si="596"/>
        <v>No camina</v>
      </c>
      <c r="AR1457">
        <v>1</v>
      </c>
      <c r="AS1457" t="str">
        <f t="shared" si="597"/>
        <v>Es Obeso</v>
      </c>
    </row>
    <row r="1458" spans="1:45" x14ac:dyDescent="0.25">
      <c r="A1458">
        <v>0</v>
      </c>
      <c r="B1458" t="str">
        <f t="shared" si="572"/>
        <v>F</v>
      </c>
      <c r="C1458">
        <v>18</v>
      </c>
      <c r="D1458">
        <f t="shared" si="573"/>
        <v>18</v>
      </c>
      <c r="E1458">
        <f t="shared" si="574"/>
        <v>18</v>
      </c>
      <c r="F1458" t="str">
        <f t="shared" si="575"/>
        <v>1-25</v>
      </c>
      <c r="G1458">
        <v>1</v>
      </c>
      <c r="H1458" t="str">
        <f t="shared" si="576"/>
        <v>Pariente gordo</v>
      </c>
      <c r="I1458">
        <v>1</v>
      </c>
      <c r="J1458" t="str">
        <f t="shared" si="577"/>
        <v>Hipercaloricos</v>
      </c>
      <c r="K1458">
        <v>2387426</v>
      </c>
      <c r="L1458">
        <f t="shared" si="578"/>
        <v>1</v>
      </c>
      <c r="M1458" t="str">
        <f t="shared" si="579"/>
        <v>Suele comer</v>
      </c>
      <c r="N1458">
        <v>3</v>
      </c>
      <c r="O1458">
        <f t="shared" si="580"/>
        <v>2</v>
      </c>
      <c r="P1458" t="str">
        <f t="shared" si="581"/>
        <v>Mas de 3</v>
      </c>
      <c r="Q1458">
        <v>1</v>
      </c>
      <c r="R1458" t="str">
        <f t="shared" si="582"/>
        <v>A veces</v>
      </c>
      <c r="S1458">
        <v>0</v>
      </c>
      <c r="T1458" t="str">
        <f t="shared" si="583"/>
        <v>No fuma</v>
      </c>
      <c r="U1458">
        <v>177962</v>
      </c>
      <c r="V1458">
        <f t="shared" si="584"/>
        <v>2</v>
      </c>
      <c r="W1458" t="str">
        <f t="shared" si="585"/>
        <v>Siempre</v>
      </c>
      <c r="X1458">
        <v>0</v>
      </c>
      <c r="Y1458" t="str">
        <f t="shared" si="586"/>
        <v>No controla</v>
      </c>
      <c r="Z1458">
        <v>0.74300500000000003</v>
      </c>
      <c r="AA1458">
        <f t="shared" si="587"/>
        <v>0</v>
      </c>
      <c r="AB1458" t="str">
        <f t="shared" si="588"/>
        <v>Nunca</v>
      </c>
      <c r="AC1458">
        <v>0.92016200000000004</v>
      </c>
      <c r="AD1458">
        <f t="shared" si="589"/>
        <v>0</v>
      </c>
      <c r="AE1458" t="str">
        <f t="shared" si="590"/>
        <v>Nunca</v>
      </c>
      <c r="AF1458">
        <v>1</v>
      </c>
      <c r="AG1458" t="str">
        <f t="shared" si="591"/>
        <v>A veces</v>
      </c>
      <c r="AH1458">
        <v>0</v>
      </c>
      <c r="AI1458" t="str">
        <f t="shared" si="592"/>
        <v>No usa</v>
      </c>
      <c r="AJ1458">
        <v>0</v>
      </c>
      <c r="AK1458" t="str">
        <f t="shared" si="593"/>
        <v>No usa</v>
      </c>
      <c r="AL1458">
        <v>0</v>
      </c>
      <c r="AM1458" t="str">
        <f t="shared" si="594"/>
        <v>No usa</v>
      </c>
      <c r="AN1458">
        <v>1</v>
      </c>
      <c r="AO1458" t="str">
        <f t="shared" si="595"/>
        <v>Usa Transporte</v>
      </c>
      <c r="AP1458">
        <v>0</v>
      </c>
      <c r="AQ1458" t="str">
        <f t="shared" si="596"/>
        <v>No camina</v>
      </c>
      <c r="AR1458">
        <v>1</v>
      </c>
      <c r="AS1458" t="str">
        <f t="shared" si="597"/>
        <v>Es Obeso</v>
      </c>
    </row>
    <row r="1459" spans="1:45" x14ac:dyDescent="0.25">
      <c r="A1459">
        <v>0</v>
      </c>
      <c r="B1459" t="str">
        <f t="shared" si="572"/>
        <v>F</v>
      </c>
      <c r="C1459">
        <v>20206358</v>
      </c>
      <c r="D1459">
        <f t="shared" si="573"/>
        <v>55</v>
      </c>
      <c r="E1459">
        <f t="shared" si="574"/>
        <v>55</v>
      </c>
      <c r="F1459" t="str">
        <f t="shared" si="575"/>
        <v>50-75</v>
      </c>
      <c r="G1459">
        <v>1</v>
      </c>
      <c r="H1459" t="str">
        <f t="shared" si="576"/>
        <v>Pariente gordo</v>
      </c>
      <c r="I1459">
        <v>1</v>
      </c>
      <c r="J1459" t="str">
        <f t="shared" si="577"/>
        <v>Hipercaloricos</v>
      </c>
      <c r="K1459">
        <v>1996638</v>
      </c>
      <c r="L1459">
        <f t="shared" si="578"/>
        <v>1</v>
      </c>
      <c r="M1459" t="str">
        <f t="shared" si="579"/>
        <v>Suele comer</v>
      </c>
      <c r="N1459">
        <v>3</v>
      </c>
      <c r="O1459">
        <f t="shared" si="580"/>
        <v>2</v>
      </c>
      <c r="P1459" t="str">
        <f t="shared" si="581"/>
        <v>Mas de 3</v>
      </c>
      <c r="Q1459">
        <v>1</v>
      </c>
      <c r="R1459" t="str">
        <f t="shared" si="582"/>
        <v>A veces</v>
      </c>
      <c r="S1459">
        <v>0</v>
      </c>
      <c r="T1459" t="str">
        <f t="shared" si="583"/>
        <v>No fuma</v>
      </c>
      <c r="U1459">
        <v>1033199</v>
      </c>
      <c r="V1459">
        <f t="shared" si="584"/>
        <v>2</v>
      </c>
      <c r="W1459" t="str">
        <f t="shared" si="585"/>
        <v>Siempre</v>
      </c>
      <c r="X1459">
        <v>0</v>
      </c>
      <c r="Y1459" t="str">
        <f t="shared" si="586"/>
        <v>No controla</v>
      </c>
      <c r="Z1459">
        <v>0.58479300000000001</v>
      </c>
      <c r="AA1459">
        <f t="shared" si="587"/>
        <v>0</v>
      </c>
      <c r="AB1459" t="str">
        <f t="shared" si="588"/>
        <v>Nunca</v>
      </c>
      <c r="AC1459">
        <v>0.51829700000000001</v>
      </c>
      <c r="AD1459">
        <f t="shared" si="589"/>
        <v>0</v>
      </c>
      <c r="AE1459" t="str">
        <f t="shared" si="590"/>
        <v>Nunca</v>
      </c>
      <c r="AF1459">
        <v>1</v>
      </c>
      <c r="AG1459" t="str">
        <f t="shared" si="591"/>
        <v>A veces</v>
      </c>
      <c r="AH1459">
        <v>0</v>
      </c>
      <c r="AI1459" t="str">
        <f t="shared" si="592"/>
        <v>No usa</v>
      </c>
      <c r="AJ1459">
        <v>0</v>
      </c>
      <c r="AK1459" t="str">
        <f t="shared" si="593"/>
        <v>No usa</v>
      </c>
      <c r="AL1459">
        <v>0</v>
      </c>
      <c r="AM1459" t="str">
        <f t="shared" si="594"/>
        <v>No usa</v>
      </c>
      <c r="AN1459">
        <v>1</v>
      </c>
      <c r="AO1459" t="str">
        <f t="shared" si="595"/>
        <v>Usa Transporte</v>
      </c>
      <c r="AP1459">
        <v>0</v>
      </c>
      <c r="AQ1459" t="str">
        <f t="shared" si="596"/>
        <v>No camina</v>
      </c>
      <c r="AR1459">
        <v>1</v>
      </c>
      <c r="AS1459" t="str">
        <f t="shared" si="597"/>
        <v>Es Obeso</v>
      </c>
    </row>
    <row r="1460" spans="1:45" x14ac:dyDescent="0.25">
      <c r="A1460">
        <v>0</v>
      </c>
      <c r="B1460" t="str">
        <f t="shared" si="572"/>
        <v>F</v>
      </c>
      <c r="C1460">
        <v>18152876</v>
      </c>
      <c r="D1460">
        <f t="shared" si="573"/>
        <v>49</v>
      </c>
      <c r="E1460">
        <f t="shared" si="574"/>
        <v>49</v>
      </c>
      <c r="F1460" t="str">
        <f t="shared" si="575"/>
        <v>25-50</v>
      </c>
      <c r="G1460">
        <v>1</v>
      </c>
      <c r="H1460" t="str">
        <f t="shared" si="576"/>
        <v>Pariente gordo</v>
      </c>
      <c r="I1460">
        <v>1</v>
      </c>
      <c r="J1460" t="str">
        <f t="shared" si="577"/>
        <v>Hipercaloricos</v>
      </c>
      <c r="K1460">
        <v>2107854</v>
      </c>
      <c r="L1460">
        <f t="shared" si="578"/>
        <v>1</v>
      </c>
      <c r="M1460" t="str">
        <f t="shared" si="579"/>
        <v>Suele comer</v>
      </c>
      <c r="N1460">
        <v>3</v>
      </c>
      <c r="O1460">
        <f t="shared" si="580"/>
        <v>2</v>
      </c>
      <c r="P1460" t="str">
        <f t="shared" si="581"/>
        <v>Mas de 3</v>
      </c>
      <c r="Q1460">
        <v>1</v>
      </c>
      <c r="R1460" t="str">
        <f t="shared" si="582"/>
        <v>A veces</v>
      </c>
      <c r="S1460">
        <v>0</v>
      </c>
      <c r="T1460" t="str">
        <f t="shared" si="583"/>
        <v>No fuma</v>
      </c>
      <c r="U1460">
        <v>1383894</v>
      </c>
      <c r="V1460">
        <f t="shared" si="584"/>
        <v>2</v>
      </c>
      <c r="W1460" t="str">
        <f t="shared" si="585"/>
        <v>Siempre</v>
      </c>
      <c r="X1460">
        <v>0</v>
      </c>
      <c r="Y1460" t="str">
        <f t="shared" si="586"/>
        <v>No controla</v>
      </c>
      <c r="Z1460">
        <v>1030526</v>
      </c>
      <c r="AA1460">
        <f t="shared" si="587"/>
        <v>3</v>
      </c>
      <c r="AB1460" t="str">
        <f t="shared" si="588"/>
        <v>Siempre</v>
      </c>
      <c r="AC1460">
        <v>0.83141200000000004</v>
      </c>
      <c r="AD1460">
        <f t="shared" si="589"/>
        <v>0</v>
      </c>
      <c r="AE1460" t="str">
        <f t="shared" si="590"/>
        <v>Nunca</v>
      </c>
      <c r="AF1460">
        <v>1</v>
      </c>
      <c r="AG1460" t="str">
        <f t="shared" si="591"/>
        <v>A veces</v>
      </c>
      <c r="AH1460">
        <v>0</v>
      </c>
      <c r="AI1460" t="str">
        <f t="shared" si="592"/>
        <v>No usa</v>
      </c>
      <c r="AJ1460">
        <v>0</v>
      </c>
      <c r="AK1460" t="str">
        <f t="shared" si="593"/>
        <v>No usa</v>
      </c>
      <c r="AL1460">
        <v>0</v>
      </c>
      <c r="AM1460" t="str">
        <f t="shared" si="594"/>
        <v>No usa</v>
      </c>
      <c r="AN1460">
        <v>1</v>
      </c>
      <c r="AO1460" t="str">
        <f t="shared" si="595"/>
        <v>Usa Transporte</v>
      </c>
      <c r="AP1460">
        <v>0</v>
      </c>
      <c r="AQ1460" t="str">
        <f t="shared" si="596"/>
        <v>No camina</v>
      </c>
      <c r="AR1460">
        <v>1</v>
      </c>
      <c r="AS1460" t="str">
        <f t="shared" si="597"/>
        <v>Es Obeso</v>
      </c>
    </row>
    <row r="1461" spans="1:45" x14ac:dyDescent="0.25">
      <c r="A1461">
        <v>1</v>
      </c>
      <c r="B1461" t="str">
        <f t="shared" si="572"/>
        <v>M</v>
      </c>
      <c r="C1461">
        <v>22336216</v>
      </c>
      <c r="D1461">
        <f t="shared" si="573"/>
        <v>61</v>
      </c>
      <c r="E1461">
        <f t="shared" si="574"/>
        <v>61</v>
      </c>
      <c r="F1461" t="str">
        <f t="shared" si="575"/>
        <v>50-75</v>
      </c>
      <c r="G1461">
        <v>1</v>
      </c>
      <c r="H1461" t="str">
        <f t="shared" si="576"/>
        <v>Pariente gordo</v>
      </c>
      <c r="I1461">
        <v>1</v>
      </c>
      <c r="J1461" t="str">
        <f t="shared" si="577"/>
        <v>Hipercaloricos</v>
      </c>
      <c r="K1461">
        <v>2253707</v>
      </c>
      <c r="L1461">
        <f t="shared" si="578"/>
        <v>1</v>
      </c>
      <c r="M1461" t="str">
        <f t="shared" si="579"/>
        <v>Suele comer</v>
      </c>
      <c r="N1461">
        <v>3</v>
      </c>
      <c r="O1461">
        <f t="shared" si="580"/>
        <v>2</v>
      </c>
      <c r="P1461" t="str">
        <f t="shared" si="581"/>
        <v>Mas de 3</v>
      </c>
      <c r="Q1461">
        <v>1</v>
      </c>
      <c r="R1461" t="str">
        <f t="shared" si="582"/>
        <v>A veces</v>
      </c>
      <c r="S1461">
        <v>0</v>
      </c>
      <c r="T1461" t="str">
        <f t="shared" si="583"/>
        <v>No fuma</v>
      </c>
      <c r="U1461">
        <v>2524432</v>
      </c>
      <c r="V1461">
        <f t="shared" si="584"/>
        <v>2</v>
      </c>
      <c r="W1461" t="str">
        <f t="shared" si="585"/>
        <v>Siempre</v>
      </c>
      <c r="X1461">
        <v>0</v>
      </c>
      <c r="Y1461" t="str">
        <f t="shared" si="586"/>
        <v>No controla</v>
      </c>
      <c r="Z1461">
        <v>0.58216000000000001</v>
      </c>
      <c r="AA1461">
        <f t="shared" si="587"/>
        <v>0</v>
      </c>
      <c r="AB1461" t="str">
        <f t="shared" si="588"/>
        <v>Nunca</v>
      </c>
      <c r="AC1461">
        <v>0.17569399999999999</v>
      </c>
      <c r="AD1461">
        <f t="shared" si="589"/>
        <v>0</v>
      </c>
      <c r="AE1461" t="str">
        <f t="shared" si="590"/>
        <v>Nunca</v>
      </c>
      <c r="AF1461">
        <v>1</v>
      </c>
      <c r="AG1461" t="str">
        <f t="shared" si="591"/>
        <v>A veces</v>
      </c>
      <c r="AH1461">
        <v>0</v>
      </c>
      <c r="AI1461" t="str">
        <f t="shared" si="592"/>
        <v>No usa</v>
      </c>
      <c r="AJ1461">
        <v>0</v>
      </c>
      <c r="AK1461" t="str">
        <f t="shared" si="593"/>
        <v>No usa</v>
      </c>
      <c r="AL1461">
        <v>0</v>
      </c>
      <c r="AM1461" t="str">
        <f t="shared" si="594"/>
        <v>No usa</v>
      </c>
      <c r="AN1461">
        <v>1</v>
      </c>
      <c r="AO1461" t="str">
        <f t="shared" si="595"/>
        <v>Usa Transporte</v>
      </c>
      <c r="AP1461">
        <v>0</v>
      </c>
      <c r="AQ1461" t="str">
        <f t="shared" si="596"/>
        <v>No camina</v>
      </c>
      <c r="AR1461">
        <v>1</v>
      </c>
      <c r="AS1461" t="str">
        <f t="shared" si="597"/>
        <v>Es Obeso</v>
      </c>
    </row>
    <row r="1462" spans="1:45" x14ac:dyDescent="0.25">
      <c r="A1462">
        <v>1</v>
      </c>
      <c r="B1462" t="str">
        <f t="shared" si="572"/>
        <v>M</v>
      </c>
      <c r="C1462">
        <v>23</v>
      </c>
      <c r="D1462">
        <f t="shared" si="573"/>
        <v>23</v>
      </c>
      <c r="E1462">
        <f t="shared" si="574"/>
        <v>23</v>
      </c>
      <c r="F1462" t="str">
        <f t="shared" si="575"/>
        <v>1-25</v>
      </c>
      <c r="G1462">
        <v>1</v>
      </c>
      <c r="H1462" t="str">
        <f t="shared" si="576"/>
        <v>Pariente gordo</v>
      </c>
      <c r="I1462">
        <v>1</v>
      </c>
      <c r="J1462" t="str">
        <f t="shared" si="577"/>
        <v>Hipercaloricos</v>
      </c>
      <c r="K1462">
        <v>2393837</v>
      </c>
      <c r="L1462">
        <f t="shared" si="578"/>
        <v>1</v>
      </c>
      <c r="M1462" t="str">
        <f t="shared" si="579"/>
        <v>Suele comer</v>
      </c>
      <c r="N1462">
        <v>3</v>
      </c>
      <c r="O1462">
        <f t="shared" si="580"/>
        <v>2</v>
      </c>
      <c r="P1462" t="str">
        <f t="shared" si="581"/>
        <v>Mas de 3</v>
      </c>
      <c r="Q1462">
        <v>1</v>
      </c>
      <c r="R1462" t="str">
        <f t="shared" si="582"/>
        <v>A veces</v>
      </c>
      <c r="S1462">
        <v>0</v>
      </c>
      <c r="T1462" t="str">
        <f t="shared" si="583"/>
        <v>No fuma</v>
      </c>
      <c r="U1462">
        <v>201499</v>
      </c>
      <c r="V1462">
        <f t="shared" si="584"/>
        <v>2</v>
      </c>
      <c r="W1462" t="str">
        <f t="shared" si="585"/>
        <v>Siempre</v>
      </c>
      <c r="X1462">
        <v>0</v>
      </c>
      <c r="Y1462" t="str">
        <f t="shared" si="586"/>
        <v>No controla</v>
      </c>
      <c r="Z1462">
        <v>0.97881499999999999</v>
      </c>
      <c r="AA1462">
        <f t="shared" si="587"/>
        <v>0</v>
      </c>
      <c r="AB1462" t="str">
        <f t="shared" si="588"/>
        <v>Nunca</v>
      </c>
      <c r="AC1462">
        <v>0.41321999999999998</v>
      </c>
      <c r="AD1462">
        <f t="shared" si="589"/>
        <v>0</v>
      </c>
      <c r="AE1462" t="str">
        <f t="shared" si="590"/>
        <v>Nunca</v>
      </c>
      <c r="AF1462">
        <v>1</v>
      </c>
      <c r="AG1462" t="str">
        <f t="shared" si="591"/>
        <v>A veces</v>
      </c>
      <c r="AH1462">
        <v>0</v>
      </c>
      <c r="AI1462" t="str">
        <f t="shared" si="592"/>
        <v>No usa</v>
      </c>
      <c r="AJ1462">
        <v>0</v>
      </c>
      <c r="AK1462" t="str">
        <f t="shared" si="593"/>
        <v>No usa</v>
      </c>
      <c r="AL1462">
        <v>0</v>
      </c>
      <c r="AM1462" t="str">
        <f t="shared" si="594"/>
        <v>No usa</v>
      </c>
      <c r="AN1462">
        <v>1</v>
      </c>
      <c r="AO1462" t="str">
        <f t="shared" si="595"/>
        <v>Usa Transporte</v>
      </c>
      <c r="AP1462">
        <v>0</v>
      </c>
      <c r="AQ1462" t="str">
        <f t="shared" si="596"/>
        <v>No camina</v>
      </c>
      <c r="AR1462">
        <v>1</v>
      </c>
      <c r="AS1462" t="str">
        <f t="shared" si="597"/>
        <v>Es Obeso</v>
      </c>
    </row>
    <row r="1463" spans="1:45" x14ac:dyDescent="0.25">
      <c r="A1463">
        <v>1</v>
      </c>
      <c r="B1463" t="str">
        <f t="shared" si="572"/>
        <v>M</v>
      </c>
      <c r="C1463">
        <v>22088059</v>
      </c>
      <c r="D1463">
        <f t="shared" si="573"/>
        <v>60</v>
      </c>
      <c r="E1463">
        <f t="shared" si="574"/>
        <v>60</v>
      </c>
      <c r="F1463" t="str">
        <f t="shared" si="575"/>
        <v>50-75</v>
      </c>
      <c r="G1463">
        <v>1</v>
      </c>
      <c r="H1463" t="str">
        <f t="shared" si="576"/>
        <v>Pariente gordo</v>
      </c>
      <c r="I1463">
        <v>1</v>
      </c>
      <c r="J1463" t="str">
        <f t="shared" si="577"/>
        <v>Hipercaloricos</v>
      </c>
      <c r="K1463">
        <v>2348745</v>
      </c>
      <c r="L1463">
        <f t="shared" si="578"/>
        <v>1</v>
      </c>
      <c r="M1463" t="str">
        <f t="shared" si="579"/>
        <v>Suele comer</v>
      </c>
      <c r="N1463">
        <v>3</v>
      </c>
      <c r="O1463">
        <f t="shared" si="580"/>
        <v>2</v>
      </c>
      <c r="P1463" t="str">
        <f t="shared" si="581"/>
        <v>Mas de 3</v>
      </c>
      <c r="Q1463">
        <v>1</v>
      </c>
      <c r="R1463" t="str">
        <f t="shared" si="582"/>
        <v>A veces</v>
      </c>
      <c r="S1463">
        <v>0</v>
      </c>
      <c r="T1463" t="str">
        <f t="shared" si="583"/>
        <v>No fuma</v>
      </c>
      <c r="U1463">
        <v>2096751</v>
      </c>
      <c r="V1463">
        <f t="shared" si="584"/>
        <v>2</v>
      </c>
      <c r="W1463" t="str">
        <f t="shared" si="585"/>
        <v>Siempre</v>
      </c>
      <c r="X1463">
        <v>0</v>
      </c>
      <c r="Y1463" t="str">
        <f t="shared" si="586"/>
        <v>No controla</v>
      </c>
      <c r="Z1463">
        <v>0.54456400000000005</v>
      </c>
      <c r="AA1463">
        <f t="shared" si="587"/>
        <v>0</v>
      </c>
      <c r="AB1463" t="str">
        <f t="shared" si="588"/>
        <v>Nunca</v>
      </c>
      <c r="AC1463">
        <v>0.67688000000000004</v>
      </c>
      <c r="AD1463">
        <f t="shared" si="589"/>
        <v>0</v>
      </c>
      <c r="AE1463" t="str">
        <f t="shared" si="590"/>
        <v>Nunca</v>
      </c>
      <c r="AF1463">
        <v>1</v>
      </c>
      <c r="AG1463" t="str">
        <f t="shared" si="591"/>
        <v>A veces</v>
      </c>
      <c r="AH1463">
        <v>0</v>
      </c>
      <c r="AI1463" t="str">
        <f t="shared" si="592"/>
        <v>No usa</v>
      </c>
      <c r="AJ1463">
        <v>0</v>
      </c>
      <c r="AK1463" t="str">
        <f t="shared" si="593"/>
        <v>No usa</v>
      </c>
      <c r="AL1463">
        <v>0</v>
      </c>
      <c r="AM1463" t="str">
        <f t="shared" si="594"/>
        <v>No usa</v>
      </c>
      <c r="AN1463">
        <v>1</v>
      </c>
      <c r="AO1463" t="str">
        <f t="shared" si="595"/>
        <v>Usa Transporte</v>
      </c>
      <c r="AP1463">
        <v>0</v>
      </c>
      <c r="AQ1463" t="str">
        <f t="shared" si="596"/>
        <v>No camina</v>
      </c>
      <c r="AR1463">
        <v>1</v>
      </c>
      <c r="AS1463" t="str">
        <f t="shared" si="597"/>
        <v>Es Obeso</v>
      </c>
    </row>
    <row r="1464" spans="1:45" x14ac:dyDescent="0.25">
      <c r="A1464">
        <v>1</v>
      </c>
      <c r="B1464" t="str">
        <f t="shared" si="572"/>
        <v>M</v>
      </c>
      <c r="C1464">
        <v>23</v>
      </c>
      <c r="D1464">
        <f t="shared" si="573"/>
        <v>23</v>
      </c>
      <c r="E1464">
        <f t="shared" si="574"/>
        <v>23</v>
      </c>
      <c r="F1464" t="str">
        <f t="shared" si="575"/>
        <v>1-25</v>
      </c>
      <c r="G1464">
        <v>1</v>
      </c>
      <c r="H1464" t="str">
        <f t="shared" si="576"/>
        <v>Pariente gordo</v>
      </c>
      <c r="I1464">
        <v>1</v>
      </c>
      <c r="J1464" t="str">
        <f t="shared" si="577"/>
        <v>Hipercaloricos</v>
      </c>
      <c r="K1464">
        <v>2312825</v>
      </c>
      <c r="L1464">
        <f t="shared" si="578"/>
        <v>1</v>
      </c>
      <c r="M1464" t="str">
        <f t="shared" si="579"/>
        <v>Suele comer</v>
      </c>
      <c r="N1464">
        <v>3</v>
      </c>
      <c r="O1464">
        <f t="shared" si="580"/>
        <v>2</v>
      </c>
      <c r="P1464" t="str">
        <f t="shared" si="581"/>
        <v>Mas de 3</v>
      </c>
      <c r="Q1464">
        <v>1</v>
      </c>
      <c r="R1464" t="str">
        <f t="shared" si="582"/>
        <v>A veces</v>
      </c>
      <c r="S1464">
        <v>0</v>
      </c>
      <c r="T1464" t="str">
        <f t="shared" si="583"/>
        <v>No fuma</v>
      </c>
      <c r="U1464">
        <v>2073497</v>
      </c>
      <c r="V1464">
        <f t="shared" si="584"/>
        <v>2</v>
      </c>
      <c r="W1464" t="str">
        <f t="shared" si="585"/>
        <v>Siempre</v>
      </c>
      <c r="X1464">
        <v>0</v>
      </c>
      <c r="Y1464" t="str">
        <f t="shared" si="586"/>
        <v>No controla</v>
      </c>
      <c r="Z1464">
        <v>0.61446599999999996</v>
      </c>
      <c r="AA1464">
        <f t="shared" si="587"/>
        <v>0</v>
      </c>
      <c r="AB1464" t="str">
        <f t="shared" si="588"/>
        <v>Nunca</v>
      </c>
      <c r="AC1464">
        <v>0.57954099999999997</v>
      </c>
      <c r="AD1464">
        <f t="shared" si="589"/>
        <v>0</v>
      </c>
      <c r="AE1464" t="str">
        <f t="shared" si="590"/>
        <v>Nunca</v>
      </c>
      <c r="AF1464">
        <v>1</v>
      </c>
      <c r="AG1464" t="str">
        <f t="shared" si="591"/>
        <v>A veces</v>
      </c>
      <c r="AH1464">
        <v>0</v>
      </c>
      <c r="AI1464" t="str">
        <f t="shared" si="592"/>
        <v>No usa</v>
      </c>
      <c r="AJ1464">
        <v>0</v>
      </c>
      <c r="AK1464" t="str">
        <f t="shared" si="593"/>
        <v>No usa</v>
      </c>
      <c r="AL1464">
        <v>0</v>
      </c>
      <c r="AM1464" t="str">
        <f t="shared" si="594"/>
        <v>No usa</v>
      </c>
      <c r="AN1464">
        <v>1</v>
      </c>
      <c r="AO1464" t="str">
        <f t="shared" si="595"/>
        <v>Usa Transporte</v>
      </c>
      <c r="AP1464">
        <v>0</v>
      </c>
      <c r="AQ1464" t="str">
        <f t="shared" si="596"/>
        <v>No camina</v>
      </c>
      <c r="AR1464">
        <v>1</v>
      </c>
      <c r="AS1464" t="str">
        <f t="shared" si="597"/>
        <v>Es Obeso</v>
      </c>
    </row>
    <row r="1465" spans="1:45" x14ac:dyDescent="0.25">
      <c r="A1465">
        <v>1</v>
      </c>
      <c r="B1465" t="str">
        <f t="shared" si="572"/>
        <v>M</v>
      </c>
      <c r="C1465">
        <v>20993067</v>
      </c>
      <c r="D1465">
        <f t="shared" si="573"/>
        <v>57</v>
      </c>
      <c r="E1465">
        <f t="shared" si="574"/>
        <v>57</v>
      </c>
      <c r="F1465" t="str">
        <f t="shared" si="575"/>
        <v>50-75</v>
      </c>
      <c r="G1465">
        <v>1</v>
      </c>
      <c r="H1465" t="str">
        <f t="shared" si="576"/>
        <v>Pariente gordo</v>
      </c>
      <c r="I1465">
        <v>1</v>
      </c>
      <c r="J1465" t="str">
        <f t="shared" si="577"/>
        <v>Hipercaloricos</v>
      </c>
      <c r="K1465">
        <v>2</v>
      </c>
      <c r="L1465">
        <f t="shared" si="578"/>
        <v>1</v>
      </c>
      <c r="M1465" t="str">
        <f t="shared" si="579"/>
        <v>Suele comer</v>
      </c>
      <c r="N1465">
        <v>3</v>
      </c>
      <c r="O1465">
        <f t="shared" si="580"/>
        <v>2</v>
      </c>
      <c r="P1465" t="str">
        <f t="shared" si="581"/>
        <v>Mas de 3</v>
      </c>
      <c r="Q1465">
        <v>1</v>
      </c>
      <c r="R1465" t="str">
        <f t="shared" si="582"/>
        <v>A veces</v>
      </c>
      <c r="S1465">
        <v>0</v>
      </c>
      <c r="T1465" t="str">
        <f t="shared" si="583"/>
        <v>No fuma</v>
      </c>
      <c r="U1465">
        <v>1234943</v>
      </c>
      <c r="V1465">
        <f t="shared" si="584"/>
        <v>2</v>
      </c>
      <c r="W1465" t="str">
        <f t="shared" si="585"/>
        <v>Siempre</v>
      </c>
      <c r="X1465">
        <v>0</v>
      </c>
      <c r="Y1465" t="str">
        <f t="shared" si="586"/>
        <v>No controla</v>
      </c>
      <c r="Z1465">
        <v>8.3680000000000004E-3</v>
      </c>
      <c r="AA1465">
        <f t="shared" si="587"/>
        <v>0</v>
      </c>
      <c r="AB1465" t="str">
        <f t="shared" si="588"/>
        <v>Nunca</v>
      </c>
      <c r="AC1465">
        <v>0</v>
      </c>
      <c r="AD1465">
        <f t="shared" si="589"/>
        <v>0</v>
      </c>
      <c r="AE1465" t="str">
        <f t="shared" si="590"/>
        <v>Nunca</v>
      </c>
      <c r="AF1465">
        <v>1</v>
      </c>
      <c r="AG1465" t="str">
        <f t="shared" si="591"/>
        <v>A veces</v>
      </c>
      <c r="AH1465">
        <v>0</v>
      </c>
      <c r="AI1465" t="str">
        <f t="shared" si="592"/>
        <v>No usa</v>
      </c>
      <c r="AJ1465">
        <v>0</v>
      </c>
      <c r="AK1465" t="str">
        <f t="shared" si="593"/>
        <v>No usa</v>
      </c>
      <c r="AL1465">
        <v>0</v>
      </c>
      <c r="AM1465" t="str">
        <f t="shared" si="594"/>
        <v>No usa</v>
      </c>
      <c r="AN1465">
        <v>1</v>
      </c>
      <c r="AO1465" t="str">
        <f t="shared" si="595"/>
        <v>Usa Transporte</v>
      </c>
      <c r="AP1465">
        <v>0</v>
      </c>
      <c r="AQ1465" t="str">
        <f t="shared" si="596"/>
        <v>No camina</v>
      </c>
      <c r="AR1465">
        <v>1</v>
      </c>
      <c r="AS1465" t="str">
        <f t="shared" si="597"/>
        <v>Es Obeso</v>
      </c>
    </row>
    <row r="1466" spans="1:45" x14ac:dyDescent="0.25">
      <c r="A1466">
        <v>1</v>
      </c>
      <c r="B1466" t="str">
        <f t="shared" si="572"/>
        <v>M</v>
      </c>
      <c r="C1466">
        <v>20654752</v>
      </c>
      <c r="D1466">
        <f t="shared" si="573"/>
        <v>56</v>
      </c>
      <c r="E1466">
        <f t="shared" si="574"/>
        <v>56</v>
      </c>
      <c r="F1466" t="str">
        <f t="shared" si="575"/>
        <v>50-75</v>
      </c>
      <c r="G1466">
        <v>1</v>
      </c>
      <c r="H1466" t="str">
        <f t="shared" si="576"/>
        <v>Pariente gordo</v>
      </c>
      <c r="I1466">
        <v>1</v>
      </c>
      <c r="J1466" t="str">
        <f t="shared" si="577"/>
        <v>Hipercaloricos</v>
      </c>
      <c r="K1466">
        <v>2</v>
      </c>
      <c r="L1466">
        <f t="shared" si="578"/>
        <v>1</v>
      </c>
      <c r="M1466" t="str">
        <f t="shared" si="579"/>
        <v>Suele comer</v>
      </c>
      <c r="N1466">
        <v>3</v>
      </c>
      <c r="O1466">
        <f t="shared" si="580"/>
        <v>2</v>
      </c>
      <c r="P1466" t="str">
        <f t="shared" si="581"/>
        <v>Mas de 3</v>
      </c>
      <c r="Q1466">
        <v>1</v>
      </c>
      <c r="R1466" t="str">
        <f t="shared" si="582"/>
        <v>A veces</v>
      </c>
      <c r="S1466">
        <v>0</v>
      </c>
      <c r="T1466" t="str">
        <f t="shared" si="583"/>
        <v>No fuma</v>
      </c>
      <c r="U1466">
        <v>1613829</v>
      </c>
      <c r="V1466">
        <f t="shared" si="584"/>
        <v>2</v>
      </c>
      <c r="W1466" t="str">
        <f t="shared" si="585"/>
        <v>Siempre</v>
      </c>
      <c r="X1466">
        <v>0</v>
      </c>
      <c r="Y1466" t="str">
        <f t="shared" si="586"/>
        <v>No controla</v>
      </c>
      <c r="Z1466">
        <v>1251665</v>
      </c>
      <c r="AA1466">
        <f t="shared" si="587"/>
        <v>3</v>
      </c>
      <c r="AB1466" t="str">
        <f t="shared" si="588"/>
        <v>Siempre</v>
      </c>
      <c r="AC1466">
        <v>0</v>
      </c>
      <c r="AD1466">
        <f t="shared" si="589"/>
        <v>0</v>
      </c>
      <c r="AE1466" t="str">
        <f t="shared" si="590"/>
        <v>Nunca</v>
      </c>
      <c r="AF1466">
        <v>1</v>
      </c>
      <c r="AG1466" t="str">
        <f t="shared" si="591"/>
        <v>A veces</v>
      </c>
      <c r="AH1466">
        <v>0</v>
      </c>
      <c r="AI1466" t="str">
        <f t="shared" si="592"/>
        <v>No usa</v>
      </c>
      <c r="AJ1466">
        <v>0</v>
      </c>
      <c r="AK1466" t="str">
        <f t="shared" si="593"/>
        <v>No usa</v>
      </c>
      <c r="AL1466">
        <v>0</v>
      </c>
      <c r="AM1466" t="str">
        <f t="shared" si="594"/>
        <v>No usa</v>
      </c>
      <c r="AN1466">
        <v>1</v>
      </c>
      <c r="AO1466" t="str">
        <f t="shared" si="595"/>
        <v>Usa Transporte</v>
      </c>
      <c r="AP1466">
        <v>0</v>
      </c>
      <c r="AQ1466" t="str">
        <f t="shared" si="596"/>
        <v>No camina</v>
      </c>
      <c r="AR1466">
        <v>1</v>
      </c>
      <c r="AS1466" t="str">
        <f t="shared" si="597"/>
        <v>Es Obeso</v>
      </c>
    </row>
    <row r="1467" spans="1:45" x14ac:dyDescent="0.25">
      <c r="A1467">
        <v>1</v>
      </c>
      <c r="B1467" t="str">
        <f t="shared" si="572"/>
        <v>M</v>
      </c>
      <c r="C1467">
        <v>21624552</v>
      </c>
      <c r="D1467">
        <f t="shared" si="573"/>
        <v>59</v>
      </c>
      <c r="E1467">
        <f t="shared" si="574"/>
        <v>59</v>
      </c>
      <c r="F1467" t="str">
        <f t="shared" si="575"/>
        <v>50-75</v>
      </c>
      <c r="G1467">
        <v>1</v>
      </c>
      <c r="H1467" t="str">
        <f t="shared" si="576"/>
        <v>Pariente gordo</v>
      </c>
      <c r="I1467">
        <v>1</v>
      </c>
      <c r="J1467" t="str">
        <f t="shared" si="577"/>
        <v>Hipercaloricos</v>
      </c>
      <c r="K1467">
        <v>2490776</v>
      </c>
      <c r="L1467">
        <f t="shared" si="578"/>
        <v>1</v>
      </c>
      <c r="M1467" t="str">
        <f t="shared" si="579"/>
        <v>Suele comer</v>
      </c>
      <c r="N1467">
        <v>3</v>
      </c>
      <c r="O1467">
        <f t="shared" si="580"/>
        <v>2</v>
      </c>
      <c r="P1467" t="str">
        <f t="shared" si="581"/>
        <v>Mas de 3</v>
      </c>
      <c r="Q1467">
        <v>1</v>
      </c>
      <c r="R1467" t="str">
        <f t="shared" si="582"/>
        <v>A veces</v>
      </c>
      <c r="S1467">
        <v>0</v>
      </c>
      <c r="T1467" t="str">
        <f t="shared" si="583"/>
        <v>No fuma</v>
      </c>
      <c r="U1467">
        <v>2654517</v>
      </c>
      <c r="V1467">
        <f t="shared" si="584"/>
        <v>2</v>
      </c>
      <c r="W1467" t="str">
        <f t="shared" si="585"/>
        <v>Siempre</v>
      </c>
      <c r="X1467">
        <v>0</v>
      </c>
      <c r="Y1467" t="str">
        <f t="shared" si="586"/>
        <v>No controla</v>
      </c>
      <c r="Z1467">
        <v>0.112454</v>
      </c>
      <c r="AA1467">
        <f t="shared" si="587"/>
        <v>0</v>
      </c>
      <c r="AB1467" t="str">
        <f t="shared" si="588"/>
        <v>Nunca</v>
      </c>
      <c r="AC1467">
        <v>0.75633899999999998</v>
      </c>
      <c r="AD1467">
        <f t="shared" si="589"/>
        <v>0</v>
      </c>
      <c r="AE1467" t="str">
        <f t="shared" si="590"/>
        <v>Nunca</v>
      </c>
      <c r="AF1467">
        <v>1</v>
      </c>
      <c r="AG1467" t="str">
        <f t="shared" si="591"/>
        <v>A veces</v>
      </c>
      <c r="AH1467">
        <v>0</v>
      </c>
      <c r="AI1467" t="str">
        <f t="shared" si="592"/>
        <v>No usa</v>
      </c>
      <c r="AJ1467">
        <v>0</v>
      </c>
      <c r="AK1467" t="str">
        <f t="shared" si="593"/>
        <v>No usa</v>
      </c>
      <c r="AL1467">
        <v>0</v>
      </c>
      <c r="AM1467" t="str">
        <f t="shared" si="594"/>
        <v>No usa</v>
      </c>
      <c r="AN1467">
        <v>1</v>
      </c>
      <c r="AO1467" t="str">
        <f t="shared" si="595"/>
        <v>Usa Transporte</v>
      </c>
      <c r="AP1467">
        <v>0</v>
      </c>
      <c r="AQ1467" t="str">
        <f t="shared" si="596"/>
        <v>No camina</v>
      </c>
      <c r="AR1467">
        <v>1</v>
      </c>
      <c r="AS1467" t="str">
        <f t="shared" si="597"/>
        <v>Es Obeso</v>
      </c>
    </row>
    <row r="1468" spans="1:45" x14ac:dyDescent="0.25">
      <c r="A1468">
        <v>1</v>
      </c>
      <c r="B1468" t="str">
        <f t="shared" si="572"/>
        <v>M</v>
      </c>
      <c r="C1468">
        <v>21682636</v>
      </c>
      <c r="D1468">
        <f t="shared" si="573"/>
        <v>59</v>
      </c>
      <c r="E1468">
        <f t="shared" si="574"/>
        <v>59</v>
      </c>
      <c r="F1468" t="str">
        <f t="shared" si="575"/>
        <v>50-75</v>
      </c>
      <c r="G1468">
        <v>1</v>
      </c>
      <c r="H1468" t="str">
        <f t="shared" si="576"/>
        <v>Pariente gordo</v>
      </c>
      <c r="I1468">
        <v>1</v>
      </c>
      <c r="J1468" t="str">
        <f t="shared" si="577"/>
        <v>Hipercaloricos</v>
      </c>
      <c r="K1468">
        <v>2078082</v>
      </c>
      <c r="L1468">
        <f t="shared" si="578"/>
        <v>1</v>
      </c>
      <c r="M1468" t="str">
        <f t="shared" si="579"/>
        <v>Suele comer</v>
      </c>
      <c r="N1468">
        <v>3</v>
      </c>
      <c r="O1468">
        <f t="shared" si="580"/>
        <v>2</v>
      </c>
      <c r="P1468" t="str">
        <f t="shared" si="581"/>
        <v>Mas de 3</v>
      </c>
      <c r="Q1468">
        <v>1</v>
      </c>
      <c r="R1468" t="str">
        <f t="shared" si="582"/>
        <v>A veces</v>
      </c>
      <c r="S1468">
        <v>0</v>
      </c>
      <c r="T1468" t="str">
        <f t="shared" si="583"/>
        <v>No fuma</v>
      </c>
      <c r="U1468">
        <v>2895614</v>
      </c>
      <c r="V1468">
        <f t="shared" si="584"/>
        <v>2</v>
      </c>
      <c r="W1468" t="str">
        <f t="shared" si="585"/>
        <v>Siempre</v>
      </c>
      <c r="X1468">
        <v>0</v>
      </c>
      <c r="Y1468" t="str">
        <f t="shared" si="586"/>
        <v>No controla</v>
      </c>
      <c r="Z1468">
        <v>6.275E-2</v>
      </c>
      <c r="AA1468">
        <f t="shared" si="587"/>
        <v>0</v>
      </c>
      <c r="AB1468" t="str">
        <f t="shared" si="588"/>
        <v>Nunca</v>
      </c>
      <c r="AC1468">
        <v>0.261793</v>
      </c>
      <c r="AD1468">
        <f t="shared" si="589"/>
        <v>0</v>
      </c>
      <c r="AE1468" t="str">
        <f t="shared" si="590"/>
        <v>Nunca</v>
      </c>
      <c r="AF1468">
        <v>1</v>
      </c>
      <c r="AG1468" t="str">
        <f t="shared" si="591"/>
        <v>A veces</v>
      </c>
      <c r="AH1468">
        <v>0</v>
      </c>
      <c r="AI1468" t="str">
        <f t="shared" si="592"/>
        <v>No usa</v>
      </c>
      <c r="AJ1468">
        <v>0</v>
      </c>
      <c r="AK1468" t="str">
        <f t="shared" si="593"/>
        <v>No usa</v>
      </c>
      <c r="AL1468">
        <v>0</v>
      </c>
      <c r="AM1468" t="str">
        <f t="shared" si="594"/>
        <v>No usa</v>
      </c>
      <c r="AN1468">
        <v>1</v>
      </c>
      <c r="AO1468" t="str">
        <f t="shared" si="595"/>
        <v>Usa Transporte</v>
      </c>
      <c r="AP1468">
        <v>0</v>
      </c>
      <c r="AQ1468" t="str">
        <f t="shared" si="596"/>
        <v>No camina</v>
      </c>
      <c r="AR1468">
        <v>1</v>
      </c>
      <c r="AS1468" t="str">
        <f t="shared" si="597"/>
        <v>Es Obeso</v>
      </c>
    </row>
    <row r="1469" spans="1:45" x14ac:dyDescent="0.25">
      <c r="A1469">
        <v>1</v>
      </c>
      <c r="B1469" t="str">
        <f t="shared" si="572"/>
        <v>M</v>
      </c>
      <c r="C1469">
        <v>18</v>
      </c>
      <c r="D1469">
        <f t="shared" si="573"/>
        <v>18</v>
      </c>
      <c r="E1469">
        <f t="shared" si="574"/>
        <v>18</v>
      </c>
      <c r="F1469" t="str">
        <f t="shared" si="575"/>
        <v>1-25</v>
      </c>
      <c r="G1469">
        <v>1</v>
      </c>
      <c r="H1469" t="str">
        <f t="shared" si="576"/>
        <v>Pariente gordo</v>
      </c>
      <c r="I1469">
        <v>1</v>
      </c>
      <c r="J1469" t="str">
        <f t="shared" si="577"/>
        <v>Hipercaloricos</v>
      </c>
      <c r="K1469">
        <v>2</v>
      </c>
      <c r="L1469">
        <f t="shared" si="578"/>
        <v>1</v>
      </c>
      <c r="M1469" t="str">
        <f t="shared" si="579"/>
        <v>Suele comer</v>
      </c>
      <c r="N1469">
        <v>124884</v>
      </c>
      <c r="O1469">
        <f t="shared" si="580"/>
        <v>2</v>
      </c>
      <c r="P1469" t="str">
        <f t="shared" si="581"/>
        <v>Mas de 3</v>
      </c>
      <c r="Q1469">
        <v>1</v>
      </c>
      <c r="R1469" t="str">
        <f t="shared" si="582"/>
        <v>A veces</v>
      </c>
      <c r="S1469">
        <v>0</v>
      </c>
      <c r="T1469" t="str">
        <f t="shared" si="583"/>
        <v>No fuma</v>
      </c>
      <c r="U1469">
        <v>2416213</v>
      </c>
      <c r="V1469">
        <f t="shared" si="584"/>
        <v>2</v>
      </c>
      <c r="W1469" t="str">
        <f t="shared" si="585"/>
        <v>Siempre</v>
      </c>
      <c r="X1469">
        <v>0</v>
      </c>
      <c r="Y1469" t="str">
        <f t="shared" si="586"/>
        <v>No controla</v>
      </c>
      <c r="Z1469">
        <v>1</v>
      </c>
      <c r="AA1469">
        <f t="shared" si="587"/>
        <v>1</v>
      </c>
      <c r="AB1469" t="str">
        <f t="shared" si="588"/>
        <v>A veces</v>
      </c>
      <c r="AC1469">
        <v>1546738</v>
      </c>
      <c r="AD1469">
        <f t="shared" si="589"/>
        <v>2</v>
      </c>
      <c r="AE1469" t="str">
        <f t="shared" si="590"/>
        <v>Siempre</v>
      </c>
      <c r="AF1469">
        <v>0</v>
      </c>
      <c r="AG1469" t="str">
        <f t="shared" si="591"/>
        <v>Nunca</v>
      </c>
      <c r="AH1469">
        <v>0</v>
      </c>
      <c r="AI1469" t="str">
        <f t="shared" si="592"/>
        <v>No usa</v>
      </c>
      <c r="AJ1469">
        <v>0</v>
      </c>
      <c r="AK1469" t="str">
        <f t="shared" si="593"/>
        <v>No usa</v>
      </c>
      <c r="AL1469">
        <v>0</v>
      </c>
      <c r="AM1469" t="str">
        <f t="shared" si="594"/>
        <v>No usa</v>
      </c>
      <c r="AN1469">
        <v>1</v>
      </c>
      <c r="AO1469" t="str">
        <f t="shared" si="595"/>
        <v>Usa Transporte</v>
      </c>
      <c r="AP1469">
        <v>0</v>
      </c>
      <c r="AQ1469" t="str">
        <f t="shared" si="596"/>
        <v>No camina</v>
      </c>
      <c r="AR1469">
        <v>1</v>
      </c>
      <c r="AS1469" t="str">
        <f t="shared" si="597"/>
        <v>Es Obeso</v>
      </c>
    </row>
    <row r="1470" spans="1:45" x14ac:dyDescent="0.25">
      <c r="A1470">
        <v>1</v>
      </c>
      <c r="B1470" t="str">
        <f t="shared" si="572"/>
        <v>M</v>
      </c>
      <c r="C1470">
        <v>18</v>
      </c>
      <c r="D1470">
        <f t="shared" si="573"/>
        <v>18</v>
      </c>
      <c r="E1470">
        <f t="shared" si="574"/>
        <v>18</v>
      </c>
      <c r="F1470" t="str">
        <f t="shared" si="575"/>
        <v>1-25</v>
      </c>
      <c r="G1470">
        <v>1</v>
      </c>
      <c r="H1470" t="str">
        <f t="shared" si="576"/>
        <v>Pariente gordo</v>
      </c>
      <c r="I1470">
        <v>1</v>
      </c>
      <c r="J1470" t="str">
        <f t="shared" si="577"/>
        <v>Hipercaloricos</v>
      </c>
      <c r="K1470">
        <v>2</v>
      </c>
      <c r="L1470">
        <f t="shared" si="578"/>
        <v>1</v>
      </c>
      <c r="M1470" t="str">
        <f t="shared" si="579"/>
        <v>Suele comer</v>
      </c>
      <c r="N1470">
        <v>1250548</v>
      </c>
      <c r="O1470">
        <f t="shared" si="580"/>
        <v>2</v>
      </c>
      <c r="P1470" t="str">
        <f t="shared" si="581"/>
        <v>Mas de 3</v>
      </c>
      <c r="Q1470">
        <v>1</v>
      </c>
      <c r="R1470" t="str">
        <f t="shared" si="582"/>
        <v>A veces</v>
      </c>
      <c r="S1470">
        <v>0</v>
      </c>
      <c r="T1470" t="str">
        <f t="shared" si="583"/>
        <v>No fuma</v>
      </c>
      <c r="U1470">
        <v>2121176</v>
      </c>
      <c r="V1470">
        <f t="shared" si="584"/>
        <v>2</v>
      </c>
      <c r="W1470" t="str">
        <f t="shared" si="585"/>
        <v>Siempre</v>
      </c>
      <c r="X1470">
        <v>0</v>
      </c>
      <c r="Y1470" t="str">
        <f t="shared" si="586"/>
        <v>No controla</v>
      </c>
      <c r="Z1470">
        <v>1</v>
      </c>
      <c r="AA1470">
        <f t="shared" si="587"/>
        <v>1</v>
      </c>
      <c r="AB1470" t="str">
        <f t="shared" si="588"/>
        <v>A veces</v>
      </c>
      <c r="AC1470">
        <v>0.74106899999999998</v>
      </c>
      <c r="AD1470">
        <f t="shared" si="589"/>
        <v>0</v>
      </c>
      <c r="AE1470" t="str">
        <f t="shared" si="590"/>
        <v>Nunca</v>
      </c>
      <c r="AF1470">
        <v>0</v>
      </c>
      <c r="AG1470" t="str">
        <f t="shared" si="591"/>
        <v>Nunca</v>
      </c>
      <c r="AH1470">
        <v>0</v>
      </c>
      <c r="AI1470" t="str">
        <f t="shared" si="592"/>
        <v>No usa</v>
      </c>
      <c r="AJ1470">
        <v>0</v>
      </c>
      <c r="AK1470" t="str">
        <f t="shared" si="593"/>
        <v>No usa</v>
      </c>
      <c r="AL1470">
        <v>0</v>
      </c>
      <c r="AM1470" t="str">
        <f t="shared" si="594"/>
        <v>No usa</v>
      </c>
      <c r="AN1470">
        <v>1</v>
      </c>
      <c r="AO1470" t="str">
        <f t="shared" si="595"/>
        <v>Usa Transporte</v>
      </c>
      <c r="AP1470">
        <v>0</v>
      </c>
      <c r="AQ1470" t="str">
        <f t="shared" si="596"/>
        <v>No camina</v>
      </c>
      <c r="AR1470">
        <v>1</v>
      </c>
      <c r="AS1470" t="str">
        <f t="shared" si="597"/>
        <v>Es Obeso</v>
      </c>
    </row>
    <row r="1471" spans="1:45" x14ac:dyDescent="0.25">
      <c r="A1471">
        <v>1</v>
      </c>
      <c r="B1471" t="str">
        <f t="shared" si="572"/>
        <v>M</v>
      </c>
      <c r="C1471">
        <v>18</v>
      </c>
      <c r="D1471">
        <f t="shared" si="573"/>
        <v>18</v>
      </c>
      <c r="E1471">
        <f t="shared" si="574"/>
        <v>18</v>
      </c>
      <c r="F1471" t="str">
        <f t="shared" si="575"/>
        <v>1-25</v>
      </c>
      <c r="G1471">
        <v>1</v>
      </c>
      <c r="H1471" t="str">
        <f t="shared" si="576"/>
        <v>Pariente gordo</v>
      </c>
      <c r="I1471">
        <v>1</v>
      </c>
      <c r="J1471" t="str">
        <f t="shared" si="577"/>
        <v>Hipercaloricos</v>
      </c>
      <c r="K1471">
        <v>2</v>
      </c>
      <c r="L1471">
        <f t="shared" si="578"/>
        <v>1</v>
      </c>
      <c r="M1471" t="str">
        <f t="shared" si="579"/>
        <v>Suele comer</v>
      </c>
      <c r="N1471">
        <v>1202179</v>
      </c>
      <c r="O1471">
        <f t="shared" si="580"/>
        <v>2</v>
      </c>
      <c r="P1471" t="str">
        <f t="shared" si="581"/>
        <v>Mas de 3</v>
      </c>
      <c r="Q1471">
        <v>1</v>
      </c>
      <c r="R1471" t="str">
        <f t="shared" si="582"/>
        <v>A veces</v>
      </c>
      <c r="S1471">
        <v>0</v>
      </c>
      <c r="T1471" t="str">
        <f t="shared" si="583"/>
        <v>No fuma</v>
      </c>
      <c r="U1471">
        <v>236293</v>
      </c>
      <c r="V1471">
        <f t="shared" si="584"/>
        <v>2</v>
      </c>
      <c r="W1471" t="str">
        <f t="shared" si="585"/>
        <v>Siempre</v>
      </c>
      <c r="X1471">
        <v>0</v>
      </c>
      <c r="Y1471" t="str">
        <f t="shared" si="586"/>
        <v>No controla</v>
      </c>
      <c r="Z1471">
        <v>1</v>
      </c>
      <c r="AA1471">
        <f t="shared" si="587"/>
        <v>1</v>
      </c>
      <c r="AB1471" t="str">
        <f t="shared" si="588"/>
        <v>A veces</v>
      </c>
      <c r="AC1471">
        <v>147574</v>
      </c>
      <c r="AD1471">
        <f t="shared" si="589"/>
        <v>1</v>
      </c>
      <c r="AE1471" t="str">
        <f t="shared" si="590"/>
        <v>Usualmente</v>
      </c>
      <c r="AF1471">
        <v>0</v>
      </c>
      <c r="AG1471" t="str">
        <f t="shared" si="591"/>
        <v>Nunca</v>
      </c>
      <c r="AH1471">
        <v>0</v>
      </c>
      <c r="AI1471" t="str">
        <f t="shared" si="592"/>
        <v>No usa</v>
      </c>
      <c r="AJ1471">
        <v>0</v>
      </c>
      <c r="AK1471" t="str">
        <f t="shared" si="593"/>
        <v>No usa</v>
      </c>
      <c r="AL1471">
        <v>0</v>
      </c>
      <c r="AM1471" t="str">
        <f t="shared" si="594"/>
        <v>No usa</v>
      </c>
      <c r="AN1471">
        <v>1</v>
      </c>
      <c r="AO1471" t="str">
        <f t="shared" si="595"/>
        <v>Usa Transporte</v>
      </c>
      <c r="AP1471">
        <v>0</v>
      </c>
      <c r="AQ1471" t="str">
        <f t="shared" si="596"/>
        <v>No camina</v>
      </c>
      <c r="AR1471">
        <v>1</v>
      </c>
      <c r="AS1471" t="str">
        <f t="shared" si="597"/>
        <v>Es Obeso</v>
      </c>
    </row>
    <row r="1472" spans="1:45" x14ac:dyDescent="0.25">
      <c r="A1472">
        <v>1</v>
      </c>
      <c r="B1472" t="str">
        <f t="shared" si="572"/>
        <v>M</v>
      </c>
      <c r="C1472">
        <v>18</v>
      </c>
      <c r="D1472">
        <f t="shared" si="573"/>
        <v>18</v>
      </c>
      <c r="E1472">
        <f t="shared" si="574"/>
        <v>18</v>
      </c>
      <c r="F1472" t="str">
        <f t="shared" si="575"/>
        <v>1-25</v>
      </c>
      <c r="G1472">
        <v>1</v>
      </c>
      <c r="H1472" t="str">
        <f t="shared" si="576"/>
        <v>Pariente gordo</v>
      </c>
      <c r="I1472">
        <v>1</v>
      </c>
      <c r="J1472" t="str">
        <f t="shared" si="577"/>
        <v>Hipercaloricos</v>
      </c>
      <c r="K1472">
        <v>2</v>
      </c>
      <c r="L1472">
        <f t="shared" si="578"/>
        <v>1</v>
      </c>
      <c r="M1472" t="str">
        <f t="shared" si="579"/>
        <v>Suele comer</v>
      </c>
      <c r="N1472">
        <v>1194815</v>
      </c>
      <c r="O1472">
        <f t="shared" si="580"/>
        <v>2</v>
      </c>
      <c r="P1472" t="str">
        <f t="shared" si="581"/>
        <v>Mas de 3</v>
      </c>
      <c r="Q1472">
        <v>1</v>
      </c>
      <c r="R1472" t="str">
        <f t="shared" si="582"/>
        <v>A veces</v>
      </c>
      <c r="S1472">
        <v>0</v>
      </c>
      <c r="T1472" t="str">
        <f t="shared" si="583"/>
        <v>No fuma</v>
      </c>
      <c r="U1472">
        <v>2434832</v>
      </c>
      <c r="V1472">
        <f t="shared" si="584"/>
        <v>2</v>
      </c>
      <c r="W1472" t="str">
        <f t="shared" si="585"/>
        <v>Siempre</v>
      </c>
      <c r="X1472">
        <v>0</v>
      </c>
      <c r="Y1472" t="str">
        <f t="shared" si="586"/>
        <v>No controla</v>
      </c>
      <c r="Z1472">
        <v>1</v>
      </c>
      <c r="AA1472">
        <f t="shared" si="587"/>
        <v>1</v>
      </c>
      <c r="AB1472" t="str">
        <f t="shared" si="588"/>
        <v>A veces</v>
      </c>
      <c r="AC1472">
        <v>1541455</v>
      </c>
      <c r="AD1472">
        <f t="shared" si="589"/>
        <v>2</v>
      </c>
      <c r="AE1472" t="str">
        <f t="shared" si="590"/>
        <v>Siempre</v>
      </c>
      <c r="AF1472">
        <v>0</v>
      </c>
      <c r="AG1472" t="str">
        <f t="shared" si="591"/>
        <v>Nunca</v>
      </c>
      <c r="AH1472">
        <v>0</v>
      </c>
      <c r="AI1472" t="str">
        <f t="shared" si="592"/>
        <v>No usa</v>
      </c>
      <c r="AJ1472">
        <v>0</v>
      </c>
      <c r="AK1472" t="str">
        <f t="shared" si="593"/>
        <v>No usa</v>
      </c>
      <c r="AL1472">
        <v>0</v>
      </c>
      <c r="AM1472" t="str">
        <f t="shared" si="594"/>
        <v>No usa</v>
      </c>
      <c r="AN1472">
        <v>1</v>
      </c>
      <c r="AO1472" t="str">
        <f t="shared" si="595"/>
        <v>Usa Transporte</v>
      </c>
      <c r="AP1472">
        <v>0</v>
      </c>
      <c r="AQ1472" t="str">
        <f t="shared" si="596"/>
        <v>No camina</v>
      </c>
      <c r="AR1472">
        <v>1</v>
      </c>
      <c r="AS1472" t="str">
        <f t="shared" si="597"/>
        <v>Es Obeso</v>
      </c>
    </row>
    <row r="1473" spans="1:45" x14ac:dyDescent="0.25">
      <c r="A1473">
        <v>0</v>
      </c>
      <c r="B1473" t="str">
        <f t="shared" si="572"/>
        <v>F</v>
      </c>
      <c r="C1473">
        <v>19374207</v>
      </c>
      <c r="D1473">
        <f t="shared" si="573"/>
        <v>53</v>
      </c>
      <c r="E1473">
        <f t="shared" si="574"/>
        <v>53</v>
      </c>
      <c r="F1473" t="str">
        <f t="shared" si="575"/>
        <v>50-75</v>
      </c>
      <c r="G1473">
        <v>1</v>
      </c>
      <c r="H1473" t="str">
        <f t="shared" si="576"/>
        <v>Pariente gordo</v>
      </c>
      <c r="I1473">
        <v>1</v>
      </c>
      <c r="J1473" t="str">
        <f t="shared" si="577"/>
        <v>Hipercaloricos</v>
      </c>
      <c r="K1473">
        <v>2805512</v>
      </c>
      <c r="L1473">
        <f t="shared" si="578"/>
        <v>1</v>
      </c>
      <c r="M1473" t="str">
        <f t="shared" si="579"/>
        <v>Suele comer</v>
      </c>
      <c r="N1473">
        <v>2880817</v>
      </c>
      <c r="O1473">
        <f t="shared" si="580"/>
        <v>2</v>
      </c>
      <c r="P1473" t="str">
        <f t="shared" si="581"/>
        <v>Mas de 3</v>
      </c>
      <c r="Q1473">
        <v>1</v>
      </c>
      <c r="R1473" t="str">
        <f t="shared" si="582"/>
        <v>A veces</v>
      </c>
      <c r="S1473">
        <v>0</v>
      </c>
      <c r="T1473" t="str">
        <f t="shared" si="583"/>
        <v>No fuma</v>
      </c>
      <c r="U1473">
        <v>1001307</v>
      </c>
      <c r="V1473">
        <f t="shared" si="584"/>
        <v>2</v>
      </c>
      <c r="W1473" t="str">
        <f t="shared" si="585"/>
        <v>Siempre</v>
      </c>
      <c r="X1473">
        <v>0</v>
      </c>
      <c r="Y1473" t="str">
        <f t="shared" si="586"/>
        <v>No controla</v>
      </c>
      <c r="Z1473">
        <v>0</v>
      </c>
      <c r="AA1473">
        <f t="shared" si="587"/>
        <v>0</v>
      </c>
      <c r="AB1473" t="str">
        <f t="shared" si="588"/>
        <v>Nunca</v>
      </c>
      <c r="AC1473">
        <v>1376597</v>
      </c>
      <c r="AD1473">
        <f t="shared" si="589"/>
        <v>2</v>
      </c>
      <c r="AE1473" t="str">
        <f t="shared" si="590"/>
        <v>Siempre</v>
      </c>
      <c r="AF1473">
        <v>1</v>
      </c>
      <c r="AG1473" t="str">
        <f t="shared" si="591"/>
        <v>A veces</v>
      </c>
      <c r="AH1473">
        <v>0</v>
      </c>
      <c r="AI1473" t="str">
        <f t="shared" si="592"/>
        <v>No usa</v>
      </c>
      <c r="AJ1473">
        <v>0</v>
      </c>
      <c r="AK1473" t="str">
        <f t="shared" si="593"/>
        <v>No usa</v>
      </c>
      <c r="AL1473">
        <v>0</v>
      </c>
      <c r="AM1473" t="str">
        <f t="shared" si="594"/>
        <v>No usa</v>
      </c>
      <c r="AN1473">
        <v>1</v>
      </c>
      <c r="AO1473" t="str">
        <f t="shared" si="595"/>
        <v>Usa Transporte</v>
      </c>
      <c r="AP1473">
        <v>0</v>
      </c>
      <c r="AQ1473" t="str">
        <f t="shared" si="596"/>
        <v>No camina</v>
      </c>
      <c r="AR1473">
        <v>1</v>
      </c>
      <c r="AS1473" t="str">
        <f t="shared" si="597"/>
        <v>Es Obeso</v>
      </c>
    </row>
    <row r="1474" spans="1:45" x14ac:dyDescent="0.25">
      <c r="A1474">
        <v>0</v>
      </c>
      <c r="B1474" t="str">
        <f t="shared" si="572"/>
        <v>F</v>
      </c>
      <c r="C1474">
        <v>19275687</v>
      </c>
      <c r="D1474">
        <f t="shared" si="573"/>
        <v>52</v>
      </c>
      <c r="E1474">
        <f t="shared" si="574"/>
        <v>52</v>
      </c>
      <c r="F1474" t="str">
        <f t="shared" si="575"/>
        <v>50-75</v>
      </c>
      <c r="G1474">
        <v>1</v>
      </c>
      <c r="H1474" t="str">
        <f t="shared" si="576"/>
        <v>Pariente gordo</v>
      </c>
      <c r="I1474">
        <v>1</v>
      </c>
      <c r="J1474" t="str">
        <f t="shared" si="577"/>
        <v>Hipercaloricos</v>
      </c>
      <c r="K1474">
        <v>1276858</v>
      </c>
      <c r="L1474">
        <f t="shared" si="578"/>
        <v>1</v>
      </c>
      <c r="M1474" t="str">
        <f t="shared" si="579"/>
        <v>Suele comer</v>
      </c>
      <c r="N1474">
        <v>2918124</v>
      </c>
      <c r="O1474">
        <f t="shared" si="580"/>
        <v>2</v>
      </c>
      <c r="P1474" t="str">
        <f t="shared" si="581"/>
        <v>Mas de 3</v>
      </c>
      <c r="Q1474">
        <v>1</v>
      </c>
      <c r="R1474" t="str">
        <f t="shared" si="582"/>
        <v>A veces</v>
      </c>
      <c r="S1474">
        <v>0</v>
      </c>
      <c r="T1474" t="str">
        <f t="shared" si="583"/>
        <v>No fuma</v>
      </c>
      <c r="U1474">
        <v>1403784</v>
      </c>
      <c r="V1474">
        <f t="shared" si="584"/>
        <v>2</v>
      </c>
      <c r="W1474" t="str">
        <f t="shared" si="585"/>
        <v>Siempre</v>
      </c>
      <c r="X1474">
        <v>0</v>
      </c>
      <c r="Y1474" t="str">
        <f t="shared" si="586"/>
        <v>No controla</v>
      </c>
      <c r="Z1474">
        <v>0.55251099999999997</v>
      </c>
      <c r="AA1474">
        <f t="shared" si="587"/>
        <v>0</v>
      </c>
      <c r="AB1474" t="str">
        <f t="shared" si="588"/>
        <v>Nunca</v>
      </c>
      <c r="AC1474">
        <v>1560402</v>
      </c>
      <c r="AD1474">
        <f t="shared" si="589"/>
        <v>2</v>
      </c>
      <c r="AE1474" t="str">
        <f t="shared" si="590"/>
        <v>Siempre</v>
      </c>
      <c r="AF1474">
        <v>1</v>
      </c>
      <c r="AG1474" t="str">
        <f t="shared" si="591"/>
        <v>A veces</v>
      </c>
      <c r="AH1474">
        <v>0</v>
      </c>
      <c r="AI1474" t="str">
        <f t="shared" si="592"/>
        <v>No usa</v>
      </c>
      <c r="AJ1474">
        <v>0</v>
      </c>
      <c r="AK1474" t="str">
        <f t="shared" si="593"/>
        <v>No usa</v>
      </c>
      <c r="AL1474">
        <v>0</v>
      </c>
      <c r="AM1474" t="str">
        <f t="shared" si="594"/>
        <v>No usa</v>
      </c>
      <c r="AN1474">
        <v>1</v>
      </c>
      <c r="AO1474" t="str">
        <f t="shared" si="595"/>
        <v>Usa Transporte</v>
      </c>
      <c r="AP1474">
        <v>0</v>
      </c>
      <c r="AQ1474" t="str">
        <f t="shared" si="596"/>
        <v>No camina</v>
      </c>
      <c r="AR1474">
        <v>1</v>
      </c>
      <c r="AS1474" t="str">
        <f t="shared" si="597"/>
        <v>Es Obeso</v>
      </c>
    </row>
    <row r="1475" spans="1:45" x14ac:dyDescent="0.25">
      <c r="A1475">
        <v>0</v>
      </c>
      <c r="B1475" t="str">
        <f t="shared" ref="B1475:B1538" si="598">IF(A1475=1,"M","F")</f>
        <v>F</v>
      </c>
      <c r="C1475">
        <v>22956845</v>
      </c>
      <c r="D1475">
        <f t="shared" ref="D1475:D1538" si="599">IF(C1475&lt;100,C1475,ROUNDDOWN((C1475/1000)/365,0))</f>
        <v>62</v>
      </c>
      <c r="E1475">
        <f t="shared" ref="E1475:E1538" si="600">IF(AND(D1475&gt;1,D1475&lt;=100),D1475,IF(D1475&gt;100,100,5))</f>
        <v>62</v>
      </c>
      <c r="F1475" t="str">
        <f t="shared" ref="F1475:F1538" si="601">IF(AND(E1475&gt;=1,E1475&lt;=25),"1-25",IF(AND(E1475&gt;25,E1475&lt;=50),"25-50",IF(AND(E1475&gt;50,E1475&lt;=75),"50-75","75-100")))</f>
        <v>50-75</v>
      </c>
      <c r="G1475">
        <v>1</v>
      </c>
      <c r="H1475" t="str">
        <f t="shared" ref="H1475:H1538" si="602">IF(G1475=1,"Pariente gordo","Pariente normal")</f>
        <v>Pariente gordo</v>
      </c>
      <c r="I1475">
        <v>1</v>
      </c>
      <c r="J1475" t="str">
        <f t="shared" ref="J1475:J1538" si="603">IF(I1475=1,"Hipercaloricos","Saludables")</f>
        <v>Hipercaloricos</v>
      </c>
      <c r="K1475">
        <v>2396265</v>
      </c>
      <c r="L1475">
        <f t="shared" ref="L1475:L1538" si="604">IF(AND(K1475&gt;=1,K1475&lt;=3),1,IF(AND(K1475&gt;3,K1475&lt;3000000),1))</f>
        <v>1</v>
      </c>
      <c r="M1475" t="str">
        <f t="shared" ref="M1475:M1538" si="605">IF(L1475=1,"Suele comer","No come")</f>
        <v>Suele comer</v>
      </c>
      <c r="N1475">
        <v>1073421</v>
      </c>
      <c r="O1475">
        <f t="shared" ref="O1475:O1538" si="606">IF(N1475=1,N1475,IF(AND(N1475&gt;=2,N1475&lt;4000000),2))</f>
        <v>2</v>
      </c>
      <c r="P1475" t="str">
        <f t="shared" ref="P1475:P1538" si="607">IF(O1475=0,"1-2",IF(O1475=1,3,"Mas de 3"))</f>
        <v>Mas de 3</v>
      </c>
      <c r="Q1475">
        <v>1</v>
      </c>
      <c r="R1475" t="str">
        <f t="shared" ref="R1475:R1538" si="608">IF(Q1475=0,"Nunca",IF(Q1475=1,"A veces",IF(Q1475=2,"Usualmente","Siempre")))</f>
        <v>A veces</v>
      </c>
      <c r="S1475">
        <v>0</v>
      </c>
      <c r="T1475" t="str">
        <f t="shared" ref="T1475:T1538" si="609">IF(S1475=1,"Fuma","No fuma")</f>
        <v>No fuma</v>
      </c>
      <c r="U1475">
        <v>1979833</v>
      </c>
      <c r="V1475">
        <f t="shared" ref="V1475:V1538" si="610">IF(U1475=1,U1475,IF(U1475=2,U1475,IF(AND(U1475&gt;=3,U1475&lt;3000000),2)))</f>
        <v>2</v>
      </c>
      <c r="W1475" t="str">
        <f t="shared" ref="W1475:W1538" si="611">IF(V1475=0,"Nunca",IF(V1475=1,"Usualmente","Siempre"))</f>
        <v>Siempre</v>
      </c>
      <c r="X1475">
        <v>0</v>
      </c>
      <c r="Y1475" t="str">
        <f t="shared" ref="Y1475:Y1538" si="612">IF(X1475=1,"Controla","No controla")</f>
        <v>No controla</v>
      </c>
      <c r="Z1475">
        <v>2.2598E-2</v>
      </c>
      <c r="AA1475">
        <f t="shared" ref="AA1475:AA1538" si="613">IF(Z1475=0,Z1475,IF(Z1475=1,Z1475,IF(Z1475=2,Z1475,IF(Z1475=3,Z1475,IF(AND(Z1475&gt;3,Z1475&lt;300000),2,IF(AND(Z1475&gt;300000,Z1475&lt;3000000),3,IF(AND(Z1475&gt;0,Z1475&lt;1),0)))))))</f>
        <v>0</v>
      </c>
      <c r="AB1475" t="str">
        <f t="shared" ref="AB1475:AB1538" si="614">IF(AA1475=0,"Nunca",IF(AA1475=1,"A veces",IF(AA1475=2,"Usualmente","Siempre")))</f>
        <v>Nunca</v>
      </c>
      <c r="AC1475">
        <v>6.1282000000000003E-2</v>
      </c>
      <c r="AD1475">
        <f t="shared" ref="AD1475:AD1538" si="615">IF(AC1475= 0,AC1475,IF(AC1475=1,AC1475,IF(AC1475=2,AC1475,IF(AND(AC1475&gt;2,AC1475&lt;200000),1,IF(AND(AC1475&gt;200000,AC1475&lt;2000000),2,IF(AND(AC1475&gt;0,AC1475&lt;1),0))))))</f>
        <v>0</v>
      </c>
      <c r="AE1475" t="str">
        <f t="shared" ref="AE1475:AE1538" si="616">IF(AD1475=0,"Nunca",IF(AD1475=1,"Usualmente","Siempre"))</f>
        <v>Nunca</v>
      </c>
      <c r="AF1475">
        <v>0</v>
      </c>
      <c r="AG1475" t="str">
        <f t="shared" ref="AG1475:AG1538" si="617">IF(AF1475=0,"Nunca",IF(AF1475=1,"A veces",IF(AF1475=2,"Usualmente","Siempre")))</f>
        <v>Nunca</v>
      </c>
      <c r="AH1475">
        <v>0</v>
      </c>
      <c r="AI1475" t="str">
        <f t="shared" ref="AI1475:AI1538" si="618">IF(AH1475=1,"Usa auto","No usa")</f>
        <v>No usa</v>
      </c>
      <c r="AJ1475">
        <v>0</v>
      </c>
      <c r="AK1475" t="str">
        <f t="shared" ref="AK1475:AK1538" si="619">IF(AJ1475=1,"Usa Bici","No usa")</f>
        <v>No usa</v>
      </c>
      <c r="AL1475">
        <v>0</v>
      </c>
      <c r="AM1475" t="str">
        <f t="shared" ref="AM1475:AM1538" si="620">IF(AL1475=1,"Usa Moto","No usa")</f>
        <v>No usa</v>
      </c>
      <c r="AN1475">
        <v>1</v>
      </c>
      <c r="AO1475" t="str">
        <f t="shared" ref="AO1475:AO1538" si="621">IF(AN1475=1,"Usa Transporte","No usa")</f>
        <v>Usa Transporte</v>
      </c>
      <c r="AP1475">
        <v>0</v>
      </c>
      <c r="AQ1475" t="str">
        <f t="shared" ref="AQ1475:AQ1538" si="622">IF(AP1475=1,"Camina","No camina")</f>
        <v>No camina</v>
      </c>
      <c r="AR1475">
        <v>1</v>
      </c>
      <c r="AS1475" t="str">
        <f t="shared" ref="AS1475:AS1538" si="623">IF(AR1475=1,"Es Obeso","No es obeso")</f>
        <v>Es Obeso</v>
      </c>
    </row>
    <row r="1476" spans="1:45" x14ac:dyDescent="0.25">
      <c r="A1476">
        <v>0</v>
      </c>
      <c r="B1476" t="str">
        <f t="shared" si="598"/>
        <v>F</v>
      </c>
      <c r="C1476">
        <v>22829681</v>
      </c>
      <c r="D1476">
        <f t="shared" si="599"/>
        <v>62</v>
      </c>
      <c r="E1476">
        <f t="shared" si="600"/>
        <v>62</v>
      </c>
      <c r="F1476" t="str">
        <f t="shared" si="601"/>
        <v>50-75</v>
      </c>
      <c r="G1476">
        <v>1</v>
      </c>
      <c r="H1476" t="str">
        <f t="shared" si="602"/>
        <v>Pariente gordo</v>
      </c>
      <c r="I1476">
        <v>1</v>
      </c>
      <c r="J1476" t="str">
        <f t="shared" si="603"/>
        <v>Hipercaloricos</v>
      </c>
      <c r="K1476">
        <v>2663866</v>
      </c>
      <c r="L1476">
        <f t="shared" si="604"/>
        <v>1</v>
      </c>
      <c r="M1476" t="str">
        <f t="shared" si="605"/>
        <v>Suele comer</v>
      </c>
      <c r="N1476">
        <v>1416309</v>
      </c>
      <c r="O1476">
        <f t="shared" si="606"/>
        <v>2</v>
      </c>
      <c r="P1476" t="str">
        <f t="shared" si="607"/>
        <v>Mas de 3</v>
      </c>
      <c r="Q1476">
        <v>1</v>
      </c>
      <c r="R1476" t="str">
        <f t="shared" si="608"/>
        <v>A veces</v>
      </c>
      <c r="S1476">
        <v>0</v>
      </c>
      <c r="T1476" t="str">
        <f t="shared" si="609"/>
        <v>No fuma</v>
      </c>
      <c r="U1476">
        <v>2379275</v>
      </c>
      <c r="V1476">
        <f t="shared" si="610"/>
        <v>2</v>
      </c>
      <c r="W1476" t="str">
        <f t="shared" si="611"/>
        <v>Siempre</v>
      </c>
      <c r="X1476">
        <v>0</v>
      </c>
      <c r="Y1476" t="str">
        <f t="shared" si="612"/>
        <v>No controla</v>
      </c>
      <c r="Z1476">
        <v>0.25632300000000002</v>
      </c>
      <c r="AA1476">
        <f t="shared" si="613"/>
        <v>0</v>
      </c>
      <c r="AB1476" t="str">
        <f t="shared" si="614"/>
        <v>Nunca</v>
      </c>
      <c r="AC1476">
        <v>0.598244</v>
      </c>
      <c r="AD1476">
        <f t="shared" si="615"/>
        <v>0</v>
      </c>
      <c r="AE1476" t="str">
        <f t="shared" si="616"/>
        <v>Nunca</v>
      </c>
      <c r="AF1476">
        <v>0</v>
      </c>
      <c r="AG1476" t="str">
        <f t="shared" si="617"/>
        <v>Nunca</v>
      </c>
      <c r="AH1476">
        <v>0</v>
      </c>
      <c r="AI1476" t="str">
        <f t="shared" si="618"/>
        <v>No usa</v>
      </c>
      <c r="AJ1476">
        <v>0</v>
      </c>
      <c r="AK1476" t="str">
        <f t="shared" si="619"/>
        <v>No usa</v>
      </c>
      <c r="AL1476">
        <v>0</v>
      </c>
      <c r="AM1476" t="str">
        <f t="shared" si="620"/>
        <v>No usa</v>
      </c>
      <c r="AN1476">
        <v>1</v>
      </c>
      <c r="AO1476" t="str">
        <f t="shared" si="621"/>
        <v>Usa Transporte</v>
      </c>
      <c r="AP1476">
        <v>0</v>
      </c>
      <c r="AQ1476" t="str">
        <f t="shared" si="622"/>
        <v>No camina</v>
      </c>
      <c r="AR1476">
        <v>1</v>
      </c>
      <c r="AS1476" t="str">
        <f t="shared" si="623"/>
        <v>Es Obeso</v>
      </c>
    </row>
    <row r="1477" spans="1:45" x14ac:dyDescent="0.25">
      <c r="A1477">
        <v>1</v>
      </c>
      <c r="B1477" t="str">
        <f t="shared" si="598"/>
        <v>M</v>
      </c>
      <c r="C1477">
        <v>22200779</v>
      </c>
      <c r="D1477">
        <f t="shared" si="599"/>
        <v>60</v>
      </c>
      <c r="E1477">
        <f t="shared" si="600"/>
        <v>60</v>
      </c>
      <c r="F1477" t="str">
        <f t="shared" si="601"/>
        <v>50-75</v>
      </c>
      <c r="G1477">
        <v>1</v>
      </c>
      <c r="H1477" t="str">
        <f t="shared" si="602"/>
        <v>Pariente gordo</v>
      </c>
      <c r="I1477">
        <v>1</v>
      </c>
      <c r="J1477" t="str">
        <f t="shared" si="603"/>
        <v>Hipercaloricos</v>
      </c>
      <c r="K1477">
        <v>2685484</v>
      </c>
      <c r="L1477">
        <f t="shared" si="604"/>
        <v>1</v>
      </c>
      <c r="M1477" t="str">
        <f t="shared" si="605"/>
        <v>Suele comer</v>
      </c>
      <c r="N1477">
        <v>3</v>
      </c>
      <c r="O1477">
        <f t="shared" si="606"/>
        <v>2</v>
      </c>
      <c r="P1477" t="str">
        <f t="shared" si="607"/>
        <v>Mas de 3</v>
      </c>
      <c r="Q1477">
        <v>1</v>
      </c>
      <c r="R1477" t="str">
        <f t="shared" si="608"/>
        <v>A veces</v>
      </c>
      <c r="S1477">
        <v>0</v>
      </c>
      <c r="T1477" t="str">
        <f t="shared" si="609"/>
        <v>No fuma</v>
      </c>
      <c r="U1477">
        <v>2649459</v>
      </c>
      <c r="V1477">
        <f t="shared" si="610"/>
        <v>2</v>
      </c>
      <c r="W1477" t="str">
        <f t="shared" si="611"/>
        <v>Siempre</v>
      </c>
      <c r="X1477">
        <v>0</v>
      </c>
      <c r="Y1477" t="str">
        <f t="shared" si="612"/>
        <v>No controla</v>
      </c>
      <c r="Z1477">
        <v>1</v>
      </c>
      <c r="AA1477">
        <f t="shared" si="613"/>
        <v>1</v>
      </c>
      <c r="AB1477" t="str">
        <f t="shared" si="614"/>
        <v>A veces</v>
      </c>
      <c r="AC1477">
        <v>0</v>
      </c>
      <c r="AD1477">
        <f t="shared" si="615"/>
        <v>0</v>
      </c>
      <c r="AE1477" t="str">
        <f t="shared" si="616"/>
        <v>Nunca</v>
      </c>
      <c r="AF1477">
        <v>1</v>
      </c>
      <c r="AG1477" t="str">
        <f t="shared" si="617"/>
        <v>A veces</v>
      </c>
      <c r="AH1477">
        <v>0</v>
      </c>
      <c r="AI1477" t="str">
        <f t="shared" si="618"/>
        <v>No usa</v>
      </c>
      <c r="AJ1477">
        <v>0</v>
      </c>
      <c r="AK1477" t="str">
        <f t="shared" si="619"/>
        <v>No usa</v>
      </c>
      <c r="AL1477">
        <v>0</v>
      </c>
      <c r="AM1477" t="str">
        <f t="shared" si="620"/>
        <v>No usa</v>
      </c>
      <c r="AN1477">
        <v>1</v>
      </c>
      <c r="AO1477" t="str">
        <f t="shared" si="621"/>
        <v>Usa Transporte</v>
      </c>
      <c r="AP1477">
        <v>0</v>
      </c>
      <c r="AQ1477" t="str">
        <f t="shared" si="622"/>
        <v>No camina</v>
      </c>
      <c r="AR1477">
        <v>1</v>
      </c>
      <c r="AS1477" t="str">
        <f t="shared" si="623"/>
        <v>Es Obeso</v>
      </c>
    </row>
    <row r="1478" spans="1:45" x14ac:dyDescent="0.25">
      <c r="A1478">
        <v>1</v>
      </c>
      <c r="B1478" t="str">
        <f t="shared" si="598"/>
        <v>M</v>
      </c>
      <c r="C1478">
        <v>21688557</v>
      </c>
      <c r="D1478">
        <f t="shared" si="599"/>
        <v>59</v>
      </c>
      <c r="E1478">
        <f t="shared" si="600"/>
        <v>59</v>
      </c>
      <c r="F1478" t="str">
        <f t="shared" si="601"/>
        <v>50-75</v>
      </c>
      <c r="G1478">
        <v>1</v>
      </c>
      <c r="H1478" t="str">
        <f t="shared" si="602"/>
        <v>Pariente gordo</v>
      </c>
      <c r="I1478">
        <v>1</v>
      </c>
      <c r="J1478" t="str">
        <f t="shared" si="603"/>
        <v>Hipercaloricos</v>
      </c>
      <c r="K1478">
        <v>2055209</v>
      </c>
      <c r="L1478">
        <f t="shared" si="604"/>
        <v>1</v>
      </c>
      <c r="M1478" t="str">
        <f t="shared" si="605"/>
        <v>Suele comer</v>
      </c>
      <c r="N1478">
        <v>3</v>
      </c>
      <c r="O1478">
        <f t="shared" si="606"/>
        <v>2</v>
      </c>
      <c r="P1478" t="str">
        <f t="shared" si="607"/>
        <v>Mas de 3</v>
      </c>
      <c r="Q1478">
        <v>1</v>
      </c>
      <c r="R1478" t="str">
        <f t="shared" si="608"/>
        <v>A veces</v>
      </c>
      <c r="S1478">
        <v>0</v>
      </c>
      <c r="T1478" t="str">
        <f t="shared" si="609"/>
        <v>No fuma</v>
      </c>
      <c r="U1478">
        <v>2885852</v>
      </c>
      <c r="V1478">
        <f t="shared" si="610"/>
        <v>2</v>
      </c>
      <c r="W1478" t="str">
        <f t="shared" si="611"/>
        <v>Siempre</v>
      </c>
      <c r="X1478">
        <v>0</v>
      </c>
      <c r="Y1478" t="str">
        <f t="shared" si="612"/>
        <v>No controla</v>
      </c>
      <c r="Z1478">
        <v>0.90336899999999998</v>
      </c>
      <c r="AA1478">
        <f t="shared" si="613"/>
        <v>0</v>
      </c>
      <c r="AB1478" t="str">
        <f t="shared" si="614"/>
        <v>Nunca</v>
      </c>
      <c r="AC1478">
        <v>0.14451</v>
      </c>
      <c r="AD1478">
        <f t="shared" si="615"/>
        <v>0</v>
      </c>
      <c r="AE1478" t="str">
        <f t="shared" si="616"/>
        <v>Nunca</v>
      </c>
      <c r="AF1478">
        <v>1</v>
      </c>
      <c r="AG1478" t="str">
        <f t="shared" si="617"/>
        <v>A veces</v>
      </c>
      <c r="AH1478">
        <v>0</v>
      </c>
      <c r="AI1478" t="str">
        <f t="shared" si="618"/>
        <v>No usa</v>
      </c>
      <c r="AJ1478">
        <v>0</v>
      </c>
      <c r="AK1478" t="str">
        <f t="shared" si="619"/>
        <v>No usa</v>
      </c>
      <c r="AL1478">
        <v>0</v>
      </c>
      <c r="AM1478" t="str">
        <f t="shared" si="620"/>
        <v>No usa</v>
      </c>
      <c r="AN1478">
        <v>1</v>
      </c>
      <c r="AO1478" t="str">
        <f t="shared" si="621"/>
        <v>Usa Transporte</v>
      </c>
      <c r="AP1478">
        <v>0</v>
      </c>
      <c r="AQ1478" t="str">
        <f t="shared" si="622"/>
        <v>No camina</v>
      </c>
      <c r="AR1478">
        <v>1</v>
      </c>
      <c r="AS1478" t="str">
        <f t="shared" si="623"/>
        <v>Es Obeso</v>
      </c>
    </row>
    <row r="1479" spans="1:45" x14ac:dyDescent="0.25">
      <c r="A1479">
        <v>1</v>
      </c>
      <c r="B1479" t="str">
        <f t="shared" si="598"/>
        <v>M</v>
      </c>
      <c r="C1479">
        <v>20803186</v>
      </c>
      <c r="D1479">
        <f t="shared" si="599"/>
        <v>56</v>
      </c>
      <c r="E1479">
        <f t="shared" si="600"/>
        <v>56</v>
      </c>
      <c r="F1479" t="str">
        <f t="shared" si="601"/>
        <v>50-75</v>
      </c>
      <c r="G1479">
        <v>1</v>
      </c>
      <c r="H1479" t="str">
        <f t="shared" si="602"/>
        <v>Pariente gordo</v>
      </c>
      <c r="I1479">
        <v>1</v>
      </c>
      <c r="J1479" t="str">
        <f t="shared" si="603"/>
        <v>Hipercaloricos</v>
      </c>
      <c r="K1479">
        <v>2</v>
      </c>
      <c r="L1479">
        <f t="shared" si="604"/>
        <v>1</v>
      </c>
      <c r="M1479" t="str">
        <f t="shared" si="605"/>
        <v>Suele comer</v>
      </c>
      <c r="N1479">
        <v>218162</v>
      </c>
      <c r="O1479">
        <f t="shared" si="606"/>
        <v>2</v>
      </c>
      <c r="P1479" t="str">
        <f t="shared" si="607"/>
        <v>Mas de 3</v>
      </c>
      <c r="Q1479">
        <v>1</v>
      </c>
      <c r="R1479" t="str">
        <f t="shared" si="608"/>
        <v>A veces</v>
      </c>
      <c r="S1479">
        <v>0</v>
      </c>
      <c r="T1479" t="str">
        <f t="shared" si="609"/>
        <v>No fuma</v>
      </c>
      <c r="U1479">
        <v>2325091</v>
      </c>
      <c r="V1479">
        <f t="shared" si="610"/>
        <v>2</v>
      </c>
      <c r="W1479" t="str">
        <f t="shared" si="611"/>
        <v>Siempre</v>
      </c>
      <c r="X1479">
        <v>0</v>
      </c>
      <c r="Y1479" t="str">
        <f t="shared" si="612"/>
        <v>No controla</v>
      </c>
      <c r="Z1479">
        <v>0.89144400000000001</v>
      </c>
      <c r="AA1479">
        <f t="shared" si="613"/>
        <v>0</v>
      </c>
      <c r="AB1479" t="str">
        <f t="shared" si="614"/>
        <v>Nunca</v>
      </c>
      <c r="AC1479">
        <v>1223661</v>
      </c>
      <c r="AD1479">
        <f t="shared" si="615"/>
        <v>2</v>
      </c>
      <c r="AE1479" t="str">
        <f t="shared" si="616"/>
        <v>Siempre</v>
      </c>
      <c r="AF1479">
        <v>1</v>
      </c>
      <c r="AG1479" t="str">
        <f t="shared" si="617"/>
        <v>A veces</v>
      </c>
      <c r="AH1479">
        <v>0</v>
      </c>
      <c r="AI1479" t="str">
        <f t="shared" si="618"/>
        <v>No usa</v>
      </c>
      <c r="AJ1479">
        <v>0</v>
      </c>
      <c r="AK1479" t="str">
        <f t="shared" si="619"/>
        <v>No usa</v>
      </c>
      <c r="AL1479">
        <v>0</v>
      </c>
      <c r="AM1479" t="str">
        <f t="shared" si="620"/>
        <v>No usa</v>
      </c>
      <c r="AN1479">
        <v>1</v>
      </c>
      <c r="AO1479" t="str">
        <f t="shared" si="621"/>
        <v>Usa Transporte</v>
      </c>
      <c r="AP1479">
        <v>0</v>
      </c>
      <c r="AQ1479" t="str">
        <f t="shared" si="622"/>
        <v>No camina</v>
      </c>
      <c r="AR1479">
        <v>1</v>
      </c>
      <c r="AS1479" t="str">
        <f t="shared" si="623"/>
        <v>Es Obeso</v>
      </c>
    </row>
    <row r="1480" spans="1:45" x14ac:dyDescent="0.25">
      <c r="A1480">
        <v>1</v>
      </c>
      <c r="B1480" t="str">
        <f t="shared" si="598"/>
        <v>M</v>
      </c>
      <c r="C1480">
        <v>19515324</v>
      </c>
      <c r="D1480">
        <f t="shared" si="599"/>
        <v>53</v>
      </c>
      <c r="E1480">
        <f t="shared" si="600"/>
        <v>53</v>
      </c>
      <c r="F1480" t="str">
        <f t="shared" si="601"/>
        <v>50-75</v>
      </c>
      <c r="G1480">
        <v>1</v>
      </c>
      <c r="H1480" t="str">
        <f t="shared" si="602"/>
        <v>Pariente gordo</v>
      </c>
      <c r="I1480">
        <v>1</v>
      </c>
      <c r="J1480" t="str">
        <f t="shared" si="603"/>
        <v>Hipercaloricos</v>
      </c>
      <c r="K1480">
        <v>2</v>
      </c>
      <c r="L1480">
        <f t="shared" si="604"/>
        <v>1</v>
      </c>
      <c r="M1480" t="str">
        <f t="shared" si="605"/>
        <v>Suele comer</v>
      </c>
      <c r="N1480">
        <v>2152733</v>
      </c>
      <c r="O1480">
        <f t="shared" si="606"/>
        <v>2</v>
      </c>
      <c r="P1480" t="str">
        <f t="shared" si="607"/>
        <v>Mas de 3</v>
      </c>
      <c r="Q1480">
        <v>1</v>
      </c>
      <c r="R1480" t="str">
        <f t="shared" si="608"/>
        <v>A veces</v>
      </c>
      <c r="S1480">
        <v>0</v>
      </c>
      <c r="T1480" t="str">
        <f t="shared" si="609"/>
        <v>No fuma</v>
      </c>
      <c r="U1480">
        <v>253369</v>
      </c>
      <c r="V1480">
        <f t="shared" si="610"/>
        <v>2</v>
      </c>
      <c r="W1480" t="str">
        <f t="shared" si="611"/>
        <v>Siempre</v>
      </c>
      <c r="X1480">
        <v>0</v>
      </c>
      <c r="Y1480" t="str">
        <f t="shared" si="612"/>
        <v>No controla</v>
      </c>
      <c r="Z1480">
        <v>0.91756300000000002</v>
      </c>
      <c r="AA1480">
        <f t="shared" si="613"/>
        <v>0</v>
      </c>
      <c r="AB1480" t="str">
        <f t="shared" si="614"/>
        <v>Nunca</v>
      </c>
      <c r="AC1480">
        <v>1285838</v>
      </c>
      <c r="AD1480">
        <f t="shared" si="615"/>
        <v>2</v>
      </c>
      <c r="AE1480" t="str">
        <f t="shared" si="616"/>
        <v>Siempre</v>
      </c>
      <c r="AF1480">
        <v>1</v>
      </c>
      <c r="AG1480" t="str">
        <f t="shared" si="617"/>
        <v>A veces</v>
      </c>
      <c r="AH1480">
        <v>0</v>
      </c>
      <c r="AI1480" t="str">
        <f t="shared" si="618"/>
        <v>No usa</v>
      </c>
      <c r="AJ1480">
        <v>0</v>
      </c>
      <c r="AK1480" t="str">
        <f t="shared" si="619"/>
        <v>No usa</v>
      </c>
      <c r="AL1480">
        <v>0</v>
      </c>
      <c r="AM1480" t="str">
        <f t="shared" si="620"/>
        <v>No usa</v>
      </c>
      <c r="AN1480">
        <v>1</v>
      </c>
      <c r="AO1480" t="str">
        <f t="shared" si="621"/>
        <v>Usa Transporte</v>
      </c>
      <c r="AP1480">
        <v>0</v>
      </c>
      <c r="AQ1480" t="str">
        <f t="shared" si="622"/>
        <v>No camina</v>
      </c>
      <c r="AR1480">
        <v>1</v>
      </c>
      <c r="AS1480" t="str">
        <f t="shared" si="623"/>
        <v>Es Obeso</v>
      </c>
    </row>
    <row r="1481" spans="1:45" x14ac:dyDescent="0.25">
      <c r="A1481">
        <v>1</v>
      </c>
      <c r="B1481" t="str">
        <f t="shared" si="598"/>
        <v>M</v>
      </c>
      <c r="C1481">
        <v>21962219</v>
      </c>
      <c r="D1481">
        <f t="shared" si="599"/>
        <v>60</v>
      </c>
      <c r="E1481">
        <f t="shared" si="600"/>
        <v>60</v>
      </c>
      <c r="F1481" t="str">
        <f t="shared" si="601"/>
        <v>50-75</v>
      </c>
      <c r="G1481">
        <v>1</v>
      </c>
      <c r="H1481" t="str">
        <f t="shared" si="602"/>
        <v>Pariente gordo</v>
      </c>
      <c r="I1481">
        <v>1</v>
      </c>
      <c r="J1481" t="str">
        <f t="shared" si="603"/>
        <v>Hipercaloricos</v>
      </c>
      <c r="K1481">
        <v>2</v>
      </c>
      <c r="L1481">
        <f t="shared" si="604"/>
        <v>1</v>
      </c>
      <c r="M1481" t="str">
        <f t="shared" si="605"/>
        <v>Suele comer</v>
      </c>
      <c r="N1481">
        <v>3</v>
      </c>
      <c r="O1481">
        <f t="shared" si="606"/>
        <v>2</v>
      </c>
      <c r="P1481" t="str">
        <f t="shared" si="607"/>
        <v>Mas de 3</v>
      </c>
      <c r="Q1481">
        <v>1</v>
      </c>
      <c r="R1481" t="str">
        <f t="shared" si="608"/>
        <v>A veces</v>
      </c>
      <c r="S1481">
        <v>0</v>
      </c>
      <c r="T1481" t="str">
        <f t="shared" si="609"/>
        <v>No fuma</v>
      </c>
      <c r="U1481">
        <v>3</v>
      </c>
      <c r="V1481">
        <f t="shared" si="610"/>
        <v>2</v>
      </c>
      <c r="W1481" t="str">
        <f t="shared" si="611"/>
        <v>Siempre</v>
      </c>
      <c r="X1481">
        <v>0</v>
      </c>
      <c r="Y1481" t="str">
        <f t="shared" si="612"/>
        <v>No controla</v>
      </c>
      <c r="Z1481">
        <v>0.74359299999999995</v>
      </c>
      <c r="AA1481">
        <f t="shared" si="613"/>
        <v>0</v>
      </c>
      <c r="AB1481" t="str">
        <f t="shared" si="614"/>
        <v>Nunca</v>
      </c>
      <c r="AC1481">
        <v>1</v>
      </c>
      <c r="AD1481">
        <f t="shared" si="615"/>
        <v>1</v>
      </c>
      <c r="AE1481" t="str">
        <f t="shared" si="616"/>
        <v>Usualmente</v>
      </c>
      <c r="AF1481">
        <v>1</v>
      </c>
      <c r="AG1481" t="str">
        <f t="shared" si="617"/>
        <v>A veces</v>
      </c>
      <c r="AH1481">
        <v>0</v>
      </c>
      <c r="AI1481" t="str">
        <f t="shared" si="618"/>
        <v>No usa</v>
      </c>
      <c r="AJ1481">
        <v>0</v>
      </c>
      <c r="AK1481" t="str">
        <f t="shared" si="619"/>
        <v>No usa</v>
      </c>
      <c r="AL1481">
        <v>0</v>
      </c>
      <c r="AM1481" t="str">
        <f t="shared" si="620"/>
        <v>No usa</v>
      </c>
      <c r="AN1481">
        <v>1</v>
      </c>
      <c r="AO1481" t="str">
        <f t="shared" si="621"/>
        <v>Usa Transporte</v>
      </c>
      <c r="AP1481">
        <v>0</v>
      </c>
      <c r="AQ1481" t="str">
        <f t="shared" si="622"/>
        <v>No camina</v>
      </c>
      <c r="AR1481">
        <v>1</v>
      </c>
      <c r="AS1481" t="str">
        <f t="shared" si="623"/>
        <v>Es Obeso</v>
      </c>
    </row>
    <row r="1482" spans="1:45" x14ac:dyDescent="0.25">
      <c r="A1482">
        <v>1</v>
      </c>
      <c r="B1482" t="str">
        <f t="shared" si="598"/>
        <v>M</v>
      </c>
      <c r="C1482">
        <v>20534089</v>
      </c>
      <c r="D1482">
        <f t="shared" si="599"/>
        <v>56</v>
      </c>
      <c r="E1482">
        <f t="shared" si="600"/>
        <v>56</v>
      </c>
      <c r="F1482" t="str">
        <f t="shared" si="601"/>
        <v>50-75</v>
      </c>
      <c r="G1482">
        <v>1</v>
      </c>
      <c r="H1482" t="str">
        <f t="shared" si="602"/>
        <v>Pariente gordo</v>
      </c>
      <c r="I1482">
        <v>1</v>
      </c>
      <c r="J1482" t="str">
        <f t="shared" si="603"/>
        <v>Hipercaloricos</v>
      </c>
      <c r="K1482">
        <v>2</v>
      </c>
      <c r="L1482">
        <f t="shared" si="604"/>
        <v>1</v>
      </c>
      <c r="M1482" t="str">
        <f t="shared" si="605"/>
        <v>Suele comer</v>
      </c>
      <c r="N1482">
        <v>3</v>
      </c>
      <c r="O1482">
        <f t="shared" si="606"/>
        <v>2</v>
      </c>
      <c r="P1482" t="str">
        <f t="shared" si="607"/>
        <v>Mas de 3</v>
      </c>
      <c r="Q1482">
        <v>1</v>
      </c>
      <c r="R1482" t="str">
        <f t="shared" si="608"/>
        <v>A veces</v>
      </c>
      <c r="S1482">
        <v>0</v>
      </c>
      <c r="T1482" t="str">
        <f t="shared" si="609"/>
        <v>No fuma</v>
      </c>
      <c r="U1482">
        <v>3</v>
      </c>
      <c r="V1482">
        <f t="shared" si="610"/>
        <v>2</v>
      </c>
      <c r="W1482" t="str">
        <f t="shared" si="611"/>
        <v>Siempre</v>
      </c>
      <c r="X1482">
        <v>0</v>
      </c>
      <c r="Y1482" t="str">
        <f t="shared" si="612"/>
        <v>No controla</v>
      </c>
      <c r="Z1482">
        <v>0.987591</v>
      </c>
      <c r="AA1482">
        <f t="shared" si="613"/>
        <v>0</v>
      </c>
      <c r="AB1482" t="str">
        <f t="shared" si="614"/>
        <v>Nunca</v>
      </c>
      <c r="AC1482">
        <v>1914531</v>
      </c>
      <c r="AD1482">
        <f t="shared" si="615"/>
        <v>2</v>
      </c>
      <c r="AE1482" t="str">
        <f t="shared" si="616"/>
        <v>Siempre</v>
      </c>
      <c r="AF1482">
        <v>1</v>
      </c>
      <c r="AG1482" t="str">
        <f t="shared" si="617"/>
        <v>A veces</v>
      </c>
      <c r="AH1482">
        <v>0</v>
      </c>
      <c r="AI1482" t="str">
        <f t="shared" si="618"/>
        <v>No usa</v>
      </c>
      <c r="AJ1482">
        <v>0</v>
      </c>
      <c r="AK1482" t="str">
        <f t="shared" si="619"/>
        <v>No usa</v>
      </c>
      <c r="AL1482">
        <v>0</v>
      </c>
      <c r="AM1482" t="str">
        <f t="shared" si="620"/>
        <v>No usa</v>
      </c>
      <c r="AN1482">
        <v>1</v>
      </c>
      <c r="AO1482" t="str">
        <f t="shared" si="621"/>
        <v>Usa Transporte</v>
      </c>
      <c r="AP1482">
        <v>0</v>
      </c>
      <c r="AQ1482" t="str">
        <f t="shared" si="622"/>
        <v>No camina</v>
      </c>
      <c r="AR1482">
        <v>1</v>
      </c>
      <c r="AS1482" t="str">
        <f t="shared" si="623"/>
        <v>Es Obeso</v>
      </c>
    </row>
    <row r="1483" spans="1:45" x14ac:dyDescent="0.25">
      <c r="A1483">
        <v>0</v>
      </c>
      <c r="B1483" t="str">
        <f t="shared" si="598"/>
        <v>F</v>
      </c>
      <c r="C1483">
        <v>3929266</v>
      </c>
      <c r="D1483">
        <f t="shared" si="599"/>
        <v>10</v>
      </c>
      <c r="E1483">
        <f t="shared" si="600"/>
        <v>10</v>
      </c>
      <c r="F1483" t="str">
        <f t="shared" si="601"/>
        <v>1-25</v>
      </c>
      <c r="G1483">
        <v>1</v>
      </c>
      <c r="H1483" t="str">
        <f t="shared" si="602"/>
        <v>Pariente gordo</v>
      </c>
      <c r="I1483">
        <v>1</v>
      </c>
      <c r="J1483" t="str">
        <f t="shared" si="603"/>
        <v>Hipercaloricos</v>
      </c>
      <c r="K1483">
        <v>2025479</v>
      </c>
      <c r="L1483">
        <f t="shared" si="604"/>
        <v>1</v>
      </c>
      <c r="M1483" t="str">
        <f t="shared" si="605"/>
        <v>Suele comer</v>
      </c>
      <c r="N1483">
        <v>1046144</v>
      </c>
      <c r="O1483">
        <f t="shared" si="606"/>
        <v>2</v>
      </c>
      <c r="P1483" t="str">
        <f t="shared" si="607"/>
        <v>Mas de 3</v>
      </c>
      <c r="Q1483">
        <v>1</v>
      </c>
      <c r="R1483" t="str">
        <f t="shared" si="608"/>
        <v>A veces</v>
      </c>
      <c r="S1483">
        <v>0</v>
      </c>
      <c r="T1483" t="str">
        <f t="shared" si="609"/>
        <v>No fuma</v>
      </c>
      <c r="U1483">
        <v>1941224</v>
      </c>
      <c r="V1483">
        <f t="shared" si="610"/>
        <v>2</v>
      </c>
      <c r="W1483" t="str">
        <f t="shared" si="611"/>
        <v>Siempre</v>
      </c>
      <c r="X1483">
        <v>0</v>
      </c>
      <c r="Y1483" t="str">
        <f t="shared" si="612"/>
        <v>No controla</v>
      </c>
      <c r="Z1483">
        <v>1983265</v>
      </c>
      <c r="AA1483">
        <f t="shared" si="613"/>
        <v>3</v>
      </c>
      <c r="AB1483" t="str">
        <f t="shared" si="614"/>
        <v>Siempre</v>
      </c>
      <c r="AC1483">
        <v>0</v>
      </c>
      <c r="AD1483">
        <f t="shared" si="615"/>
        <v>0</v>
      </c>
      <c r="AE1483" t="str">
        <f t="shared" si="616"/>
        <v>Nunca</v>
      </c>
      <c r="AF1483">
        <v>1</v>
      </c>
      <c r="AG1483" t="str">
        <f t="shared" si="617"/>
        <v>A veces</v>
      </c>
      <c r="AH1483">
        <v>1</v>
      </c>
      <c r="AI1483" t="str">
        <f t="shared" si="618"/>
        <v>Usa auto</v>
      </c>
      <c r="AJ1483">
        <v>0</v>
      </c>
      <c r="AK1483" t="str">
        <f t="shared" si="619"/>
        <v>No usa</v>
      </c>
      <c r="AL1483">
        <v>0</v>
      </c>
      <c r="AM1483" t="str">
        <f t="shared" si="620"/>
        <v>No usa</v>
      </c>
      <c r="AN1483">
        <v>0</v>
      </c>
      <c r="AO1483" t="str">
        <f t="shared" si="621"/>
        <v>No usa</v>
      </c>
      <c r="AP1483">
        <v>0</v>
      </c>
      <c r="AQ1483" t="str">
        <f t="shared" si="622"/>
        <v>No camina</v>
      </c>
      <c r="AR1483">
        <v>1</v>
      </c>
      <c r="AS1483" t="str">
        <f t="shared" si="623"/>
        <v>Es Obeso</v>
      </c>
    </row>
    <row r="1484" spans="1:45" x14ac:dyDescent="0.25">
      <c r="A1484">
        <v>0</v>
      </c>
      <c r="B1484" t="str">
        <f t="shared" si="598"/>
        <v>F</v>
      </c>
      <c r="C1484">
        <v>37872971</v>
      </c>
      <c r="D1484">
        <f t="shared" si="599"/>
        <v>103</v>
      </c>
      <c r="E1484">
        <f t="shared" si="600"/>
        <v>100</v>
      </c>
      <c r="F1484" t="str">
        <f t="shared" si="601"/>
        <v>75-100</v>
      </c>
      <c r="G1484">
        <v>1</v>
      </c>
      <c r="H1484" t="str">
        <f t="shared" si="602"/>
        <v>Pariente gordo</v>
      </c>
      <c r="I1484">
        <v>1</v>
      </c>
      <c r="J1484" t="str">
        <f t="shared" si="603"/>
        <v>Hipercaloricos</v>
      </c>
      <c r="K1484">
        <v>2002564</v>
      </c>
      <c r="L1484">
        <f t="shared" si="604"/>
        <v>1</v>
      </c>
      <c r="M1484" t="str">
        <f t="shared" si="605"/>
        <v>Suele comer</v>
      </c>
      <c r="N1484">
        <v>1974233</v>
      </c>
      <c r="O1484">
        <f t="shared" si="606"/>
        <v>2</v>
      </c>
      <c r="P1484" t="str">
        <f t="shared" si="607"/>
        <v>Mas de 3</v>
      </c>
      <c r="Q1484">
        <v>1</v>
      </c>
      <c r="R1484" t="str">
        <f t="shared" si="608"/>
        <v>A veces</v>
      </c>
      <c r="S1484">
        <v>0</v>
      </c>
      <c r="T1484" t="str">
        <f t="shared" si="609"/>
        <v>No fuma</v>
      </c>
      <c r="U1484">
        <v>1935398</v>
      </c>
      <c r="V1484">
        <f t="shared" si="610"/>
        <v>2</v>
      </c>
      <c r="W1484" t="str">
        <f t="shared" si="611"/>
        <v>Siempre</v>
      </c>
      <c r="X1484">
        <v>0</v>
      </c>
      <c r="Y1484" t="str">
        <f t="shared" si="612"/>
        <v>No controla</v>
      </c>
      <c r="Z1484">
        <v>1649299</v>
      </c>
      <c r="AA1484">
        <f t="shared" si="613"/>
        <v>3</v>
      </c>
      <c r="AB1484" t="str">
        <f t="shared" si="614"/>
        <v>Siempre</v>
      </c>
      <c r="AC1484">
        <v>0</v>
      </c>
      <c r="AD1484">
        <f t="shared" si="615"/>
        <v>0</v>
      </c>
      <c r="AE1484" t="str">
        <f t="shared" si="616"/>
        <v>Nunca</v>
      </c>
      <c r="AF1484">
        <v>1</v>
      </c>
      <c r="AG1484" t="str">
        <f t="shared" si="617"/>
        <v>A veces</v>
      </c>
      <c r="AH1484">
        <v>1</v>
      </c>
      <c r="AI1484" t="str">
        <f t="shared" si="618"/>
        <v>Usa auto</v>
      </c>
      <c r="AJ1484">
        <v>0</v>
      </c>
      <c r="AK1484" t="str">
        <f t="shared" si="619"/>
        <v>No usa</v>
      </c>
      <c r="AL1484">
        <v>0</v>
      </c>
      <c r="AM1484" t="str">
        <f t="shared" si="620"/>
        <v>No usa</v>
      </c>
      <c r="AN1484">
        <v>0</v>
      </c>
      <c r="AO1484" t="str">
        <f t="shared" si="621"/>
        <v>No usa</v>
      </c>
      <c r="AP1484">
        <v>0</v>
      </c>
      <c r="AQ1484" t="str">
        <f t="shared" si="622"/>
        <v>No camina</v>
      </c>
      <c r="AR1484">
        <v>1</v>
      </c>
      <c r="AS1484" t="str">
        <f t="shared" si="623"/>
        <v>Es Obeso</v>
      </c>
    </row>
    <row r="1485" spans="1:45" x14ac:dyDescent="0.25">
      <c r="A1485">
        <v>0</v>
      </c>
      <c r="B1485" t="str">
        <f t="shared" si="598"/>
        <v>F</v>
      </c>
      <c r="C1485">
        <v>37613378</v>
      </c>
      <c r="D1485">
        <f t="shared" si="599"/>
        <v>103</v>
      </c>
      <c r="E1485">
        <f t="shared" si="600"/>
        <v>100</v>
      </c>
      <c r="F1485" t="str">
        <f t="shared" si="601"/>
        <v>75-100</v>
      </c>
      <c r="G1485">
        <v>1</v>
      </c>
      <c r="H1485" t="str">
        <f t="shared" si="602"/>
        <v>Pariente gordo</v>
      </c>
      <c r="I1485">
        <v>1</v>
      </c>
      <c r="J1485" t="str">
        <f t="shared" si="603"/>
        <v>Hipercaloricos</v>
      </c>
      <c r="K1485">
        <v>2</v>
      </c>
      <c r="L1485">
        <f t="shared" si="604"/>
        <v>1</v>
      </c>
      <c r="M1485" t="str">
        <f t="shared" si="605"/>
        <v>Suele comer</v>
      </c>
      <c r="N1485">
        <v>2880794</v>
      </c>
      <c r="O1485">
        <f t="shared" si="606"/>
        <v>2</v>
      </c>
      <c r="P1485" t="str">
        <f t="shared" si="607"/>
        <v>Mas de 3</v>
      </c>
      <c r="Q1485">
        <v>1</v>
      </c>
      <c r="R1485" t="str">
        <f t="shared" si="608"/>
        <v>A veces</v>
      </c>
      <c r="S1485">
        <v>0</v>
      </c>
      <c r="T1485" t="str">
        <f t="shared" si="609"/>
        <v>No fuma</v>
      </c>
      <c r="U1485">
        <v>161837</v>
      </c>
      <c r="V1485">
        <f t="shared" si="610"/>
        <v>2</v>
      </c>
      <c r="W1485" t="str">
        <f t="shared" si="611"/>
        <v>Siempre</v>
      </c>
      <c r="X1485">
        <v>0</v>
      </c>
      <c r="Y1485" t="str">
        <f t="shared" si="612"/>
        <v>No controla</v>
      </c>
      <c r="Z1485">
        <v>0.12016499999999999</v>
      </c>
      <c r="AA1485">
        <f t="shared" si="613"/>
        <v>0</v>
      </c>
      <c r="AB1485" t="str">
        <f t="shared" si="614"/>
        <v>Nunca</v>
      </c>
      <c r="AC1485">
        <v>0</v>
      </c>
      <c r="AD1485">
        <f t="shared" si="615"/>
        <v>0</v>
      </c>
      <c r="AE1485" t="str">
        <f t="shared" si="616"/>
        <v>Nunca</v>
      </c>
      <c r="AF1485">
        <v>1</v>
      </c>
      <c r="AG1485" t="str">
        <f t="shared" si="617"/>
        <v>A veces</v>
      </c>
      <c r="AH1485">
        <v>1</v>
      </c>
      <c r="AI1485" t="str">
        <f t="shared" si="618"/>
        <v>Usa auto</v>
      </c>
      <c r="AJ1485">
        <v>0</v>
      </c>
      <c r="AK1485" t="str">
        <f t="shared" si="619"/>
        <v>No usa</v>
      </c>
      <c r="AL1485">
        <v>0</v>
      </c>
      <c r="AM1485" t="str">
        <f t="shared" si="620"/>
        <v>No usa</v>
      </c>
      <c r="AN1485">
        <v>0</v>
      </c>
      <c r="AO1485" t="str">
        <f t="shared" si="621"/>
        <v>No usa</v>
      </c>
      <c r="AP1485">
        <v>0</v>
      </c>
      <c r="AQ1485" t="str">
        <f t="shared" si="622"/>
        <v>No camina</v>
      </c>
      <c r="AR1485">
        <v>1</v>
      </c>
      <c r="AS1485" t="str">
        <f t="shared" si="623"/>
        <v>Es Obeso</v>
      </c>
    </row>
    <row r="1486" spans="1:45" x14ac:dyDescent="0.25">
      <c r="A1486">
        <v>0</v>
      </c>
      <c r="B1486" t="str">
        <f t="shared" si="598"/>
        <v>F</v>
      </c>
      <c r="C1486">
        <v>37471683</v>
      </c>
      <c r="D1486">
        <f t="shared" si="599"/>
        <v>102</v>
      </c>
      <c r="E1486">
        <f t="shared" si="600"/>
        <v>100</v>
      </c>
      <c r="F1486" t="str">
        <f t="shared" si="601"/>
        <v>75-100</v>
      </c>
      <c r="G1486">
        <v>1</v>
      </c>
      <c r="H1486" t="str">
        <f t="shared" si="602"/>
        <v>Pariente gordo</v>
      </c>
      <c r="I1486">
        <v>1</v>
      </c>
      <c r="J1486" t="str">
        <f t="shared" si="603"/>
        <v>Hipercaloricos</v>
      </c>
      <c r="K1486">
        <v>2</v>
      </c>
      <c r="L1486">
        <f t="shared" si="604"/>
        <v>1</v>
      </c>
      <c r="M1486" t="str">
        <f t="shared" si="605"/>
        <v>Suele comer</v>
      </c>
      <c r="N1486">
        <v>2765213</v>
      </c>
      <c r="O1486">
        <f t="shared" si="606"/>
        <v>2</v>
      </c>
      <c r="P1486" t="str">
        <f t="shared" si="607"/>
        <v>Mas de 3</v>
      </c>
      <c r="Q1486">
        <v>1</v>
      </c>
      <c r="R1486" t="str">
        <f t="shared" si="608"/>
        <v>A veces</v>
      </c>
      <c r="S1486">
        <v>0</v>
      </c>
      <c r="T1486" t="str">
        <f t="shared" si="609"/>
        <v>No fuma</v>
      </c>
      <c r="U1486">
        <v>1551266</v>
      </c>
      <c r="V1486">
        <f t="shared" si="610"/>
        <v>2</v>
      </c>
      <c r="W1486" t="str">
        <f t="shared" si="611"/>
        <v>Siempre</v>
      </c>
      <c r="X1486">
        <v>0</v>
      </c>
      <c r="Y1486" t="str">
        <f t="shared" si="612"/>
        <v>No controla</v>
      </c>
      <c r="Z1486">
        <v>1350001</v>
      </c>
      <c r="AA1486">
        <f t="shared" si="613"/>
        <v>3</v>
      </c>
      <c r="AB1486" t="str">
        <f t="shared" si="614"/>
        <v>Siempre</v>
      </c>
      <c r="AC1486">
        <v>0</v>
      </c>
      <c r="AD1486">
        <f t="shared" si="615"/>
        <v>0</v>
      </c>
      <c r="AE1486" t="str">
        <f t="shared" si="616"/>
        <v>Nunca</v>
      </c>
      <c r="AF1486">
        <v>1</v>
      </c>
      <c r="AG1486" t="str">
        <f t="shared" si="617"/>
        <v>A veces</v>
      </c>
      <c r="AH1486">
        <v>1</v>
      </c>
      <c r="AI1486" t="str">
        <f t="shared" si="618"/>
        <v>Usa auto</v>
      </c>
      <c r="AJ1486">
        <v>0</v>
      </c>
      <c r="AK1486" t="str">
        <f t="shared" si="619"/>
        <v>No usa</v>
      </c>
      <c r="AL1486">
        <v>0</v>
      </c>
      <c r="AM1486" t="str">
        <f t="shared" si="620"/>
        <v>No usa</v>
      </c>
      <c r="AN1486">
        <v>0</v>
      </c>
      <c r="AO1486" t="str">
        <f t="shared" si="621"/>
        <v>No usa</v>
      </c>
      <c r="AP1486">
        <v>0</v>
      </c>
      <c r="AQ1486" t="str">
        <f t="shared" si="622"/>
        <v>No camina</v>
      </c>
      <c r="AR1486">
        <v>1</v>
      </c>
      <c r="AS1486" t="str">
        <f t="shared" si="623"/>
        <v>Es Obeso</v>
      </c>
    </row>
    <row r="1487" spans="1:45" x14ac:dyDescent="0.25">
      <c r="A1487">
        <v>1</v>
      </c>
      <c r="B1487" t="str">
        <f t="shared" si="598"/>
        <v>M</v>
      </c>
      <c r="C1487">
        <v>18611197</v>
      </c>
      <c r="D1487">
        <f t="shared" si="599"/>
        <v>50</v>
      </c>
      <c r="E1487">
        <f t="shared" si="600"/>
        <v>50</v>
      </c>
      <c r="F1487" t="str">
        <f t="shared" si="601"/>
        <v>25-50</v>
      </c>
      <c r="G1487">
        <v>1</v>
      </c>
      <c r="H1487" t="str">
        <f t="shared" si="602"/>
        <v>Pariente gordo</v>
      </c>
      <c r="I1487">
        <v>1</v>
      </c>
      <c r="J1487" t="str">
        <f t="shared" si="603"/>
        <v>Hipercaloricos</v>
      </c>
      <c r="K1487">
        <v>2</v>
      </c>
      <c r="L1487">
        <f t="shared" si="604"/>
        <v>1</v>
      </c>
      <c r="M1487" t="str">
        <f t="shared" si="605"/>
        <v>Suele comer</v>
      </c>
      <c r="N1487">
        <v>2967089</v>
      </c>
      <c r="O1487">
        <f t="shared" si="606"/>
        <v>2</v>
      </c>
      <c r="P1487" t="str">
        <f t="shared" si="607"/>
        <v>Mas de 3</v>
      </c>
      <c r="Q1487">
        <v>1</v>
      </c>
      <c r="R1487" t="str">
        <f t="shared" si="608"/>
        <v>A veces</v>
      </c>
      <c r="S1487">
        <v>0</v>
      </c>
      <c r="T1487" t="str">
        <f t="shared" si="609"/>
        <v>No fuma</v>
      </c>
      <c r="U1487">
        <v>2</v>
      </c>
      <c r="V1487">
        <f t="shared" si="610"/>
        <v>2</v>
      </c>
      <c r="W1487" t="str">
        <f t="shared" si="611"/>
        <v>Siempre</v>
      </c>
      <c r="X1487">
        <v>0</v>
      </c>
      <c r="Y1487" t="str">
        <f t="shared" si="612"/>
        <v>No controla</v>
      </c>
      <c r="Z1487">
        <v>0</v>
      </c>
      <c r="AA1487">
        <f t="shared" si="613"/>
        <v>0</v>
      </c>
      <c r="AB1487" t="str">
        <f t="shared" si="614"/>
        <v>Nunca</v>
      </c>
      <c r="AC1487">
        <v>0.46704800000000002</v>
      </c>
      <c r="AD1487">
        <f t="shared" si="615"/>
        <v>0</v>
      </c>
      <c r="AE1487" t="str">
        <f t="shared" si="616"/>
        <v>Nunca</v>
      </c>
      <c r="AF1487">
        <v>0</v>
      </c>
      <c r="AG1487" t="str">
        <f t="shared" si="617"/>
        <v>Nunca</v>
      </c>
      <c r="AH1487">
        <v>0</v>
      </c>
      <c r="AI1487" t="str">
        <f t="shared" si="618"/>
        <v>No usa</v>
      </c>
      <c r="AJ1487">
        <v>0</v>
      </c>
      <c r="AK1487" t="str">
        <f t="shared" si="619"/>
        <v>No usa</v>
      </c>
      <c r="AL1487">
        <v>0</v>
      </c>
      <c r="AM1487" t="str">
        <f t="shared" si="620"/>
        <v>No usa</v>
      </c>
      <c r="AN1487">
        <v>1</v>
      </c>
      <c r="AO1487" t="str">
        <f t="shared" si="621"/>
        <v>Usa Transporte</v>
      </c>
      <c r="AP1487">
        <v>0</v>
      </c>
      <c r="AQ1487" t="str">
        <f t="shared" si="622"/>
        <v>No camina</v>
      </c>
      <c r="AR1487">
        <v>1</v>
      </c>
      <c r="AS1487" t="str">
        <f t="shared" si="623"/>
        <v>Es Obeso</v>
      </c>
    </row>
    <row r="1488" spans="1:45" x14ac:dyDescent="0.25">
      <c r="A1488">
        <v>1</v>
      </c>
      <c r="B1488" t="str">
        <f t="shared" si="598"/>
        <v>M</v>
      </c>
      <c r="C1488">
        <v>17412629</v>
      </c>
      <c r="D1488">
        <f t="shared" si="599"/>
        <v>47</v>
      </c>
      <c r="E1488">
        <f t="shared" si="600"/>
        <v>47</v>
      </c>
      <c r="F1488" t="str">
        <f t="shared" si="601"/>
        <v>25-50</v>
      </c>
      <c r="G1488">
        <v>1</v>
      </c>
      <c r="H1488" t="str">
        <f t="shared" si="602"/>
        <v>Pariente gordo</v>
      </c>
      <c r="I1488">
        <v>1</v>
      </c>
      <c r="J1488" t="str">
        <f t="shared" si="603"/>
        <v>Hipercaloricos</v>
      </c>
      <c r="K1488">
        <v>2</v>
      </c>
      <c r="L1488">
        <f t="shared" si="604"/>
        <v>1</v>
      </c>
      <c r="M1488" t="str">
        <f t="shared" si="605"/>
        <v>Suele comer</v>
      </c>
      <c r="N1488">
        <v>3</v>
      </c>
      <c r="O1488">
        <f t="shared" si="606"/>
        <v>2</v>
      </c>
      <c r="P1488" t="str">
        <f t="shared" si="607"/>
        <v>Mas de 3</v>
      </c>
      <c r="Q1488">
        <v>1</v>
      </c>
      <c r="R1488" t="str">
        <f t="shared" si="608"/>
        <v>A veces</v>
      </c>
      <c r="S1488">
        <v>0</v>
      </c>
      <c r="T1488" t="str">
        <f t="shared" si="609"/>
        <v>No fuma</v>
      </c>
      <c r="U1488">
        <v>2</v>
      </c>
      <c r="V1488">
        <f t="shared" si="610"/>
        <v>2</v>
      </c>
      <c r="W1488" t="str">
        <f t="shared" si="611"/>
        <v>Siempre</v>
      </c>
      <c r="X1488">
        <v>0</v>
      </c>
      <c r="Y1488" t="str">
        <f t="shared" si="612"/>
        <v>No controla</v>
      </c>
      <c r="Z1488">
        <v>0</v>
      </c>
      <c r="AA1488">
        <f t="shared" si="613"/>
        <v>0</v>
      </c>
      <c r="AB1488" t="str">
        <f t="shared" si="614"/>
        <v>Nunca</v>
      </c>
      <c r="AC1488">
        <v>0.93172100000000002</v>
      </c>
      <c r="AD1488">
        <f t="shared" si="615"/>
        <v>0</v>
      </c>
      <c r="AE1488" t="str">
        <f t="shared" si="616"/>
        <v>Nunca</v>
      </c>
      <c r="AF1488">
        <v>0</v>
      </c>
      <c r="AG1488" t="str">
        <f t="shared" si="617"/>
        <v>Nunca</v>
      </c>
      <c r="AH1488">
        <v>0</v>
      </c>
      <c r="AI1488" t="str">
        <f t="shared" si="618"/>
        <v>No usa</v>
      </c>
      <c r="AJ1488">
        <v>0</v>
      </c>
      <c r="AK1488" t="str">
        <f t="shared" si="619"/>
        <v>No usa</v>
      </c>
      <c r="AL1488">
        <v>0</v>
      </c>
      <c r="AM1488" t="str">
        <f t="shared" si="620"/>
        <v>No usa</v>
      </c>
      <c r="AN1488">
        <v>1</v>
      </c>
      <c r="AO1488" t="str">
        <f t="shared" si="621"/>
        <v>Usa Transporte</v>
      </c>
      <c r="AP1488">
        <v>0</v>
      </c>
      <c r="AQ1488" t="str">
        <f t="shared" si="622"/>
        <v>No camina</v>
      </c>
      <c r="AR1488">
        <v>1</v>
      </c>
      <c r="AS1488" t="str">
        <f t="shared" si="623"/>
        <v>Es Obeso</v>
      </c>
    </row>
    <row r="1489" spans="1:45" x14ac:dyDescent="0.25">
      <c r="A1489">
        <v>0</v>
      </c>
      <c r="B1489" t="str">
        <f t="shared" si="598"/>
        <v>F</v>
      </c>
      <c r="C1489">
        <v>3912631</v>
      </c>
      <c r="D1489">
        <f t="shared" si="599"/>
        <v>10</v>
      </c>
      <c r="E1489">
        <f t="shared" si="600"/>
        <v>10</v>
      </c>
      <c r="F1489" t="str">
        <f t="shared" si="601"/>
        <v>1-25</v>
      </c>
      <c r="G1489">
        <v>1</v>
      </c>
      <c r="H1489" t="str">
        <f t="shared" si="602"/>
        <v>Pariente gordo</v>
      </c>
      <c r="I1489">
        <v>1</v>
      </c>
      <c r="J1489" t="str">
        <f t="shared" si="603"/>
        <v>Hipercaloricos</v>
      </c>
      <c r="K1489">
        <v>2</v>
      </c>
      <c r="L1489">
        <f t="shared" si="604"/>
        <v>1</v>
      </c>
      <c r="M1489" t="str">
        <f t="shared" si="605"/>
        <v>Suele comer</v>
      </c>
      <c r="N1489">
        <v>3</v>
      </c>
      <c r="O1489">
        <f t="shared" si="606"/>
        <v>2</v>
      </c>
      <c r="P1489" t="str">
        <f t="shared" si="607"/>
        <v>Mas de 3</v>
      </c>
      <c r="Q1489">
        <v>1</v>
      </c>
      <c r="R1489" t="str">
        <f t="shared" si="608"/>
        <v>A veces</v>
      </c>
      <c r="S1489">
        <v>0</v>
      </c>
      <c r="T1489" t="str">
        <f t="shared" si="609"/>
        <v>No fuma</v>
      </c>
      <c r="U1489">
        <v>1440526</v>
      </c>
      <c r="V1489">
        <f t="shared" si="610"/>
        <v>2</v>
      </c>
      <c r="W1489" t="str">
        <f t="shared" si="611"/>
        <v>Siempre</v>
      </c>
      <c r="X1489">
        <v>0</v>
      </c>
      <c r="Y1489" t="str">
        <f t="shared" si="612"/>
        <v>No controla</v>
      </c>
      <c r="Z1489">
        <v>0</v>
      </c>
      <c r="AA1489">
        <f t="shared" si="613"/>
        <v>0</v>
      </c>
      <c r="AB1489" t="str">
        <f t="shared" si="614"/>
        <v>Nunca</v>
      </c>
      <c r="AC1489">
        <v>0</v>
      </c>
      <c r="AD1489">
        <f t="shared" si="615"/>
        <v>0</v>
      </c>
      <c r="AE1489" t="str">
        <f t="shared" si="616"/>
        <v>Nunca</v>
      </c>
      <c r="AF1489">
        <v>1</v>
      </c>
      <c r="AG1489" t="str">
        <f t="shared" si="617"/>
        <v>A veces</v>
      </c>
      <c r="AH1489">
        <v>1</v>
      </c>
      <c r="AI1489" t="str">
        <f t="shared" si="618"/>
        <v>Usa auto</v>
      </c>
      <c r="AJ1489">
        <v>0</v>
      </c>
      <c r="AK1489" t="str">
        <f t="shared" si="619"/>
        <v>No usa</v>
      </c>
      <c r="AL1489">
        <v>0</v>
      </c>
      <c r="AM1489" t="str">
        <f t="shared" si="620"/>
        <v>No usa</v>
      </c>
      <c r="AN1489">
        <v>0</v>
      </c>
      <c r="AO1489" t="str">
        <f t="shared" si="621"/>
        <v>No usa</v>
      </c>
      <c r="AP1489">
        <v>0</v>
      </c>
      <c r="AQ1489" t="str">
        <f t="shared" si="622"/>
        <v>No camina</v>
      </c>
      <c r="AR1489">
        <v>1</v>
      </c>
      <c r="AS1489" t="str">
        <f t="shared" si="623"/>
        <v>Es Obeso</v>
      </c>
    </row>
    <row r="1490" spans="1:45" x14ac:dyDescent="0.25">
      <c r="A1490">
        <v>0</v>
      </c>
      <c r="B1490" t="str">
        <f t="shared" si="598"/>
        <v>F</v>
      </c>
      <c r="C1490">
        <v>37063599</v>
      </c>
      <c r="D1490">
        <f t="shared" si="599"/>
        <v>101</v>
      </c>
      <c r="E1490">
        <f t="shared" si="600"/>
        <v>100</v>
      </c>
      <c r="F1490" t="str">
        <f t="shared" si="601"/>
        <v>75-100</v>
      </c>
      <c r="G1490">
        <v>1</v>
      </c>
      <c r="H1490" t="str">
        <f t="shared" si="602"/>
        <v>Pariente gordo</v>
      </c>
      <c r="I1490">
        <v>1</v>
      </c>
      <c r="J1490" t="str">
        <f t="shared" si="603"/>
        <v>Hipercaloricos</v>
      </c>
      <c r="K1490">
        <v>2</v>
      </c>
      <c r="L1490">
        <f t="shared" si="604"/>
        <v>1</v>
      </c>
      <c r="M1490" t="str">
        <f t="shared" si="605"/>
        <v>Suele comer</v>
      </c>
      <c r="N1490">
        <v>3</v>
      </c>
      <c r="O1490">
        <f t="shared" si="606"/>
        <v>2</v>
      </c>
      <c r="P1490" t="str">
        <f t="shared" si="607"/>
        <v>Mas de 3</v>
      </c>
      <c r="Q1490">
        <v>1</v>
      </c>
      <c r="R1490" t="str">
        <f t="shared" si="608"/>
        <v>A veces</v>
      </c>
      <c r="S1490">
        <v>0</v>
      </c>
      <c r="T1490" t="str">
        <f t="shared" si="609"/>
        <v>No fuma</v>
      </c>
      <c r="U1490">
        <v>1759803</v>
      </c>
      <c r="V1490">
        <f t="shared" si="610"/>
        <v>2</v>
      </c>
      <c r="W1490" t="str">
        <f t="shared" si="611"/>
        <v>Siempre</v>
      </c>
      <c r="X1490">
        <v>0</v>
      </c>
      <c r="Y1490" t="str">
        <f t="shared" si="612"/>
        <v>No controla</v>
      </c>
      <c r="Z1490">
        <v>0</v>
      </c>
      <c r="AA1490">
        <f t="shared" si="613"/>
        <v>0</v>
      </c>
      <c r="AB1490" t="str">
        <f t="shared" si="614"/>
        <v>Nunca</v>
      </c>
      <c r="AC1490">
        <v>0</v>
      </c>
      <c r="AD1490">
        <f t="shared" si="615"/>
        <v>0</v>
      </c>
      <c r="AE1490" t="str">
        <f t="shared" si="616"/>
        <v>Nunca</v>
      </c>
      <c r="AF1490">
        <v>1</v>
      </c>
      <c r="AG1490" t="str">
        <f t="shared" si="617"/>
        <v>A veces</v>
      </c>
      <c r="AH1490">
        <v>1</v>
      </c>
      <c r="AI1490" t="str">
        <f t="shared" si="618"/>
        <v>Usa auto</v>
      </c>
      <c r="AJ1490">
        <v>0</v>
      </c>
      <c r="AK1490" t="str">
        <f t="shared" si="619"/>
        <v>No usa</v>
      </c>
      <c r="AL1490">
        <v>0</v>
      </c>
      <c r="AM1490" t="str">
        <f t="shared" si="620"/>
        <v>No usa</v>
      </c>
      <c r="AN1490">
        <v>0</v>
      </c>
      <c r="AO1490" t="str">
        <f t="shared" si="621"/>
        <v>No usa</v>
      </c>
      <c r="AP1490">
        <v>0</v>
      </c>
      <c r="AQ1490" t="str">
        <f t="shared" si="622"/>
        <v>No camina</v>
      </c>
      <c r="AR1490">
        <v>1</v>
      </c>
      <c r="AS1490" t="str">
        <f t="shared" si="623"/>
        <v>Es Obeso</v>
      </c>
    </row>
    <row r="1491" spans="1:45" x14ac:dyDescent="0.25">
      <c r="A1491">
        <v>0</v>
      </c>
      <c r="B1491" t="str">
        <f t="shared" si="598"/>
        <v>F</v>
      </c>
      <c r="C1491">
        <v>41318302</v>
      </c>
      <c r="D1491">
        <f t="shared" si="599"/>
        <v>113</v>
      </c>
      <c r="E1491">
        <f t="shared" si="600"/>
        <v>100</v>
      </c>
      <c r="F1491" t="str">
        <f t="shared" si="601"/>
        <v>75-100</v>
      </c>
      <c r="G1491">
        <v>1</v>
      </c>
      <c r="H1491" t="str">
        <f t="shared" si="602"/>
        <v>Pariente gordo</v>
      </c>
      <c r="I1491">
        <v>1</v>
      </c>
      <c r="J1491" t="str">
        <f t="shared" si="603"/>
        <v>Hipercaloricos</v>
      </c>
      <c r="K1491">
        <v>2</v>
      </c>
      <c r="L1491">
        <f t="shared" si="604"/>
        <v>1</v>
      </c>
      <c r="M1491" t="str">
        <f t="shared" si="605"/>
        <v>Suele comer</v>
      </c>
      <c r="N1491">
        <v>3</v>
      </c>
      <c r="O1491">
        <f t="shared" si="606"/>
        <v>2</v>
      </c>
      <c r="P1491" t="str">
        <f t="shared" si="607"/>
        <v>Mas de 3</v>
      </c>
      <c r="Q1491">
        <v>1</v>
      </c>
      <c r="R1491" t="str">
        <f t="shared" si="608"/>
        <v>A veces</v>
      </c>
      <c r="S1491">
        <v>0</v>
      </c>
      <c r="T1491" t="str">
        <f t="shared" si="609"/>
        <v>No fuma</v>
      </c>
      <c r="U1491">
        <v>2090413</v>
      </c>
      <c r="V1491">
        <f t="shared" si="610"/>
        <v>2</v>
      </c>
      <c r="W1491" t="str">
        <f t="shared" si="611"/>
        <v>Siempre</v>
      </c>
      <c r="X1491">
        <v>0</v>
      </c>
      <c r="Y1491" t="str">
        <f t="shared" si="612"/>
        <v>No controla</v>
      </c>
      <c r="Z1491">
        <v>0</v>
      </c>
      <c r="AA1491">
        <f t="shared" si="613"/>
        <v>0</v>
      </c>
      <c r="AB1491" t="str">
        <f t="shared" si="614"/>
        <v>Nunca</v>
      </c>
      <c r="AC1491">
        <v>0</v>
      </c>
      <c r="AD1491">
        <f t="shared" si="615"/>
        <v>0</v>
      </c>
      <c r="AE1491" t="str">
        <f t="shared" si="616"/>
        <v>Nunca</v>
      </c>
      <c r="AF1491">
        <v>1</v>
      </c>
      <c r="AG1491" t="str">
        <f t="shared" si="617"/>
        <v>A veces</v>
      </c>
      <c r="AH1491">
        <v>1</v>
      </c>
      <c r="AI1491" t="str">
        <f t="shared" si="618"/>
        <v>Usa auto</v>
      </c>
      <c r="AJ1491">
        <v>0</v>
      </c>
      <c r="AK1491" t="str">
        <f t="shared" si="619"/>
        <v>No usa</v>
      </c>
      <c r="AL1491">
        <v>0</v>
      </c>
      <c r="AM1491" t="str">
        <f t="shared" si="620"/>
        <v>No usa</v>
      </c>
      <c r="AN1491">
        <v>0</v>
      </c>
      <c r="AO1491" t="str">
        <f t="shared" si="621"/>
        <v>No usa</v>
      </c>
      <c r="AP1491">
        <v>0</v>
      </c>
      <c r="AQ1491" t="str">
        <f t="shared" si="622"/>
        <v>No camina</v>
      </c>
      <c r="AR1491">
        <v>1</v>
      </c>
      <c r="AS1491" t="str">
        <f t="shared" si="623"/>
        <v>Es Obeso</v>
      </c>
    </row>
    <row r="1492" spans="1:45" x14ac:dyDescent="0.25">
      <c r="A1492">
        <v>0</v>
      </c>
      <c r="B1492" t="str">
        <f t="shared" si="598"/>
        <v>F</v>
      </c>
      <c r="C1492">
        <v>43726081</v>
      </c>
      <c r="D1492">
        <f t="shared" si="599"/>
        <v>119</v>
      </c>
      <c r="E1492">
        <f t="shared" si="600"/>
        <v>100</v>
      </c>
      <c r="F1492" t="str">
        <f t="shared" si="601"/>
        <v>75-100</v>
      </c>
      <c r="G1492">
        <v>1</v>
      </c>
      <c r="H1492" t="str">
        <f t="shared" si="602"/>
        <v>Pariente gordo</v>
      </c>
      <c r="I1492">
        <v>1</v>
      </c>
      <c r="J1492" t="str">
        <f t="shared" si="603"/>
        <v>Hipercaloricos</v>
      </c>
      <c r="K1492">
        <v>2</v>
      </c>
      <c r="L1492">
        <f t="shared" si="604"/>
        <v>1</v>
      </c>
      <c r="M1492" t="str">
        <f t="shared" si="605"/>
        <v>Suele comer</v>
      </c>
      <c r="N1492">
        <v>3</v>
      </c>
      <c r="O1492">
        <f t="shared" si="606"/>
        <v>2</v>
      </c>
      <c r="P1492" t="str">
        <f t="shared" si="607"/>
        <v>Mas de 3</v>
      </c>
      <c r="Q1492">
        <v>1</v>
      </c>
      <c r="R1492" t="str">
        <f t="shared" si="608"/>
        <v>A veces</v>
      </c>
      <c r="S1492">
        <v>0</v>
      </c>
      <c r="T1492" t="str">
        <f t="shared" si="609"/>
        <v>No fuma</v>
      </c>
      <c r="U1492">
        <v>2806922</v>
      </c>
      <c r="V1492">
        <f t="shared" si="610"/>
        <v>2</v>
      </c>
      <c r="W1492" t="str">
        <f t="shared" si="611"/>
        <v>Siempre</v>
      </c>
      <c r="X1492">
        <v>0</v>
      </c>
      <c r="Y1492" t="str">
        <f t="shared" si="612"/>
        <v>No controla</v>
      </c>
      <c r="Z1492">
        <v>0</v>
      </c>
      <c r="AA1492">
        <f t="shared" si="613"/>
        <v>0</v>
      </c>
      <c r="AB1492" t="str">
        <f t="shared" si="614"/>
        <v>Nunca</v>
      </c>
      <c r="AC1492">
        <v>0</v>
      </c>
      <c r="AD1492">
        <f t="shared" si="615"/>
        <v>0</v>
      </c>
      <c r="AE1492" t="str">
        <f t="shared" si="616"/>
        <v>Nunca</v>
      </c>
      <c r="AF1492">
        <v>1</v>
      </c>
      <c r="AG1492" t="str">
        <f t="shared" si="617"/>
        <v>A veces</v>
      </c>
      <c r="AH1492">
        <v>1</v>
      </c>
      <c r="AI1492" t="str">
        <f t="shared" si="618"/>
        <v>Usa auto</v>
      </c>
      <c r="AJ1492">
        <v>0</v>
      </c>
      <c r="AK1492" t="str">
        <f t="shared" si="619"/>
        <v>No usa</v>
      </c>
      <c r="AL1492">
        <v>0</v>
      </c>
      <c r="AM1492" t="str">
        <f t="shared" si="620"/>
        <v>No usa</v>
      </c>
      <c r="AN1492">
        <v>0</v>
      </c>
      <c r="AO1492" t="str">
        <f t="shared" si="621"/>
        <v>No usa</v>
      </c>
      <c r="AP1492">
        <v>0</v>
      </c>
      <c r="AQ1492" t="str">
        <f t="shared" si="622"/>
        <v>No camina</v>
      </c>
      <c r="AR1492">
        <v>1</v>
      </c>
      <c r="AS1492" t="str">
        <f t="shared" si="623"/>
        <v>Es Obeso</v>
      </c>
    </row>
    <row r="1493" spans="1:45" x14ac:dyDescent="0.25">
      <c r="A1493">
        <v>1</v>
      </c>
      <c r="B1493" t="str">
        <f t="shared" si="598"/>
        <v>M</v>
      </c>
      <c r="C1493">
        <v>18</v>
      </c>
      <c r="D1493">
        <f t="shared" si="599"/>
        <v>18</v>
      </c>
      <c r="E1493">
        <f t="shared" si="600"/>
        <v>18</v>
      </c>
      <c r="F1493" t="str">
        <f t="shared" si="601"/>
        <v>1-25</v>
      </c>
      <c r="G1493">
        <v>1</v>
      </c>
      <c r="H1493" t="str">
        <f t="shared" si="602"/>
        <v>Pariente gordo</v>
      </c>
      <c r="I1493">
        <v>1</v>
      </c>
      <c r="J1493" t="str">
        <f t="shared" si="603"/>
        <v>Hipercaloricos</v>
      </c>
      <c r="K1493">
        <v>2</v>
      </c>
      <c r="L1493">
        <f t="shared" si="604"/>
        <v>1</v>
      </c>
      <c r="M1493" t="str">
        <f t="shared" si="605"/>
        <v>Suele comer</v>
      </c>
      <c r="N1493">
        <v>237985</v>
      </c>
      <c r="O1493">
        <f t="shared" si="606"/>
        <v>2</v>
      </c>
      <c r="P1493" t="str">
        <f t="shared" si="607"/>
        <v>Mas de 3</v>
      </c>
      <c r="Q1493">
        <v>1</v>
      </c>
      <c r="R1493" t="str">
        <f t="shared" si="608"/>
        <v>A veces</v>
      </c>
      <c r="S1493">
        <v>0</v>
      </c>
      <c r="T1493" t="str">
        <f t="shared" si="609"/>
        <v>No fuma</v>
      </c>
      <c r="U1493">
        <v>2616138</v>
      </c>
      <c r="V1493">
        <f t="shared" si="610"/>
        <v>2</v>
      </c>
      <c r="W1493" t="str">
        <f t="shared" si="611"/>
        <v>Siempre</v>
      </c>
      <c r="X1493">
        <v>0</v>
      </c>
      <c r="Y1493" t="str">
        <f t="shared" si="612"/>
        <v>No controla</v>
      </c>
      <c r="Z1493">
        <v>1</v>
      </c>
      <c r="AA1493">
        <f t="shared" si="613"/>
        <v>1</v>
      </c>
      <c r="AB1493" t="str">
        <f t="shared" si="614"/>
        <v>A veces</v>
      </c>
      <c r="AC1493">
        <v>0.65248499999999998</v>
      </c>
      <c r="AD1493">
        <f t="shared" si="615"/>
        <v>0</v>
      </c>
      <c r="AE1493" t="str">
        <f t="shared" si="616"/>
        <v>Nunca</v>
      </c>
      <c r="AF1493">
        <v>0</v>
      </c>
      <c r="AG1493" t="str">
        <f t="shared" si="617"/>
        <v>Nunca</v>
      </c>
      <c r="AH1493">
        <v>0</v>
      </c>
      <c r="AI1493" t="str">
        <f t="shared" si="618"/>
        <v>No usa</v>
      </c>
      <c r="AJ1493">
        <v>0</v>
      </c>
      <c r="AK1493" t="str">
        <f t="shared" si="619"/>
        <v>No usa</v>
      </c>
      <c r="AL1493">
        <v>0</v>
      </c>
      <c r="AM1493" t="str">
        <f t="shared" si="620"/>
        <v>No usa</v>
      </c>
      <c r="AN1493">
        <v>1</v>
      </c>
      <c r="AO1493" t="str">
        <f t="shared" si="621"/>
        <v>Usa Transporte</v>
      </c>
      <c r="AP1493">
        <v>0</v>
      </c>
      <c r="AQ1493" t="str">
        <f t="shared" si="622"/>
        <v>No camina</v>
      </c>
      <c r="AR1493">
        <v>1</v>
      </c>
      <c r="AS1493" t="str">
        <f t="shared" si="623"/>
        <v>Es Obeso</v>
      </c>
    </row>
    <row r="1494" spans="1:45" x14ac:dyDescent="0.25">
      <c r="A1494">
        <v>1</v>
      </c>
      <c r="B1494" t="str">
        <f t="shared" si="598"/>
        <v>M</v>
      </c>
      <c r="C1494">
        <v>18</v>
      </c>
      <c r="D1494">
        <f t="shared" si="599"/>
        <v>18</v>
      </c>
      <c r="E1494">
        <f t="shared" si="600"/>
        <v>18</v>
      </c>
      <c r="F1494" t="str">
        <f t="shared" si="601"/>
        <v>1-25</v>
      </c>
      <c r="G1494">
        <v>1</v>
      </c>
      <c r="H1494" t="str">
        <f t="shared" si="602"/>
        <v>Pariente gordo</v>
      </c>
      <c r="I1494">
        <v>1</v>
      </c>
      <c r="J1494" t="str">
        <f t="shared" si="603"/>
        <v>Hipercaloricos</v>
      </c>
      <c r="K1494">
        <v>2</v>
      </c>
      <c r="L1494">
        <f t="shared" si="604"/>
        <v>1</v>
      </c>
      <c r="M1494" t="str">
        <f t="shared" si="605"/>
        <v>Suele comer</v>
      </c>
      <c r="N1494">
        <v>2655265</v>
      </c>
      <c r="O1494">
        <f t="shared" si="606"/>
        <v>2</v>
      </c>
      <c r="P1494" t="str">
        <f t="shared" si="607"/>
        <v>Mas de 3</v>
      </c>
      <c r="Q1494">
        <v>1</v>
      </c>
      <c r="R1494" t="str">
        <f t="shared" si="608"/>
        <v>A veces</v>
      </c>
      <c r="S1494">
        <v>0</v>
      </c>
      <c r="T1494" t="str">
        <f t="shared" si="609"/>
        <v>No fuma</v>
      </c>
      <c r="U1494">
        <v>2297896</v>
      </c>
      <c r="V1494">
        <f t="shared" si="610"/>
        <v>2</v>
      </c>
      <c r="W1494" t="str">
        <f t="shared" si="611"/>
        <v>Siempre</v>
      </c>
      <c r="X1494">
        <v>0</v>
      </c>
      <c r="Y1494" t="str">
        <f t="shared" si="612"/>
        <v>No controla</v>
      </c>
      <c r="Z1494">
        <v>1</v>
      </c>
      <c r="AA1494">
        <f t="shared" si="613"/>
        <v>1</v>
      </c>
      <c r="AB1494" t="str">
        <f t="shared" si="614"/>
        <v>A veces</v>
      </c>
      <c r="AC1494">
        <v>0.55266499999999996</v>
      </c>
      <c r="AD1494">
        <f t="shared" si="615"/>
        <v>0</v>
      </c>
      <c r="AE1494" t="str">
        <f t="shared" si="616"/>
        <v>Nunca</v>
      </c>
      <c r="AF1494">
        <v>0</v>
      </c>
      <c r="AG1494" t="str">
        <f t="shared" si="617"/>
        <v>Nunca</v>
      </c>
      <c r="AH1494">
        <v>0</v>
      </c>
      <c r="AI1494" t="str">
        <f t="shared" si="618"/>
        <v>No usa</v>
      </c>
      <c r="AJ1494">
        <v>0</v>
      </c>
      <c r="AK1494" t="str">
        <f t="shared" si="619"/>
        <v>No usa</v>
      </c>
      <c r="AL1494">
        <v>0</v>
      </c>
      <c r="AM1494" t="str">
        <f t="shared" si="620"/>
        <v>No usa</v>
      </c>
      <c r="AN1494">
        <v>1</v>
      </c>
      <c r="AO1494" t="str">
        <f t="shared" si="621"/>
        <v>Usa Transporte</v>
      </c>
      <c r="AP1494">
        <v>0</v>
      </c>
      <c r="AQ1494" t="str">
        <f t="shared" si="622"/>
        <v>No camina</v>
      </c>
      <c r="AR1494">
        <v>1</v>
      </c>
      <c r="AS1494" t="str">
        <f t="shared" si="623"/>
        <v>Es Obeso</v>
      </c>
    </row>
    <row r="1495" spans="1:45" x14ac:dyDescent="0.25">
      <c r="A1495">
        <v>1</v>
      </c>
      <c r="B1495" t="str">
        <f t="shared" si="598"/>
        <v>M</v>
      </c>
      <c r="C1495">
        <v>18</v>
      </c>
      <c r="D1495">
        <f t="shared" si="599"/>
        <v>18</v>
      </c>
      <c r="E1495">
        <f t="shared" si="600"/>
        <v>18</v>
      </c>
      <c r="F1495" t="str">
        <f t="shared" si="601"/>
        <v>1-25</v>
      </c>
      <c r="G1495">
        <v>1</v>
      </c>
      <c r="H1495" t="str">
        <f t="shared" si="602"/>
        <v>Pariente gordo</v>
      </c>
      <c r="I1495">
        <v>1</v>
      </c>
      <c r="J1495" t="str">
        <f t="shared" si="603"/>
        <v>Hipercaloricos</v>
      </c>
      <c r="K1495">
        <v>2</v>
      </c>
      <c r="L1495">
        <f t="shared" si="604"/>
        <v>1</v>
      </c>
      <c r="M1495" t="str">
        <f t="shared" si="605"/>
        <v>Suele comer</v>
      </c>
      <c r="N1495">
        <v>1941307</v>
      </c>
      <c r="O1495">
        <f t="shared" si="606"/>
        <v>2</v>
      </c>
      <c r="P1495" t="str">
        <f t="shared" si="607"/>
        <v>Mas de 3</v>
      </c>
      <c r="Q1495">
        <v>1</v>
      </c>
      <c r="R1495" t="str">
        <f t="shared" si="608"/>
        <v>A veces</v>
      </c>
      <c r="S1495">
        <v>0</v>
      </c>
      <c r="T1495" t="str">
        <f t="shared" si="609"/>
        <v>No fuma</v>
      </c>
      <c r="U1495">
        <v>2708168</v>
      </c>
      <c r="V1495">
        <f t="shared" si="610"/>
        <v>2</v>
      </c>
      <c r="W1495" t="str">
        <f t="shared" si="611"/>
        <v>Siempre</v>
      </c>
      <c r="X1495">
        <v>0</v>
      </c>
      <c r="Y1495" t="str">
        <f t="shared" si="612"/>
        <v>No controla</v>
      </c>
      <c r="Z1495">
        <v>1</v>
      </c>
      <c r="AA1495">
        <f t="shared" si="613"/>
        <v>1</v>
      </c>
      <c r="AB1495" t="str">
        <f t="shared" si="614"/>
        <v>A veces</v>
      </c>
      <c r="AC1495">
        <v>1425852</v>
      </c>
      <c r="AD1495">
        <f t="shared" si="615"/>
        <v>2</v>
      </c>
      <c r="AE1495" t="str">
        <f t="shared" si="616"/>
        <v>Siempre</v>
      </c>
      <c r="AF1495">
        <v>0</v>
      </c>
      <c r="AG1495" t="str">
        <f t="shared" si="617"/>
        <v>Nunca</v>
      </c>
      <c r="AH1495">
        <v>0</v>
      </c>
      <c r="AI1495" t="str">
        <f t="shared" si="618"/>
        <v>No usa</v>
      </c>
      <c r="AJ1495">
        <v>0</v>
      </c>
      <c r="AK1495" t="str">
        <f t="shared" si="619"/>
        <v>No usa</v>
      </c>
      <c r="AL1495">
        <v>0</v>
      </c>
      <c r="AM1495" t="str">
        <f t="shared" si="620"/>
        <v>No usa</v>
      </c>
      <c r="AN1495">
        <v>1</v>
      </c>
      <c r="AO1495" t="str">
        <f t="shared" si="621"/>
        <v>Usa Transporte</v>
      </c>
      <c r="AP1495">
        <v>0</v>
      </c>
      <c r="AQ1495" t="str">
        <f t="shared" si="622"/>
        <v>No camina</v>
      </c>
      <c r="AR1495">
        <v>1</v>
      </c>
      <c r="AS1495" t="str">
        <f t="shared" si="623"/>
        <v>Es Obeso</v>
      </c>
    </row>
    <row r="1496" spans="1:45" x14ac:dyDescent="0.25">
      <c r="A1496">
        <v>1</v>
      </c>
      <c r="B1496" t="str">
        <f t="shared" si="598"/>
        <v>M</v>
      </c>
      <c r="C1496">
        <v>18</v>
      </c>
      <c r="D1496">
        <f t="shared" si="599"/>
        <v>18</v>
      </c>
      <c r="E1496">
        <f t="shared" si="600"/>
        <v>18</v>
      </c>
      <c r="F1496" t="str">
        <f t="shared" si="601"/>
        <v>1-25</v>
      </c>
      <c r="G1496">
        <v>1</v>
      </c>
      <c r="H1496" t="str">
        <f t="shared" si="602"/>
        <v>Pariente gordo</v>
      </c>
      <c r="I1496">
        <v>1</v>
      </c>
      <c r="J1496" t="str">
        <f t="shared" si="603"/>
        <v>Hipercaloricos</v>
      </c>
      <c r="K1496">
        <v>2</v>
      </c>
      <c r="L1496">
        <f t="shared" si="604"/>
        <v>1</v>
      </c>
      <c r="M1496" t="str">
        <f t="shared" si="605"/>
        <v>Suele comer</v>
      </c>
      <c r="N1496">
        <v>1709546</v>
      </c>
      <c r="O1496">
        <f t="shared" si="606"/>
        <v>2</v>
      </c>
      <c r="P1496" t="str">
        <f t="shared" si="607"/>
        <v>Mas de 3</v>
      </c>
      <c r="Q1496">
        <v>1</v>
      </c>
      <c r="R1496" t="str">
        <f t="shared" si="608"/>
        <v>A veces</v>
      </c>
      <c r="S1496">
        <v>0</v>
      </c>
      <c r="T1496" t="str">
        <f t="shared" si="609"/>
        <v>No fuma</v>
      </c>
      <c r="U1496">
        <v>2530157</v>
      </c>
      <c r="V1496">
        <f t="shared" si="610"/>
        <v>2</v>
      </c>
      <c r="W1496" t="str">
        <f t="shared" si="611"/>
        <v>Siempre</v>
      </c>
      <c r="X1496">
        <v>0</v>
      </c>
      <c r="Y1496" t="str">
        <f t="shared" si="612"/>
        <v>No controla</v>
      </c>
      <c r="Z1496">
        <v>1</v>
      </c>
      <c r="AA1496">
        <f t="shared" si="613"/>
        <v>1</v>
      </c>
      <c r="AB1496" t="str">
        <f t="shared" si="614"/>
        <v>A veces</v>
      </c>
      <c r="AC1496">
        <v>0.64539999999999997</v>
      </c>
      <c r="AD1496">
        <f t="shared" si="615"/>
        <v>0</v>
      </c>
      <c r="AE1496" t="str">
        <f t="shared" si="616"/>
        <v>Nunca</v>
      </c>
      <c r="AF1496">
        <v>0</v>
      </c>
      <c r="AG1496" t="str">
        <f t="shared" si="617"/>
        <v>Nunca</v>
      </c>
      <c r="AH1496">
        <v>0</v>
      </c>
      <c r="AI1496" t="str">
        <f t="shared" si="618"/>
        <v>No usa</v>
      </c>
      <c r="AJ1496">
        <v>0</v>
      </c>
      <c r="AK1496" t="str">
        <f t="shared" si="619"/>
        <v>No usa</v>
      </c>
      <c r="AL1496">
        <v>0</v>
      </c>
      <c r="AM1496" t="str">
        <f t="shared" si="620"/>
        <v>No usa</v>
      </c>
      <c r="AN1496">
        <v>1</v>
      </c>
      <c r="AO1496" t="str">
        <f t="shared" si="621"/>
        <v>Usa Transporte</v>
      </c>
      <c r="AP1496">
        <v>0</v>
      </c>
      <c r="AQ1496" t="str">
        <f t="shared" si="622"/>
        <v>No camina</v>
      </c>
      <c r="AR1496">
        <v>1</v>
      </c>
      <c r="AS1496" t="str">
        <f t="shared" si="623"/>
        <v>Es Obeso</v>
      </c>
    </row>
    <row r="1497" spans="1:45" x14ac:dyDescent="0.25">
      <c r="A1497">
        <v>1</v>
      </c>
      <c r="B1497" t="str">
        <f t="shared" si="598"/>
        <v>M</v>
      </c>
      <c r="C1497">
        <v>29409825</v>
      </c>
      <c r="D1497">
        <f t="shared" si="599"/>
        <v>80</v>
      </c>
      <c r="E1497">
        <f t="shared" si="600"/>
        <v>80</v>
      </c>
      <c r="F1497" t="str">
        <f t="shared" si="601"/>
        <v>75-100</v>
      </c>
      <c r="G1497">
        <v>1</v>
      </c>
      <c r="H1497" t="str">
        <f t="shared" si="602"/>
        <v>Pariente gordo</v>
      </c>
      <c r="I1497">
        <v>1</v>
      </c>
      <c r="J1497" t="str">
        <f t="shared" si="603"/>
        <v>Hipercaloricos</v>
      </c>
      <c r="K1497">
        <v>2385502</v>
      </c>
      <c r="L1497">
        <f t="shared" si="604"/>
        <v>1</v>
      </c>
      <c r="M1497" t="str">
        <f t="shared" si="605"/>
        <v>Suele comer</v>
      </c>
      <c r="N1497">
        <v>2883984</v>
      </c>
      <c r="O1497">
        <f t="shared" si="606"/>
        <v>2</v>
      </c>
      <c r="P1497" t="str">
        <f t="shared" si="607"/>
        <v>Mas de 3</v>
      </c>
      <c r="Q1497">
        <v>1</v>
      </c>
      <c r="R1497" t="str">
        <f t="shared" si="608"/>
        <v>A veces</v>
      </c>
      <c r="S1497">
        <v>0</v>
      </c>
      <c r="T1497" t="str">
        <f t="shared" si="609"/>
        <v>No fuma</v>
      </c>
      <c r="U1497">
        <v>2140544</v>
      </c>
      <c r="V1497">
        <f t="shared" si="610"/>
        <v>2</v>
      </c>
      <c r="W1497" t="str">
        <f t="shared" si="611"/>
        <v>Siempre</v>
      </c>
      <c r="X1497">
        <v>0</v>
      </c>
      <c r="Y1497" t="str">
        <f t="shared" si="612"/>
        <v>No controla</v>
      </c>
      <c r="Z1497">
        <v>1144876</v>
      </c>
      <c r="AA1497">
        <f t="shared" si="613"/>
        <v>3</v>
      </c>
      <c r="AB1497" t="str">
        <f t="shared" si="614"/>
        <v>Siempre</v>
      </c>
      <c r="AC1497">
        <v>1767468</v>
      </c>
      <c r="AD1497">
        <f t="shared" si="615"/>
        <v>2</v>
      </c>
      <c r="AE1497" t="str">
        <f t="shared" si="616"/>
        <v>Siempre</v>
      </c>
      <c r="AF1497">
        <v>1</v>
      </c>
      <c r="AG1497" t="str">
        <f t="shared" si="617"/>
        <v>A veces</v>
      </c>
      <c r="AH1497">
        <v>1</v>
      </c>
      <c r="AI1497" t="str">
        <f t="shared" si="618"/>
        <v>Usa auto</v>
      </c>
      <c r="AJ1497">
        <v>0</v>
      </c>
      <c r="AK1497" t="str">
        <f t="shared" si="619"/>
        <v>No usa</v>
      </c>
      <c r="AL1497">
        <v>0</v>
      </c>
      <c r="AM1497" t="str">
        <f t="shared" si="620"/>
        <v>No usa</v>
      </c>
      <c r="AN1497">
        <v>0</v>
      </c>
      <c r="AO1497" t="str">
        <f t="shared" si="621"/>
        <v>No usa</v>
      </c>
      <c r="AP1497">
        <v>0</v>
      </c>
      <c r="AQ1497" t="str">
        <f t="shared" si="622"/>
        <v>No camina</v>
      </c>
      <c r="AR1497">
        <v>1</v>
      </c>
      <c r="AS1497" t="str">
        <f t="shared" si="623"/>
        <v>Es Obeso</v>
      </c>
    </row>
    <row r="1498" spans="1:45" x14ac:dyDescent="0.25">
      <c r="A1498">
        <v>1</v>
      </c>
      <c r="B1498" t="str">
        <f t="shared" si="598"/>
        <v>M</v>
      </c>
      <c r="C1498">
        <v>28421533</v>
      </c>
      <c r="D1498">
        <f t="shared" si="599"/>
        <v>77</v>
      </c>
      <c r="E1498">
        <f t="shared" si="600"/>
        <v>77</v>
      </c>
      <c r="F1498" t="str">
        <f t="shared" si="601"/>
        <v>75-100</v>
      </c>
      <c r="G1498">
        <v>1</v>
      </c>
      <c r="H1498" t="str">
        <f t="shared" si="602"/>
        <v>Pariente gordo</v>
      </c>
      <c r="I1498">
        <v>1</v>
      </c>
      <c r="J1498" t="str">
        <f t="shared" si="603"/>
        <v>Hipercaloricos</v>
      </c>
      <c r="K1498">
        <v>2465575</v>
      </c>
      <c r="L1498">
        <f t="shared" si="604"/>
        <v>1</v>
      </c>
      <c r="M1498" t="str">
        <f t="shared" si="605"/>
        <v>Suele comer</v>
      </c>
      <c r="N1498">
        <v>2935381</v>
      </c>
      <c r="O1498">
        <f t="shared" si="606"/>
        <v>2</v>
      </c>
      <c r="P1498" t="str">
        <f t="shared" si="607"/>
        <v>Mas de 3</v>
      </c>
      <c r="Q1498">
        <v>1</v>
      </c>
      <c r="R1498" t="str">
        <f t="shared" si="608"/>
        <v>A veces</v>
      </c>
      <c r="S1498">
        <v>0</v>
      </c>
      <c r="T1498" t="str">
        <f t="shared" si="609"/>
        <v>No fuma</v>
      </c>
      <c r="U1498">
        <v>2480555</v>
      </c>
      <c r="V1498">
        <f t="shared" si="610"/>
        <v>2</v>
      </c>
      <c r="W1498" t="str">
        <f t="shared" si="611"/>
        <v>Siempre</v>
      </c>
      <c r="X1498">
        <v>0</v>
      </c>
      <c r="Y1498" t="str">
        <f t="shared" si="612"/>
        <v>No controla</v>
      </c>
      <c r="Z1498">
        <v>100183</v>
      </c>
      <c r="AA1498">
        <f t="shared" si="613"/>
        <v>2</v>
      </c>
      <c r="AB1498" t="str">
        <f t="shared" si="614"/>
        <v>Usualmente</v>
      </c>
      <c r="AC1498">
        <v>1670313</v>
      </c>
      <c r="AD1498">
        <f t="shared" si="615"/>
        <v>2</v>
      </c>
      <c r="AE1498" t="str">
        <f t="shared" si="616"/>
        <v>Siempre</v>
      </c>
      <c r="AF1498">
        <v>1</v>
      </c>
      <c r="AG1498" t="str">
        <f t="shared" si="617"/>
        <v>A veces</v>
      </c>
      <c r="AH1498">
        <v>1</v>
      </c>
      <c r="AI1498" t="str">
        <f t="shared" si="618"/>
        <v>Usa auto</v>
      </c>
      <c r="AJ1498">
        <v>0</v>
      </c>
      <c r="AK1498" t="str">
        <f t="shared" si="619"/>
        <v>No usa</v>
      </c>
      <c r="AL1498">
        <v>0</v>
      </c>
      <c r="AM1498" t="str">
        <f t="shared" si="620"/>
        <v>No usa</v>
      </c>
      <c r="AN1498">
        <v>0</v>
      </c>
      <c r="AO1498" t="str">
        <f t="shared" si="621"/>
        <v>No usa</v>
      </c>
      <c r="AP1498">
        <v>0</v>
      </c>
      <c r="AQ1498" t="str">
        <f t="shared" si="622"/>
        <v>No camina</v>
      </c>
      <c r="AR1498">
        <v>1</v>
      </c>
      <c r="AS1498" t="str">
        <f t="shared" si="623"/>
        <v>Es Obeso</v>
      </c>
    </row>
    <row r="1499" spans="1:45" x14ac:dyDescent="0.25">
      <c r="A1499">
        <v>0</v>
      </c>
      <c r="B1499" t="str">
        <f t="shared" si="598"/>
        <v>F</v>
      </c>
      <c r="C1499">
        <v>18</v>
      </c>
      <c r="D1499">
        <f t="shared" si="599"/>
        <v>18</v>
      </c>
      <c r="E1499">
        <f t="shared" si="600"/>
        <v>18</v>
      </c>
      <c r="F1499" t="str">
        <f t="shared" si="601"/>
        <v>1-25</v>
      </c>
      <c r="G1499">
        <v>1</v>
      </c>
      <c r="H1499" t="str">
        <f t="shared" si="602"/>
        <v>Pariente gordo</v>
      </c>
      <c r="I1499">
        <v>1</v>
      </c>
      <c r="J1499" t="str">
        <f t="shared" si="603"/>
        <v>Hipercaloricos</v>
      </c>
      <c r="K1499">
        <v>2818502</v>
      </c>
      <c r="L1499">
        <f t="shared" si="604"/>
        <v>1</v>
      </c>
      <c r="M1499" t="str">
        <f t="shared" si="605"/>
        <v>Suele comer</v>
      </c>
      <c r="N1499">
        <v>3</v>
      </c>
      <c r="O1499">
        <f t="shared" si="606"/>
        <v>2</v>
      </c>
      <c r="P1499" t="str">
        <f t="shared" si="607"/>
        <v>Mas de 3</v>
      </c>
      <c r="Q1499">
        <v>1</v>
      </c>
      <c r="R1499" t="str">
        <f t="shared" si="608"/>
        <v>A veces</v>
      </c>
      <c r="S1499">
        <v>0</v>
      </c>
      <c r="T1499" t="str">
        <f t="shared" si="609"/>
        <v>No fuma</v>
      </c>
      <c r="U1499">
        <v>1991251</v>
      </c>
      <c r="V1499">
        <f t="shared" si="610"/>
        <v>2</v>
      </c>
      <c r="W1499" t="str">
        <f t="shared" si="611"/>
        <v>Siempre</v>
      </c>
      <c r="X1499">
        <v>0</v>
      </c>
      <c r="Y1499" t="str">
        <f t="shared" si="612"/>
        <v>No controla</v>
      </c>
      <c r="Z1499">
        <v>1492967</v>
      </c>
      <c r="AA1499">
        <f t="shared" si="613"/>
        <v>3</v>
      </c>
      <c r="AB1499" t="str">
        <f t="shared" si="614"/>
        <v>Siempre</v>
      </c>
      <c r="AC1499">
        <v>0</v>
      </c>
      <c r="AD1499">
        <f t="shared" si="615"/>
        <v>0</v>
      </c>
      <c r="AE1499" t="str">
        <f t="shared" si="616"/>
        <v>Nunca</v>
      </c>
      <c r="AF1499">
        <v>0</v>
      </c>
      <c r="AG1499" t="str">
        <f t="shared" si="617"/>
        <v>Nunca</v>
      </c>
      <c r="AH1499">
        <v>0</v>
      </c>
      <c r="AI1499" t="str">
        <f t="shared" si="618"/>
        <v>No usa</v>
      </c>
      <c r="AJ1499">
        <v>0</v>
      </c>
      <c r="AK1499" t="str">
        <f t="shared" si="619"/>
        <v>No usa</v>
      </c>
      <c r="AL1499">
        <v>0</v>
      </c>
      <c r="AM1499" t="str">
        <f t="shared" si="620"/>
        <v>No usa</v>
      </c>
      <c r="AN1499">
        <v>1</v>
      </c>
      <c r="AO1499" t="str">
        <f t="shared" si="621"/>
        <v>Usa Transporte</v>
      </c>
      <c r="AP1499">
        <v>0</v>
      </c>
      <c r="AQ1499" t="str">
        <f t="shared" si="622"/>
        <v>No camina</v>
      </c>
      <c r="AR1499">
        <v>1</v>
      </c>
      <c r="AS1499" t="str">
        <f t="shared" si="623"/>
        <v>Es Obeso</v>
      </c>
    </row>
    <row r="1500" spans="1:45" x14ac:dyDescent="0.25">
      <c r="A1500">
        <v>0</v>
      </c>
      <c r="B1500" t="str">
        <f t="shared" si="598"/>
        <v>F</v>
      </c>
      <c r="C1500">
        <v>18</v>
      </c>
      <c r="D1500">
        <f t="shared" si="599"/>
        <v>18</v>
      </c>
      <c r="E1500">
        <f t="shared" si="600"/>
        <v>18</v>
      </c>
      <c r="F1500" t="str">
        <f t="shared" si="601"/>
        <v>1-25</v>
      </c>
      <c r="G1500">
        <v>1</v>
      </c>
      <c r="H1500" t="str">
        <f t="shared" si="602"/>
        <v>Pariente gordo</v>
      </c>
      <c r="I1500">
        <v>1</v>
      </c>
      <c r="J1500" t="str">
        <f t="shared" si="603"/>
        <v>Hipercaloricos</v>
      </c>
      <c r="K1500">
        <v>2081238</v>
      </c>
      <c r="L1500">
        <f t="shared" si="604"/>
        <v>1</v>
      </c>
      <c r="M1500" t="str">
        <f t="shared" si="605"/>
        <v>Suele comer</v>
      </c>
      <c r="N1500">
        <v>3</v>
      </c>
      <c r="O1500">
        <f t="shared" si="606"/>
        <v>2</v>
      </c>
      <c r="P1500" t="str">
        <f t="shared" si="607"/>
        <v>Mas de 3</v>
      </c>
      <c r="Q1500">
        <v>1</v>
      </c>
      <c r="R1500" t="str">
        <f t="shared" si="608"/>
        <v>A veces</v>
      </c>
      <c r="S1500">
        <v>0</v>
      </c>
      <c r="T1500" t="str">
        <f t="shared" si="609"/>
        <v>No fuma</v>
      </c>
      <c r="U1500">
        <v>118363</v>
      </c>
      <c r="V1500">
        <f t="shared" si="610"/>
        <v>2</v>
      </c>
      <c r="W1500" t="str">
        <f t="shared" si="611"/>
        <v>Siempre</v>
      </c>
      <c r="X1500">
        <v>0</v>
      </c>
      <c r="Y1500" t="str">
        <f t="shared" si="612"/>
        <v>No controla</v>
      </c>
      <c r="Z1500">
        <v>117177</v>
      </c>
      <c r="AA1500">
        <f t="shared" si="613"/>
        <v>2</v>
      </c>
      <c r="AB1500" t="str">
        <f t="shared" si="614"/>
        <v>Usualmente</v>
      </c>
      <c r="AC1500">
        <v>0</v>
      </c>
      <c r="AD1500">
        <f t="shared" si="615"/>
        <v>0</v>
      </c>
      <c r="AE1500" t="str">
        <f t="shared" si="616"/>
        <v>Nunca</v>
      </c>
      <c r="AF1500">
        <v>0</v>
      </c>
      <c r="AG1500" t="str">
        <f t="shared" si="617"/>
        <v>Nunca</v>
      </c>
      <c r="AH1500">
        <v>0</v>
      </c>
      <c r="AI1500" t="str">
        <f t="shared" si="618"/>
        <v>No usa</v>
      </c>
      <c r="AJ1500">
        <v>0</v>
      </c>
      <c r="AK1500" t="str">
        <f t="shared" si="619"/>
        <v>No usa</v>
      </c>
      <c r="AL1500">
        <v>0</v>
      </c>
      <c r="AM1500" t="str">
        <f t="shared" si="620"/>
        <v>No usa</v>
      </c>
      <c r="AN1500">
        <v>1</v>
      </c>
      <c r="AO1500" t="str">
        <f t="shared" si="621"/>
        <v>Usa Transporte</v>
      </c>
      <c r="AP1500">
        <v>0</v>
      </c>
      <c r="AQ1500" t="str">
        <f t="shared" si="622"/>
        <v>No camina</v>
      </c>
      <c r="AR1500">
        <v>1</v>
      </c>
      <c r="AS1500" t="str">
        <f t="shared" si="623"/>
        <v>Es Obeso</v>
      </c>
    </row>
    <row r="1501" spans="1:45" x14ac:dyDescent="0.25">
      <c r="A1501">
        <v>1</v>
      </c>
      <c r="B1501" t="str">
        <f t="shared" si="598"/>
        <v>M</v>
      </c>
      <c r="C1501">
        <v>23246702</v>
      </c>
      <c r="D1501">
        <f t="shared" si="599"/>
        <v>63</v>
      </c>
      <c r="E1501">
        <f t="shared" si="600"/>
        <v>63</v>
      </c>
      <c r="F1501" t="str">
        <f t="shared" si="601"/>
        <v>50-75</v>
      </c>
      <c r="G1501">
        <v>1</v>
      </c>
      <c r="H1501" t="str">
        <f t="shared" si="602"/>
        <v>Pariente gordo</v>
      </c>
      <c r="I1501">
        <v>1</v>
      </c>
      <c r="J1501" t="str">
        <f t="shared" si="603"/>
        <v>Hipercaloricos</v>
      </c>
      <c r="K1501">
        <v>1368978</v>
      </c>
      <c r="L1501">
        <f t="shared" si="604"/>
        <v>1</v>
      </c>
      <c r="M1501" t="str">
        <f t="shared" si="605"/>
        <v>Suele comer</v>
      </c>
      <c r="N1501">
        <v>3</v>
      </c>
      <c r="O1501">
        <f t="shared" si="606"/>
        <v>2</v>
      </c>
      <c r="P1501" t="str">
        <f t="shared" si="607"/>
        <v>Mas de 3</v>
      </c>
      <c r="Q1501">
        <v>1</v>
      </c>
      <c r="R1501" t="str">
        <f t="shared" si="608"/>
        <v>A veces</v>
      </c>
      <c r="S1501">
        <v>0</v>
      </c>
      <c r="T1501" t="str">
        <f t="shared" si="609"/>
        <v>No fuma</v>
      </c>
      <c r="U1501">
        <v>1953152</v>
      </c>
      <c r="V1501">
        <f t="shared" si="610"/>
        <v>2</v>
      </c>
      <c r="W1501" t="str">
        <f t="shared" si="611"/>
        <v>Siempre</v>
      </c>
      <c r="X1501">
        <v>0</v>
      </c>
      <c r="Y1501" t="str">
        <f t="shared" si="612"/>
        <v>No controla</v>
      </c>
      <c r="Z1501">
        <v>0.10470699999999999</v>
      </c>
      <c r="AA1501">
        <f t="shared" si="613"/>
        <v>0</v>
      </c>
      <c r="AB1501" t="str">
        <f t="shared" si="614"/>
        <v>Nunca</v>
      </c>
      <c r="AC1501">
        <v>0.22183</v>
      </c>
      <c r="AD1501">
        <f t="shared" si="615"/>
        <v>0</v>
      </c>
      <c r="AE1501" t="str">
        <f t="shared" si="616"/>
        <v>Nunca</v>
      </c>
      <c r="AF1501">
        <v>0</v>
      </c>
      <c r="AG1501" t="str">
        <f t="shared" si="617"/>
        <v>Nunca</v>
      </c>
      <c r="AH1501">
        <v>1</v>
      </c>
      <c r="AI1501" t="str">
        <f t="shared" si="618"/>
        <v>Usa auto</v>
      </c>
      <c r="AJ1501">
        <v>0</v>
      </c>
      <c r="AK1501" t="str">
        <f t="shared" si="619"/>
        <v>No usa</v>
      </c>
      <c r="AL1501">
        <v>0</v>
      </c>
      <c r="AM1501" t="str">
        <f t="shared" si="620"/>
        <v>No usa</v>
      </c>
      <c r="AN1501">
        <v>0</v>
      </c>
      <c r="AO1501" t="str">
        <f t="shared" si="621"/>
        <v>No usa</v>
      </c>
      <c r="AP1501">
        <v>0</v>
      </c>
      <c r="AQ1501" t="str">
        <f t="shared" si="622"/>
        <v>No camina</v>
      </c>
      <c r="AR1501">
        <v>1</v>
      </c>
      <c r="AS1501" t="str">
        <f t="shared" si="623"/>
        <v>Es Obeso</v>
      </c>
    </row>
    <row r="1502" spans="1:45" x14ac:dyDescent="0.25">
      <c r="A1502">
        <v>1</v>
      </c>
      <c r="B1502" t="str">
        <f t="shared" si="598"/>
        <v>M</v>
      </c>
      <c r="C1502">
        <v>24481032</v>
      </c>
      <c r="D1502">
        <f t="shared" si="599"/>
        <v>67</v>
      </c>
      <c r="E1502">
        <f t="shared" si="600"/>
        <v>67</v>
      </c>
      <c r="F1502" t="str">
        <f t="shared" si="601"/>
        <v>50-75</v>
      </c>
      <c r="G1502">
        <v>1</v>
      </c>
      <c r="H1502" t="str">
        <f t="shared" si="602"/>
        <v>Pariente gordo</v>
      </c>
      <c r="I1502">
        <v>1</v>
      </c>
      <c r="J1502" t="str">
        <f t="shared" si="603"/>
        <v>Hipercaloricos</v>
      </c>
      <c r="K1502">
        <v>1712848</v>
      </c>
      <c r="L1502">
        <f t="shared" si="604"/>
        <v>1</v>
      </c>
      <c r="M1502" t="str">
        <f t="shared" si="605"/>
        <v>Suele comer</v>
      </c>
      <c r="N1502">
        <v>3</v>
      </c>
      <c r="O1502">
        <f t="shared" si="606"/>
        <v>2</v>
      </c>
      <c r="P1502" t="str">
        <f t="shared" si="607"/>
        <v>Mas de 3</v>
      </c>
      <c r="Q1502">
        <v>1</v>
      </c>
      <c r="R1502" t="str">
        <f t="shared" si="608"/>
        <v>A veces</v>
      </c>
      <c r="S1502">
        <v>0</v>
      </c>
      <c r="T1502" t="str">
        <f t="shared" si="609"/>
        <v>No fuma</v>
      </c>
      <c r="U1502">
        <v>1162153</v>
      </c>
      <c r="V1502">
        <f t="shared" si="610"/>
        <v>2</v>
      </c>
      <c r="W1502" t="str">
        <f t="shared" si="611"/>
        <v>Siempre</v>
      </c>
      <c r="X1502">
        <v>0</v>
      </c>
      <c r="Y1502" t="str">
        <f t="shared" si="612"/>
        <v>No controla</v>
      </c>
      <c r="Z1502">
        <v>0.45898099999999997</v>
      </c>
      <c r="AA1502">
        <f t="shared" si="613"/>
        <v>0</v>
      </c>
      <c r="AB1502" t="str">
        <f t="shared" si="614"/>
        <v>Nunca</v>
      </c>
      <c r="AC1502">
        <v>0.88553199999999999</v>
      </c>
      <c r="AD1502">
        <f t="shared" si="615"/>
        <v>0</v>
      </c>
      <c r="AE1502" t="str">
        <f t="shared" si="616"/>
        <v>Nunca</v>
      </c>
      <c r="AF1502">
        <v>0</v>
      </c>
      <c r="AG1502" t="str">
        <f t="shared" si="617"/>
        <v>Nunca</v>
      </c>
      <c r="AH1502">
        <v>1</v>
      </c>
      <c r="AI1502" t="str">
        <f t="shared" si="618"/>
        <v>Usa auto</v>
      </c>
      <c r="AJ1502">
        <v>0</v>
      </c>
      <c r="AK1502" t="str">
        <f t="shared" si="619"/>
        <v>No usa</v>
      </c>
      <c r="AL1502">
        <v>0</v>
      </c>
      <c r="AM1502" t="str">
        <f t="shared" si="620"/>
        <v>No usa</v>
      </c>
      <c r="AN1502">
        <v>0</v>
      </c>
      <c r="AO1502" t="str">
        <f t="shared" si="621"/>
        <v>No usa</v>
      </c>
      <c r="AP1502">
        <v>0</v>
      </c>
      <c r="AQ1502" t="str">
        <f t="shared" si="622"/>
        <v>No camina</v>
      </c>
      <c r="AR1502">
        <v>1</v>
      </c>
      <c r="AS1502" t="str">
        <f t="shared" si="623"/>
        <v>Es Obeso</v>
      </c>
    </row>
    <row r="1503" spans="1:45" x14ac:dyDescent="0.25">
      <c r="A1503">
        <v>1</v>
      </c>
      <c r="B1503" t="str">
        <f t="shared" si="598"/>
        <v>M</v>
      </c>
      <c r="C1503">
        <v>29</v>
      </c>
      <c r="D1503">
        <f t="shared" si="599"/>
        <v>29</v>
      </c>
      <c r="E1503">
        <f t="shared" si="600"/>
        <v>29</v>
      </c>
      <c r="F1503" t="str">
        <f t="shared" si="601"/>
        <v>25-50</v>
      </c>
      <c r="G1503">
        <v>1</v>
      </c>
      <c r="H1503" t="str">
        <f t="shared" si="602"/>
        <v>Pariente gordo</v>
      </c>
      <c r="I1503">
        <v>1</v>
      </c>
      <c r="J1503" t="str">
        <f t="shared" si="603"/>
        <v>Hipercaloricos</v>
      </c>
      <c r="K1503">
        <v>13307</v>
      </c>
      <c r="L1503">
        <f t="shared" si="604"/>
        <v>1</v>
      </c>
      <c r="M1503" t="str">
        <f t="shared" si="605"/>
        <v>Suele comer</v>
      </c>
      <c r="N1503">
        <v>3</v>
      </c>
      <c r="O1503">
        <f t="shared" si="606"/>
        <v>2</v>
      </c>
      <c r="P1503" t="str">
        <f t="shared" si="607"/>
        <v>Mas de 3</v>
      </c>
      <c r="Q1503">
        <v>1</v>
      </c>
      <c r="R1503" t="str">
        <f t="shared" si="608"/>
        <v>A veces</v>
      </c>
      <c r="S1503">
        <v>0</v>
      </c>
      <c r="T1503" t="str">
        <f t="shared" si="609"/>
        <v>No fuma</v>
      </c>
      <c r="U1503">
        <v>1880967</v>
      </c>
      <c r="V1503">
        <f t="shared" si="610"/>
        <v>2</v>
      </c>
      <c r="W1503" t="str">
        <f t="shared" si="611"/>
        <v>Siempre</v>
      </c>
      <c r="X1503">
        <v>0</v>
      </c>
      <c r="Y1503" t="str">
        <f t="shared" si="612"/>
        <v>No controla</v>
      </c>
      <c r="Z1503">
        <v>0.32201299999999999</v>
      </c>
      <c r="AA1503">
        <f t="shared" si="613"/>
        <v>0</v>
      </c>
      <c r="AB1503" t="str">
        <f t="shared" si="614"/>
        <v>Nunca</v>
      </c>
      <c r="AC1503">
        <v>0</v>
      </c>
      <c r="AD1503">
        <f t="shared" si="615"/>
        <v>0</v>
      </c>
      <c r="AE1503" t="str">
        <f t="shared" si="616"/>
        <v>Nunca</v>
      </c>
      <c r="AF1503">
        <v>1</v>
      </c>
      <c r="AG1503" t="str">
        <f t="shared" si="617"/>
        <v>A veces</v>
      </c>
      <c r="AH1503">
        <v>1</v>
      </c>
      <c r="AI1503" t="str">
        <f t="shared" si="618"/>
        <v>Usa auto</v>
      </c>
      <c r="AJ1503">
        <v>0</v>
      </c>
      <c r="AK1503" t="str">
        <f t="shared" si="619"/>
        <v>No usa</v>
      </c>
      <c r="AL1503">
        <v>0</v>
      </c>
      <c r="AM1503" t="str">
        <f t="shared" si="620"/>
        <v>No usa</v>
      </c>
      <c r="AN1503">
        <v>0</v>
      </c>
      <c r="AO1503" t="str">
        <f t="shared" si="621"/>
        <v>No usa</v>
      </c>
      <c r="AP1503">
        <v>0</v>
      </c>
      <c r="AQ1503" t="str">
        <f t="shared" si="622"/>
        <v>No camina</v>
      </c>
      <c r="AR1503">
        <v>1</v>
      </c>
      <c r="AS1503" t="str">
        <f t="shared" si="623"/>
        <v>Es Obeso</v>
      </c>
    </row>
    <row r="1504" spans="1:45" x14ac:dyDescent="0.25">
      <c r="A1504">
        <v>1</v>
      </c>
      <c r="B1504" t="str">
        <f t="shared" si="598"/>
        <v>M</v>
      </c>
      <c r="C1504">
        <v>27968765</v>
      </c>
      <c r="D1504">
        <f t="shared" si="599"/>
        <v>76</v>
      </c>
      <c r="E1504">
        <f t="shared" si="600"/>
        <v>76</v>
      </c>
      <c r="F1504" t="str">
        <f t="shared" si="601"/>
        <v>75-100</v>
      </c>
      <c r="G1504">
        <v>1</v>
      </c>
      <c r="H1504" t="str">
        <f t="shared" si="602"/>
        <v>Pariente gordo</v>
      </c>
      <c r="I1504">
        <v>1</v>
      </c>
      <c r="J1504" t="str">
        <f t="shared" si="603"/>
        <v>Hipercaloricos</v>
      </c>
      <c r="K1504">
        <v>1961069</v>
      </c>
      <c r="L1504">
        <f t="shared" si="604"/>
        <v>1</v>
      </c>
      <c r="M1504" t="str">
        <f t="shared" si="605"/>
        <v>Suele comer</v>
      </c>
      <c r="N1504">
        <v>3</v>
      </c>
      <c r="O1504">
        <f t="shared" si="606"/>
        <v>2</v>
      </c>
      <c r="P1504" t="str">
        <f t="shared" si="607"/>
        <v>Mas de 3</v>
      </c>
      <c r="Q1504">
        <v>1</v>
      </c>
      <c r="R1504" t="str">
        <f t="shared" si="608"/>
        <v>A veces</v>
      </c>
      <c r="S1504">
        <v>0</v>
      </c>
      <c r="T1504" t="str">
        <f t="shared" si="609"/>
        <v>No fuma</v>
      </c>
      <c r="U1504">
        <v>2652327</v>
      </c>
      <c r="V1504">
        <f t="shared" si="610"/>
        <v>2</v>
      </c>
      <c r="W1504" t="str">
        <f t="shared" si="611"/>
        <v>Siempre</v>
      </c>
      <c r="X1504">
        <v>0</v>
      </c>
      <c r="Y1504" t="str">
        <f t="shared" si="612"/>
        <v>No controla</v>
      </c>
      <c r="Z1504">
        <v>0.56930999999999998</v>
      </c>
      <c r="AA1504">
        <f t="shared" si="613"/>
        <v>0</v>
      </c>
      <c r="AB1504" t="str">
        <f t="shared" si="614"/>
        <v>Nunca</v>
      </c>
      <c r="AC1504">
        <v>0.31900800000000001</v>
      </c>
      <c r="AD1504">
        <f t="shared" si="615"/>
        <v>0</v>
      </c>
      <c r="AE1504" t="str">
        <f t="shared" si="616"/>
        <v>Nunca</v>
      </c>
      <c r="AF1504">
        <v>1</v>
      </c>
      <c r="AG1504" t="str">
        <f t="shared" si="617"/>
        <v>A veces</v>
      </c>
      <c r="AH1504">
        <v>1</v>
      </c>
      <c r="AI1504" t="str">
        <f t="shared" si="618"/>
        <v>Usa auto</v>
      </c>
      <c r="AJ1504">
        <v>0</v>
      </c>
      <c r="AK1504" t="str">
        <f t="shared" si="619"/>
        <v>No usa</v>
      </c>
      <c r="AL1504">
        <v>0</v>
      </c>
      <c r="AM1504" t="str">
        <f t="shared" si="620"/>
        <v>No usa</v>
      </c>
      <c r="AN1504">
        <v>0</v>
      </c>
      <c r="AO1504" t="str">
        <f t="shared" si="621"/>
        <v>No usa</v>
      </c>
      <c r="AP1504">
        <v>0</v>
      </c>
      <c r="AQ1504" t="str">
        <f t="shared" si="622"/>
        <v>No camina</v>
      </c>
      <c r="AR1504">
        <v>1</v>
      </c>
      <c r="AS1504" t="str">
        <f t="shared" si="623"/>
        <v>Es Obeso</v>
      </c>
    </row>
    <row r="1505" spans="1:45" x14ac:dyDescent="0.25">
      <c r="A1505">
        <v>0</v>
      </c>
      <c r="B1505" t="str">
        <f t="shared" si="598"/>
        <v>F</v>
      </c>
      <c r="C1505">
        <v>18024744</v>
      </c>
      <c r="D1505">
        <f t="shared" si="599"/>
        <v>49</v>
      </c>
      <c r="E1505">
        <f t="shared" si="600"/>
        <v>49</v>
      </c>
      <c r="F1505" t="str">
        <f t="shared" si="601"/>
        <v>25-50</v>
      </c>
      <c r="G1505">
        <v>1</v>
      </c>
      <c r="H1505" t="str">
        <f t="shared" si="602"/>
        <v>Pariente gordo</v>
      </c>
      <c r="I1505">
        <v>1</v>
      </c>
      <c r="J1505" t="str">
        <f t="shared" si="603"/>
        <v>Hipercaloricos</v>
      </c>
      <c r="K1505">
        <v>2976509</v>
      </c>
      <c r="L1505">
        <f t="shared" si="604"/>
        <v>1</v>
      </c>
      <c r="M1505" t="str">
        <f t="shared" si="605"/>
        <v>Suele comer</v>
      </c>
      <c r="N1505">
        <v>3</v>
      </c>
      <c r="O1505">
        <f t="shared" si="606"/>
        <v>2</v>
      </c>
      <c r="P1505" t="str">
        <f t="shared" si="607"/>
        <v>Mas de 3</v>
      </c>
      <c r="Q1505">
        <v>1</v>
      </c>
      <c r="R1505" t="str">
        <f t="shared" si="608"/>
        <v>A veces</v>
      </c>
      <c r="S1505">
        <v>0</v>
      </c>
      <c r="T1505" t="str">
        <f t="shared" si="609"/>
        <v>No fuma</v>
      </c>
      <c r="U1505">
        <v>1022705</v>
      </c>
      <c r="V1505">
        <f t="shared" si="610"/>
        <v>2</v>
      </c>
      <c r="W1505" t="str">
        <f t="shared" si="611"/>
        <v>Siempre</v>
      </c>
      <c r="X1505">
        <v>0</v>
      </c>
      <c r="Y1505" t="str">
        <f t="shared" si="612"/>
        <v>No controla</v>
      </c>
      <c r="Z1505">
        <v>102569</v>
      </c>
      <c r="AA1505">
        <f t="shared" si="613"/>
        <v>2</v>
      </c>
      <c r="AB1505" t="str">
        <f t="shared" si="614"/>
        <v>Usualmente</v>
      </c>
      <c r="AC1505">
        <v>0.31301600000000002</v>
      </c>
      <c r="AD1505">
        <f t="shared" si="615"/>
        <v>0</v>
      </c>
      <c r="AE1505" t="str">
        <f t="shared" si="616"/>
        <v>Nunca</v>
      </c>
      <c r="AF1505">
        <v>0</v>
      </c>
      <c r="AG1505" t="str">
        <f t="shared" si="617"/>
        <v>Nunca</v>
      </c>
      <c r="AH1505">
        <v>0</v>
      </c>
      <c r="AI1505" t="str">
        <f t="shared" si="618"/>
        <v>No usa</v>
      </c>
      <c r="AJ1505">
        <v>0</v>
      </c>
      <c r="AK1505" t="str">
        <f t="shared" si="619"/>
        <v>No usa</v>
      </c>
      <c r="AL1505">
        <v>0</v>
      </c>
      <c r="AM1505" t="str">
        <f t="shared" si="620"/>
        <v>No usa</v>
      </c>
      <c r="AN1505">
        <v>1</v>
      </c>
      <c r="AO1505" t="str">
        <f t="shared" si="621"/>
        <v>Usa Transporte</v>
      </c>
      <c r="AP1505">
        <v>0</v>
      </c>
      <c r="AQ1505" t="str">
        <f t="shared" si="622"/>
        <v>No camina</v>
      </c>
      <c r="AR1505">
        <v>1</v>
      </c>
      <c r="AS1505" t="str">
        <f t="shared" si="623"/>
        <v>Es Obeso</v>
      </c>
    </row>
    <row r="1506" spans="1:45" x14ac:dyDescent="0.25">
      <c r="A1506">
        <v>0</v>
      </c>
      <c r="B1506" t="str">
        <f t="shared" si="598"/>
        <v>F</v>
      </c>
      <c r="C1506">
        <v>1810682</v>
      </c>
      <c r="D1506">
        <f t="shared" si="599"/>
        <v>4</v>
      </c>
      <c r="E1506">
        <f t="shared" si="600"/>
        <v>4</v>
      </c>
      <c r="F1506" t="str">
        <f t="shared" si="601"/>
        <v>1-25</v>
      </c>
      <c r="G1506">
        <v>1</v>
      </c>
      <c r="H1506" t="str">
        <f t="shared" si="602"/>
        <v>Pariente gordo</v>
      </c>
      <c r="I1506">
        <v>1</v>
      </c>
      <c r="J1506" t="str">
        <f t="shared" si="603"/>
        <v>Hipercaloricos</v>
      </c>
      <c r="K1506">
        <v>2319648</v>
      </c>
      <c r="L1506">
        <f t="shared" si="604"/>
        <v>1</v>
      </c>
      <c r="M1506" t="str">
        <f t="shared" si="605"/>
        <v>Suele comer</v>
      </c>
      <c r="N1506">
        <v>3</v>
      </c>
      <c r="O1506">
        <f t="shared" si="606"/>
        <v>2</v>
      </c>
      <c r="P1506" t="str">
        <f t="shared" si="607"/>
        <v>Mas de 3</v>
      </c>
      <c r="Q1506">
        <v>1</v>
      </c>
      <c r="R1506" t="str">
        <f t="shared" si="608"/>
        <v>A veces</v>
      </c>
      <c r="S1506">
        <v>0</v>
      </c>
      <c r="T1506" t="str">
        <f t="shared" si="609"/>
        <v>No fuma</v>
      </c>
      <c r="U1506">
        <v>1107164</v>
      </c>
      <c r="V1506">
        <f t="shared" si="610"/>
        <v>2</v>
      </c>
      <c r="W1506" t="str">
        <f t="shared" si="611"/>
        <v>Siempre</v>
      </c>
      <c r="X1506">
        <v>0</v>
      </c>
      <c r="Y1506" t="str">
        <f t="shared" si="612"/>
        <v>No controla</v>
      </c>
      <c r="Z1506">
        <v>0.69212300000000004</v>
      </c>
      <c r="AA1506">
        <f t="shared" si="613"/>
        <v>0</v>
      </c>
      <c r="AB1506" t="str">
        <f t="shared" si="614"/>
        <v>Nunca</v>
      </c>
      <c r="AC1506">
        <v>0.30402000000000001</v>
      </c>
      <c r="AD1506">
        <f t="shared" si="615"/>
        <v>0</v>
      </c>
      <c r="AE1506" t="str">
        <f t="shared" si="616"/>
        <v>Nunca</v>
      </c>
      <c r="AF1506">
        <v>0</v>
      </c>
      <c r="AG1506" t="str">
        <f t="shared" si="617"/>
        <v>Nunca</v>
      </c>
      <c r="AH1506">
        <v>0</v>
      </c>
      <c r="AI1506" t="str">
        <f t="shared" si="618"/>
        <v>No usa</v>
      </c>
      <c r="AJ1506">
        <v>0</v>
      </c>
      <c r="AK1506" t="str">
        <f t="shared" si="619"/>
        <v>No usa</v>
      </c>
      <c r="AL1506">
        <v>0</v>
      </c>
      <c r="AM1506" t="str">
        <f t="shared" si="620"/>
        <v>No usa</v>
      </c>
      <c r="AN1506">
        <v>1</v>
      </c>
      <c r="AO1506" t="str">
        <f t="shared" si="621"/>
        <v>Usa Transporte</v>
      </c>
      <c r="AP1506">
        <v>0</v>
      </c>
      <c r="AQ1506" t="str">
        <f t="shared" si="622"/>
        <v>No camina</v>
      </c>
      <c r="AR1506">
        <v>1</v>
      </c>
      <c r="AS1506" t="str">
        <f t="shared" si="623"/>
        <v>Es Obeso</v>
      </c>
    </row>
    <row r="1507" spans="1:45" x14ac:dyDescent="0.25">
      <c r="A1507">
        <v>1</v>
      </c>
      <c r="B1507" t="str">
        <f t="shared" si="598"/>
        <v>M</v>
      </c>
      <c r="C1507">
        <v>21379676</v>
      </c>
      <c r="D1507">
        <f t="shared" si="599"/>
        <v>58</v>
      </c>
      <c r="E1507">
        <f t="shared" si="600"/>
        <v>58</v>
      </c>
      <c r="F1507" t="str">
        <f t="shared" si="601"/>
        <v>50-75</v>
      </c>
      <c r="G1507">
        <v>1</v>
      </c>
      <c r="H1507" t="str">
        <f t="shared" si="602"/>
        <v>Pariente gordo</v>
      </c>
      <c r="I1507">
        <v>1</v>
      </c>
      <c r="J1507" t="str">
        <f t="shared" si="603"/>
        <v>Hipercaloricos</v>
      </c>
      <c r="K1507">
        <v>2</v>
      </c>
      <c r="L1507">
        <f t="shared" si="604"/>
        <v>1</v>
      </c>
      <c r="M1507" t="str">
        <f t="shared" si="605"/>
        <v>Suele comer</v>
      </c>
      <c r="N1507">
        <v>2961192</v>
      </c>
      <c r="O1507">
        <f t="shared" si="606"/>
        <v>2</v>
      </c>
      <c r="P1507" t="str">
        <f t="shared" si="607"/>
        <v>Mas de 3</v>
      </c>
      <c r="Q1507">
        <v>1</v>
      </c>
      <c r="R1507" t="str">
        <f t="shared" si="608"/>
        <v>A veces</v>
      </c>
      <c r="S1507">
        <v>0</v>
      </c>
      <c r="T1507" t="str">
        <f t="shared" si="609"/>
        <v>No fuma</v>
      </c>
      <c r="U1507">
        <v>2623344</v>
      </c>
      <c r="V1507">
        <f t="shared" si="610"/>
        <v>2</v>
      </c>
      <c r="W1507" t="str">
        <f t="shared" si="611"/>
        <v>Siempre</v>
      </c>
      <c r="X1507">
        <v>0</v>
      </c>
      <c r="Y1507" t="str">
        <f t="shared" si="612"/>
        <v>No controla</v>
      </c>
      <c r="Z1507">
        <v>0.98168599999999995</v>
      </c>
      <c r="AA1507">
        <f t="shared" si="613"/>
        <v>0</v>
      </c>
      <c r="AB1507" t="str">
        <f t="shared" si="614"/>
        <v>Nunca</v>
      </c>
      <c r="AC1507">
        <v>135537</v>
      </c>
      <c r="AD1507">
        <f t="shared" si="615"/>
        <v>1</v>
      </c>
      <c r="AE1507" t="str">
        <f t="shared" si="616"/>
        <v>Usualmente</v>
      </c>
      <c r="AF1507">
        <v>0</v>
      </c>
      <c r="AG1507" t="str">
        <f t="shared" si="617"/>
        <v>Nunca</v>
      </c>
      <c r="AH1507">
        <v>0</v>
      </c>
      <c r="AI1507" t="str">
        <f t="shared" si="618"/>
        <v>No usa</v>
      </c>
      <c r="AJ1507">
        <v>0</v>
      </c>
      <c r="AK1507" t="str">
        <f t="shared" si="619"/>
        <v>No usa</v>
      </c>
      <c r="AL1507">
        <v>0</v>
      </c>
      <c r="AM1507" t="str">
        <f t="shared" si="620"/>
        <v>No usa</v>
      </c>
      <c r="AN1507">
        <v>1</v>
      </c>
      <c r="AO1507" t="str">
        <f t="shared" si="621"/>
        <v>Usa Transporte</v>
      </c>
      <c r="AP1507">
        <v>0</v>
      </c>
      <c r="AQ1507" t="str">
        <f t="shared" si="622"/>
        <v>No camina</v>
      </c>
      <c r="AR1507">
        <v>1</v>
      </c>
      <c r="AS1507" t="str">
        <f t="shared" si="623"/>
        <v>Es Obeso</v>
      </c>
    </row>
    <row r="1508" spans="1:45" x14ac:dyDescent="0.25">
      <c r="A1508">
        <v>1</v>
      </c>
      <c r="B1508" t="str">
        <f t="shared" si="598"/>
        <v>M</v>
      </c>
      <c r="C1508">
        <v>21353237</v>
      </c>
      <c r="D1508">
        <f t="shared" si="599"/>
        <v>58</v>
      </c>
      <c r="E1508">
        <f t="shared" si="600"/>
        <v>58</v>
      </c>
      <c r="F1508" t="str">
        <f t="shared" si="601"/>
        <v>50-75</v>
      </c>
      <c r="G1508">
        <v>1</v>
      </c>
      <c r="H1508" t="str">
        <f t="shared" si="602"/>
        <v>Pariente gordo</v>
      </c>
      <c r="I1508">
        <v>1</v>
      </c>
      <c r="J1508" t="str">
        <f t="shared" si="603"/>
        <v>Hipercaloricos</v>
      </c>
      <c r="K1508">
        <v>2</v>
      </c>
      <c r="L1508">
        <f t="shared" si="604"/>
        <v>1</v>
      </c>
      <c r="M1508" t="str">
        <f t="shared" si="605"/>
        <v>Suele comer</v>
      </c>
      <c r="N1508">
        <v>2973476</v>
      </c>
      <c r="O1508">
        <f t="shared" si="606"/>
        <v>2</v>
      </c>
      <c r="P1508" t="str">
        <f t="shared" si="607"/>
        <v>Mas de 3</v>
      </c>
      <c r="Q1508">
        <v>1</v>
      </c>
      <c r="R1508" t="str">
        <f t="shared" si="608"/>
        <v>A veces</v>
      </c>
      <c r="S1508">
        <v>0</v>
      </c>
      <c r="T1508" t="str">
        <f t="shared" si="609"/>
        <v>No fuma</v>
      </c>
      <c r="U1508">
        <v>2</v>
      </c>
      <c r="V1508">
        <f t="shared" si="610"/>
        <v>2</v>
      </c>
      <c r="W1508" t="str">
        <f t="shared" si="611"/>
        <v>Siempre</v>
      </c>
      <c r="X1508">
        <v>0</v>
      </c>
      <c r="Y1508" t="str">
        <f t="shared" si="612"/>
        <v>No controla</v>
      </c>
      <c r="Z1508">
        <v>0</v>
      </c>
      <c r="AA1508">
        <f t="shared" si="613"/>
        <v>0</v>
      </c>
      <c r="AB1508" t="str">
        <f t="shared" si="614"/>
        <v>Nunca</v>
      </c>
      <c r="AC1508">
        <v>1331527</v>
      </c>
      <c r="AD1508">
        <f t="shared" si="615"/>
        <v>2</v>
      </c>
      <c r="AE1508" t="str">
        <f t="shared" si="616"/>
        <v>Siempre</v>
      </c>
      <c r="AF1508">
        <v>0</v>
      </c>
      <c r="AG1508" t="str">
        <f t="shared" si="617"/>
        <v>Nunca</v>
      </c>
      <c r="AH1508">
        <v>0</v>
      </c>
      <c r="AI1508" t="str">
        <f t="shared" si="618"/>
        <v>No usa</v>
      </c>
      <c r="AJ1508">
        <v>0</v>
      </c>
      <c r="AK1508" t="str">
        <f t="shared" si="619"/>
        <v>No usa</v>
      </c>
      <c r="AL1508">
        <v>0</v>
      </c>
      <c r="AM1508" t="str">
        <f t="shared" si="620"/>
        <v>No usa</v>
      </c>
      <c r="AN1508">
        <v>1</v>
      </c>
      <c r="AO1508" t="str">
        <f t="shared" si="621"/>
        <v>Usa Transporte</v>
      </c>
      <c r="AP1508">
        <v>0</v>
      </c>
      <c r="AQ1508" t="str">
        <f t="shared" si="622"/>
        <v>No camina</v>
      </c>
      <c r="AR1508">
        <v>1</v>
      </c>
      <c r="AS1508" t="str">
        <f t="shared" si="623"/>
        <v>Es Obeso</v>
      </c>
    </row>
    <row r="1509" spans="1:45" x14ac:dyDescent="0.25">
      <c r="A1509">
        <v>1</v>
      </c>
      <c r="B1509" t="str">
        <f t="shared" si="598"/>
        <v>M</v>
      </c>
      <c r="C1509">
        <v>20338815</v>
      </c>
      <c r="D1509">
        <f t="shared" si="599"/>
        <v>55</v>
      </c>
      <c r="E1509">
        <f t="shared" si="600"/>
        <v>55</v>
      </c>
      <c r="F1509" t="str">
        <f t="shared" si="601"/>
        <v>50-75</v>
      </c>
      <c r="G1509">
        <v>1</v>
      </c>
      <c r="H1509" t="str">
        <f t="shared" si="602"/>
        <v>Pariente gordo</v>
      </c>
      <c r="I1509">
        <v>1</v>
      </c>
      <c r="J1509" t="str">
        <f t="shared" si="603"/>
        <v>Hipercaloricos</v>
      </c>
      <c r="K1509">
        <v>2</v>
      </c>
      <c r="L1509">
        <f t="shared" si="604"/>
        <v>1</v>
      </c>
      <c r="M1509" t="str">
        <f t="shared" si="605"/>
        <v>Suele comer</v>
      </c>
      <c r="N1509">
        <v>2392811</v>
      </c>
      <c r="O1509">
        <f t="shared" si="606"/>
        <v>2</v>
      </c>
      <c r="P1509" t="str">
        <f t="shared" si="607"/>
        <v>Mas de 3</v>
      </c>
      <c r="Q1509">
        <v>1</v>
      </c>
      <c r="R1509" t="str">
        <f t="shared" si="608"/>
        <v>A veces</v>
      </c>
      <c r="S1509">
        <v>0</v>
      </c>
      <c r="T1509" t="str">
        <f t="shared" si="609"/>
        <v>No fuma</v>
      </c>
      <c r="U1509">
        <v>2</v>
      </c>
      <c r="V1509">
        <f t="shared" si="610"/>
        <v>2</v>
      </c>
      <c r="W1509" t="str">
        <f t="shared" si="611"/>
        <v>Siempre</v>
      </c>
      <c r="X1509">
        <v>0</v>
      </c>
      <c r="Y1509" t="str">
        <f t="shared" si="612"/>
        <v>No controla</v>
      </c>
      <c r="Z1509">
        <v>0</v>
      </c>
      <c r="AA1509">
        <f t="shared" si="613"/>
        <v>0</v>
      </c>
      <c r="AB1509" t="str">
        <f t="shared" si="614"/>
        <v>Nunca</v>
      </c>
      <c r="AC1509">
        <v>180931</v>
      </c>
      <c r="AD1509">
        <f t="shared" si="615"/>
        <v>1</v>
      </c>
      <c r="AE1509" t="str">
        <f t="shared" si="616"/>
        <v>Usualmente</v>
      </c>
      <c r="AF1509">
        <v>0</v>
      </c>
      <c r="AG1509" t="str">
        <f t="shared" si="617"/>
        <v>Nunca</v>
      </c>
      <c r="AH1509">
        <v>0</v>
      </c>
      <c r="AI1509" t="str">
        <f t="shared" si="618"/>
        <v>No usa</v>
      </c>
      <c r="AJ1509">
        <v>0</v>
      </c>
      <c r="AK1509" t="str">
        <f t="shared" si="619"/>
        <v>No usa</v>
      </c>
      <c r="AL1509">
        <v>0</v>
      </c>
      <c r="AM1509" t="str">
        <f t="shared" si="620"/>
        <v>No usa</v>
      </c>
      <c r="AN1509">
        <v>1</v>
      </c>
      <c r="AO1509" t="str">
        <f t="shared" si="621"/>
        <v>Usa Transporte</v>
      </c>
      <c r="AP1509">
        <v>0</v>
      </c>
      <c r="AQ1509" t="str">
        <f t="shared" si="622"/>
        <v>No camina</v>
      </c>
      <c r="AR1509">
        <v>1</v>
      </c>
      <c r="AS1509" t="str">
        <f t="shared" si="623"/>
        <v>Es Obeso</v>
      </c>
    </row>
    <row r="1510" spans="1:45" x14ac:dyDescent="0.25">
      <c r="A1510">
        <v>1</v>
      </c>
      <c r="B1510" t="str">
        <f t="shared" si="598"/>
        <v>M</v>
      </c>
      <c r="C1510">
        <v>20720639</v>
      </c>
      <c r="D1510">
        <f t="shared" si="599"/>
        <v>56</v>
      </c>
      <c r="E1510">
        <f t="shared" si="600"/>
        <v>56</v>
      </c>
      <c r="F1510" t="str">
        <f t="shared" si="601"/>
        <v>50-75</v>
      </c>
      <c r="G1510">
        <v>1</v>
      </c>
      <c r="H1510" t="str">
        <f t="shared" si="602"/>
        <v>Pariente gordo</v>
      </c>
      <c r="I1510">
        <v>1</v>
      </c>
      <c r="J1510" t="str">
        <f t="shared" si="603"/>
        <v>Hipercaloricos</v>
      </c>
      <c r="K1510">
        <v>2</v>
      </c>
      <c r="L1510">
        <f t="shared" si="604"/>
        <v>1</v>
      </c>
      <c r="M1510" t="str">
        <f t="shared" si="605"/>
        <v>Suele comer</v>
      </c>
      <c r="N1510">
        <v>1293342</v>
      </c>
      <c r="O1510">
        <f t="shared" si="606"/>
        <v>2</v>
      </c>
      <c r="P1510" t="str">
        <f t="shared" si="607"/>
        <v>Mas de 3</v>
      </c>
      <c r="Q1510">
        <v>1</v>
      </c>
      <c r="R1510" t="str">
        <f t="shared" si="608"/>
        <v>A veces</v>
      </c>
      <c r="S1510">
        <v>0</v>
      </c>
      <c r="T1510" t="str">
        <f t="shared" si="609"/>
        <v>No fuma</v>
      </c>
      <c r="U1510">
        <v>2</v>
      </c>
      <c r="V1510">
        <f t="shared" si="610"/>
        <v>2</v>
      </c>
      <c r="W1510" t="str">
        <f t="shared" si="611"/>
        <v>Siempre</v>
      </c>
      <c r="X1510">
        <v>0</v>
      </c>
      <c r="Y1510" t="str">
        <f t="shared" si="612"/>
        <v>No controla</v>
      </c>
      <c r="Z1510">
        <v>0</v>
      </c>
      <c r="AA1510">
        <f t="shared" si="613"/>
        <v>0</v>
      </c>
      <c r="AB1510" t="str">
        <f t="shared" si="614"/>
        <v>Nunca</v>
      </c>
      <c r="AC1510">
        <v>1917679</v>
      </c>
      <c r="AD1510">
        <f t="shared" si="615"/>
        <v>2</v>
      </c>
      <c r="AE1510" t="str">
        <f t="shared" si="616"/>
        <v>Siempre</v>
      </c>
      <c r="AF1510">
        <v>0</v>
      </c>
      <c r="AG1510" t="str">
        <f t="shared" si="617"/>
        <v>Nunca</v>
      </c>
      <c r="AH1510">
        <v>0</v>
      </c>
      <c r="AI1510" t="str">
        <f t="shared" si="618"/>
        <v>No usa</v>
      </c>
      <c r="AJ1510">
        <v>0</v>
      </c>
      <c r="AK1510" t="str">
        <f t="shared" si="619"/>
        <v>No usa</v>
      </c>
      <c r="AL1510">
        <v>0</v>
      </c>
      <c r="AM1510" t="str">
        <f t="shared" si="620"/>
        <v>No usa</v>
      </c>
      <c r="AN1510">
        <v>1</v>
      </c>
      <c r="AO1510" t="str">
        <f t="shared" si="621"/>
        <v>Usa Transporte</v>
      </c>
      <c r="AP1510">
        <v>0</v>
      </c>
      <c r="AQ1510" t="str">
        <f t="shared" si="622"/>
        <v>No camina</v>
      </c>
      <c r="AR1510">
        <v>1</v>
      </c>
      <c r="AS1510" t="str">
        <f t="shared" si="623"/>
        <v>Es Obeso</v>
      </c>
    </row>
    <row r="1511" spans="1:45" x14ac:dyDescent="0.25">
      <c r="A1511">
        <v>0</v>
      </c>
      <c r="B1511" t="str">
        <f t="shared" si="598"/>
        <v>F</v>
      </c>
      <c r="C1511">
        <v>19045357</v>
      </c>
      <c r="D1511">
        <f t="shared" si="599"/>
        <v>52</v>
      </c>
      <c r="E1511">
        <f t="shared" si="600"/>
        <v>52</v>
      </c>
      <c r="F1511" t="str">
        <f t="shared" si="601"/>
        <v>50-75</v>
      </c>
      <c r="G1511">
        <v>1</v>
      </c>
      <c r="H1511" t="str">
        <f t="shared" si="602"/>
        <v>Pariente gordo</v>
      </c>
      <c r="I1511">
        <v>1</v>
      </c>
      <c r="J1511" t="str">
        <f t="shared" si="603"/>
        <v>Hipercaloricos</v>
      </c>
      <c r="K1511">
        <v>1261288</v>
      </c>
      <c r="L1511">
        <f t="shared" si="604"/>
        <v>1</v>
      </c>
      <c r="M1511" t="str">
        <f t="shared" si="605"/>
        <v>Suele comer</v>
      </c>
      <c r="N1511">
        <v>2930044</v>
      </c>
      <c r="O1511">
        <f t="shared" si="606"/>
        <v>2</v>
      </c>
      <c r="P1511" t="str">
        <f t="shared" si="607"/>
        <v>Mas de 3</v>
      </c>
      <c r="Q1511">
        <v>1</v>
      </c>
      <c r="R1511" t="str">
        <f t="shared" si="608"/>
        <v>A veces</v>
      </c>
      <c r="S1511">
        <v>0</v>
      </c>
      <c r="T1511" t="str">
        <f t="shared" si="609"/>
        <v>No fuma</v>
      </c>
      <c r="U1511">
        <v>1166655</v>
      </c>
      <c r="V1511">
        <f t="shared" si="610"/>
        <v>2</v>
      </c>
      <c r="W1511" t="str">
        <f t="shared" si="611"/>
        <v>Siempre</v>
      </c>
      <c r="X1511">
        <v>0</v>
      </c>
      <c r="Y1511" t="str">
        <f t="shared" si="612"/>
        <v>No controla</v>
      </c>
      <c r="Z1511">
        <v>0.13339799999999999</v>
      </c>
      <c r="AA1511">
        <f t="shared" si="613"/>
        <v>0</v>
      </c>
      <c r="AB1511" t="str">
        <f t="shared" si="614"/>
        <v>Nunca</v>
      </c>
      <c r="AC1511">
        <v>0.95174000000000003</v>
      </c>
      <c r="AD1511">
        <f t="shared" si="615"/>
        <v>0</v>
      </c>
      <c r="AE1511" t="str">
        <f t="shared" si="616"/>
        <v>Nunca</v>
      </c>
      <c r="AF1511">
        <v>0</v>
      </c>
      <c r="AG1511" t="str">
        <f t="shared" si="617"/>
        <v>Nunca</v>
      </c>
      <c r="AH1511">
        <v>0</v>
      </c>
      <c r="AI1511" t="str">
        <f t="shared" si="618"/>
        <v>No usa</v>
      </c>
      <c r="AJ1511">
        <v>0</v>
      </c>
      <c r="AK1511" t="str">
        <f t="shared" si="619"/>
        <v>No usa</v>
      </c>
      <c r="AL1511">
        <v>0</v>
      </c>
      <c r="AM1511" t="str">
        <f t="shared" si="620"/>
        <v>No usa</v>
      </c>
      <c r="AN1511">
        <v>1</v>
      </c>
      <c r="AO1511" t="str">
        <f t="shared" si="621"/>
        <v>Usa Transporte</v>
      </c>
      <c r="AP1511">
        <v>0</v>
      </c>
      <c r="AQ1511" t="str">
        <f t="shared" si="622"/>
        <v>No camina</v>
      </c>
      <c r="AR1511">
        <v>1</v>
      </c>
      <c r="AS1511" t="str">
        <f t="shared" si="623"/>
        <v>Es Obeso</v>
      </c>
    </row>
    <row r="1512" spans="1:45" x14ac:dyDescent="0.25">
      <c r="A1512">
        <v>0</v>
      </c>
      <c r="B1512" t="str">
        <f t="shared" si="598"/>
        <v>F</v>
      </c>
      <c r="C1512">
        <v>18945961</v>
      </c>
      <c r="D1512">
        <f t="shared" si="599"/>
        <v>51</v>
      </c>
      <c r="E1512">
        <f t="shared" si="600"/>
        <v>51</v>
      </c>
      <c r="F1512" t="str">
        <f t="shared" si="601"/>
        <v>50-75</v>
      </c>
      <c r="G1512">
        <v>1</v>
      </c>
      <c r="H1512" t="str">
        <f t="shared" si="602"/>
        <v>Pariente gordo</v>
      </c>
      <c r="I1512">
        <v>1</v>
      </c>
      <c r="J1512" t="str">
        <f t="shared" si="603"/>
        <v>Hipercaloricos</v>
      </c>
      <c r="K1512">
        <v>276533</v>
      </c>
      <c r="L1512">
        <f t="shared" si="604"/>
        <v>1</v>
      </c>
      <c r="M1512" t="str">
        <f t="shared" si="605"/>
        <v>Suele comer</v>
      </c>
      <c r="N1512">
        <v>3</v>
      </c>
      <c r="O1512">
        <f t="shared" si="606"/>
        <v>2</v>
      </c>
      <c r="P1512" t="str">
        <f t="shared" si="607"/>
        <v>Mas de 3</v>
      </c>
      <c r="Q1512">
        <v>1</v>
      </c>
      <c r="R1512" t="str">
        <f t="shared" si="608"/>
        <v>A veces</v>
      </c>
      <c r="S1512">
        <v>0</v>
      </c>
      <c r="T1512" t="str">
        <f t="shared" si="609"/>
        <v>No fuma</v>
      </c>
      <c r="U1512">
        <v>1048584</v>
      </c>
      <c r="V1512">
        <f t="shared" si="610"/>
        <v>2</v>
      </c>
      <c r="W1512" t="str">
        <f t="shared" si="611"/>
        <v>Siempre</v>
      </c>
      <c r="X1512">
        <v>0</v>
      </c>
      <c r="Y1512" t="str">
        <f t="shared" si="612"/>
        <v>No controla</v>
      </c>
      <c r="Z1512">
        <v>0.19255900000000001</v>
      </c>
      <c r="AA1512">
        <f t="shared" si="613"/>
        <v>0</v>
      </c>
      <c r="AB1512" t="str">
        <f t="shared" si="614"/>
        <v>Nunca</v>
      </c>
      <c r="AC1512">
        <v>0.72041100000000002</v>
      </c>
      <c r="AD1512">
        <f t="shared" si="615"/>
        <v>0</v>
      </c>
      <c r="AE1512" t="str">
        <f t="shared" si="616"/>
        <v>Nunca</v>
      </c>
      <c r="AF1512">
        <v>0</v>
      </c>
      <c r="AG1512" t="str">
        <f t="shared" si="617"/>
        <v>Nunca</v>
      </c>
      <c r="AH1512">
        <v>0</v>
      </c>
      <c r="AI1512" t="str">
        <f t="shared" si="618"/>
        <v>No usa</v>
      </c>
      <c r="AJ1512">
        <v>0</v>
      </c>
      <c r="AK1512" t="str">
        <f t="shared" si="619"/>
        <v>No usa</v>
      </c>
      <c r="AL1512">
        <v>0</v>
      </c>
      <c r="AM1512" t="str">
        <f t="shared" si="620"/>
        <v>No usa</v>
      </c>
      <c r="AN1512">
        <v>1</v>
      </c>
      <c r="AO1512" t="str">
        <f t="shared" si="621"/>
        <v>Usa Transporte</v>
      </c>
      <c r="AP1512">
        <v>0</v>
      </c>
      <c r="AQ1512" t="str">
        <f t="shared" si="622"/>
        <v>No camina</v>
      </c>
      <c r="AR1512">
        <v>1</v>
      </c>
      <c r="AS1512" t="str">
        <f t="shared" si="623"/>
        <v>Es Obeso</v>
      </c>
    </row>
    <row r="1513" spans="1:45" x14ac:dyDescent="0.25">
      <c r="A1513">
        <v>1</v>
      </c>
      <c r="B1513" t="str">
        <f t="shared" si="598"/>
        <v>M</v>
      </c>
      <c r="C1513">
        <v>1888061</v>
      </c>
      <c r="D1513">
        <f t="shared" si="599"/>
        <v>5</v>
      </c>
      <c r="E1513">
        <f t="shared" si="600"/>
        <v>5</v>
      </c>
      <c r="F1513" t="str">
        <f t="shared" si="601"/>
        <v>1-25</v>
      </c>
      <c r="G1513">
        <v>1</v>
      </c>
      <c r="H1513" t="str">
        <f t="shared" si="602"/>
        <v>Pariente gordo</v>
      </c>
      <c r="I1513">
        <v>1</v>
      </c>
      <c r="J1513" t="str">
        <f t="shared" si="603"/>
        <v>Hipercaloricos</v>
      </c>
      <c r="K1513">
        <v>2</v>
      </c>
      <c r="L1513">
        <f t="shared" si="604"/>
        <v>1</v>
      </c>
      <c r="M1513" t="str">
        <f t="shared" si="605"/>
        <v>Suele comer</v>
      </c>
      <c r="N1513">
        <v>3</v>
      </c>
      <c r="O1513">
        <f t="shared" si="606"/>
        <v>2</v>
      </c>
      <c r="P1513" t="str">
        <f t="shared" si="607"/>
        <v>Mas de 3</v>
      </c>
      <c r="Q1513">
        <v>1</v>
      </c>
      <c r="R1513" t="str">
        <f t="shared" si="608"/>
        <v>A veces</v>
      </c>
      <c r="S1513">
        <v>0</v>
      </c>
      <c r="T1513" t="str">
        <f t="shared" si="609"/>
        <v>No fuma</v>
      </c>
      <c r="U1513">
        <v>3</v>
      </c>
      <c r="V1513">
        <f t="shared" si="610"/>
        <v>2</v>
      </c>
      <c r="W1513" t="str">
        <f t="shared" si="611"/>
        <v>Siempre</v>
      </c>
      <c r="X1513">
        <v>0</v>
      </c>
      <c r="Y1513" t="str">
        <f t="shared" si="612"/>
        <v>No controla</v>
      </c>
      <c r="Z1513">
        <v>22405</v>
      </c>
      <c r="AA1513">
        <f t="shared" si="613"/>
        <v>2</v>
      </c>
      <c r="AB1513" t="str">
        <f t="shared" si="614"/>
        <v>Usualmente</v>
      </c>
      <c r="AC1513">
        <v>0</v>
      </c>
      <c r="AD1513">
        <f t="shared" si="615"/>
        <v>0</v>
      </c>
      <c r="AE1513" t="str">
        <f t="shared" si="616"/>
        <v>Nunca</v>
      </c>
      <c r="AF1513">
        <v>0</v>
      </c>
      <c r="AG1513" t="str">
        <f t="shared" si="617"/>
        <v>Nunca</v>
      </c>
      <c r="AH1513">
        <v>0</v>
      </c>
      <c r="AI1513" t="str">
        <f t="shared" si="618"/>
        <v>No usa</v>
      </c>
      <c r="AJ1513">
        <v>0</v>
      </c>
      <c r="AK1513" t="str">
        <f t="shared" si="619"/>
        <v>No usa</v>
      </c>
      <c r="AL1513">
        <v>0</v>
      </c>
      <c r="AM1513" t="str">
        <f t="shared" si="620"/>
        <v>No usa</v>
      </c>
      <c r="AN1513">
        <v>1</v>
      </c>
      <c r="AO1513" t="str">
        <f t="shared" si="621"/>
        <v>Usa Transporte</v>
      </c>
      <c r="AP1513">
        <v>0</v>
      </c>
      <c r="AQ1513" t="str">
        <f t="shared" si="622"/>
        <v>No camina</v>
      </c>
      <c r="AR1513">
        <v>1</v>
      </c>
      <c r="AS1513" t="str">
        <f t="shared" si="623"/>
        <v>Es Obeso</v>
      </c>
    </row>
    <row r="1514" spans="1:45" x14ac:dyDescent="0.25">
      <c r="A1514">
        <v>1</v>
      </c>
      <c r="B1514" t="str">
        <f t="shared" si="598"/>
        <v>M</v>
      </c>
      <c r="C1514">
        <v>19850524</v>
      </c>
      <c r="D1514">
        <f t="shared" si="599"/>
        <v>54</v>
      </c>
      <c r="E1514">
        <f t="shared" si="600"/>
        <v>54</v>
      </c>
      <c r="F1514" t="str">
        <f t="shared" si="601"/>
        <v>50-75</v>
      </c>
      <c r="G1514">
        <v>1</v>
      </c>
      <c r="H1514" t="str">
        <f t="shared" si="602"/>
        <v>Pariente gordo</v>
      </c>
      <c r="I1514">
        <v>1</v>
      </c>
      <c r="J1514" t="str">
        <f t="shared" si="603"/>
        <v>Hipercaloricos</v>
      </c>
      <c r="K1514">
        <v>2</v>
      </c>
      <c r="L1514">
        <f t="shared" si="604"/>
        <v>1</v>
      </c>
      <c r="M1514" t="str">
        <f t="shared" si="605"/>
        <v>Suele comer</v>
      </c>
      <c r="N1514">
        <v>3</v>
      </c>
      <c r="O1514">
        <f t="shared" si="606"/>
        <v>2</v>
      </c>
      <c r="P1514" t="str">
        <f t="shared" si="607"/>
        <v>Mas de 3</v>
      </c>
      <c r="Q1514">
        <v>1</v>
      </c>
      <c r="R1514" t="str">
        <f t="shared" si="608"/>
        <v>A veces</v>
      </c>
      <c r="S1514">
        <v>0</v>
      </c>
      <c r="T1514" t="str">
        <f t="shared" si="609"/>
        <v>No fuma</v>
      </c>
      <c r="U1514">
        <v>215157</v>
      </c>
      <c r="V1514">
        <f t="shared" si="610"/>
        <v>2</v>
      </c>
      <c r="W1514" t="str">
        <f t="shared" si="611"/>
        <v>Siempre</v>
      </c>
      <c r="X1514">
        <v>0</v>
      </c>
      <c r="Y1514" t="str">
        <f t="shared" si="612"/>
        <v>No controla</v>
      </c>
      <c r="Z1514">
        <v>1605983</v>
      </c>
      <c r="AA1514">
        <f t="shared" si="613"/>
        <v>3</v>
      </c>
      <c r="AB1514" t="str">
        <f t="shared" si="614"/>
        <v>Siempre</v>
      </c>
      <c r="AC1514">
        <v>0</v>
      </c>
      <c r="AD1514">
        <f t="shared" si="615"/>
        <v>0</v>
      </c>
      <c r="AE1514" t="str">
        <f t="shared" si="616"/>
        <v>Nunca</v>
      </c>
      <c r="AF1514">
        <v>0</v>
      </c>
      <c r="AG1514" t="str">
        <f t="shared" si="617"/>
        <v>Nunca</v>
      </c>
      <c r="AH1514">
        <v>0</v>
      </c>
      <c r="AI1514" t="str">
        <f t="shared" si="618"/>
        <v>No usa</v>
      </c>
      <c r="AJ1514">
        <v>0</v>
      </c>
      <c r="AK1514" t="str">
        <f t="shared" si="619"/>
        <v>No usa</v>
      </c>
      <c r="AL1514">
        <v>0</v>
      </c>
      <c r="AM1514" t="str">
        <f t="shared" si="620"/>
        <v>No usa</v>
      </c>
      <c r="AN1514">
        <v>1</v>
      </c>
      <c r="AO1514" t="str">
        <f t="shared" si="621"/>
        <v>Usa Transporte</v>
      </c>
      <c r="AP1514">
        <v>0</v>
      </c>
      <c r="AQ1514" t="str">
        <f t="shared" si="622"/>
        <v>No camina</v>
      </c>
      <c r="AR1514">
        <v>1</v>
      </c>
      <c r="AS1514" t="str">
        <f t="shared" si="623"/>
        <v>Es Obeso</v>
      </c>
    </row>
    <row r="1515" spans="1:45" x14ac:dyDescent="0.25">
      <c r="A1515">
        <v>1</v>
      </c>
      <c r="B1515" t="str">
        <f t="shared" si="598"/>
        <v>M</v>
      </c>
      <c r="C1515">
        <v>30200946</v>
      </c>
      <c r="D1515">
        <f t="shared" si="599"/>
        <v>82</v>
      </c>
      <c r="E1515">
        <f t="shared" si="600"/>
        <v>82</v>
      </c>
      <c r="F1515" t="str">
        <f t="shared" si="601"/>
        <v>75-100</v>
      </c>
      <c r="G1515">
        <v>1</v>
      </c>
      <c r="H1515" t="str">
        <f t="shared" si="602"/>
        <v>Pariente gordo</v>
      </c>
      <c r="I1515">
        <v>1</v>
      </c>
      <c r="J1515" t="str">
        <f t="shared" si="603"/>
        <v>Hipercaloricos</v>
      </c>
      <c r="K1515">
        <v>2317734</v>
      </c>
      <c r="L1515">
        <f t="shared" si="604"/>
        <v>1</v>
      </c>
      <c r="M1515" t="str">
        <f t="shared" si="605"/>
        <v>Suele comer</v>
      </c>
      <c r="N1515">
        <v>3</v>
      </c>
      <c r="O1515">
        <f t="shared" si="606"/>
        <v>2</v>
      </c>
      <c r="P1515" t="str">
        <f t="shared" si="607"/>
        <v>Mas de 3</v>
      </c>
      <c r="Q1515">
        <v>1</v>
      </c>
      <c r="R1515" t="str">
        <f t="shared" si="608"/>
        <v>A veces</v>
      </c>
      <c r="S1515">
        <v>0</v>
      </c>
      <c r="T1515" t="str">
        <f t="shared" si="609"/>
        <v>No fuma</v>
      </c>
      <c r="U1515">
        <v>2152736</v>
      </c>
      <c r="V1515">
        <f t="shared" si="610"/>
        <v>2</v>
      </c>
      <c r="W1515" t="str">
        <f t="shared" si="611"/>
        <v>Siempre</v>
      </c>
      <c r="X1515">
        <v>0</v>
      </c>
      <c r="Y1515" t="str">
        <f t="shared" si="612"/>
        <v>No controla</v>
      </c>
      <c r="Z1515">
        <v>0</v>
      </c>
      <c r="AA1515">
        <f t="shared" si="613"/>
        <v>0</v>
      </c>
      <c r="AB1515" t="str">
        <f t="shared" si="614"/>
        <v>Nunca</v>
      </c>
      <c r="AC1515">
        <v>1108145</v>
      </c>
      <c r="AD1515">
        <f t="shared" si="615"/>
        <v>2</v>
      </c>
      <c r="AE1515" t="str">
        <f t="shared" si="616"/>
        <v>Siempre</v>
      </c>
      <c r="AF1515">
        <v>0</v>
      </c>
      <c r="AG1515" t="str">
        <f t="shared" si="617"/>
        <v>Nunca</v>
      </c>
      <c r="AH1515">
        <v>1</v>
      </c>
      <c r="AI1515" t="str">
        <f t="shared" si="618"/>
        <v>Usa auto</v>
      </c>
      <c r="AJ1515">
        <v>0</v>
      </c>
      <c r="AK1515" t="str">
        <f t="shared" si="619"/>
        <v>No usa</v>
      </c>
      <c r="AL1515">
        <v>0</v>
      </c>
      <c r="AM1515" t="str">
        <f t="shared" si="620"/>
        <v>No usa</v>
      </c>
      <c r="AN1515">
        <v>0</v>
      </c>
      <c r="AO1515" t="str">
        <f t="shared" si="621"/>
        <v>No usa</v>
      </c>
      <c r="AP1515">
        <v>0</v>
      </c>
      <c r="AQ1515" t="str">
        <f t="shared" si="622"/>
        <v>No camina</v>
      </c>
      <c r="AR1515">
        <v>1</v>
      </c>
      <c r="AS1515" t="str">
        <f t="shared" si="623"/>
        <v>Es Obeso</v>
      </c>
    </row>
    <row r="1516" spans="1:45" x14ac:dyDescent="0.25">
      <c r="A1516">
        <v>1</v>
      </c>
      <c r="B1516" t="str">
        <f t="shared" si="598"/>
        <v>M</v>
      </c>
      <c r="C1516">
        <v>25314589</v>
      </c>
      <c r="D1516">
        <f t="shared" si="599"/>
        <v>69</v>
      </c>
      <c r="E1516">
        <f t="shared" si="600"/>
        <v>69</v>
      </c>
      <c r="F1516" t="str">
        <f t="shared" si="601"/>
        <v>50-75</v>
      </c>
      <c r="G1516">
        <v>1</v>
      </c>
      <c r="H1516" t="str">
        <f t="shared" si="602"/>
        <v>Pariente gordo</v>
      </c>
      <c r="I1516">
        <v>1</v>
      </c>
      <c r="J1516" t="str">
        <f t="shared" si="603"/>
        <v>Hipercaloricos</v>
      </c>
      <c r="K1516">
        <v>1588114</v>
      </c>
      <c r="L1516">
        <f t="shared" si="604"/>
        <v>1</v>
      </c>
      <c r="M1516" t="str">
        <f t="shared" si="605"/>
        <v>Suele comer</v>
      </c>
      <c r="N1516">
        <v>3</v>
      </c>
      <c r="O1516">
        <f t="shared" si="606"/>
        <v>2</v>
      </c>
      <c r="P1516" t="str">
        <f t="shared" si="607"/>
        <v>Mas de 3</v>
      </c>
      <c r="Q1516">
        <v>1</v>
      </c>
      <c r="R1516" t="str">
        <f t="shared" si="608"/>
        <v>A veces</v>
      </c>
      <c r="S1516">
        <v>0</v>
      </c>
      <c r="T1516" t="str">
        <f t="shared" si="609"/>
        <v>No fuma</v>
      </c>
      <c r="U1516">
        <v>2115967</v>
      </c>
      <c r="V1516">
        <f t="shared" si="610"/>
        <v>2</v>
      </c>
      <c r="W1516" t="str">
        <f t="shared" si="611"/>
        <v>Siempre</v>
      </c>
      <c r="X1516">
        <v>0</v>
      </c>
      <c r="Y1516" t="str">
        <f t="shared" si="612"/>
        <v>No controla</v>
      </c>
      <c r="Z1516">
        <v>1541072</v>
      </c>
      <c r="AA1516">
        <f t="shared" si="613"/>
        <v>3</v>
      </c>
      <c r="AB1516" t="str">
        <f t="shared" si="614"/>
        <v>Siempre</v>
      </c>
      <c r="AC1516">
        <v>0</v>
      </c>
      <c r="AD1516">
        <f t="shared" si="615"/>
        <v>0</v>
      </c>
      <c r="AE1516" t="str">
        <f t="shared" si="616"/>
        <v>Nunca</v>
      </c>
      <c r="AF1516">
        <v>0</v>
      </c>
      <c r="AG1516" t="str">
        <f t="shared" si="617"/>
        <v>Nunca</v>
      </c>
      <c r="AH1516">
        <v>1</v>
      </c>
      <c r="AI1516" t="str">
        <f t="shared" si="618"/>
        <v>Usa auto</v>
      </c>
      <c r="AJ1516">
        <v>0</v>
      </c>
      <c r="AK1516" t="str">
        <f t="shared" si="619"/>
        <v>No usa</v>
      </c>
      <c r="AL1516">
        <v>0</v>
      </c>
      <c r="AM1516" t="str">
        <f t="shared" si="620"/>
        <v>No usa</v>
      </c>
      <c r="AN1516">
        <v>0</v>
      </c>
      <c r="AO1516" t="str">
        <f t="shared" si="621"/>
        <v>No usa</v>
      </c>
      <c r="AP1516">
        <v>0</v>
      </c>
      <c r="AQ1516" t="str">
        <f t="shared" si="622"/>
        <v>No camina</v>
      </c>
      <c r="AR1516">
        <v>1</v>
      </c>
      <c r="AS1516" t="str">
        <f t="shared" si="623"/>
        <v>Es Obeso</v>
      </c>
    </row>
    <row r="1517" spans="1:45" x14ac:dyDescent="0.25">
      <c r="A1517">
        <v>1</v>
      </c>
      <c r="B1517" t="str">
        <f t="shared" si="598"/>
        <v>M</v>
      </c>
      <c r="C1517">
        <v>37186795</v>
      </c>
      <c r="D1517">
        <f t="shared" si="599"/>
        <v>101</v>
      </c>
      <c r="E1517">
        <f t="shared" si="600"/>
        <v>100</v>
      </c>
      <c r="F1517" t="str">
        <f t="shared" si="601"/>
        <v>75-100</v>
      </c>
      <c r="G1517">
        <v>1</v>
      </c>
      <c r="H1517" t="str">
        <f t="shared" si="602"/>
        <v>Pariente gordo</v>
      </c>
      <c r="I1517">
        <v>1</v>
      </c>
      <c r="J1517" t="str">
        <f t="shared" si="603"/>
        <v>Hipercaloricos</v>
      </c>
      <c r="K1517">
        <v>2549782</v>
      </c>
      <c r="L1517">
        <f t="shared" si="604"/>
        <v>1</v>
      </c>
      <c r="M1517" t="str">
        <f t="shared" si="605"/>
        <v>Suele comer</v>
      </c>
      <c r="N1517">
        <v>3985442</v>
      </c>
      <c r="O1517">
        <f t="shared" si="606"/>
        <v>2</v>
      </c>
      <c r="P1517" t="str">
        <f t="shared" si="607"/>
        <v>Mas de 3</v>
      </c>
      <c r="Q1517">
        <v>1</v>
      </c>
      <c r="R1517" t="str">
        <f t="shared" si="608"/>
        <v>A veces</v>
      </c>
      <c r="S1517">
        <v>0</v>
      </c>
      <c r="T1517" t="str">
        <f t="shared" si="609"/>
        <v>No fuma</v>
      </c>
      <c r="U1517">
        <v>1</v>
      </c>
      <c r="V1517">
        <f t="shared" si="610"/>
        <v>1</v>
      </c>
      <c r="W1517" t="str">
        <f t="shared" si="611"/>
        <v>Usualmente</v>
      </c>
      <c r="X1517">
        <v>0</v>
      </c>
      <c r="Y1517" t="str">
        <f t="shared" si="612"/>
        <v>No controla</v>
      </c>
      <c r="Z1517">
        <v>1976582</v>
      </c>
      <c r="AA1517">
        <f t="shared" si="613"/>
        <v>3</v>
      </c>
      <c r="AB1517" t="str">
        <f t="shared" si="614"/>
        <v>Siempre</v>
      </c>
      <c r="AC1517">
        <v>0</v>
      </c>
      <c r="AD1517">
        <f t="shared" si="615"/>
        <v>0</v>
      </c>
      <c r="AE1517" t="str">
        <f t="shared" si="616"/>
        <v>Nunca</v>
      </c>
      <c r="AF1517">
        <v>0</v>
      </c>
      <c r="AG1517" t="str">
        <f t="shared" si="617"/>
        <v>Nunca</v>
      </c>
      <c r="AH1517">
        <v>0</v>
      </c>
      <c r="AI1517" t="str">
        <f t="shared" si="618"/>
        <v>No usa</v>
      </c>
      <c r="AJ1517">
        <v>0</v>
      </c>
      <c r="AK1517" t="str">
        <f t="shared" si="619"/>
        <v>No usa</v>
      </c>
      <c r="AL1517">
        <v>0</v>
      </c>
      <c r="AM1517" t="str">
        <f t="shared" si="620"/>
        <v>No usa</v>
      </c>
      <c r="AN1517">
        <v>1</v>
      </c>
      <c r="AO1517" t="str">
        <f t="shared" si="621"/>
        <v>Usa Transporte</v>
      </c>
      <c r="AP1517">
        <v>0</v>
      </c>
      <c r="AQ1517" t="str">
        <f t="shared" si="622"/>
        <v>No camina</v>
      </c>
      <c r="AR1517">
        <v>1</v>
      </c>
      <c r="AS1517" t="str">
        <f t="shared" si="623"/>
        <v>Es Obeso</v>
      </c>
    </row>
    <row r="1518" spans="1:45" x14ac:dyDescent="0.25">
      <c r="A1518">
        <v>1</v>
      </c>
      <c r="B1518" t="str">
        <f t="shared" si="598"/>
        <v>M</v>
      </c>
      <c r="C1518">
        <v>32707653</v>
      </c>
      <c r="D1518">
        <f t="shared" si="599"/>
        <v>89</v>
      </c>
      <c r="E1518">
        <f t="shared" si="600"/>
        <v>89</v>
      </c>
      <c r="F1518" t="str">
        <f t="shared" si="601"/>
        <v>75-100</v>
      </c>
      <c r="G1518">
        <v>1</v>
      </c>
      <c r="H1518" t="str">
        <f t="shared" si="602"/>
        <v>Pariente gordo</v>
      </c>
      <c r="I1518">
        <v>1</v>
      </c>
      <c r="J1518" t="str">
        <f t="shared" si="603"/>
        <v>Hipercaloricos</v>
      </c>
      <c r="K1518">
        <v>2795086</v>
      </c>
      <c r="L1518">
        <f t="shared" si="604"/>
        <v>1</v>
      </c>
      <c r="M1518" t="str">
        <f t="shared" si="605"/>
        <v>Suele comer</v>
      </c>
      <c r="N1518">
        <v>2129909</v>
      </c>
      <c r="O1518">
        <f t="shared" si="606"/>
        <v>2</v>
      </c>
      <c r="P1518" t="str">
        <f t="shared" si="607"/>
        <v>Mas de 3</v>
      </c>
      <c r="Q1518">
        <v>1</v>
      </c>
      <c r="R1518" t="str">
        <f t="shared" si="608"/>
        <v>A veces</v>
      </c>
      <c r="S1518">
        <v>0</v>
      </c>
      <c r="T1518" t="str">
        <f t="shared" si="609"/>
        <v>No fuma</v>
      </c>
      <c r="U1518">
        <v>1</v>
      </c>
      <c r="V1518">
        <f t="shared" si="610"/>
        <v>1</v>
      </c>
      <c r="W1518" t="str">
        <f t="shared" si="611"/>
        <v>Usualmente</v>
      </c>
      <c r="X1518">
        <v>0</v>
      </c>
      <c r="Y1518" t="str">
        <f t="shared" si="612"/>
        <v>No controla</v>
      </c>
      <c r="Z1518">
        <v>1989316</v>
      </c>
      <c r="AA1518">
        <f t="shared" si="613"/>
        <v>3</v>
      </c>
      <c r="AB1518" t="str">
        <f t="shared" si="614"/>
        <v>Siempre</v>
      </c>
      <c r="AC1518">
        <v>0</v>
      </c>
      <c r="AD1518">
        <f t="shared" si="615"/>
        <v>0</v>
      </c>
      <c r="AE1518" t="str">
        <f t="shared" si="616"/>
        <v>Nunca</v>
      </c>
      <c r="AF1518">
        <v>0</v>
      </c>
      <c r="AG1518" t="str">
        <f t="shared" si="617"/>
        <v>Nunca</v>
      </c>
      <c r="AH1518">
        <v>0</v>
      </c>
      <c r="AI1518" t="str">
        <f t="shared" si="618"/>
        <v>No usa</v>
      </c>
      <c r="AJ1518">
        <v>0</v>
      </c>
      <c r="AK1518" t="str">
        <f t="shared" si="619"/>
        <v>No usa</v>
      </c>
      <c r="AL1518">
        <v>0</v>
      </c>
      <c r="AM1518" t="str">
        <f t="shared" si="620"/>
        <v>No usa</v>
      </c>
      <c r="AN1518">
        <v>1</v>
      </c>
      <c r="AO1518" t="str">
        <f t="shared" si="621"/>
        <v>Usa Transporte</v>
      </c>
      <c r="AP1518">
        <v>0</v>
      </c>
      <c r="AQ1518" t="str">
        <f t="shared" si="622"/>
        <v>No camina</v>
      </c>
      <c r="AR1518">
        <v>1</v>
      </c>
      <c r="AS1518" t="str">
        <f t="shared" si="623"/>
        <v>Es Obeso</v>
      </c>
    </row>
    <row r="1519" spans="1:45" x14ac:dyDescent="0.25">
      <c r="A1519">
        <v>1</v>
      </c>
      <c r="B1519" t="str">
        <f t="shared" si="598"/>
        <v>M</v>
      </c>
      <c r="C1519">
        <v>27562425</v>
      </c>
      <c r="D1519">
        <f t="shared" si="599"/>
        <v>75</v>
      </c>
      <c r="E1519">
        <f t="shared" si="600"/>
        <v>75</v>
      </c>
      <c r="F1519" t="str">
        <f t="shared" si="601"/>
        <v>50-75</v>
      </c>
      <c r="G1519">
        <v>1</v>
      </c>
      <c r="H1519" t="str">
        <f t="shared" si="602"/>
        <v>Pariente gordo</v>
      </c>
      <c r="I1519">
        <v>1</v>
      </c>
      <c r="J1519" t="str">
        <f t="shared" si="603"/>
        <v>Hipercaloricos</v>
      </c>
      <c r="K1519">
        <v>2206276</v>
      </c>
      <c r="L1519">
        <f t="shared" si="604"/>
        <v>1</v>
      </c>
      <c r="M1519" t="str">
        <f t="shared" si="605"/>
        <v>Suele comer</v>
      </c>
      <c r="N1519">
        <v>3</v>
      </c>
      <c r="O1519">
        <f t="shared" si="606"/>
        <v>2</v>
      </c>
      <c r="P1519" t="str">
        <f t="shared" si="607"/>
        <v>Mas de 3</v>
      </c>
      <c r="Q1519">
        <v>1</v>
      </c>
      <c r="R1519" t="str">
        <f t="shared" si="608"/>
        <v>A veces</v>
      </c>
      <c r="S1519">
        <v>0</v>
      </c>
      <c r="T1519" t="str">
        <f t="shared" si="609"/>
        <v>No fuma</v>
      </c>
      <c r="U1519">
        <v>1813082</v>
      </c>
      <c r="V1519">
        <f t="shared" si="610"/>
        <v>2</v>
      </c>
      <c r="W1519" t="str">
        <f t="shared" si="611"/>
        <v>Siempre</v>
      </c>
      <c r="X1519">
        <v>0</v>
      </c>
      <c r="Y1519" t="str">
        <f t="shared" si="612"/>
        <v>No controla</v>
      </c>
      <c r="Z1519">
        <v>194984</v>
      </c>
      <c r="AA1519">
        <f t="shared" si="613"/>
        <v>2</v>
      </c>
      <c r="AB1519" t="str">
        <f t="shared" si="614"/>
        <v>Usualmente</v>
      </c>
      <c r="AC1519">
        <v>0</v>
      </c>
      <c r="AD1519">
        <f t="shared" si="615"/>
        <v>0</v>
      </c>
      <c r="AE1519" t="str">
        <f t="shared" si="616"/>
        <v>Nunca</v>
      </c>
      <c r="AF1519">
        <v>1</v>
      </c>
      <c r="AG1519" t="str">
        <f t="shared" si="617"/>
        <v>A veces</v>
      </c>
      <c r="AH1519">
        <v>0</v>
      </c>
      <c r="AI1519" t="str">
        <f t="shared" si="618"/>
        <v>No usa</v>
      </c>
      <c r="AJ1519">
        <v>0</v>
      </c>
      <c r="AK1519" t="str">
        <f t="shared" si="619"/>
        <v>No usa</v>
      </c>
      <c r="AL1519">
        <v>0</v>
      </c>
      <c r="AM1519" t="str">
        <f t="shared" si="620"/>
        <v>No usa</v>
      </c>
      <c r="AN1519">
        <v>1</v>
      </c>
      <c r="AO1519" t="str">
        <f t="shared" si="621"/>
        <v>Usa Transporte</v>
      </c>
      <c r="AP1519">
        <v>0</v>
      </c>
      <c r="AQ1519" t="str">
        <f t="shared" si="622"/>
        <v>No camina</v>
      </c>
      <c r="AR1519">
        <v>1</v>
      </c>
      <c r="AS1519" t="str">
        <f t="shared" si="623"/>
        <v>Es Obeso</v>
      </c>
    </row>
    <row r="1520" spans="1:45" x14ac:dyDescent="0.25">
      <c r="A1520">
        <v>1</v>
      </c>
      <c r="B1520" t="str">
        <f t="shared" si="598"/>
        <v>M</v>
      </c>
      <c r="C1520">
        <v>30421596</v>
      </c>
      <c r="D1520">
        <f t="shared" si="599"/>
        <v>83</v>
      </c>
      <c r="E1520">
        <f t="shared" si="600"/>
        <v>83</v>
      </c>
      <c r="F1520" t="str">
        <f t="shared" si="601"/>
        <v>75-100</v>
      </c>
      <c r="G1520">
        <v>1</v>
      </c>
      <c r="H1520" t="str">
        <f t="shared" si="602"/>
        <v>Pariente gordo</v>
      </c>
      <c r="I1520">
        <v>1</v>
      </c>
      <c r="J1520" t="str">
        <f t="shared" si="603"/>
        <v>Hipercaloricos</v>
      </c>
      <c r="K1520">
        <v>2</v>
      </c>
      <c r="L1520">
        <f t="shared" si="604"/>
        <v>1</v>
      </c>
      <c r="M1520" t="str">
        <f t="shared" si="605"/>
        <v>Suele comer</v>
      </c>
      <c r="N1520">
        <v>3</v>
      </c>
      <c r="O1520">
        <f t="shared" si="606"/>
        <v>2</v>
      </c>
      <c r="P1520" t="str">
        <f t="shared" si="607"/>
        <v>Mas de 3</v>
      </c>
      <c r="Q1520">
        <v>1</v>
      </c>
      <c r="R1520" t="str">
        <f t="shared" si="608"/>
        <v>A veces</v>
      </c>
      <c r="S1520">
        <v>0</v>
      </c>
      <c r="T1520" t="str">
        <f t="shared" si="609"/>
        <v>No fuma</v>
      </c>
      <c r="U1520">
        <v>1984323</v>
      </c>
      <c r="V1520">
        <f t="shared" si="610"/>
        <v>2</v>
      </c>
      <c r="W1520" t="str">
        <f t="shared" si="611"/>
        <v>Siempre</v>
      </c>
      <c r="X1520">
        <v>0</v>
      </c>
      <c r="Y1520" t="str">
        <f t="shared" si="612"/>
        <v>No controla</v>
      </c>
      <c r="Z1520">
        <v>0.79326200000000002</v>
      </c>
      <c r="AA1520">
        <f t="shared" si="613"/>
        <v>0</v>
      </c>
      <c r="AB1520" t="str">
        <f t="shared" si="614"/>
        <v>Nunca</v>
      </c>
      <c r="AC1520">
        <v>0</v>
      </c>
      <c r="AD1520">
        <f t="shared" si="615"/>
        <v>0</v>
      </c>
      <c r="AE1520" t="str">
        <f t="shared" si="616"/>
        <v>Nunca</v>
      </c>
      <c r="AF1520">
        <v>1</v>
      </c>
      <c r="AG1520" t="str">
        <f t="shared" si="617"/>
        <v>A veces</v>
      </c>
      <c r="AH1520">
        <v>0</v>
      </c>
      <c r="AI1520" t="str">
        <f t="shared" si="618"/>
        <v>No usa</v>
      </c>
      <c r="AJ1520">
        <v>0</v>
      </c>
      <c r="AK1520" t="str">
        <f t="shared" si="619"/>
        <v>No usa</v>
      </c>
      <c r="AL1520">
        <v>0</v>
      </c>
      <c r="AM1520" t="str">
        <f t="shared" si="620"/>
        <v>No usa</v>
      </c>
      <c r="AN1520">
        <v>1</v>
      </c>
      <c r="AO1520" t="str">
        <f t="shared" si="621"/>
        <v>Usa Transporte</v>
      </c>
      <c r="AP1520">
        <v>0</v>
      </c>
      <c r="AQ1520" t="str">
        <f t="shared" si="622"/>
        <v>No camina</v>
      </c>
      <c r="AR1520">
        <v>1</v>
      </c>
      <c r="AS1520" t="str">
        <f t="shared" si="623"/>
        <v>Es Obeso</v>
      </c>
    </row>
    <row r="1521" spans="1:45" x14ac:dyDescent="0.25">
      <c r="A1521">
        <v>1</v>
      </c>
      <c r="B1521" t="str">
        <f t="shared" si="598"/>
        <v>M</v>
      </c>
      <c r="C1521">
        <v>26945139</v>
      </c>
      <c r="D1521">
        <f t="shared" si="599"/>
        <v>73</v>
      </c>
      <c r="E1521">
        <f t="shared" si="600"/>
        <v>73</v>
      </c>
      <c r="F1521" t="str">
        <f t="shared" si="601"/>
        <v>50-75</v>
      </c>
      <c r="G1521">
        <v>1</v>
      </c>
      <c r="H1521" t="str">
        <f t="shared" si="602"/>
        <v>Pariente gordo</v>
      </c>
      <c r="I1521">
        <v>0</v>
      </c>
      <c r="J1521" t="str">
        <f t="shared" si="603"/>
        <v>Saludables</v>
      </c>
      <c r="K1521">
        <v>218354</v>
      </c>
      <c r="L1521">
        <f t="shared" si="604"/>
        <v>1</v>
      </c>
      <c r="M1521" t="str">
        <f t="shared" si="605"/>
        <v>Suele comer</v>
      </c>
      <c r="N1521">
        <v>3</v>
      </c>
      <c r="O1521">
        <f t="shared" si="606"/>
        <v>2</v>
      </c>
      <c r="P1521" t="str">
        <f t="shared" si="607"/>
        <v>Mas de 3</v>
      </c>
      <c r="Q1521">
        <v>1</v>
      </c>
      <c r="R1521" t="str">
        <f t="shared" si="608"/>
        <v>A veces</v>
      </c>
      <c r="S1521">
        <v>0</v>
      </c>
      <c r="T1521" t="str">
        <f t="shared" si="609"/>
        <v>No fuma</v>
      </c>
      <c r="U1521">
        <v>2277937</v>
      </c>
      <c r="V1521">
        <f t="shared" si="610"/>
        <v>2</v>
      </c>
      <c r="W1521" t="str">
        <f t="shared" si="611"/>
        <v>Siempre</v>
      </c>
      <c r="X1521">
        <v>0</v>
      </c>
      <c r="Y1521" t="str">
        <f t="shared" si="612"/>
        <v>No controla</v>
      </c>
      <c r="Z1521">
        <v>0.68183000000000005</v>
      </c>
      <c r="AA1521">
        <f t="shared" si="613"/>
        <v>0</v>
      </c>
      <c r="AB1521" t="str">
        <f t="shared" si="614"/>
        <v>Nunca</v>
      </c>
      <c r="AC1521">
        <v>0</v>
      </c>
      <c r="AD1521">
        <f t="shared" si="615"/>
        <v>0</v>
      </c>
      <c r="AE1521" t="str">
        <f t="shared" si="616"/>
        <v>Nunca</v>
      </c>
      <c r="AF1521">
        <v>1</v>
      </c>
      <c r="AG1521" t="str">
        <f t="shared" si="617"/>
        <v>A veces</v>
      </c>
      <c r="AH1521">
        <v>1</v>
      </c>
      <c r="AI1521" t="str">
        <f t="shared" si="618"/>
        <v>Usa auto</v>
      </c>
      <c r="AJ1521">
        <v>0</v>
      </c>
      <c r="AK1521" t="str">
        <f t="shared" si="619"/>
        <v>No usa</v>
      </c>
      <c r="AL1521">
        <v>0</v>
      </c>
      <c r="AM1521" t="str">
        <f t="shared" si="620"/>
        <v>No usa</v>
      </c>
      <c r="AN1521">
        <v>0</v>
      </c>
      <c r="AO1521" t="str">
        <f t="shared" si="621"/>
        <v>No usa</v>
      </c>
      <c r="AP1521">
        <v>0</v>
      </c>
      <c r="AQ1521" t="str">
        <f t="shared" si="622"/>
        <v>No camina</v>
      </c>
      <c r="AR1521">
        <v>1</v>
      </c>
      <c r="AS1521" t="str">
        <f t="shared" si="623"/>
        <v>Es Obeso</v>
      </c>
    </row>
    <row r="1522" spans="1:45" x14ac:dyDescent="0.25">
      <c r="A1522">
        <v>1</v>
      </c>
      <c r="B1522" t="str">
        <f t="shared" si="598"/>
        <v>M</v>
      </c>
      <c r="C1522">
        <v>34139453</v>
      </c>
      <c r="D1522">
        <f t="shared" si="599"/>
        <v>93</v>
      </c>
      <c r="E1522">
        <f t="shared" si="600"/>
        <v>93</v>
      </c>
      <c r="F1522" t="str">
        <f t="shared" si="601"/>
        <v>75-100</v>
      </c>
      <c r="G1522">
        <v>1</v>
      </c>
      <c r="H1522" t="str">
        <f t="shared" si="602"/>
        <v>Pariente gordo</v>
      </c>
      <c r="I1522">
        <v>0</v>
      </c>
      <c r="J1522" t="str">
        <f t="shared" si="603"/>
        <v>Saludables</v>
      </c>
      <c r="K1522">
        <v>2962415</v>
      </c>
      <c r="L1522">
        <f t="shared" si="604"/>
        <v>1</v>
      </c>
      <c r="M1522" t="str">
        <f t="shared" si="605"/>
        <v>Suele comer</v>
      </c>
      <c r="N1522">
        <v>3</v>
      </c>
      <c r="O1522">
        <f t="shared" si="606"/>
        <v>2</v>
      </c>
      <c r="P1522" t="str">
        <f t="shared" si="607"/>
        <v>Mas de 3</v>
      </c>
      <c r="Q1522">
        <v>1</v>
      </c>
      <c r="R1522" t="str">
        <f t="shared" si="608"/>
        <v>A veces</v>
      </c>
      <c r="S1522">
        <v>0</v>
      </c>
      <c r="T1522" t="str">
        <f t="shared" si="609"/>
        <v>No fuma</v>
      </c>
      <c r="U1522">
        <v>2172649</v>
      </c>
      <c r="V1522">
        <f t="shared" si="610"/>
        <v>2</v>
      </c>
      <c r="W1522" t="str">
        <f t="shared" si="611"/>
        <v>Siempre</v>
      </c>
      <c r="X1522">
        <v>0</v>
      </c>
      <c r="Y1522" t="str">
        <f t="shared" si="612"/>
        <v>No controla</v>
      </c>
      <c r="Z1522">
        <v>1097905</v>
      </c>
      <c r="AA1522">
        <f t="shared" si="613"/>
        <v>3</v>
      </c>
      <c r="AB1522" t="str">
        <f t="shared" si="614"/>
        <v>Siempre</v>
      </c>
      <c r="AC1522">
        <v>0</v>
      </c>
      <c r="AD1522">
        <f t="shared" si="615"/>
        <v>0</v>
      </c>
      <c r="AE1522" t="str">
        <f t="shared" si="616"/>
        <v>Nunca</v>
      </c>
      <c r="AF1522">
        <v>1</v>
      </c>
      <c r="AG1522" t="str">
        <f t="shared" si="617"/>
        <v>A veces</v>
      </c>
      <c r="AH1522">
        <v>1</v>
      </c>
      <c r="AI1522" t="str">
        <f t="shared" si="618"/>
        <v>Usa auto</v>
      </c>
      <c r="AJ1522">
        <v>0</v>
      </c>
      <c r="AK1522" t="str">
        <f t="shared" si="619"/>
        <v>No usa</v>
      </c>
      <c r="AL1522">
        <v>0</v>
      </c>
      <c r="AM1522" t="str">
        <f t="shared" si="620"/>
        <v>No usa</v>
      </c>
      <c r="AN1522">
        <v>0</v>
      </c>
      <c r="AO1522" t="str">
        <f t="shared" si="621"/>
        <v>No usa</v>
      </c>
      <c r="AP1522">
        <v>0</v>
      </c>
      <c r="AQ1522" t="str">
        <f t="shared" si="622"/>
        <v>No camina</v>
      </c>
      <c r="AR1522">
        <v>1</v>
      </c>
      <c r="AS1522" t="str">
        <f t="shared" si="623"/>
        <v>Es Obeso</v>
      </c>
    </row>
    <row r="1523" spans="1:45" x14ac:dyDescent="0.25">
      <c r="A1523">
        <v>1</v>
      </c>
      <c r="B1523" t="str">
        <f t="shared" si="598"/>
        <v>M</v>
      </c>
      <c r="C1523">
        <v>26225442</v>
      </c>
      <c r="D1523">
        <f t="shared" si="599"/>
        <v>71</v>
      </c>
      <c r="E1523">
        <f t="shared" si="600"/>
        <v>71</v>
      </c>
      <c r="F1523" t="str">
        <f t="shared" si="601"/>
        <v>50-75</v>
      </c>
      <c r="G1523">
        <v>1</v>
      </c>
      <c r="H1523" t="str">
        <f t="shared" si="602"/>
        <v>Pariente gordo</v>
      </c>
      <c r="I1523">
        <v>1</v>
      </c>
      <c r="J1523" t="str">
        <f t="shared" si="603"/>
        <v>Hipercaloricos</v>
      </c>
      <c r="K1523">
        <v>2442536</v>
      </c>
      <c r="L1523">
        <f t="shared" si="604"/>
        <v>1</v>
      </c>
      <c r="M1523" t="str">
        <f t="shared" si="605"/>
        <v>Suele comer</v>
      </c>
      <c r="N1523">
        <v>3</v>
      </c>
      <c r="O1523">
        <f t="shared" si="606"/>
        <v>2</v>
      </c>
      <c r="P1523" t="str">
        <f t="shared" si="607"/>
        <v>Mas de 3</v>
      </c>
      <c r="Q1523">
        <v>1</v>
      </c>
      <c r="R1523" t="str">
        <f t="shared" si="608"/>
        <v>A veces</v>
      </c>
      <c r="S1523">
        <v>0</v>
      </c>
      <c r="T1523" t="str">
        <f t="shared" si="609"/>
        <v>No fuma</v>
      </c>
      <c r="U1523">
        <v>2174371</v>
      </c>
      <c r="V1523">
        <f t="shared" si="610"/>
        <v>2</v>
      </c>
      <c r="W1523" t="str">
        <f t="shared" si="611"/>
        <v>Siempre</v>
      </c>
      <c r="X1523">
        <v>0</v>
      </c>
      <c r="Y1523" t="str">
        <f t="shared" si="612"/>
        <v>No controla</v>
      </c>
      <c r="Z1523">
        <v>0</v>
      </c>
      <c r="AA1523">
        <f t="shared" si="613"/>
        <v>0</v>
      </c>
      <c r="AB1523" t="str">
        <f t="shared" si="614"/>
        <v>Nunca</v>
      </c>
      <c r="AC1523">
        <v>1928972</v>
      </c>
      <c r="AD1523">
        <f t="shared" si="615"/>
        <v>2</v>
      </c>
      <c r="AE1523" t="str">
        <f t="shared" si="616"/>
        <v>Siempre</v>
      </c>
      <c r="AF1523">
        <v>1</v>
      </c>
      <c r="AG1523" t="str">
        <f t="shared" si="617"/>
        <v>A veces</v>
      </c>
      <c r="AH1523">
        <v>0</v>
      </c>
      <c r="AI1523" t="str">
        <f t="shared" si="618"/>
        <v>No usa</v>
      </c>
      <c r="AJ1523">
        <v>0</v>
      </c>
      <c r="AK1523" t="str">
        <f t="shared" si="619"/>
        <v>No usa</v>
      </c>
      <c r="AL1523">
        <v>0</v>
      </c>
      <c r="AM1523" t="str">
        <f t="shared" si="620"/>
        <v>No usa</v>
      </c>
      <c r="AN1523">
        <v>1</v>
      </c>
      <c r="AO1523" t="str">
        <f t="shared" si="621"/>
        <v>Usa Transporte</v>
      </c>
      <c r="AP1523">
        <v>0</v>
      </c>
      <c r="AQ1523" t="str">
        <f t="shared" si="622"/>
        <v>No camina</v>
      </c>
      <c r="AR1523">
        <v>1</v>
      </c>
      <c r="AS1523" t="str">
        <f t="shared" si="623"/>
        <v>Es Obeso</v>
      </c>
    </row>
    <row r="1524" spans="1:45" x14ac:dyDescent="0.25">
      <c r="A1524">
        <v>1</v>
      </c>
      <c r="B1524" t="str">
        <f t="shared" si="598"/>
        <v>M</v>
      </c>
      <c r="C1524">
        <v>28363149</v>
      </c>
      <c r="D1524">
        <f t="shared" si="599"/>
        <v>77</v>
      </c>
      <c r="E1524">
        <f t="shared" si="600"/>
        <v>77</v>
      </c>
      <c r="F1524" t="str">
        <f t="shared" si="601"/>
        <v>75-100</v>
      </c>
      <c r="G1524">
        <v>1</v>
      </c>
      <c r="H1524" t="str">
        <f t="shared" si="602"/>
        <v>Pariente gordo</v>
      </c>
      <c r="I1524">
        <v>1</v>
      </c>
      <c r="J1524" t="str">
        <f t="shared" si="603"/>
        <v>Hipercaloricos</v>
      </c>
      <c r="K1524">
        <v>199124</v>
      </c>
      <c r="L1524">
        <f t="shared" si="604"/>
        <v>1</v>
      </c>
      <c r="M1524" t="str">
        <f t="shared" si="605"/>
        <v>Suele comer</v>
      </c>
      <c r="N1524">
        <v>3</v>
      </c>
      <c r="O1524">
        <f t="shared" si="606"/>
        <v>2</v>
      </c>
      <c r="P1524" t="str">
        <f t="shared" si="607"/>
        <v>Mas de 3</v>
      </c>
      <c r="Q1524">
        <v>1</v>
      </c>
      <c r="R1524" t="str">
        <f t="shared" si="608"/>
        <v>A veces</v>
      </c>
      <c r="S1524">
        <v>0</v>
      </c>
      <c r="T1524" t="str">
        <f t="shared" si="609"/>
        <v>No fuma</v>
      </c>
      <c r="U1524">
        <v>2</v>
      </c>
      <c r="V1524">
        <f t="shared" si="610"/>
        <v>2</v>
      </c>
      <c r="W1524" t="str">
        <f t="shared" si="611"/>
        <v>Siempre</v>
      </c>
      <c r="X1524">
        <v>0</v>
      </c>
      <c r="Y1524" t="str">
        <f t="shared" si="612"/>
        <v>No controla</v>
      </c>
      <c r="Z1524">
        <v>0</v>
      </c>
      <c r="AA1524">
        <f t="shared" si="613"/>
        <v>0</v>
      </c>
      <c r="AB1524" t="str">
        <f t="shared" si="614"/>
        <v>Nunca</v>
      </c>
      <c r="AC1524">
        <v>0.29295599999999999</v>
      </c>
      <c r="AD1524">
        <f t="shared" si="615"/>
        <v>0</v>
      </c>
      <c r="AE1524" t="str">
        <f t="shared" si="616"/>
        <v>Nunca</v>
      </c>
      <c r="AF1524">
        <v>1</v>
      </c>
      <c r="AG1524" t="str">
        <f t="shared" si="617"/>
        <v>A veces</v>
      </c>
      <c r="AH1524">
        <v>0</v>
      </c>
      <c r="AI1524" t="str">
        <f t="shared" si="618"/>
        <v>No usa</v>
      </c>
      <c r="AJ1524">
        <v>0</v>
      </c>
      <c r="AK1524" t="str">
        <f t="shared" si="619"/>
        <v>No usa</v>
      </c>
      <c r="AL1524">
        <v>0</v>
      </c>
      <c r="AM1524" t="str">
        <f t="shared" si="620"/>
        <v>No usa</v>
      </c>
      <c r="AN1524">
        <v>1</v>
      </c>
      <c r="AO1524" t="str">
        <f t="shared" si="621"/>
        <v>Usa Transporte</v>
      </c>
      <c r="AP1524">
        <v>0</v>
      </c>
      <c r="AQ1524" t="str">
        <f t="shared" si="622"/>
        <v>No camina</v>
      </c>
      <c r="AR1524">
        <v>1</v>
      </c>
      <c r="AS1524" t="str">
        <f t="shared" si="623"/>
        <v>Es Obeso</v>
      </c>
    </row>
    <row r="1525" spans="1:45" x14ac:dyDescent="0.25">
      <c r="A1525">
        <v>1</v>
      </c>
      <c r="B1525" t="str">
        <f t="shared" si="598"/>
        <v>M</v>
      </c>
      <c r="C1525">
        <v>27991467</v>
      </c>
      <c r="D1525">
        <f t="shared" si="599"/>
        <v>76</v>
      </c>
      <c r="E1525">
        <f t="shared" si="600"/>
        <v>76</v>
      </c>
      <c r="F1525" t="str">
        <f t="shared" si="601"/>
        <v>75-100</v>
      </c>
      <c r="G1525">
        <v>1</v>
      </c>
      <c r="H1525" t="str">
        <f t="shared" si="602"/>
        <v>Pariente gordo</v>
      </c>
      <c r="I1525">
        <v>1</v>
      </c>
      <c r="J1525" t="str">
        <f t="shared" si="603"/>
        <v>Hipercaloricos</v>
      </c>
      <c r="K1525">
        <v>3</v>
      </c>
      <c r="L1525">
        <f t="shared" si="604"/>
        <v>1</v>
      </c>
      <c r="M1525" t="str">
        <f t="shared" si="605"/>
        <v>Suele comer</v>
      </c>
      <c r="N1525">
        <v>3</v>
      </c>
      <c r="O1525">
        <f t="shared" si="606"/>
        <v>2</v>
      </c>
      <c r="P1525" t="str">
        <f t="shared" si="607"/>
        <v>Mas de 3</v>
      </c>
      <c r="Q1525">
        <v>1</v>
      </c>
      <c r="R1525" t="str">
        <f t="shared" si="608"/>
        <v>A veces</v>
      </c>
      <c r="S1525">
        <v>0</v>
      </c>
      <c r="T1525" t="str">
        <f t="shared" si="609"/>
        <v>No fuma</v>
      </c>
      <c r="U1525">
        <v>3</v>
      </c>
      <c r="V1525">
        <f t="shared" si="610"/>
        <v>2</v>
      </c>
      <c r="W1525" t="str">
        <f t="shared" si="611"/>
        <v>Siempre</v>
      </c>
      <c r="X1525">
        <v>0</v>
      </c>
      <c r="Y1525" t="str">
        <f t="shared" si="612"/>
        <v>No controla</v>
      </c>
      <c r="Z1525">
        <v>0.69136900000000001</v>
      </c>
      <c r="AA1525">
        <f t="shared" si="613"/>
        <v>0</v>
      </c>
      <c r="AB1525" t="str">
        <f t="shared" si="614"/>
        <v>Nunca</v>
      </c>
      <c r="AC1525">
        <v>1415536</v>
      </c>
      <c r="AD1525">
        <f t="shared" si="615"/>
        <v>2</v>
      </c>
      <c r="AE1525" t="str">
        <f t="shared" si="616"/>
        <v>Siempre</v>
      </c>
      <c r="AF1525">
        <v>1</v>
      </c>
      <c r="AG1525" t="str">
        <f t="shared" si="617"/>
        <v>A veces</v>
      </c>
      <c r="AH1525">
        <v>0</v>
      </c>
      <c r="AI1525" t="str">
        <f t="shared" si="618"/>
        <v>No usa</v>
      </c>
      <c r="AJ1525">
        <v>0</v>
      </c>
      <c r="AK1525" t="str">
        <f t="shared" si="619"/>
        <v>No usa</v>
      </c>
      <c r="AL1525">
        <v>0</v>
      </c>
      <c r="AM1525" t="str">
        <f t="shared" si="620"/>
        <v>No usa</v>
      </c>
      <c r="AN1525">
        <v>1</v>
      </c>
      <c r="AO1525" t="str">
        <f t="shared" si="621"/>
        <v>Usa Transporte</v>
      </c>
      <c r="AP1525">
        <v>0</v>
      </c>
      <c r="AQ1525" t="str">
        <f t="shared" si="622"/>
        <v>No camina</v>
      </c>
      <c r="AR1525">
        <v>1</v>
      </c>
      <c r="AS1525" t="str">
        <f t="shared" si="623"/>
        <v>Es Obeso</v>
      </c>
    </row>
    <row r="1526" spans="1:45" x14ac:dyDescent="0.25">
      <c r="A1526">
        <v>1</v>
      </c>
      <c r="B1526" t="str">
        <f t="shared" si="598"/>
        <v>M</v>
      </c>
      <c r="C1526">
        <v>25498751</v>
      </c>
      <c r="D1526">
        <f t="shared" si="599"/>
        <v>69</v>
      </c>
      <c r="E1526">
        <f t="shared" si="600"/>
        <v>69</v>
      </c>
      <c r="F1526" t="str">
        <f t="shared" si="601"/>
        <v>50-75</v>
      </c>
      <c r="G1526">
        <v>1</v>
      </c>
      <c r="H1526" t="str">
        <f t="shared" si="602"/>
        <v>Pariente gordo</v>
      </c>
      <c r="I1526">
        <v>1</v>
      </c>
      <c r="J1526" t="str">
        <f t="shared" si="603"/>
        <v>Hipercaloricos</v>
      </c>
      <c r="K1526">
        <v>2408561</v>
      </c>
      <c r="L1526">
        <f t="shared" si="604"/>
        <v>1</v>
      </c>
      <c r="M1526" t="str">
        <f t="shared" si="605"/>
        <v>Suele comer</v>
      </c>
      <c r="N1526">
        <v>3</v>
      </c>
      <c r="O1526">
        <f t="shared" si="606"/>
        <v>2</v>
      </c>
      <c r="P1526" t="str">
        <f t="shared" si="607"/>
        <v>Mas de 3</v>
      </c>
      <c r="Q1526">
        <v>1</v>
      </c>
      <c r="R1526" t="str">
        <f t="shared" si="608"/>
        <v>A veces</v>
      </c>
      <c r="S1526">
        <v>0</v>
      </c>
      <c r="T1526" t="str">
        <f t="shared" si="609"/>
        <v>No fuma</v>
      </c>
      <c r="U1526">
        <v>2851904</v>
      </c>
      <c r="V1526">
        <f t="shared" si="610"/>
        <v>2</v>
      </c>
      <c r="W1526" t="str">
        <f t="shared" si="611"/>
        <v>Siempre</v>
      </c>
      <c r="X1526">
        <v>0</v>
      </c>
      <c r="Y1526" t="str">
        <f t="shared" si="612"/>
        <v>No controla</v>
      </c>
      <c r="Z1526">
        <v>1320065</v>
      </c>
      <c r="AA1526">
        <f t="shared" si="613"/>
        <v>3</v>
      </c>
      <c r="AB1526" t="str">
        <f t="shared" si="614"/>
        <v>Siempre</v>
      </c>
      <c r="AC1526">
        <v>0</v>
      </c>
      <c r="AD1526">
        <f t="shared" si="615"/>
        <v>0</v>
      </c>
      <c r="AE1526" t="str">
        <f t="shared" si="616"/>
        <v>Nunca</v>
      </c>
      <c r="AF1526">
        <v>1</v>
      </c>
      <c r="AG1526" t="str">
        <f t="shared" si="617"/>
        <v>A veces</v>
      </c>
      <c r="AH1526">
        <v>0</v>
      </c>
      <c r="AI1526" t="str">
        <f t="shared" si="618"/>
        <v>No usa</v>
      </c>
      <c r="AJ1526">
        <v>0</v>
      </c>
      <c r="AK1526" t="str">
        <f t="shared" si="619"/>
        <v>No usa</v>
      </c>
      <c r="AL1526">
        <v>0</v>
      </c>
      <c r="AM1526" t="str">
        <f t="shared" si="620"/>
        <v>No usa</v>
      </c>
      <c r="AN1526">
        <v>1</v>
      </c>
      <c r="AO1526" t="str">
        <f t="shared" si="621"/>
        <v>Usa Transporte</v>
      </c>
      <c r="AP1526">
        <v>0</v>
      </c>
      <c r="AQ1526" t="str">
        <f t="shared" si="622"/>
        <v>No camina</v>
      </c>
      <c r="AR1526">
        <v>1</v>
      </c>
      <c r="AS1526" t="str">
        <f t="shared" si="623"/>
        <v>Es Obeso</v>
      </c>
    </row>
    <row r="1527" spans="1:45" x14ac:dyDescent="0.25">
      <c r="A1527">
        <v>1</v>
      </c>
      <c r="B1527" t="str">
        <f t="shared" si="598"/>
        <v>M</v>
      </c>
      <c r="C1527">
        <v>30605225</v>
      </c>
      <c r="D1527">
        <f t="shared" si="599"/>
        <v>83</v>
      </c>
      <c r="E1527">
        <f t="shared" si="600"/>
        <v>83</v>
      </c>
      <c r="F1527" t="str">
        <f t="shared" si="601"/>
        <v>75-100</v>
      </c>
      <c r="G1527">
        <v>1</v>
      </c>
      <c r="H1527" t="str">
        <f t="shared" si="602"/>
        <v>Pariente gordo</v>
      </c>
      <c r="I1527">
        <v>1</v>
      </c>
      <c r="J1527" t="str">
        <f t="shared" si="603"/>
        <v>Hipercaloricos</v>
      </c>
      <c r="K1527">
        <v>2758394</v>
      </c>
      <c r="L1527">
        <f t="shared" si="604"/>
        <v>1</v>
      </c>
      <c r="M1527" t="str">
        <f t="shared" si="605"/>
        <v>Suele comer</v>
      </c>
      <c r="N1527">
        <v>3</v>
      </c>
      <c r="O1527">
        <f t="shared" si="606"/>
        <v>2</v>
      </c>
      <c r="P1527" t="str">
        <f t="shared" si="607"/>
        <v>Mas de 3</v>
      </c>
      <c r="Q1527">
        <v>1</v>
      </c>
      <c r="R1527" t="str">
        <f t="shared" si="608"/>
        <v>A veces</v>
      </c>
      <c r="S1527">
        <v>1</v>
      </c>
      <c r="T1527" t="str">
        <f t="shared" si="609"/>
        <v>Fuma</v>
      </c>
      <c r="U1527">
        <v>2174248</v>
      </c>
      <c r="V1527">
        <f t="shared" si="610"/>
        <v>2</v>
      </c>
      <c r="W1527" t="str">
        <f t="shared" si="611"/>
        <v>Siempre</v>
      </c>
      <c r="X1527">
        <v>0</v>
      </c>
      <c r="Y1527" t="str">
        <f t="shared" si="612"/>
        <v>No controla</v>
      </c>
      <c r="Z1527">
        <v>1079524</v>
      </c>
      <c r="AA1527">
        <f t="shared" si="613"/>
        <v>3</v>
      </c>
      <c r="AB1527" t="str">
        <f t="shared" si="614"/>
        <v>Siempre</v>
      </c>
      <c r="AC1527">
        <v>1358163</v>
      </c>
      <c r="AD1527">
        <f t="shared" si="615"/>
        <v>2</v>
      </c>
      <c r="AE1527" t="str">
        <f t="shared" si="616"/>
        <v>Siempre</v>
      </c>
      <c r="AF1527">
        <v>1</v>
      </c>
      <c r="AG1527" t="str">
        <f t="shared" si="617"/>
        <v>A veces</v>
      </c>
      <c r="AH1527">
        <v>1</v>
      </c>
      <c r="AI1527" t="str">
        <f t="shared" si="618"/>
        <v>Usa auto</v>
      </c>
      <c r="AJ1527">
        <v>0</v>
      </c>
      <c r="AK1527" t="str">
        <f t="shared" si="619"/>
        <v>No usa</v>
      </c>
      <c r="AL1527">
        <v>0</v>
      </c>
      <c r="AM1527" t="str">
        <f t="shared" si="620"/>
        <v>No usa</v>
      </c>
      <c r="AN1527">
        <v>0</v>
      </c>
      <c r="AO1527" t="str">
        <f t="shared" si="621"/>
        <v>No usa</v>
      </c>
      <c r="AP1527">
        <v>0</v>
      </c>
      <c r="AQ1527" t="str">
        <f t="shared" si="622"/>
        <v>No camina</v>
      </c>
      <c r="AR1527">
        <v>1</v>
      </c>
      <c r="AS1527" t="str">
        <f t="shared" si="623"/>
        <v>Es Obeso</v>
      </c>
    </row>
    <row r="1528" spans="1:45" x14ac:dyDescent="0.25">
      <c r="A1528">
        <v>1</v>
      </c>
      <c r="B1528" t="str">
        <f t="shared" si="598"/>
        <v>M</v>
      </c>
      <c r="C1528">
        <v>31457413</v>
      </c>
      <c r="D1528">
        <f t="shared" si="599"/>
        <v>86</v>
      </c>
      <c r="E1528">
        <f t="shared" si="600"/>
        <v>86</v>
      </c>
      <c r="F1528" t="str">
        <f t="shared" si="601"/>
        <v>75-100</v>
      </c>
      <c r="G1528">
        <v>1</v>
      </c>
      <c r="H1528" t="str">
        <f t="shared" si="602"/>
        <v>Pariente gordo</v>
      </c>
      <c r="I1528">
        <v>1</v>
      </c>
      <c r="J1528" t="str">
        <f t="shared" si="603"/>
        <v>Hipercaloricos</v>
      </c>
      <c r="K1528">
        <v>2956297</v>
      </c>
      <c r="L1528">
        <f t="shared" si="604"/>
        <v>1</v>
      </c>
      <c r="M1528" t="str">
        <f t="shared" si="605"/>
        <v>Suele comer</v>
      </c>
      <c r="N1528">
        <v>3</v>
      </c>
      <c r="O1528">
        <f t="shared" si="606"/>
        <v>2</v>
      </c>
      <c r="P1528" t="str">
        <f t="shared" si="607"/>
        <v>Mas de 3</v>
      </c>
      <c r="Q1528">
        <v>1</v>
      </c>
      <c r="R1528" t="str">
        <f t="shared" si="608"/>
        <v>A veces</v>
      </c>
      <c r="S1528">
        <v>1</v>
      </c>
      <c r="T1528" t="str">
        <f t="shared" si="609"/>
        <v>Fuma</v>
      </c>
      <c r="U1528">
        <v>12751</v>
      </c>
      <c r="V1528">
        <f t="shared" si="610"/>
        <v>2</v>
      </c>
      <c r="W1528" t="str">
        <f t="shared" si="611"/>
        <v>Siempre</v>
      </c>
      <c r="X1528">
        <v>0</v>
      </c>
      <c r="Y1528" t="str">
        <f t="shared" si="612"/>
        <v>No controla</v>
      </c>
      <c r="Z1528">
        <v>0.90192399999999995</v>
      </c>
      <c r="AA1528">
        <f t="shared" si="613"/>
        <v>0</v>
      </c>
      <c r="AB1528" t="str">
        <f t="shared" si="614"/>
        <v>Nunca</v>
      </c>
      <c r="AC1528">
        <v>1875023</v>
      </c>
      <c r="AD1528">
        <f t="shared" si="615"/>
        <v>2</v>
      </c>
      <c r="AE1528" t="str">
        <f t="shared" si="616"/>
        <v>Siempre</v>
      </c>
      <c r="AF1528">
        <v>1</v>
      </c>
      <c r="AG1528" t="str">
        <f t="shared" si="617"/>
        <v>A veces</v>
      </c>
      <c r="AH1528">
        <v>1</v>
      </c>
      <c r="AI1528" t="str">
        <f t="shared" si="618"/>
        <v>Usa auto</v>
      </c>
      <c r="AJ1528">
        <v>0</v>
      </c>
      <c r="AK1528" t="str">
        <f t="shared" si="619"/>
        <v>No usa</v>
      </c>
      <c r="AL1528">
        <v>0</v>
      </c>
      <c r="AM1528" t="str">
        <f t="shared" si="620"/>
        <v>No usa</v>
      </c>
      <c r="AN1528">
        <v>0</v>
      </c>
      <c r="AO1528" t="str">
        <f t="shared" si="621"/>
        <v>No usa</v>
      </c>
      <c r="AP1528">
        <v>0</v>
      </c>
      <c r="AQ1528" t="str">
        <f t="shared" si="622"/>
        <v>No camina</v>
      </c>
      <c r="AR1528">
        <v>1</v>
      </c>
      <c r="AS1528" t="str">
        <f t="shared" si="623"/>
        <v>Es Obeso</v>
      </c>
    </row>
    <row r="1529" spans="1:45" x14ac:dyDescent="0.25">
      <c r="A1529">
        <v>1</v>
      </c>
      <c r="B1529" t="str">
        <f t="shared" si="598"/>
        <v>M</v>
      </c>
      <c r="C1529">
        <v>2482929</v>
      </c>
      <c r="D1529">
        <f t="shared" si="599"/>
        <v>6</v>
      </c>
      <c r="E1529">
        <f t="shared" si="600"/>
        <v>6</v>
      </c>
      <c r="F1529" t="str">
        <f t="shared" si="601"/>
        <v>1-25</v>
      </c>
      <c r="G1529">
        <v>1</v>
      </c>
      <c r="H1529" t="str">
        <f t="shared" si="602"/>
        <v>Pariente gordo</v>
      </c>
      <c r="I1529">
        <v>1</v>
      </c>
      <c r="J1529" t="str">
        <f t="shared" si="603"/>
        <v>Hipercaloricos</v>
      </c>
      <c r="K1529">
        <v>1369529</v>
      </c>
      <c r="L1529">
        <f t="shared" si="604"/>
        <v>1</v>
      </c>
      <c r="M1529" t="str">
        <f t="shared" si="605"/>
        <v>Suele comer</v>
      </c>
      <c r="N1529">
        <v>3</v>
      </c>
      <c r="O1529">
        <f t="shared" si="606"/>
        <v>2</v>
      </c>
      <c r="P1529" t="str">
        <f t="shared" si="607"/>
        <v>Mas de 3</v>
      </c>
      <c r="Q1529">
        <v>1</v>
      </c>
      <c r="R1529" t="str">
        <f t="shared" si="608"/>
        <v>A veces</v>
      </c>
      <c r="S1529">
        <v>0</v>
      </c>
      <c r="T1529" t="str">
        <f t="shared" si="609"/>
        <v>No fuma</v>
      </c>
      <c r="U1529">
        <v>2</v>
      </c>
      <c r="V1529">
        <f t="shared" si="610"/>
        <v>2</v>
      </c>
      <c r="W1529" t="str">
        <f t="shared" si="611"/>
        <v>Siempre</v>
      </c>
      <c r="X1529">
        <v>0</v>
      </c>
      <c r="Y1529" t="str">
        <f t="shared" si="612"/>
        <v>No controla</v>
      </c>
      <c r="Z1529">
        <v>1596576</v>
      </c>
      <c r="AA1529">
        <f t="shared" si="613"/>
        <v>3</v>
      </c>
      <c r="AB1529" t="str">
        <f t="shared" si="614"/>
        <v>Siempre</v>
      </c>
      <c r="AC1529">
        <v>2.5999999999999999E-3</v>
      </c>
      <c r="AD1529">
        <f t="shared" si="615"/>
        <v>0</v>
      </c>
      <c r="AE1529" t="str">
        <f t="shared" si="616"/>
        <v>Nunca</v>
      </c>
      <c r="AF1529">
        <v>1</v>
      </c>
      <c r="AG1529" t="str">
        <f t="shared" si="617"/>
        <v>A veces</v>
      </c>
      <c r="AH1529">
        <v>0</v>
      </c>
      <c r="AI1529" t="str">
        <f t="shared" si="618"/>
        <v>No usa</v>
      </c>
      <c r="AJ1529">
        <v>0</v>
      </c>
      <c r="AK1529" t="str">
        <f t="shared" si="619"/>
        <v>No usa</v>
      </c>
      <c r="AL1529">
        <v>0</v>
      </c>
      <c r="AM1529" t="str">
        <f t="shared" si="620"/>
        <v>No usa</v>
      </c>
      <c r="AN1529">
        <v>1</v>
      </c>
      <c r="AO1529" t="str">
        <f t="shared" si="621"/>
        <v>Usa Transporte</v>
      </c>
      <c r="AP1529">
        <v>0</v>
      </c>
      <c r="AQ1529" t="str">
        <f t="shared" si="622"/>
        <v>No camina</v>
      </c>
      <c r="AR1529">
        <v>1</v>
      </c>
      <c r="AS1529" t="str">
        <f t="shared" si="623"/>
        <v>Es Obeso</v>
      </c>
    </row>
    <row r="1530" spans="1:45" x14ac:dyDescent="0.25">
      <c r="A1530">
        <v>1</v>
      </c>
      <c r="B1530" t="str">
        <f t="shared" si="598"/>
        <v>M</v>
      </c>
      <c r="C1530">
        <v>24739421</v>
      </c>
      <c r="D1530">
        <f t="shared" si="599"/>
        <v>67</v>
      </c>
      <c r="E1530">
        <f t="shared" si="600"/>
        <v>67</v>
      </c>
      <c r="F1530" t="str">
        <f t="shared" si="601"/>
        <v>50-75</v>
      </c>
      <c r="G1530">
        <v>1</v>
      </c>
      <c r="H1530" t="str">
        <f t="shared" si="602"/>
        <v>Pariente gordo</v>
      </c>
      <c r="I1530">
        <v>1</v>
      </c>
      <c r="J1530" t="str">
        <f t="shared" si="603"/>
        <v>Hipercaloricos</v>
      </c>
      <c r="K1530">
        <v>1392665</v>
      </c>
      <c r="L1530">
        <f t="shared" si="604"/>
        <v>1</v>
      </c>
      <c r="M1530" t="str">
        <f t="shared" si="605"/>
        <v>Suele comer</v>
      </c>
      <c r="N1530">
        <v>3</v>
      </c>
      <c r="O1530">
        <f t="shared" si="606"/>
        <v>2</v>
      </c>
      <c r="P1530" t="str">
        <f t="shared" si="607"/>
        <v>Mas de 3</v>
      </c>
      <c r="Q1530">
        <v>1</v>
      </c>
      <c r="R1530" t="str">
        <f t="shared" si="608"/>
        <v>A veces</v>
      </c>
      <c r="S1530">
        <v>0</v>
      </c>
      <c r="T1530" t="str">
        <f t="shared" si="609"/>
        <v>No fuma</v>
      </c>
      <c r="U1530">
        <v>2</v>
      </c>
      <c r="V1530">
        <f t="shared" si="610"/>
        <v>2</v>
      </c>
      <c r="W1530" t="str">
        <f t="shared" si="611"/>
        <v>Siempre</v>
      </c>
      <c r="X1530">
        <v>0</v>
      </c>
      <c r="Y1530" t="str">
        <f t="shared" si="612"/>
        <v>No controla</v>
      </c>
      <c r="Z1530">
        <v>1097983</v>
      </c>
      <c r="AA1530">
        <f t="shared" si="613"/>
        <v>3</v>
      </c>
      <c r="AB1530" t="str">
        <f t="shared" si="614"/>
        <v>Siempre</v>
      </c>
      <c r="AC1530">
        <v>0.63086600000000004</v>
      </c>
      <c r="AD1530">
        <f t="shared" si="615"/>
        <v>0</v>
      </c>
      <c r="AE1530" t="str">
        <f t="shared" si="616"/>
        <v>Nunca</v>
      </c>
      <c r="AF1530">
        <v>1</v>
      </c>
      <c r="AG1530" t="str">
        <f t="shared" si="617"/>
        <v>A veces</v>
      </c>
      <c r="AH1530">
        <v>0</v>
      </c>
      <c r="AI1530" t="str">
        <f t="shared" si="618"/>
        <v>No usa</v>
      </c>
      <c r="AJ1530">
        <v>0</v>
      </c>
      <c r="AK1530" t="str">
        <f t="shared" si="619"/>
        <v>No usa</v>
      </c>
      <c r="AL1530">
        <v>0</v>
      </c>
      <c r="AM1530" t="str">
        <f t="shared" si="620"/>
        <v>No usa</v>
      </c>
      <c r="AN1530">
        <v>1</v>
      </c>
      <c r="AO1530" t="str">
        <f t="shared" si="621"/>
        <v>Usa Transporte</v>
      </c>
      <c r="AP1530">
        <v>0</v>
      </c>
      <c r="AQ1530" t="str">
        <f t="shared" si="622"/>
        <v>No camina</v>
      </c>
      <c r="AR1530">
        <v>1</v>
      </c>
      <c r="AS1530" t="str">
        <f t="shared" si="623"/>
        <v>Es Obeso</v>
      </c>
    </row>
    <row r="1531" spans="1:45" x14ac:dyDescent="0.25">
      <c r="A1531">
        <v>1</v>
      </c>
      <c r="B1531" t="str">
        <f t="shared" si="598"/>
        <v>M</v>
      </c>
      <c r="C1531">
        <v>41</v>
      </c>
      <c r="D1531">
        <f t="shared" si="599"/>
        <v>41</v>
      </c>
      <c r="E1531">
        <f t="shared" si="600"/>
        <v>41</v>
      </c>
      <c r="F1531" t="str">
        <f t="shared" si="601"/>
        <v>25-50</v>
      </c>
      <c r="G1531">
        <v>1</v>
      </c>
      <c r="H1531" t="str">
        <f t="shared" si="602"/>
        <v>Pariente gordo</v>
      </c>
      <c r="I1531">
        <v>1</v>
      </c>
      <c r="J1531" t="str">
        <f t="shared" si="603"/>
        <v>Hipercaloricos</v>
      </c>
      <c r="K1531">
        <v>2</v>
      </c>
      <c r="L1531">
        <f t="shared" si="604"/>
        <v>1</v>
      </c>
      <c r="M1531" t="str">
        <f t="shared" si="605"/>
        <v>Suele comer</v>
      </c>
      <c r="N1531">
        <v>2831771</v>
      </c>
      <c r="O1531">
        <f t="shared" si="606"/>
        <v>2</v>
      </c>
      <c r="P1531" t="str">
        <f t="shared" si="607"/>
        <v>Mas de 3</v>
      </c>
      <c r="Q1531">
        <v>1</v>
      </c>
      <c r="R1531" t="str">
        <f t="shared" si="608"/>
        <v>A veces</v>
      </c>
      <c r="S1531">
        <v>0</v>
      </c>
      <c r="T1531" t="str">
        <f t="shared" si="609"/>
        <v>No fuma</v>
      </c>
      <c r="U1531">
        <v>1725226</v>
      </c>
      <c r="V1531">
        <f t="shared" si="610"/>
        <v>2</v>
      </c>
      <c r="W1531" t="str">
        <f t="shared" si="611"/>
        <v>Siempre</v>
      </c>
      <c r="X1531">
        <v>0</v>
      </c>
      <c r="Y1531" t="str">
        <f t="shared" si="612"/>
        <v>No controla</v>
      </c>
      <c r="Z1531">
        <v>0.35628799999999999</v>
      </c>
      <c r="AA1531">
        <f t="shared" si="613"/>
        <v>0</v>
      </c>
      <c r="AB1531" t="str">
        <f t="shared" si="614"/>
        <v>Nunca</v>
      </c>
      <c r="AC1531">
        <v>0</v>
      </c>
      <c r="AD1531">
        <f t="shared" si="615"/>
        <v>0</v>
      </c>
      <c r="AE1531" t="str">
        <f t="shared" si="616"/>
        <v>Nunca</v>
      </c>
      <c r="AF1531">
        <v>1</v>
      </c>
      <c r="AG1531" t="str">
        <f t="shared" si="617"/>
        <v>A veces</v>
      </c>
      <c r="AH1531">
        <v>1</v>
      </c>
      <c r="AI1531" t="str">
        <f t="shared" si="618"/>
        <v>Usa auto</v>
      </c>
      <c r="AJ1531">
        <v>0</v>
      </c>
      <c r="AK1531" t="str">
        <f t="shared" si="619"/>
        <v>No usa</v>
      </c>
      <c r="AL1531">
        <v>0</v>
      </c>
      <c r="AM1531" t="str">
        <f t="shared" si="620"/>
        <v>No usa</v>
      </c>
      <c r="AN1531">
        <v>0</v>
      </c>
      <c r="AO1531" t="str">
        <f t="shared" si="621"/>
        <v>No usa</v>
      </c>
      <c r="AP1531">
        <v>0</v>
      </c>
      <c r="AQ1531" t="str">
        <f t="shared" si="622"/>
        <v>No camina</v>
      </c>
      <c r="AR1531">
        <v>1</v>
      </c>
      <c r="AS1531" t="str">
        <f t="shared" si="623"/>
        <v>Es Obeso</v>
      </c>
    </row>
    <row r="1532" spans="1:45" x14ac:dyDescent="0.25">
      <c r="A1532">
        <v>1</v>
      </c>
      <c r="B1532" t="str">
        <f t="shared" si="598"/>
        <v>M</v>
      </c>
      <c r="C1532">
        <v>2783173</v>
      </c>
      <c r="D1532">
        <f t="shared" si="599"/>
        <v>7</v>
      </c>
      <c r="E1532">
        <f t="shared" si="600"/>
        <v>7</v>
      </c>
      <c r="F1532" t="str">
        <f t="shared" si="601"/>
        <v>1-25</v>
      </c>
      <c r="G1532">
        <v>1</v>
      </c>
      <c r="H1532" t="str">
        <f t="shared" si="602"/>
        <v>Pariente gordo</v>
      </c>
      <c r="I1532">
        <v>1</v>
      </c>
      <c r="J1532" t="str">
        <f t="shared" si="603"/>
        <v>Hipercaloricos</v>
      </c>
      <c r="K1532">
        <v>2630401</v>
      </c>
      <c r="L1532">
        <f t="shared" si="604"/>
        <v>1</v>
      </c>
      <c r="M1532" t="str">
        <f t="shared" si="605"/>
        <v>Suele comer</v>
      </c>
      <c r="N1532">
        <v>1</v>
      </c>
      <c r="O1532">
        <f t="shared" si="606"/>
        <v>1</v>
      </c>
      <c r="P1532">
        <f t="shared" si="607"/>
        <v>3</v>
      </c>
      <c r="Q1532">
        <v>1</v>
      </c>
      <c r="R1532" t="str">
        <f t="shared" si="608"/>
        <v>A veces</v>
      </c>
      <c r="S1532">
        <v>0</v>
      </c>
      <c r="T1532" t="str">
        <f t="shared" si="609"/>
        <v>No fuma</v>
      </c>
      <c r="U1532">
        <v>1</v>
      </c>
      <c r="V1532">
        <f t="shared" si="610"/>
        <v>1</v>
      </c>
      <c r="W1532" t="str">
        <f t="shared" si="611"/>
        <v>Usualmente</v>
      </c>
      <c r="X1532">
        <v>0</v>
      </c>
      <c r="Y1532" t="str">
        <f t="shared" si="612"/>
        <v>No controla</v>
      </c>
      <c r="Z1532">
        <v>0.24535399999999999</v>
      </c>
      <c r="AA1532">
        <f t="shared" si="613"/>
        <v>0</v>
      </c>
      <c r="AB1532" t="str">
        <f t="shared" si="614"/>
        <v>Nunca</v>
      </c>
      <c r="AC1532">
        <v>0.31526100000000001</v>
      </c>
      <c r="AD1532">
        <f t="shared" si="615"/>
        <v>0</v>
      </c>
      <c r="AE1532" t="str">
        <f t="shared" si="616"/>
        <v>Nunca</v>
      </c>
      <c r="AF1532">
        <v>1</v>
      </c>
      <c r="AG1532" t="str">
        <f t="shared" si="617"/>
        <v>A veces</v>
      </c>
      <c r="AH1532">
        <v>1</v>
      </c>
      <c r="AI1532" t="str">
        <f t="shared" si="618"/>
        <v>Usa auto</v>
      </c>
      <c r="AJ1532">
        <v>0</v>
      </c>
      <c r="AK1532" t="str">
        <f t="shared" si="619"/>
        <v>No usa</v>
      </c>
      <c r="AL1532">
        <v>0</v>
      </c>
      <c r="AM1532" t="str">
        <f t="shared" si="620"/>
        <v>No usa</v>
      </c>
      <c r="AN1532">
        <v>0</v>
      </c>
      <c r="AO1532" t="str">
        <f t="shared" si="621"/>
        <v>No usa</v>
      </c>
      <c r="AP1532">
        <v>0</v>
      </c>
      <c r="AQ1532" t="str">
        <f t="shared" si="622"/>
        <v>No camina</v>
      </c>
      <c r="AR1532">
        <v>1</v>
      </c>
      <c r="AS1532" t="str">
        <f t="shared" si="623"/>
        <v>Es Obeso</v>
      </c>
    </row>
    <row r="1533" spans="1:45" x14ac:dyDescent="0.25">
      <c r="A1533">
        <v>1</v>
      </c>
      <c r="B1533" t="str">
        <f t="shared" si="598"/>
        <v>M</v>
      </c>
      <c r="C1533">
        <v>23260061</v>
      </c>
      <c r="D1533">
        <f t="shared" si="599"/>
        <v>63</v>
      </c>
      <c r="E1533">
        <f t="shared" si="600"/>
        <v>63</v>
      </c>
      <c r="F1533" t="str">
        <f t="shared" si="601"/>
        <v>50-75</v>
      </c>
      <c r="G1533">
        <v>1</v>
      </c>
      <c r="H1533" t="str">
        <f t="shared" si="602"/>
        <v>Pariente gordo</v>
      </c>
      <c r="I1533">
        <v>1</v>
      </c>
      <c r="J1533" t="str">
        <f t="shared" si="603"/>
        <v>Hipercaloricos</v>
      </c>
      <c r="K1533">
        <v>3</v>
      </c>
      <c r="L1533">
        <f t="shared" si="604"/>
        <v>1</v>
      </c>
      <c r="M1533" t="str">
        <f t="shared" si="605"/>
        <v>Suele comer</v>
      </c>
      <c r="N1533">
        <v>2595126</v>
      </c>
      <c r="O1533">
        <f t="shared" si="606"/>
        <v>2</v>
      </c>
      <c r="P1533" t="str">
        <f t="shared" si="607"/>
        <v>Mas de 3</v>
      </c>
      <c r="Q1533">
        <v>1</v>
      </c>
      <c r="R1533" t="str">
        <f t="shared" si="608"/>
        <v>A veces</v>
      </c>
      <c r="S1533">
        <v>0</v>
      </c>
      <c r="T1533" t="str">
        <f t="shared" si="609"/>
        <v>No fuma</v>
      </c>
      <c r="U1533">
        <v>2054072</v>
      </c>
      <c r="V1533">
        <f t="shared" si="610"/>
        <v>2</v>
      </c>
      <c r="W1533" t="str">
        <f t="shared" si="611"/>
        <v>Siempre</v>
      </c>
      <c r="X1533">
        <v>0</v>
      </c>
      <c r="Y1533" t="str">
        <f t="shared" si="612"/>
        <v>No controla</v>
      </c>
      <c r="Z1533">
        <v>0.83527099999999999</v>
      </c>
      <c r="AA1533">
        <f t="shared" si="613"/>
        <v>0</v>
      </c>
      <c r="AB1533" t="str">
        <f t="shared" si="614"/>
        <v>Nunca</v>
      </c>
      <c r="AC1533">
        <v>0</v>
      </c>
      <c r="AD1533">
        <f t="shared" si="615"/>
        <v>0</v>
      </c>
      <c r="AE1533" t="str">
        <f t="shared" si="616"/>
        <v>Nunca</v>
      </c>
      <c r="AF1533">
        <v>1</v>
      </c>
      <c r="AG1533" t="str">
        <f t="shared" si="617"/>
        <v>A veces</v>
      </c>
      <c r="AH1533">
        <v>0</v>
      </c>
      <c r="AI1533" t="str">
        <f t="shared" si="618"/>
        <v>No usa</v>
      </c>
      <c r="AJ1533">
        <v>0</v>
      </c>
      <c r="AK1533" t="str">
        <f t="shared" si="619"/>
        <v>No usa</v>
      </c>
      <c r="AL1533">
        <v>0</v>
      </c>
      <c r="AM1533" t="str">
        <f t="shared" si="620"/>
        <v>No usa</v>
      </c>
      <c r="AN1533">
        <v>1</v>
      </c>
      <c r="AO1533" t="str">
        <f t="shared" si="621"/>
        <v>Usa Transporte</v>
      </c>
      <c r="AP1533">
        <v>0</v>
      </c>
      <c r="AQ1533" t="str">
        <f t="shared" si="622"/>
        <v>No camina</v>
      </c>
      <c r="AR1533">
        <v>1</v>
      </c>
      <c r="AS1533" t="str">
        <f t="shared" si="623"/>
        <v>Es Obeso</v>
      </c>
    </row>
    <row r="1534" spans="1:45" x14ac:dyDescent="0.25">
      <c r="A1534">
        <v>1</v>
      </c>
      <c r="B1534" t="str">
        <f t="shared" si="598"/>
        <v>M</v>
      </c>
      <c r="C1534">
        <v>22705772</v>
      </c>
      <c r="D1534">
        <f t="shared" si="599"/>
        <v>62</v>
      </c>
      <c r="E1534">
        <f t="shared" si="600"/>
        <v>62</v>
      </c>
      <c r="F1534" t="str">
        <f t="shared" si="601"/>
        <v>50-75</v>
      </c>
      <c r="G1534">
        <v>1</v>
      </c>
      <c r="H1534" t="str">
        <f t="shared" si="602"/>
        <v>Pariente gordo</v>
      </c>
      <c r="I1534">
        <v>1</v>
      </c>
      <c r="J1534" t="str">
        <f t="shared" si="603"/>
        <v>Hipercaloricos</v>
      </c>
      <c r="K1534">
        <v>3</v>
      </c>
      <c r="L1534">
        <f t="shared" si="604"/>
        <v>1</v>
      </c>
      <c r="M1534" t="str">
        <f t="shared" si="605"/>
        <v>Suele comer</v>
      </c>
      <c r="N1534">
        <v>252751</v>
      </c>
      <c r="O1534">
        <f t="shared" si="606"/>
        <v>2</v>
      </c>
      <c r="P1534" t="str">
        <f t="shared" si="607"/>
        <v>Mas de 3</v>
      </c>
      <c r="Q1534">
        <v>1</v>
      </c>
      <c r="R1534" t="str">
        <f t="shared" si="608"/>
        <v>A veces</v>
      </c>
      <c r="S1534">
        <v>0</v>
      </c>
      <c r="T1534" t="str">
        <f t="shared" si="609"/>
        <v>No fuma</v>
      </c>
      <c r="U1534">
        <v>1645338</v>
      </c>
      <c r="V1534">
        <f t="shared" si="610"/>
        <v>2</v>
      </c>
      <c r="W1534" t="str">
        <f t="shared" si="611"/>
        <v>Siempre</v>
      </c>
      <c r="X1534">
        <v>0</v>
      </c>
      <c r="Y1534" t="str">
        <f t="shared" si="612"/>
        <v>No controla</v>
      </c>
      <c r="Z1534">
        <v>1025438</v>
      </c>
      <c r="AA1534">
        <f t="shared" si="613"/>
        <v>3</v>
      </c>
      <c r="AB1534" t="str">
        <f t="shared" si="614"/>
        <v>Siempre</v>
      </c>
      <c r="AC1534">
        <v>0</v>
      </c>
      <c r="AD1534">
        <f t="shared" si="615"/>
        <v>0</v>
      </c>
      <c r="AE1534" t="str">
        <f t="shared" si="616"/>
        <v>Nunca</v>
      </c>
      <c r="AF1534">
        <v>1</v>
      </c>
      <c r="AG1534" t="str">
        <f t="shared" si="617"/>
        <v>A veces</v>
      </c>
      <c r="AH1534">
        <v>0</v>
      </c>
      <c r="AI1534" t="str">
        <f t="shared" si="618"/>
        <v>No usa</v>
      </c>
      <c r="AJ1534">
        <v>0</v>
      </c>
      <c r="AK1534" t="str">
        <f t="shared" si="619"/>
        <v>No usa</v>
      </c>
      <c r="AL1534">
        <v>0</v>
      </c>
      <c r="AM1534" t="str">
        <f t="shared" si="620"/>
        <v>No usa</v>
      </c>
      <c r="AN1534">
        <v>1</v>
      </c>
      <c r="AO1534" t="str">
        <f t="shared" si="621"/>
        <v>Usa Transporte</v>
      </c>
      <c r="AP1534">
        <v>0</v>
      </c>
      <c r="AQ1534" t="str">
        <f t="shared" si="622"/>
        <v>No camina</v>
      </c>
      <c r="AR1534">
        <v>1</v>
      </c>
      <c r="AS1534" t="str">
        <f t="shared" si="623"/>
        <v>Es Obeso</v>
      </c>
    </row>
    <row r="1535" spans="1:45" x14ac:dyDescent="0.25">
      <c r="A1535">
        <v>1</v>
      </c>
      <c r="B1535" t="str">
        <f t="shared" si="598"/>
        <v>M</v>
      </c>
      <c r="C1535">
        <v>24041043</v>
      </c>
      <c r="D1535">
        <f t="shared" si="599"/>
        <v>65</v>
      </c>
      <c r="E1535">
        <f t="shared" si="600"/>
        <v>65</v>
      </c>
      <c r="F1535" t="str">
        <f t="shared" si="601"/>
        <v>50-75</v>
      </c>
      <c r="G1535">
        <v>1</v>
      </c>
      <c r="H1535" t="str">
        <f t="shared" si="602"/>
        <v>Pariente gordo</v>
      </c>
      <c r="I1535">
        <v>1</v>
      </c>
      <c r="J1535" t="str">
        <f t="shared" si="603"/>
        <v>Hipercaloricos</v>
      </c>
      <c r="K1535">
        <v>3</v>
      </c>
      <c r="L1535">
        <f t="shared" si="604"/>
        <v>1</v>
      </c>
      <c r="M1535" t="str">
        <f t="shared" si="605"/>
        <v>Suele comer</v>
      </c>
      <c r="N1535">
        <v>2120936</v>
      </c>
      <c r="O1535">
        <f t="shared" si="606"/>
        <v>2</v>
      </c>
      <c r="P1535" t="str">
        <f t="shared" si="607"/>
        <v>Mas de 3</v>
      </c>
      <c r="Q1535">
        <v>1</v>
      </c>
      <c r="R1535" t="str">
        <f t="shared" si="608"/>
        <v>A veces</v>
      </c>
      <c r="S1535">
        <v>0</v>
      </c>
      <c r="T1535" t="str">
        <f t="shared" si="609"/>
        <v>No fuma</v>
      </c>
      <c r="U1535">
        <v>1</v>
      </c>
      <c r="V1535">
        <f t="shared" si="610"/>
        <v>1</v>
      </c>
      <c r="W1535" t="str">
        <f t="shared" si="611"/>
        <v>Usualmente</v>
      </c>
      <c r="X1535">
        <v>0</v>
      </c>
      <c r="Y1535" t="str">
        <f t="shared" si="612"/>
        <v>No controla</v>
      </c>
      <c r="Z1535">
        <v>1543386</v>
      </c>
      <c r="AA1535">
        <f t="shared" si="613"/>
        <v>3</v>
      </c>
      <c r="AB1535" t="str">
        <f t="shared" si="614"/>
        <v>Siempre</v>
      </c>
      <c r="AC1535">
        <v>0.89021300000000003</v>
      </c>
      <c r="AD1535">
        <f t="shared" si="615"/>
        <v>0</v>
      </c>
      <c r="AE1535" t="str">
        <f t="shared" si="616"/>
        <v>Nunca</v>
      </c>
      <c r="AF1535">
        <v>0</v>
      </c>
      <c r="AG1535" t="str">
        <f t="shared" si="617"/>
        <v>Nunca</v>
      </c>
      <c r="AH1535">
        <v>0</v>
      </c>
      <c r="AI1535" t="str">
        <f t="shared" si="618"/>
        <v>No usa</v>
      </c>
      <c r="AJ1535">
        <v>0</v>
      </c>
      <c r="AK1535" t="str">
        <f t="shared" si="619"/>
        <v>No usa</v>
      </c>
      <c r="AL1535">
        <v>0</v>
      </c>
      <c r="AM1535" t="str">
        <f t="shared" si="620"/>
        <v>No usa</v>
      </c>
      <c r="AN1535">
        <v>1</v>
      </c>
      <c r="AO1535" t="str">
        <f t="shared" si="621"/>
        <v>Usa Transporte</v>
      </c>
      <c r="AP1535">
        <v>0</v>
      </c>
      <c r="AQ1535" t="str">
        <f t="shared" si="622"/>
        <v>No camina</v>
      </c>
      <c r="AR1535">
        <v>1</v>
      </c>
      <c r="AS1535" t="str">
        <f t="shared" si="623"/>
        <v>Es Obeso</v>
      </c>
    </row>
    <row r="1536" spans="1:45" x14ac:dyDescent="0.25">
      <c r="A1536">
        <v>1</v>
      </c>
      <c r="B1536" t="str">
        <f t="shared" si="598"/>
        <v>M</v>
      </c>
      <c r="C1536">
        <v>20013906</v>
      </c>
      <c r="D1536">
        <f t="shared" si="599"/>
        <v>54</v>
      </c>
      <c r="E1536">
        <f t="shared" si="600"/>
        <v>54</v>
      </c>
      <c r="F1536" t="str">
        <f t="shared" si="601"/>
        <v>50-75</v>
      </c>
      <c r="G1536">
        <v>1</v>
      </c>
      <c r="H1536" t="str">
        <f t="shared" si="602"/>
        <v>Pariente gordo</v>
      </c>
      <c r="I1536">
        <v>1</v>
      </c>
      <c r="J1536" t="str">
        <f t="shared" si="603"/>
        <v>Hipercaloricos</v>
      </c>
      <c r="K1536">
        <v>2869778</v>
      </c>
      <c r="L1536">
        <f t="shared" si="604"/>
        <v>1</v>
      </c>
      <c r="M1536" t="str">
        <f t="shared" si="605"/>
        <v>Suele comer</v>
      </c>
      <c r="N1536">
        <v>1468948</v>
      </c>
      <c r="O1536">
        <f t="shared" si="606"/>
        <v>2</v>
      </c>
      <c r="P1536" t="str">
        <f t="shared" si="607"/>
        <v>Mas de 3</v>
      </c>
      <c r="Q1536">
        <v>1</v>
      </c>
      <c r="R1536" t="str">
        <f t="shared" si="608"/>
        <v>A veces</v>
      </c>
      <c r="S1536">
        <v>0</v>
      </c>
      <c r="T1536" t="str">
        <f t="shared" si="609"/>
        <v>No fuma</v>
      </c>
      <c r="U1536">
        <v>1656082</v>
      </c>
      <c r="V1536">
        <f t="shared" si="610"/>
        <v>2</v>
      </c>
      <c r="W1536" t="str">
        <f t="shared" si="611"/>
        <v>Siempre</v>
      </c>
      <c r="X1536">
        <v>0</v>
      </c>
      <c r="Y1536" t="str">
        <f t="shared" si="612"/>
        <v>No controla</v>
      </c>
      <c r="Z1536">
        <v>0</v>
      </c>
      <c r="AA1536">
        <f t="shared" si="613"/>
        <v>0</v>
      </c>
      <c r="AB1536" t="str">
        <f t="shared" si="614"/>
        <v>Nunca</v>
      </c>
      <c r="AC1536">
        <v>1444033</v>
      </c>
      <c r="AD1536">
        <f t="shared" si="615"/>
        <v>2</v>
      </c>
      <c r="AE1536" t="str">
        <f t="shared" si="616"/>
        <v>Siempre</v>
      </c>
      <c r="AF1536">
        <v>0</v>
      </c>
      <c r="AG1536" t="str">
        <f t="shared" si="617"/>
        <v>Nunca</v>
      </c>
      <c r="AH1536">
        <v>0</v>
      </c>
      <c r="AI1536" t="str">
        <f t="shared" si="618"/>
        <v>No usa</v>
      </c>
      <c r="AJ1536">
        <v>0</v>
      </c>
      <c r="AK1536" t="str">
        <f t="shared" si="619"/>
        <v>No usa</v>
      </c>
      <c r="AL1536">
        <v>0</v>
      </c>
      <c r="AM1536" t="str">
        <f t="shared" si="620"/>
        <v>No usa</v>
      </c>
      <c r="AN1536">
        <v>1</v>
      </c>
      <c r="AO1536" t="str">
        <f t="shared" si="621"/>
        <v>Usa Transporte</v>
      </c>
      <c r="AP1536">
        <v>0</v>
      </c>
      <c r="AQ1536" t="str">
        <f t="shared" si="622"/>
        <v>No camina</v>
      </c>
      <c r="AR1536">
        <v>1</v>
      </c>
      <c r="AS1536" t="str">
        <f t="shared" si="623"/>
        <v>Es Obeso</v>
      </c>
    </row>
    <row r="1537" spans="1:45" x14ac:dyDescent="0.25">
      <c r="A1537">
        <v>1</v>
      </c>
      <c r="B1537" t="str">
        <f t="shared" si="598"/>
        <v>M</v>
      </c>
      <c r="C1537">
        <v>3002019</v>
      </c>
      <c r="D1537">
        <f t="shared" si="599"/>
        <v>8</v>
      </c>
      <c r="E1537">
        <f t="shared" si="600"/>
        <v>8</v>
      </c>
      <c r="F1537" t="str">
        <f t="shared" si="601"/>
        <v>1-25</v>
      </c>
      <c r="G1537">
        <v>1</v>
      </c>
      <c r="H1537" t="str">
        <f t="shared" si="602"/>
        <v>Pariente gordo</v>
      </c>
      <c r="I1537">
        <v>1</v>
      </c>
      <c r="J1537" t="str">
        <f t="shared" si="603"/>
        <v>Hipercaloricos</v>
      </c>
      <c r="K1537">
        <v>1868212</v>
      </c>
      <c r="L1537">
        <f t="shared" si="604"/>
        <v>1</v>
      </c>
      <c r="M1537" t="str">
        <f t="shared" si="605"/>
        <v>Suele comer</v>
      </c>
      <c r="N1537">
        <v>3</v>
      </c>
      <c r="O1537">
        <f t="shared" si="606"/>
        <v>2</v>
      </c>
      <c r="P1537" t="str">
        <f t="shared" si="607"/>
        <v>Mas de 3</v>
      </c>
      <c r="Q1537">
        <v>1</v>
      </c>
      <c r="R1537" t="str">
        <f t="shared" si="608"/>
        <v>A veces</v>
      </c>
      <c r="S1537">
        <v>0</v>
      </c>
      <c r="T1537" t="str">
        <f t="shared" si="609"/>
        <v>No fuma</v>
      </c>
      <c r="U1537">
        <v>2023328</v>
      </c>
      <c r="V1537">
        <f t="shared" si="610"/>
        <v>2</v>
      </c>
      <c r="W1537" t="str">
        <f t="shared" si="611"/>
        <v>Siempre</v>
      </c>
      <c r="X1537">
        <v>0</v>
      </c>
      <c r="Y1537" t="str">
        <f t="shared" si="612"/>
        <v>No controla</v>
      </c>
      <c r="Z1537">
        <v>0</v>
      </c>
      <c r="AA1537">
        <f t="shared" si="613"/>
        <v>0</v>
      </c>
      <c r="AB1537" t="str">
        <f t="shared" si="614"/>
        <v>Nunca</v>
      </c>
      <c r="AC1537">
        <v>0.61399199999999998</v>
      </c>
      <c r="AD1537">
        <f t="shared" si="615"/>
        <v>0</v>
      </c>
      <c r="AE1537" t="str">
        <f t="shared" si="616"/>
        <v>Nunca</v>
      </c>
      <c r="AF1537">
        <v>1</v>
      </c>
      <c r="AG1537" t="str">
        <f t="shared" si="617"/>
        <v>A veces</v>
      </c>
      <c r="AH1537">
        <v>1</v>
      </c>
      <c r="AI1537" t="str">
        <f t="shared" si="618"/>
        <v>Usa auto</v>
      </c>
      <c r="AJ1537">
        <v>0</v>
      </c>
      <c r="AK1537" t="str">
        <f t="shared" si="619"/>
        <v>No usa</v>
      </c>
      <c r="AL1537">
        <v>0</v>
      </c>
      <c r="AM1537" t="str">
        <f t="shared" si="620"/>
        <v>No usa</v>
      </c>
      <c r="AN1537">
        <v>0</v>
      </c>
      <c r="AO1537" t="str">
        <f t="shared" si="621"/>
        <v>No usa</v>
      </c>
      <c r="AP1537">
        <v>0</v>
      </c>
      <c r="AQ1537" t="str">
        <f t="shared" si="622"/>
        <v>No camina</v>
      </c>
      <c r="AR1537">
        <v>1</v>
      </c>
      <c r="AS1537" t="str">
        <f t="shared" si="623"/>
        <v>Es Obeso</v>
      </c>
    </row>
    <row r="1538" spans="1:45" x14ac:dyDescent="0.25">
      <c r="A1538">
        <v>1</v>
      </c>
      <c r="B1538" t="str">
        <f t="shared" si="598"/>
        <v>M</v>
      </c>
      <c r="C1538">
        <v>2515462</v>
      </c>
      <c r="D1538">
        <f t="shared" si="599"/>
        <v>6</v>
      </c>
      <c r="E1538">
        <f t="shared" si="600"/>
        <v>6</v>
      </c>
      <c r="F1538" t="str">
        <f t="shared" si="601"/>
        <v>1-25</v>
      </c>
      <c r="G1538">
        <v>1</v>
      </c>
      <c r="H1538" t="str">
        <f t="shared" si="602"/>
        <v>Pariente gordo</v>
      </c>
      <c r="I1538">
        <v>1</v>
      </c>
      <c r="J1538" t="str">
        <f t="shared" si="603"/>
        <v>Hipercaloricos</v>
      </c>
      <c r="K1538">
        <v>1108663</v>
      </c>
      <c r="L1538">
        <f t="shared" si="604"/>
        <v>1</v>
      </c>
      <c r="M1538" t="str">
        <f t="shared" si="605"/>
        <v>Suele comer</v>
      </c>
      <c r="N1538">
        <v>3</v>
      </c>
      <c r="O1538">
        <f t="shared" si="606"/>
        <v>2</v>
      </c>
      <c r="P1538" t="str">
        <f t="shared" si="607"/>
        <v>Mas de 3</v>
      </c>
      <c r="Q1538">
        <v>1</v>
      </c>
      <c r="R1538" t="str">
        <f t="shared" si="608"/>
        <v>A veces</v>
      </c>
      <c r="S1538">
        <v>0</v>
      </c>
      <c r="T1538" t="str">
        <f t="shared" si="609"/>
        <v>No fuma</v>
      </c>
      <c r="U1538">
        <v>2</v>
      </c>
      <c r="V1538">
        <f t="shared" si="610"/>
        <v>2</v>
      </c>
      <c r="W1538" t="str">
        <f t="shared" si="611"/>
        <v>Siempre</v>
      </c>
      <c r="X1538">
        <v>0</v>
      </c>
      <c r="Y1538" t="str">
        <f t="shared" si="612"/>
        <v>No controla</v>
      </c>
      <c r="Z1538">
        <v>1230219</v>
      </c>
      <c r="AA1538">
        <f t="shared" si="613"/>
        <v>3</v>
      </c>
      <c r="AB1538" t="str">
        <f t="shared" si="614"/>
        <v>Siempre</v>
      </c>
      <c r="AC1538">
        <v>1.7160000000000001E-3</v>
      </c>
      <c r="AD1538">
        <f t="shared" si="615"/>
        <v>0</v>
      </c>
      <c r="AE1538" t="str">
        <f t="shared" si="616"/>
        <v>Nunca</v>
      </c>
      <c r="AF1538">
        <v>1</v>
      </c>
      <c r="AG1538" t="str">
        <f t="shared" si="617"/>
        <v>A veces</v>
      </c>
      <c r="AH1538">
        <v>1</v>
      </c>
      <c r="AI1538" t="str">
        <f t="shared" si="618"/>
        <v>Usa auto</v>
      </c>
      <c r="AJ1538">
        <v>0</v>
      </c>
      <c r="AK1538" t="str">
        <f t="shared" si="619"/>
        <v>No usa</v>
      </c>
      <c r="AL1538">
        <v>0</v>
      </c>
      <c r="AM1538" t="str">
        <f t="shared" si="620"/>
        <v>No usa</v>
      </c>
      <c r="AN1538">
        <v>0</v>
      </c>
      <c r="AO1538" t="str">
        <f t="shared" si="621"/>
        <v>No usa</v>
      </c>
      <c r="AP1538">
        <v>0</v>
      </c>
      <c r="AQ1538" t="str">
        <f t="shared" si="622"/>
        <v>No camina</v>
      </c>
      <c r="AR1538">
        <v>1</v>
      </c>
      <c r="AS1538" t="str">
        <f t="shared" si="623"/>
        <v>Es Obeso</v>
      </c>
    </row>
    <row r="1539" spans="1:45" x14ac:dyDescent="0.25">
      <c r="A1539">
        <v>1</v>
      </c>
      <c r="B1539" t="str">
        <f t="shared" ref="B1539:B1602" si="624">IF(A1539=1,"M","F")</f>
        <v>M</v>
      </c>
      <c r="C1539">
        <v>30870724</v>
      </c>
      <c r="D1539">
        <f t="shared" ref="D1539:D1602" si="625">IF(C1539&lt;100,C1539,ROUNDDOWN((C1539/1000)/365,0))</f>
        <v>84</v>
      </c>
      <c r="E1539">
        <f t="shared" ref="E1539:E1602" si="626">IF(AND(D1539&gt;1,D1539&lt;=100),D1539,IF(D1539&gt;100,100,5))</f>
        <v>84</v>
      </c>
      <c r="F1539" t="str">
        <f t="shared" ref="F1539:F1602" si="627">IF(AND(E1539&gt;=1,E1539&lt;=25),"1-25",IF(AND(E1539&gt;25,E1539&lt;=50),"25-50",IF(AND(E1539&gt;50,E1539&lt;=75),"50-75","75-100")))</f>
        <v>75-100</v>
      </c>
      <c r="G1539">
        <v>1</v>
      </c>
      <c r="H1539" t="str">
        <f t="shared" ref="H1539:H1602" si="628">IF(G1539=1,"Pariente gordo","Pariente normal")</f>
        <v>Pariente gordo</v>
      </c>
      <c r="I1539">
        <v>1</v>
      </c>
      <c r="J1539" t="str">
        <f t="shared" ref="J1539:J1602" si="629">IF(I1539=1,"Hipercaloricos","Saludables")</f>
        <v>Hipercaloricos</v>
      </c>
      <c r="K1539">
        <v>2907744</v>
      </c>
      <c r="L1539">
        <f t="shared" ref="L1539:L1602" si="630">IF(AND(K1539&gt;=1,K1539&lt;=3),1,IF(AND(K1539&gt;3,K1539&lt;3000000),1))</f>
        <v>1</v>
      </c>
      <c r="M1539" t="str">
        <f t="shared" ref="M1539:M1602" si="631">IF(L1539=1,"Suele comer","No come")</f>
        <v>Suele comer</v>
      </c>
      <c r="N1539">
        <v>3990925</v>
      </c>
      <c r="O1539">
        <f t="shared" ref="O1539:O1602" si="632">IF(N1539=1,N1539,IF(AND(N1539&gt;=2,N1539&lt;4000000),2))</f>
        <v>2</v>
      </c>
      <c r="P1539" t="str">
        <f t="shared" ref="P1539:P1602" si="633">IF(O1539=0,"1-2",IF(O1539=1,3,"Mas de 3"))</f>
        <v>Mas de 3</v>
      </c>
      <c r="Q1539">
        <v>1</v>
      </c>
      <c r="R1539" t="str">
        <f t="shared" ref="R1539:R1602" si="634">IF(Q1539=0,"Nunca",IF(Q1539=1,"A veces",IF(Q1539=2,"Usualmente","Siempre")))</f>
        <v>A veces</v>
      </c>
      <c r="S1539">
        <v>0</v>
      </c>
      <c r="T1539" t="str">
        <f t="shared" ref="T1539:T1602" si="635">IF(S1539=1,"Fuma","No fuma")</f>
        <v>No fuma</v>
      </c>
      <c r="U1539">
        <v>1</v>
      </c>
      <c r="V1539">
        <f t="shared" ref="V1539:V1602" si="636">IF(U1539=1,U1539,IF(U1539=2,U1539,IF(AND(U1539&gt;=3,U1539&lt;3000000),2)))</f>
        <v>1</v>
      </c>
      <c r="W1539" t="str">
        <f t="shared" ref="W1539:W1602" si="637">IF(V1539=0,"Nunca",IF(V1539=1,"Usualmente","Siempre"))</f>
        <v>Usualmente</v>
      </c>
      <c r="X1539">
        <v>0</v>
      </c>
      <c r="Y1539" t="str">
        <f t="shared" ref="Y1539:Y1602" si="638">IF(X1539=1,"Controla","No controla")</f>
        <v>No controla</v>
      </c>
      <c r="Z1539">
        <v>199975</v>
      </c>
      <c r="AA1539">
        <f t="shared" ref="AA1539:AA1602" si="639">IF(Z1539=0,Z1539,IF(Z1539=1,Z1539,IF(Z1539=2,Z1539,IF(Z1539=3,Z1539,IF(AND(Z1539&gt;3,Z1539&lt;300000),2,IF(AND(Z1539&gt;300000,Z1539&lt;3000000),3,IF(AND(Z1539&gt;0,Z1539&lt;1),0)))))))</f>
        <v>2</v>
      </c>
      <c r="AB1539" t="str">
        <f t="shared" ref="AB1539:AB1602" si="640">IF(AA1539=0,"Nunca",IF(AA1539=1,"A veces",IF(AA1539=2,"Usualmente","Siempre")))</f>
        <v>Usualmente</v>
      </c>
      <c r="AC1539">
        <v>0</v>
      </c>
      <c r="AD1539">
        <f t="shared" ref="AD1539:AD1602" si="641">IF(AC1539= 0,AC1539,IF(AC1539=1,AC1539,IF(AC1539=2,AC1539,IF(AND(AC1539&gt;2,AC1539&lt;200000),1,IF(AND(AC1539&gt;200000,AC1539&lt;2000000),2,IF(AND(AC1539&gt;0,AC1539&lt;1),0))))))</f>
        <v>0</v>
      </c>
      <c r="AE1539" t="str">
        <f t="shared" ref="AE1539:AE1602" si="642">IF(AD1539=0,"Nunca",IF(AD1539=1,"Usualmente","Siempre"))</f>
        <v>Nunca</v>
      </c>
      <c r="AF1539">
        <v>0</v>
      </c>
      <c r="AG1539" t="str">
        <f t="shared" ref="AG1539:AG1602" si="643">IF(AF1539=0,"Nunca",IF(AF1539=1,"A veces",IF(AF1539=2,"Usualmente","Siempre")))</f>
        <v>Nunca</v>
      </c>
      <c r="AH1539">
        <v>0</v>
      </c>
      <c r="AI1539" t="str">
        <f t="shared" ref="AI1539:AI1602" si="644">IF(AH1539=1,"Usa auto","No usa")</f>
        <v>No usa</v>
      </c>
      <c r="AJ1539">
        <v>0</v>
      </c>
      <c r="AK1539" t="str">
        <f t="shared" ref="AK1539:AK1602" si="645">IF(AJ1539=1,"Usa Bici","No usa")</f>
        <v>No usa</v>
      </c>
      <c r="AL1539">
        <v>0</v>
      </c>
      <c r="AM1539" t="str">
        <f t="shared" ref="AM1539:AM1602" si="646">IF(AL1539=1,"Usa Moto","No usa")</f>
        <v>No usa</v>
      </c>
      <c r="AN1539">
        <v>1</v>
      </c>
      <c r="AO1539" t="str">
        <f t="shared" ref="AO1539:AO1602" si="647">IF(AN1539=1,"Usa Transporte","No usa")</f>
        <v>Usa Transporte</v>
      </c>
      <c r="AP1539">
        <v>0</v>
      </c>
      <c r="AQ1539" t="str">
        <f t="shared" ref="AQ1539:AQ1602" si="648">IF(AP1539=1,"Camina","No camina")</f>
        <v>No camina</v>
      </c>
      <c r="AR1539">
        <v>1</v>
      </c>
      <c r="AS1539" t="str">
        <f t="shared" ref="AS1539:AS1602" si="649">IF(AR1539=1,"Es Obeso","No es obeso")</f>
        <v>Es Obeso</v>
      </c>
    </row>
    <row r="1540" spans="1:45" x14ac:dyDescent="0.25">
      <c r="A1540">
        <v>1</v>
      </c>
      <c r="B1540" t="str">
        <f t="shared" si="624"/>
        <v>M</v>
      </c>
      <c r="C1540">
        <v>28712995</v>
      </c>
      <c r="D1540">
        <f t="shared" si="625"/>
        <v>78</v>
      </c>
      <c r="E1540">
        <f t="shared" si="626"/>
        <v>78</v>
      </c>
      <c r="F1540" t="str">
        <f t="shared" si="627"/>
        <v>75-100</v>
      </c>
      <c r="G1540">
        <v>1</v>
      </c>
      <c r="H1540" t="str">
        <f t="shared" si="628"/>
        <v>Pariente gordo</v>
      </c>
      <c r="I1540">
        <v>1</v>
      </c>
      <c r="J1540" t="str">
        <f t="shared" si="629"/>
        <v>Hipercaloricos</v>
      </c>
      <c r="K1540">
        <v>295801</v>
      </c>
      <c r="L1540">
        <f t="shared" si="630"/>
        <v>1</v>
      </c>
      <c r="M1540" t="str">
        <f t="shared" si="631"/>
        <v>Suele comer</v>
      </c>
      <c r="N1540">
        <v>2834253</v>
      </c>
      <c r="O1540">
        <f t="shared" si="632"/>
        <v>2</v>
      </c>
      <c r="P1540" t="str">
        <f t="shared" si="633"/>
        <v>Mas de 3</v>
      </c>
      <c r="Q1540">
        <v>1</v>
      </c>
      <c r="R1540" t="str">
        <f t="shared" si="634"/>
        <v>A veces</v>
      </c>
      <c r="S1540">
        <v>0</v>
      </c>
      <c r="T1540" t="str">
        <f t="shared" si="635"/>
        <v>No fuma</v>
      </c>
      <c r="U1540">
        <v>1</v>
      </c>
      <c r="V1540">
        <f t="shared" si="636"/>
        <v>1</v>
      </c>
      <c r="W1540" t="str">
        <f t="shared" si="637"/>
        <v>Usualmente</v>
      </c>
      <c r="X1540">
        <v>0</v>
      </c>
      <c r="Y1540" t="str">
        <f t="shared" si="638"/>
        <v>No controla</v>
      </c>
      <c r="Z1540">
        <v>1999886</v>
      </c>
      <c r="AA1540">
        <f t="shared" si="639"/>
        <v>3</v>
      </c>
      <c r="AB1540" t="str">
        <f t="shared" si="640"/>
        <v>Siempre</v>
      </c>
      <c r="AC1540">
        <v>0</v>
      </c>
      <c r="AD1540">
        <f t="shared" si="641"/>
        <v>0</v>
      </c>
      <c r="AE1540" t="str">
        <f t="shared" si="642"/>
        <v>Nunca</v>
      </c>
      <c r="AF1540">
        <v>0</v>
      </c>
      <c r="AG1540" t="str">
        <f t="shared" si="643"/>
        <v>Nunca</v>
      </c>
      <c r="AH1540">
        <v>0</v>
      </c>
      <c r="AI1540" t="str">
        <f t="shared" si="644"/>
        <v>No usa</v>
      </c>
      <c r="AJ1540">
        <v>0</v>
      </c>
      <c r="AK1540" t="str">
        <f t="shared" si="645"/>
        <v>No usa</v>
      </c>
      <c r="AL1540">
        <v>0</v>
      </c>
      <c r="AM1540" t="str">
        <f t="shared" si="646"/>
        <v>No usa</v>
      </c>
      <c r="AN1540">
        <v>1</v>
      </c>
      <c r="AO1540" t="str">
        <f t="shared" si="647"/>
        <v>Usa Transporte</v>
      </c>
      <c r="AP1540">
        <v>0</v>
      </c>
      <c r="AQ1540" t="str">
        <f t="shared" si="648"/>
        <v>No camina</v>
      </c>
      <c r="AR1540">
        <v>1</v>
      </c>
      <c r="AS1540" t="str">
        <f t="shared" si="649"/>
        <v>Es Obeso</v>
      </c>
    </row>
    <row r="1541" spans="1:45" x14ac:dyDescent="0.25">
      <c r="A1541">
        <v>1</v>
      </c>
      <c r="B1541" t="str">
        <f t="shared" si="624"/>
        <v>M</v>
      </c>
      <c r="C1541">
        <v>30710511</v>
      </c>
      <c r="D1541">
        <f t="shared" si="625"/>
        <v>84</v>
      </c>
      <c r="E1541">
        <f t="shared" si="626"/>
        <v>84</v>
      </c>
      <c r="F1541" t="str">
        <f t="shared" si="627"/>
        <v>75-100</v>
      </c>
      <c r="G1541">
        <v>1</v>
      </c>
      <c r="H1541" t="str">
        <f t="shared" si="628"/>
        <v>Pariente gordo</v>
      </c>
      <c r="I1541">
        <v>1</v>
      </c>
      <c r="J1541" t="str">
        <f t="shared" si="629"/>
        <v>Hipercaloricos</v>
      </c>
      <c r="K1541">
        <v>2197261</v>
      </c>
      <c r="L1541">
        <f t="shared" si="630"/>
        <v>1</v>
      </c>
      <c r="M1541" t="str">
        <f t="shared" si="631"/>
        <v>Suele comer</v>
      </c>
      <c r="N1541">
        <v>3</v>
      </c>
      <c r="O1541">
        <f t="shared" si="632"/>
        <v>2</v>
      </c>
      <c r="P1541" t="str">
        <f t="shared" si="633"/>
        <v>Mas de 3</v>
      </c>
      <c r="Q1541">
        <v>1</v>
      </c>
      <c r="R1541" t="str">
        <f t="shared" si="634"/>
        <v>A veces</v>
      </c>
      <c r="S1541">
        <v>0</v>
      </c>
      <c r="T1541" t="str">
        <f t="shared" si="635"/>
        <v>No fuma</v>
      </c>
      <c r="U1541">
        <v>111184</v>
      </c>
      <c r="V1541">
        <f t="shared" si="636"/>
        <v>2</v>
      </c>
      <c r="W1541" t="str">
        <f t="shared" si="637"/>
        <v>Siempre</v>
      </c>
      <c r="X1541">
        <v>0</v>
      </c>
      <c r="Y1541" t="str">
        <f t="shared" si="638"/>
        <v>No controla</v>
      </c>
      <c r="Z1541">
        <v>0.90684299999999995</v>
      </c>
      <c r="AA1541">
        <f t="shared" si="639"/>
        <v>0</v>
      </c>
      <c r="AB1541" t="str">
        <f t="shared" si="640"/>
        <v>Nunca</v>
      </c>
      <c r="AC1541">
        <v>0.97647300000000004</v>
      </c>
      <c r="AD1541">
        <f t="shared" si="641"/>
        <v>0</v>
      </c>
      <c r="AE1541" t="str">
        <f t="shared" si="642"/>
        <v>Nunca</v>
      </c>
      <c r="AF1541">
        <v>1</v>
      </c>
      <c r="AG1541" t="str">
        <f t="shared" si="643"/>
        <v>A veces</v>
      </c>
      <c r="AH1541">
        <v>0</v>
      </c>
      <c r="AI1541" t="str">
        <f t="shared" si="644"/>
        <v>No usa</v>
      </c>
      <c r="AJ1541">
        <v>0</v>
      </c>
      <c r="AK1541" t="str">
        <f t="shared" si="645"/>
        <v>No usa</v>
      </c>
      <c r="AL1541">
        <v>0</v>
      </c>
      <c r="AM1541" t="str">
        <f t="shared" si="646"/>
        <v>No usa</v>
      </c>
      <c r="AN1541">
        <v>1</v>
      </c>
      <c r="AO1541" t="str">
        <f t="shared" si="647"/>
        <v>Usa Transporte</v>
      </c>
      <c r="AP1541">
        <v>0</v>
      </c>
      <c r="AQ1541" t="str">
        <f t="shared" si="648"/>
        <v>No camina</v>
      </c>
      <c r="AR1541">
        <v>1</v>
      </c>
      <c r="AS1541" t="str">
        <f t="shared" si="649"/>
        <v>Es Obeso</v>
      </c>
    </row>
    <row r="1542" spans="1:45" x14ac:dyDescent="0.25">
      <c r="A1542">
        <v>1</v>
      </c>
      <c r="B1542" t="str">
        <f t="shared" si="624"/>
        <v>M</v>
      </c>
      <c r="C1542">
        <v>29827481</v>
      </c>
      <c r="D1542">
        <f t="shared" si="625"/>
        <v>81</v>
      </c>
      <c r="E1542">
        <f t="shared" si="626"/>
        <v>81</v>
      </c>
      <c r="F1542" t="str">
        <f t="shared" si="627"/>
        <v>75-100</v>
      </c>
      <c r="G1542">
        <v>1</v>
      </c>
      <c r="H1542" t="str">
        <f t="shared" si="628"/>
        <v>Pariente gordo</v>
      </c>
      <c r="I1542">
        <v>1</v>
      </c>
      <c r="J1542" t="str">
        <f t="shared" si="629"/>
        <v>Hipercaloricos</v>
      </c>
      <c r="K1542">
        <v>2048962</v>
      </c>
      <c r="L1542">
        <f t="shared" si="630"/>
        <v>1</v>
      </c>
      <c r="M1542" t="str">
        <f t="shared" si="631"/>
        <v>Suele comer</v>
      </c>
      <c r="N1542">
        <v>3</v>
      </c>
      <c r="O1542">
        <f t="shared" si="632"/>
        <v>2</v>
      </c>
      <c r="P1542" t="str">
        <f t="shared" si="633"/>
        <v>Mas de 3</v>
      </c>
      <c r="Q1542">
        <v>1</v>
      </c>
      <c r="R1542" t="str">
        <f t="shared" si="634"/>
        <v>A veces</v>
      </c>
      <c r="S1542">
        <v>0</v>
      </c>
      <c r="T1542" t="str">
        <f t="shared" si="635"/>
        <v>No fuma</v>
      </c>
      <c r="U1542">
        <v>2822871</v>
      </c>
      <c r="V1542">
        <f t="shared" si="636"/>
        <v>2</v>
      </c>
      <c r="W1542" t="str">
        <f t="shared" si="637"/>
        <v>Siempre</v>
      </c>
      <c r="X1542">
        <v>0</v>
      </c>
      <c r="Y1542" t="str">
        <f t="shared" si="638"/>
        <v>No controla</v>
      </c>
      <c r="Z1542">
        <v>1066169</v>
      </c>
      <c r="AA1542">
        <f t="shared" si="639"/>
        <v>3</v>
      </c>
      <c r="AB1542" t="str">
        <f t="shared" si="640"/>
        <v>Siempre</v>
      </c>
      <c r="AC1542">
        <v>0</v>
      </c>
      <c r="AD1542">
        <f t="shared" si="641"/>
        <v>0</v>
      </c>
      <c r="AE1542" t="str">
        <f t="shared" si="642"/>
        <v>Nunca</v>
      </c>
      <c r="AF1542">
        <v>1</v>
      </c>
      <c r="AG1542" t="str">
        <f t="shared" si="643"/>
        <v>A veces</v>
      </c>
      <c r="AH1542">
        <v>0</v>
      </c>
      <c r="AI1542" t="str">
        <f t="shared" si="644"/>
        <v>No usa</v>
      </c>
      <c r="AJ1542">
        <v>0</v>
      </c>
      <c r="AK1542" t="str">
        <f t="shared" si="645"/>
        <v>No usa</v>
      </c>
      <c r="AL1542">
        <v>0</v>
      </c>
      <c r="AM1542" t="str">
        <f t="shared" si="646"/>
        <v>No usa</v>
      </c>
      <c r="AN1542">
        <v>1</v>
      </c>
      <c r="AO1542" t="str">
        <f t="shared" si="647"/>
        <v>Usa Transporte</v>
      </c>
      <c r="AP1542">
        <v>0</v>
      </c>
      <c r="AQ1542" t="str">
        <f t="shared" si="648"/>
        <v>No camina</v>
      </c>
      <c r="AR1542">
        <v>1</v>
      </c>
      <c r="AS1542" t="str">
        <f t="shared" si="649"/>
        <v>Es Obeso</v>
      </c>
    </row>
    <row r="1543" spans="1:45" x14ac:dyDescent="0.25">
      <c r="A1543">
        <v>1</v>
      </c>
      <c r="B1543" t="str">
        <f t="shared" si="624"/>
        <v>M</v>
      </c>
      <c r="C1543">
        <v>3186893</v>
      </c>
      <c r="D1543">
        <f t="shared" si="625"/>
        <v>8</v>
      </c>
      <c r="E1543">
        <f t="shared" si="626"/>
        <v>8</v>
      </c>
      <c r="F1543" t="str">
        <f t="shared" si="627"/>
        <v>1-25</v>
      </c>
      <c r="G1543">
        <v>1</v>
      </c>
      <c r="H1543" t="str">
        <f t="shared" si="628"/>
        <v>Pariente gordo</v>
      </c>
      <c r="I1543">
        <v>1</v>
      </c>
      <c r="J1543" t="str">
        <f t="shared" si="629"/>
        <v>Hipercaloricos</v>
      </c>
      <c r="K1543">
        <v>2139196</v>
      </c>
      <c r="L1543">
        <f t="shared" si="630"/>
        <v>1</v>
      </c>
      <c r="M1543" t="str">
        <f t="shared" si="631"/>
        <v>Suele comer</v>
      </c>
      <c r="N1543">
        <v>3</v>
      </c>
      <c r="O1543">
        <f t="shared" si="632"/>
        <v>2</v>
      </c>
      <c r="P1543" t="str">
        <f t="shared" si="633"/>
        <v>Mas de 3</v>
      </c>
      <c r="Q1543">
        <v>1</v>
      </c>
      <c r="R1543" t="str">
        <f t="shared" si="634"/>
        <v>A veces</v>
      </c>
      <c r="S1543">
        <v>0</v>
      </c>
      <c r="T1543" t="str">
        <f t="shared" si="635"/>
        <v>No fuma</v>
      </c>
      <c r="U1543">
        <v>204843</v>
      </c>
      <c r="V1543">
        <f t="shared" si="636"/>
        <v>2</v>
      </c>
      <c r="W1543" t="str">
        <f t="shared" si="637"/>
        <v>Siempre</v>
      </c>
      <c r="X1543">
        <v>0</v>
      </c>
      <c r="Y1543" t="str">
        <f t="shared" si="638"/>
        <v>No controla</v>
      </c>
      <c r="Z1543">
        <v>0.36802600000000002</v>
      </c>
      <c r="AA1543">
        <f t="shared" si="639"/>
        <v>0</v>
      </c>
      <c r="AB1543" t="str">
        <f t="shared" si="640"/>
        <v>Nunca</v>
      </c>
      <c r="AC1543">
        <v>0.36098599999999997</v>
      </c>
      <c r="AD1543">
        <f t="shared" si="641"/>
        <v>0</v>
      </c>
      <c r="AE1543" t="str">
        <f t="shared" si="642"/>
        <v>Nunca</v>
      </c>
      <c r="AF1543">
        <v>1</v>
      </c>
      <c r="AG1543" t="str">
        <f t="shared" si="643"/>
        <v>A veces</v>
      </c>
      <c r="AH1543">
        <v>1</v>
      </c>
      <c r="AI1543" t="str">
        <f t="shared" si="644"/>
        <v>Usa auto</v>
      </c>
      <c r="AJ1543">
        <v>0</v>
      </c>
      <c r="AK1543" t="str">
        <f t="shared" si="645"/>
        <v>No usa</v>
      </c>
      <c r="AL1543">
        <v>0</v>
      </c>
      <c r="AM1543" t="str">
        <f t="shared" si="646"/>
        <v>No usa</v>
      </c>
      <c r="AN1543">
        <v>0</v>
      </c>
      <c r="AO1543" t="str">
        <f t="shared" si="647"/>
        <v>No usa</v>
      </c>
      <c r="AP1543">
        <v>0</v>
      </c>
      <c r="AQ1543" t="str">
        <f t="shared" si="648"/>
        <v>No camina</v>
      </c>
      <c r="AR1543">
        <v>1</v>
      </c>
      <c r="AS1543" t="str">
        <f t="shared" si="649"/>
        <v>Es Obeso</v>
      </c>
    </row>
    <row r="1544" spans="1:45" x14ac:dyDescent="0.25">
      <c r="A1544">
        <v>1</v>
      </c>
      <c r="B1544" t="str">
        <f t="shared" si="624"/>
        <v>M</v>
      </c>
      <c r="C1544">
        <v>36542885</v>
      </c>
      <c r="D1544">
        <f t="shared" si="625"/>
        <v>100</v>
      </c>
      <c r="E1544">
        <f t="shared" si="626"/>
        <v>100</v>
      </c>
      <c r="F1544" t="str">
        <f t="shared" si="627"/>
        <v>75-100</v>
      </c>
      <c r="G1544">
        <v>1</v>
      </c>
      <c r="H1544" t="str">
        <f t="shared" si="628"/>
        <v>Pariente gordo</v>
      </c>
      <c r="I1544">
        <v>1</v>
      </c>
      <c r="J1544" t="str">
        <f t="shared" si="629"/>
        <v>Hipercaloricos</v>
      </c>
      <c r="K1544">
        <v>272989</v>
      </c>
      <c r="L1544">
        <f t="shared" si="630"/>
        <v>1</v>
      </c>
      <c r="M1544" t="str">
        <f t="shared" si="631"/>
        <v>Suele comer</v>
      </c>
      <c r="N1544">
        <v>3</v>
      </c>
      <c r="O1544">
        <f t="shared" si="632"/>
        <v>2</v>
      </c>
      <c r="P1544" t="str">
        <f t="shared" si="633"/>
        <v>Mas de 3</v>
      </c>
      <c r="Q1544">
        <v>1</v>
      </c>
      <c r="R1544" t="str">
        <f t="shared" si="634"/>
        <v>A veces</v>
      </c>
      <c r="S1544">
        <v>0</v>
      </c>
      <c r="T1544" t="str">
        <f t="shared" si="635"/>
        <v>No fuma</v>
      </c>
      <c r="U1544">
        <v>2030084</v>
      </c>
      <c r="V1544">
        <f t="shared" si="636"/>
        <v>2</v>
      </c>
      <c r="W1544" t="str">
        <f t="shared" si="637"/>
        <v>Siempre</v>
      </c>
      <c r="X1544">
        <v>0</v>
      </c>
      <c r="Y1544" t="str">
        <f t="shared" si="638"/>
        <v>No controla</v>
      </c>
      <c r="Z1544">
        <v>0.59260699999999999</v>
      </c>
      <c r="AA1544">
        <f t="shared" si="639"/>
        <v>0</v>
      </c>
      <c r="AB1544" t="str">
        <f t="shared" si="640"/>
        <v>Nunca</v>
      </c>
      <c r="AC1544">
        <v>0.754417</v>
      </c>
      <c r="AD1544">
        <f t="shared" si="641"/>
        <v>0</v>
      </c>
      <c r="AE1544" t="str">
        <f t="shared" si="642"/>
        <v>Nunca</v>
      </c>
      <c r="AF1544">
        <v>1</v>
      </c>
      <c r="AG1544" t="str">
        <f t="shared" si="643"/>
        <v>A veces</v>
      </c>
      <c r="AH1544">
        <v>1</v>
      </c>
      <c r="AI1544" t="str">
        <f t="shared" si="644"/>
        <v>Usa auto</v>
      </c>
      <c r="AJ1544">
        <v>0</v>
      </c>
      <c r="AK1544" t="str">
        <f t="shared" si="645"/>
        <v>No usa</v>
      </c>
      <c r="AL1544">
        <v>0</v>
      </c>
      <c r="AM1544" t="str">
        <f t="shared" si="646"/>
        <v>No usa</v>
      </c>
      <c r="AN1544">
        <v>0</v>
      </c>
      <c r="AO1544" t="str">
        <f t="shared" si="647"/>
        <v>No usa</v>
      </c>
      <c r="AP1544">
        <v>0</v>
      </c>
      <c r="AQ1544" t="str">
        <f t="shared" si="648"/>
        <v>No camina</v>
      </c>
      <c r="AR1544">
        <v>1</v>
      </c>
      <c r="AS1544" t="str">
        <f t="shared" si="649"/>
        <v>Es Obeso</v>
      </c>
    </row>
    <row r="1545" spans="1:45" x14ac:dyDescent="0.25">
      <c r="A1545">
        <v>1</v>
      </c>
      <c r="B1545" t="str">
        <f t="shared" si="624"/>
        <v>M</v>
      </c>
      <c r="C1545">
        <v>21556361</v>
      </c>
      <c r="D1545">
        <f t="shared" si="625"/>
        <v>59</v>
      </c>
      <c r="E1545">
        <f t="shared" si="626"/>
        <v>59</v>
      </c>
      <c r="F1545" t="str">
        <f t="shared" si="627"/>
        <v>50-75</v>
      </c>
      <c r="G1545">
        <v>1</v>
      </c>
      <c r="H1545" t="str">
        <f t="shared" si="628"/>
        <v>Pariente gordo</v>
      </c>
      <c r="I1545">
        <v>1</v>
      </c>
      <c r="J1545" t="str">
        <f t="shared" si="629"/>
        <v>Hipercaloricos</v>
      </c>
      <c r="K1545">
        <v>2</v>
      </c>
      <c r="L1545">
        <f t="shared" si="630"/>
        <v>1</v>
      </c>
      <c r="M1545" t="str">
        <f t="shared" si="631"/>
        <v>Suele comer</v>
      </c>
      <c r="N1545">
        <v>3</v>
      </c>
      <c r="O1545">
        <f t="shared" si="632"/>
        <v>2</v>
      </c>
      <c r="P1545" t="str">
        <f t="shared" si="633"/>
        <v>Mas de 3</v>
      </c>
      <c r="Q1545">
        <v>1</v>
      </c>
      <c r="R1545" t="str">
        <f t="shared" si="634"/>
        <v>A veces</v>
      </c>
      <c r="S1545">
        <v>0</v>
      </c>
      <c r="T1545" t="str">
        <f t="shared" si="635"/>
        <v>No fuma</v>
      </c>
      <c r="U1545">
        <v>2</v>
      </c>
      <c r="V1545">
        <f t="shared" si="636"/>
        <v>2</v>
      </c>
      <c r="W1545" t="str">
        <f t="shared" si="637"/>
        <v>Siempre</v>
      </c>
      <c r="X1545">
        <v>0</v>
      </c>
      <c r="Y1545" t="str">
        <f t="shared" si="638"/>
        <v>No controla</v>
      </c>
      <c r="Z1545">
        <v>1399183</v>
      </c>
      <c r="AA1545">
        <f t="shared" si="639"/>
        <v>3</v>
      </c>
      <c r="AB1545" t="str">
        <f t="shared" si="640"/>
        <v>Siempre</v>
      </c>
      <c r="AC1545">
        <v>1</v>
      </c>
      <c r="AD1545">
        <f t="shared" si="641"/>
        <v>1</v>
      </c>
      <c r="AE1545" t="str">
        <f t="shared" si="642"/>
        <v>Usualmente</v>
      </c>
      <c r="AF1545">
        <v>1</v>
      </c>
      <c r="AG1545" t="str">
        <f t="shared" si="643"/>
        <v>A veces</v>
      </c>
      <c r="AH1545">
        <v>0</v>
      </c>
      <c r="AI1545" t="str">
        <f t="shared" si="644"/>
        <v>No usa</v>
      </c>
      <c r="AJ1545">
        <v>0</v>
      </c>
      <c r="AK1545" t="str">
        <f t="shared" si="645"/>
        <v>No usa</v>
      </c>
      <c r="AL1545">
        <v>0</v>
      </c>
      <c r="AM1545" t="str">
        <f t="shared" si="646"/>
        <v>No usa</v>
      </c>
      <c r="AN1545">
        <v>1</v>
      </c>
      <c r="AO1545" t="str">
        <f t="shared" si="647"/>
        <v>Usa Transporte</v>
      </c>
      <c r="AP1545">
        <v>0</v>
      </c>
      <c r="AQ1545" t="str">
        <f t="shared" si="648"/>
        <v>No camina</v>
      </c>
      <c r="AR1545">
        <v>1</v>
      </c>
      <c r="AS1545" t="str">
        <f t="shared" si="649"/>
        <v>Es Obeso</v>
      </c>
    </row>
    <row r="1546" spans="1:45" x14ac:dyDescent="0.25">
      <c r="A1546">
        <v>1</v>
      </c>
      <c r="B1546" t="str">
        <f t="shared" si="624"/>
        <v>M</v>
      </c>
      <c r="C1546">
        <v>23963649</v>
      </c>
      <c r="D1546">
        <f t="shared" si="625"/>
        <v>65</v>
      </c>
      <c r="E1546">
        <f t="shared" si="626"/>
        <v>65</v>
      </c>
      <c r="F1546" t="str">
        <f t="shared" si="627"/>
        <v>50-75</v>
      </c>
      <c r="G1546">
        <v>1</v>
      </c>
      <c r="H1546" t="str">
        <f t="shared" si="628"/>
        <v>Pariente gordo</v>
      </c>
      <c r="I1546">
        <v>1</v>
      </c>
      <c r="J1546" t="str">
        <f t="shared" si="629"/>
        <v>Hipercaloricos</v>
      </c>
      <c r="K1546">
        <v>1994679</v>
      </c>
      <c r="L1546">
        <f t="shared" si="630"/>
        <v>1</v>
      </c>
      <c r="M1546" t="str">
        <f t="shared" si="631"/>
        <v>Suele comer</v>
      </c>
      <c r="N1546">
        <v>3</v>
      </c>
      <c r="O1546">
        <f t="shared" si="632"/>
        <v>2</v>
      </c>
      <c r="P1546" t="str">
        <f t="shared" si="633"/>
        <v>Mas de 3</v>
      </c>
      <c r="Q1546">
        <v>1</v>
      </c>
      <c r="R1546" t="str">
        <f t="shared" si="634"/>
        <v>A veces</v>
      </c>
      <c r="S1546">
        <v>0</v>
      </c>
      <c r="T1546" t="str">
        <f t="shared" si="635"/>
        <v>No fuma</v>
      </c>
      <c r="U1546">
        <v>2</v>
      </c>
      <c r="V1546">
        <f t="shared" si="636"/>
        <v>2</v>
      </c>
      <c r="W1546" t="str">
        <f t="shared" si="637"/>
        <v>Siempre</v>
      </c>
      <c r="X1546">
        <v>0</v>
      </c>
      <c r="Y1546" t="str">
        <f t="shared" si="638"/>
        <v>No controla</v>
      </c>
      <c r="Z1546">
        <v>0.96661699999999995</v>
      </c>
      <c r="AA1546">
        <f t="shared" si="639"/>
        <v>0</v>
      </c>
      <c r="AB1546" t="str">
        <f t="shared" si="640"/>
        <v>Nunca</v>
      </c>
      <c r="AC1546">
        <v>0.73900600000000005</v>
      </c>
      <c r="AD1546">
        <f t="shared" si="641"/>
        <v>0</v>
      </c>
      <c r="AE1546" t="str">
        <f t="shared" si="642"/>
        <v>Nunca</v>
      </c>
      <c r="AF1546">
        <v>1</v>
      </c>
      <c r="AG1546" t="str">
        <f t="shared" si="643"/>
        <v>A veces</v>
      </c>
      <c r="AH1546">
        <v>0</v>
      </c>
      <c r="AI1546" t="str">
        <f t="shared" si="644"/>
        <v>No usa</v>
      </c>
      <c r="AJ1546">
        <v>0</v>
      </c>
      <c r="AK1546" t="str">
        <f t="shared" si="645"/>
        <v>No usa</v>
      </c>
      <c r="AL1546">
        <v>0</v>
      </c>
      <c r="AM1546" t="str">
        <f t="shared" si="646"/>
        <v>No usa</v>
      </c>
      <c r="AN1546">
        <v>1</v>
      </c>
      <c r="AO1546" t="str">
        <f t="shared" si="647"/>
        <v>Usa Transporte</v>
      </c>
      <c r="AP1546">
        <v>0</v>
      </c>
      <c r="AQ1546" t="str">
        <f t="shared" si="648"/>
        <v>No camina</v>
      </c>
      <c r="AR1546">
        <v>1</v>
      </c>
      <c r="AS1546" t="str">
        <f t="shared" si="649"/>
        <v>Es Obeso</v>
      </c>
    </row>
    <row r="1547" spans="1:45" x14ac:dyDescent="0.25">
      <c r="A1547">
        <v>1</v>
      </c>
      <c r="B1547" t="str">
        <f t="shared" si="624"/>
        <v>M</v>
      </c>
      <c r="C1547">
        <v>24145295</v>
      </c>
      <c r="D1547">
        <f t="shared" si="625"/>
        <v>66</v>
      </c>
      <c r="E1547">
        <f t="shared" si="626"/>
        <v>66</v>
      </c>
      <c r="F1547" t="str">
        <f t="shared" si="627"/>
        <v>50-75</v>
      </c>
      <c r="G1547">
        <v>1</v>
      </c>
      <c r="H1547" t="str">
        <f t="shared" si="628"/>
        <v>Pariente gordo</v>
      </c>
      <c r="I1547">
        <v>1</v>
      </c>
      <c r="J1547" t="str">
        <f t="shared" si="629"/>
        <v>Hipercaloricos</v>
      </c>
      <c r="K1547">
        <v>2403421</v>
      </c>
      <c r="L1547">
        <f t="shared" si="630"/>
        <v>1</v>
      </c>
      <c r="M1547" t="str">
        <f t="shared" si="631"/>
        <v>Suele comer</v>
      </c>
      <c r="N1547">
        <v>3</v>
      </c>
      <c r="O1547">
        <f t="shared" si="632"/>
        <v>2</v>
      </c>
      <c r="P1547" t="str">
        <f t="shared" si="633"/>
        <v>Mas de 3</v>
      </c>
      <c r="Q1547">
        <v>1</v>
      </c>
      <c r="R1547" t="str">
        <f t="shared" si="634"/>
        <v>A veces</v>
      </c>
      <c r="S1547">
        <v>0</v>
      </c>
      <c r="T1547" t="str">
        <f t="shared" si="635"/>
        <v>No fuma</v>
      </c>
      <c r="U1547">
        <v>2490613</v>
      </c>
      <c r="V1547">
        <f t="shared" si="636"/>
        <v>2</v>
      </c>
      <c r="W1547" t="str">
        <f t="shared" si="637"/>
        <v>Siempre</v>
      </c>
      <c r="X1547">
        <v>0</v>
      </c>
      <c r="Y1547" t="str">
        <f t="shared" si="638"/>
        <v>No controla</v>
      </c>
      <c r="Z1547">
        <v>2</v>
      </c>
      <c r="AA1547">
        <f t="shared" si="639"/>
        <v>2</v>
      </c>
      <c r="AB1547" t="str">
        <f t="shared" si="640"/>
        <v>Usualmente</v>
      </c>
      <c r="AC1547">
        <v>0.70776799999999995</v>
      </c>
      <c r="AD1547">
        <f t="shared" si="641"/>
        <v>0</v>
      </c>
      <c r="AE1547" t="str">
        <f t="shared" si="642"/>
        <v>Nunca</v>
      </c>
      <c r="AF1547">
        <v>1</v>
      </c>
      <c r="AG1547" t="str">
        <f t="shared" si="643"/>
        <v>A veces</v>
      </c>
      <c r="AH1547">
        <v>0</v>
      </c>
      <c r="AI1547" t="str">
        <f t="shared" si="644"/>
        <v>No usa</v>
      </c>
      <c r="AJ1547">
        <v>0</v>
      </c>
      <c r="AK1547" t="str">
        <f t="shared" si="645"/>
        <v>No usa</v>
      </c>
      <c r="AL1547">
        <v>0</v>
      </c>
      <c r="AM1547" t="str">
        <f t="shared" si="646"/>
        <v>No usa</v>
      </c>
      <c r="AN1547">
        <v>1</v>
      </c>
      <c r="AO1547" t="str">
        <f t="shared" si="647"/>
        <v>Usa Transporte</v>
      </c>
      <c r="AP1547">
        <v>0</v>
      </c>
      <c r="AQ1547" t="str">
        <f t="shared" si="648"/>
        <v>No camina</v>
      </c>
      <c r="AR1547">
        <v>1</v>
      </c>
      <c r="AS1547" t="str">
        <f t="shared" si="649"/>
        <v>Es Obeso</v>
      </c>
    </row>
    <row r="1548" spans="1:45" x14ac:dyDescent="0.25">
      <c r="A1548">
        <v>1</v>
      </c>
      <c r="B1548" t="str">
        <f t="shared" si="624"/>
        <v>M</v>
      </c>
      <c r="C1548">
        <v>252984</v>
      </c>
      <c r="D1548">
        <f t="shared" si="625"/>
        <v>0</v>
      </c>
      <c r="E1548">
        <f t="shared" si="626"/>
        <v>5</v>
      </c>
      <c r="F1548" t="str">
        <f t="shared" si="627"/>
        <v>1-25</v>
      </c>
      <c r="G1548">
        <v>1</v>
      </c>
      <c r="H1548" t="str">
        <f t="shared" si="628"/>
        <v>Pariente gordo</v>
      </c>
      <c r="I1548">
        <v>1</v>
      </c>
      <c r="J1548" t="str">
        <f t="shared" si="629"/>
        <v>Hipercaloricos</v>
      </c>
      <c r="K1548">
        <v>3</v>
      </c>
      <c r="L1548">
        <f t="shared" si="630"/>
        <v>1</v>
      </c>
      <c r="M1548" t="str">
        <f t="shared" si="631"/>
        <v>Suele comer</v>
      </c>
      <c r="N1548">
        <v>3</v>
      </c>
      <c r="O1548">
        <f t="shared" si="632"/>
        <v>2</v>
      </c>
      <c r="P1548" t="str">
        <f t="shared" si="633"/>
        <v>Mas de 3</v>
      </c>
      <c r="Q1548">
        <v>1</v>
      </c>
      <c r="R1548" t="str">
        <f t="shared" si="634"/>
        <v>A veces</v>
      </c>
      <c r="S1548">
        <v>0</v>
      </c>
      <c r="T1548" t="str">
        <f t="shared" si="635"/>
        <v>No fuma</v>
      </c>
      <c r="U1548">
        <v>3</v>
      </c>
      <c r="V1548">
        <f t="shared" si="636"/>
        <v>2</v>
      </c>
      <c r="W1548" t="str">
        <f t="shared" si="637"/>
        <v>Siempre</v>
      </c>
      <c r="X1548">
        <v>0</v>
      </c>
      <c r="Y1548" t="str">
        <f t="shared" si="638"/>
        <v>No controla</v>
      </c>
      <c r="Z1548">
        <v>1110215</v>
      </c>
      <c r="AA1548">
        <f t="shared" si="639"/>
        <v>3</v>
      </c>
      <c r="AB1548" t="str">
        <f t="shared" si="640"/>
        <v>Siempre</v>
      </c>
      <c r="AC1548">
        <v>0.39635199999999998</v>
      </c>
      <c r="AD1548">
        <f t="shared" si="641"/>
        <v>0</v>
      </c>
      <c r="AE1548" t="str">
        <f t="shared" si="642"/>
        <v>Nunca</v>
      </c>
      <c r="AF1548">
        <v>1</v>
      </c>
      <c r="AG1548" t="str">
        <f t="shared" si="643"/>
        <v>A veces</v>
      </c>
      <c r="AH1548">
        <v>0</v>
      </c>
      <c r="AI1548" t="str">
        <f t="shared" si="644"/>
        <v>No usa</v>
      </c>
      <c r="AJ1548">
        <v>0</v>
      </c>
      <c r="AK1548" t="str">
        <f t="shared" si="645"/>
        <v>No usa</v>
      </c>
      <c r="AL1548">
        <v>0</v>
      </c>
      <c r="AM1548" t="str">
        <f t="shared" si="646"/>
        <v>No usa</v>
      </c>
      <c r="AN1548">
        <v>1</v>
      </c>
      <c r="AO1548" t="str">
        <f t="shared" si="647"/>
        <v>Usa Transporte</v>
      </c>
      <c r="AP1548">
        <v>0</v>
      </c>
      <c r="AQ1548" t="str">
        <f t="shared" si="648"/>
        <v>No camina</v>
      </c>
      <c r="AR1548">
        <v>1</v>
      </c>
      <c r="AS1548" t="str">
        <f t="shared" si="649"/>
        <v>Es Obeso</v>
      </c>
    </row>
    <row r="1549" spans="1:45" x14ac:dyDescent="0.25">
      <c r="A1549">
        <v>1</v>
      </c>
      <c r="B1549" t="str">
        <f t="shared" si="624"/>
        <v>M</v>
      </c>
      <c r="C1549">
        <v>31755387</v>
      </c>
      <c r="D1549">
        <f t="shared" si="625"/>
        <v>87</v>
      </c>
      <c r="E1549">
        <f t="shared" si="626"/>
        <v>87</v>
      </c>
      <c r="F1549" t="str">
        <f t="shared" si="627"/>
        <v>75-100</v>
      </c>
      <c r="G1549">
        <v>1</v>
      </c>
      <c r="H1549" t="str">
        <f t="shared" si="628"/>
        <v>Pariente gordo</v>
      </c>
      <c r="I1549">
        <v>1</v>
      </c>
      <c r="J1549" t="str">
        <f t="shared" si="629"/>
        <v>Hipercaloricos</v>
      </c>
      <c r="K1549">
        <v>2758394</v>
      </c>
      <c r="L1549">
        <f t="shared" si="630"/>
        <v>1</v>
      </c>
      <c r="M1549" t="str">
        <f t="shared" si="631"/>
        <v>Suele comer</v>
      </c>
      <c r="N1549">
        <v>3</v>
      </c>
      <c r="O1549">
        <f t="shared" si="632"/>
        <v>2</v>
      </c>
      <c r="P1549" t="str">
        <f t="shared" si="633"/>
        <v>Mas de 3</v>
      </c>
      <c r="Q1549">
        <v>1</v>
      </c>
      <c r="R1549" t="str">
        <f t="shared" si="634"/>
        <v>A veces</v>
      </c>
      <c r="S1549">
        <v>0</v>
      </c>
      <c r="T1549" t="str">
        <f t="shared" si="635"/>
        <v>No fuma</v>
      </c>
      <c r="U1549">
        <v>2161303</v>
      </c>
      <c r="V1549">
        <f t="shared" si="636"/>
        <v>2</v>
      </c>
      <c r="W1549" t="str">
        <f t="shared" si="637"/>
        <v>Siempre</v>
      </c>
      <c r="X1549">
        <v>0</v>
      </c>
      <c r="Y1549" t="str">
        <f t="shared" si="638"/>
        <v>No controla</v>
      </c>
      <c r="Z1549">
        <v>0.42817300000000003</v>
      </c>
      <c r="AA1549">
        <f t="shared" si="639"/>
        <v>0</v>
      </c>
      <c r="AB1549" t="str">
        <f t="shared" si="640"/>
        <v>Nunca</v>
      </c>
      <c r="AC1549">
        <v>0.71632700000000005</v>
      </c>
      <c r="AD1549">
        <f t="shared" si="641"/>
        <v>0</v>
      </c>
      <c r="AE1549" t="str">
        <f t="shared" si="642"/>
        <v>Nunca</v>
      </c>
      <c r="AF1549">
        <v>1</v>
      </c>
      <c r="AG1549" t="str">
        <f t="shared" si="643"/>
        <v>A veces</v>
      </c>
      <c r="AH1549">
        <v>1</v>
      </c>
      <c r="AI1549" t="str">
        <f t="shared" si="644"/>
        <v>Usa auto</v>
      </c>
      <c r="AJ1549">
        <v>0</v>
      </c>
      <c r="AK1549" t="str">
        <f t="shared" si="645"/>
        <v>No usa</v>
      </c>
      <c r="AL1549">
        <v>0</v>
      </c>
      <c r="AM1549" t="str">
        <f t="shared" si="646"/>
        <v>No usa</v>
      </c>
      <c r="AN1549">
        <v>0</v>
      </c>
      <c r="AO1549" t="str">
        <f t="shared" si="647"/>
        <v>No usa</v>
      </c>
      <c r="AP1549">
        <v>0</v>
      </c>
      <c r="AQ1549" t="str">
        <f t="shared" si="648"/>
        <v>No camina</v>
      </c>
      <c r="AR1549">
        <v>1</v>
      </c>
      <c r="AS1549" t="str">
        <f t="shared" si="649"/>
        <v>Es Obeso</v>
      </c>
    </row>
    <row r="1550" spans="1:45" x14ac:dyDescent="0.25">
      <c r="A1550">
        <v>1</v>
      </c>
      <c r="B1550" t="str">
        <f t="shared" si="624"/>
        <v>M</v>
      </c>
      <c r="C1550">
        <v>3062865</v>
      </c>
      <c r="D1550">
        <f t="shared" si="625"/>
        <v>8</v>
      </c>
      <c r="E1550">
        <f t="shared" si="626"/>
        <v>8</v>
      </c>
      <c r="F1550" t="str">
        <f t="shared" si="627"/>
        <v>1-25</v>
      </c>
      <c r="G1550">
        <v>1</v>
      </c>
      <c r="H1550" t="str">
        <f t="shared" si="628"/>
        <v>Pariente gordo</v>
      </c>
      <c r="I1550">
        <v>1</v>
      </c>
      <c r="J1550" t="str">
        <f t="shared" si="629"/>
        <v>Hipercaloricos</v>
      </c>
      <c r="K1550">
        <v>2964319</v>
      </c>
      <c r="L1550">
        <f t="shared" si="630"/>
        <v>1</v>
      </c>
      <c r="M1550" t="str">
        <f t="shared" si="631"/>
        <v>Suele comer</v>
      </c>
      <c r="N1550">
        <v>3</v>
      </c>
      <c r="O1550">
        <f t="shared" si="632"/>
        <v>2</v>
      </c>
      <c r="P1550" t="str">
        <f t="shared" si="633"/>
        <v>Mas de 3</v>
      </c>
      <c r="Q1550">
        <v>1</v>
      </c>
      <c r="R1550" t="str">
        <f t="shared" si="634"/>
        <v>A veces</v>
      </c>
      <c r="S1550">
        <v>0</v>
      </c>
      <c r="T1550" t="str">
        <f t="shared" si="635"/>
        <v>No fuma</v>
      </c>
      <c r="U1550">
        <v>2377257</v>
      </c>
      <c r="V1550">
        <f t="shared" si="636"/>
        <v>2</v>
      </c>
      <c r="W1550" t="str">
        <f t="shared" si="637"/>
        <v>Siempre</v>
      </c>
      <c r="X1550">
        <v>0</v>
      </c>
      <c r="Y1550" t="str">
        <f t="shared" si="638"/>
        <v>No controla</v>
      </c>
      <c r="Z1550">
        <v>0.61495900000000003</v>
      </c>
      <c r="AA1550">
        <f t="shared" si="639"/>
        <v>0</v>
      </c>
      <c r="AB1550" t="str">
        <f t="shared" si="640"/>
        <v>Nunca</v>
      </c>
      <c r="AC1550">
        <v>1875023</v>
      </c>
      <c r="AD1550">
        <f t="shared" si="641"/>
        <v>2</v>
      </c>
      <c r="AE1550" t="str">
        <f t="shared" si="642"/>
        <v>Siempre</v>
      </c>
      <c r="AF1550">
        <v>1</v>
      </c>
      <c r="AG1550" t="str">
        <f t="shared" si="643"/>
        <v>A veces</v>
      </c>
      <c r="AH1550">
        <v>1</v>
      </c>
      <c r="AI1550" t="str">
        <f t="shared" si="644"/>
        <v>Usa auto</v>
      </c>
      <c r="AJ1550">
        <v>0</v>
      </c>
      <c r="AK1550" t="str">
        <f t="shared" si="645"/>
        <v>No usa</v>
      </c>
      <c r="AL1550">
        <v>0</v>
      </c>
      <c r="AM1550" t="str">
        <f t="shared" si="646"/>
        <v>No usa</v>
      </c>
      <c r="AN1550">
        <v>0</v>
      </c>
      <c r="AO1550" t="str">
        <f t="shared" si="647"/>
        <v>No usa</v>
      </c>
      <c r="AP1550">
        <v>0</v>
      </c>
      <c r="AQ1550" t="str">
        <f t="shared" si="648"/>
        <v>No camina</v>
      </c>
      <c r="AR1550">
        <v>1</v>
      </c>
      <c r="AS1550" t="str">
        <f t="shared" si="649"/>
        <v>Es Obeso</v>
      </c>
    </row>
    <row r="1551" spans="1:45" x14ac:dyDescent="0.25">
      <c r="A1551">
        <v>1</v>
      </c>
      <c r="B1551" t="str">
        <f t="shared" si="624"/>
        <v>M</v>
      </c>
      <c r="C1551">
        <v>23454558</v>
      </c>
      <c r="D1551">
        <f t="shared" si="625"/>
        <v>64</v>
      </c>
      <c r="E1551">
        <f t="shared" si="626"/>
        <v>64</v>
      </c>
      <c r="F1551" t="str">
        <f t="shared" si="627"/>
        <v>50-75</v>
      </c>
      <c r="G1551">
        <v>1</v>
      </c>
      <c r="H1551" t="str">
        <f t="shared" si="628"/>
        <v>Pariente gordo</v>
      </c>
      <c r="I1551">
        <v>1</v>
      </c>
      <c r="J1551" t="str">
        <f t="shared" si="629"/>
        <v>Hipercaloricos</v>
      </c>
      <c r="K1551">
        <v>1617093</v>
      </c>
      <c r="L1551">
        <f t="shared" si="630"/>
        <v>1</v>
      </c>
      <c r="M1551" t="str">
        <f t="shared" si="631"/>
        <v>Suele comer</v>
      </c>
      <c r="N1551">
        <v>3</v>
      </c>
      <c r="O1551">
        <f t="shared" si="632"/>
        <v>2</v>
      </c>
      <c r="P1551" t="str">
        <f t="shared" si="633"/>
        <v>Mas de 3</v>
      </c>
      <c r="Q1551">
        <v>1</v>
      </c>
      <c r="R1551" t="str">
        <f t="shared" si="634"/>
        <v>A veces</v>
      </c>
      <c r="S1551">
        <v>0</v>
      </c>
      <c r="T1551" t="str">
        <f t="shared" si="635"/>
        <v>No fuma</v>
      </c>
      <c r="U1551">
        <v>2</v>
      </c>
      <c r="V1551">
        <f t="shared" si="636"/>
        <v>2</v>
      </c>
      <c r="W1551" t="str">
        <f t="shared" si="637"/>
        <v>Siempre</v>
      </c>
      <c r="X1551">
        <v>0</v>
      </c>
      <c r="Y1551" t="str">
        <f t="shared" si="638"/>
        <v>No controla</v>
      </c>
      <c r="Z1551">
        <v>1818052</v>
      </c>
      <c r="AA1551">
        <f t="shared" si="639"/>
        <v>3</v>
      </c>
      <c r="AB1551" t="str">
        <f t="shared" si="640"/>
        <v>Siempre</v>
      </c>
      <c r="AC1551">
        <v>0.63182499999999997</v>
      </c>
      <c r="AD1551">
        <f t="shared" si="641"/>
        <v>0</v>
      </c>
      <c r="AE1551" t="str">
        <f t="shared" si="642"/>
        <v>Nunca</v>
      </c>
      <c r="AF1551">
        <v>1</v>
      </c>
      <c r="AG1551" t="str">
        <f t="shared" si="643"/>
        <v>A veces</v>
      </c>
      <c r="AH1551">
        <v>0</v>
      </c>
      <c r="AI1551" t="str">
        <f t="shared" si="644"/>
        <v>No usa</v>
      </c>
      <c r="AJ1551">
        <v>0</v>
      </c>
      <c r="AK1551" t="str">
        <f t="shared" si="645"/>
        <v>No usa</v>
      </c>
      <c r="AL1551">
        <v>0</v>
      </c>
      <c r="AM1551" t="str">
        <f t="shared" si="646"/>
        <v>No usa</v>
      </c>
      <c r="AN1551">
        <v>1</v>
      </c>
      <c r="AO1551" t="str">
        <f t="shared" si="647"/>
        <v>Usa Transporte</v>
      </c>
      <c r="AP1551">
        <v>0</v>
      </c>
      <c r="AQ1551" t="str">
        <f t="shared" si="648"/>
        <v>No camina</v>
      </c>
      <c r="AR1551">
        <v>1</v>
      </c>
      <c r="AS1551" t="str">
        <f t="shared" si="649"/>
        <v>Es Obeso</v>
      </c>
    </row>
    <row r="1552" spans="1:45" x14ac:dyDescent="0.25">
      <c r="A1552">
        <v>1</v>
      </c>
      <c r="B1552" t="str">
        <f t="shared" si="624"/>
        <v>M</v>
      </c>
      <c r="C1552">
        <v>23432227</v>
      </c>
      <c r="D1552">
        <f t="shared" si="625"/>
        <v>64</v>
      </c>
      <c r="E1552">
        <f t="shared" si="626"/>
        <v>64</v>
      </c>
      <c r="F1552" t="str">
        <f t="shared" si="627"/>
        <v>50-75</v>
      </c>
      <c r="G1552">
        <v>1</v>
      </c>
      <c r="H1552" t="str">
        <f t="shared" si="628"/>
        <v>Pariente gordo</v>
      </c>
      <c r="I1552">
        <v>1</v>
      </c>
      <c r="J1552" t="str">
        <f t="shared" si="629"/>
        <v>Hipercaloricos</v>
      </c>
      <c r="K1552">
        <v>1631144</v>
      </c>
      <c r="L1552">
        <f t="shared" si="630"/>
        <v>1</v>
      </c>
      <c r="M1552" t="str">
        <f t="shared" si="631"/>
        <v>Suele comer</v>
      </c>
      <c r="N1552">
        <v>3</v>
      </c>
      <c r="O1552">
        <f t="shared" si="632"/>
        <v>2</v>
      </c>
      <c r="P1552" t="str">
        <f t="shared" si="633"/>
        <v>Mas de 3</v>
      </c>
      <c r="Q1552">
        <v>1</v>
      </c>
      <c r="R1552" t="str">
        <f t="shared" si="634"/>
        <v>A veces</v>
      </c>
      <c r="S1552">
        <v>0</v>
      </c>
      <c r="T1552" t="str">
        <f t="shared" si="635"/>
        <v>No fuma</v>
      </c>
      <c r="U1552">
        <v>2</v>
      </c>
      <c r="V1552">
        <f t="shared" si="636"/>
        <v>2</v>
      </c>
      <c r="W1552" t="str">
        <f t="shared" si="637"/>
        <v>Siempre</v>
      </c>
      <c r="X1552">
        <v>0</v>
      </c>
      <c r="Y1552" t="str">
        <f t="shared" si="638"/>
        <v>No controla</v>
      </c>
      <c r="Z1552">
        <v>1593183</v>
      </c>
      <c r="AA1552">
        <f t="shared" si="639"/>
        <v>3</v>
      </c>
      <c r="AB1552" t="str">
        <f t="shared" si="640"/>
        <v>Siempre</v>
      </c>
      <c r="AC1552">
        <v>0.86373999999999995</v>
      </c>
      <c r="AD1552">
        <f t="shared" si="641"/>
        <v>0</v>
      </c>
      <c r="AE1552" t="str">
        <f t="shared" si="642"/>
        <v>Nunca</v>
      </c>
      <c r="AF1552">
        <v>1</v>
      </c>
      <c r="AG1552" t="str">
        <f t="shared" si="643"/>
        <v>A veces</v>
      </c>
      <c r="AH1552">
        <v>0</v>
      </c>
      <c r="AI1552" t="str">
        <f t="shared" si="644"/>
        <v>No usa</v>
      </c>
      <c r="AJ1552">
        <v>0</v>
      </c>
      <c r="AK1552" t="str">
        <f t="shared" si="645"/>
        <v>No usa</v>
      </c>
      <c r="AL1552">
        <v>0</v>
      </c>
      <c r="AM1552" t="str">
        <f t="shared" si="646"/>
        <v>No usa</v>
      </c>
      <c r="AN1552">
        <v>1</v>
      </c>
      <c r="AO1552" t="str">
        <f t="shared" si="647"/>
        <v>Usa Transporte</v>
      </c>
      <c r="AP1552">
        <v>0</v>
      </c>
      <c r="AQ1552" t="str">
        <f t="shared" si="648"/>
        <v>No camina</v>
      </c>
      <c r="AR1552">
        <v>1</v>
      </c>
      <c r="AS1552" t="str">
        <f t="shared" si="649"/>
        <v>Es Obeso</v>
      </c>
    </row>
    <row r="1553" spans="1:45" x14ac:dyDescent="0.25">
      <c r="A1553">
        <v>1</v>
      </c>
      <c r="B1553" t="str">
        <f t="shared" si="624"/>
        <v>M</v>
      </c>
      <c r="C1553">
        <v>4050021</v>
      </c>
      <c r="D1553">
        <f t="shared" si="625"/>
        <v>11</v>
      </c>
      <c r="E1553">
        <f t="shared" si="626"/>
        <v>11</v>
      </c>
      <c r="F1553" t="str">
        <f t="shared" si="627"/>
        <v>1-25</v>
      </c>
      <c r="G1553">
        <v>1</v>
      </c>
      <c r="H1553" t="str">
        <f t="shared" si="628"/>
        <v>Pariente gordo</v>
      </c>
      <c r="I1553">
        <v>1</v>
      </c>
      <c r="J1553" t="str">
        <f t="shared" si="629"/>
        <v>Hipercaloricos</v>
      </c>
      <c r="K1553">
        <v>2317459</v>
      </c>
      <c r="L1553">
        <f t="shared" si="630"/>
        <v>1</v>
      </c>
      <c r="M1553" t="str">
        <f t="shared" si="631"/>
        <v>Suele comer</v>
      </c>
      <c r="N1553">
        <v>3734323</v>
      </c>
      <c r="O1553">
        <f t="shared" si="632"/>
        <v>2</v>
      </c>
      <c r="P1553" t="str">
        <f t="shared" si="633"/>
        <v>Mas de 3</v>
      </c>
      <c r="Q1553">
        <v>1</v>
      </c>
      <c r="R1553" t="str">
        <f t="shared" si="634"/>
        <v>A veces</v>
      </c>
      <c r="S1553">
        <v>0</v>
      </c>
      <c r="T1553" t="str">
        <f t="shared" si="635"/>
        <v>No fuma</v>
      </c>
      <c r="U1553">
        <v>1</v>
      </c>
      <c r="V1553">
        <f t="shared" si="636"/>
        <v>1</v>
      </c>
      <c r="W1553" t="str">
        <f t="shared" si="637"/>
        <v>Usualmente</v>
      </c>
      <c r="X1553">
        <v>0</v>
      </c>
      <c r="Y1553" t="str">
        <f t="shared" si="638"/>
        <v>No controla</v>
      </c>
      <c r="Z1553">
        <v>1628637</v>
      </c>
      <c r="AA1553">
        <f t="shared" si="639"/>
        <v>3</v>
      </c>
      <c r="AB1553" t="str">
        <f t="shared" si="640"/>
        <v>Siempre</v>
      </c>
      <c r="AC1553">
        <v>0</v>
      </c>
      <c r="AD1553">
        <f t="shared" si="641"/>
        <v>0</v>
      </c>
      <c r="AE1553" t="str">
        <f t="shared" si="642"/>
        <v>Nunca</v>
      </c>
      <c r="AF1553">
        <v>0</v>
      </c>
      <c r="AG1553" t="str">
        <f t="shared" si="643"/>
        <v>Nunca</v>
      </c>
      <c r="AH1553">
        <v>1</v>
      </c>
      <c r="AI1553" t="str">
        <f t="shared" si="644"/>
        <v>Usa auto</v>
      </c>
      <c r="AJ1553">
        <v>0</v>
      </c>
      <c r="AK1553" t="str">
        <f t="shared" si="645"/>
        <v>No usa</v>
      </c>
      <c r="AL1553">
        <v>0</v>
      </c>
      <c r="AM1553" t="str">
        <f t="shared" si="646"/>
        <v>No usa</v>
      </c>
      <c r="AN1553">
        <v>0</v>
      </c>
      <c r="AO1553" t="str">
        <f t="shared" si="647"/>
        <v>No usa</v>
      </c>
      <c r="AP1553">
        <v>0</v>
      </c>
      <c r="AQ1553" t="str">
        <f t="shared" si="648"/>
        <v>No camina</v>
      </c>
      <c r="AR1553">
        <v>1</v>
      </c>
      <c r="AS1553" t="str">
        <f t="shared" si="649"/>
        <v>Es Obeso</v>
      </c>
    </row>
    <row r="1554" spans="1:45" x14ac:dyDescent="0.25">
      <c r="A1554">
        <v>1</v>
      </c>
      <c r="B1554" t="str">
        <f t="shared" si="624"/>
        <v>M</v>
      </c>
      <c r="C1554">
        <v>34576714</v>
      </c>
      <c r="D1554">
        <f t="shared" si="625"/>
        <v>94</v>
      </c>
      <c r="E1554">
        <f t="shared" si="626"/>
        <v>94</v>
      </c>
      <c r="F1554" t="str">
        <f t="shared" si="627"/>
        <v>75-100</v>
      </c>
      <c r="G1554">
        <v>1</v>
      </c>
      <c r="H1554" t="str">
        <f t="shared" si="628"/>
        <v>Pariente gordo</v>
      </c>
      <c r="I1554">
        <v>1</v>
      </c>
      <c r="J1554" t="str">
        <f t="shared" si="629"/>
        <v>Hipercaloricos</v>
      </c>
      <c r="K1554">
        <v>2501224</v>
      </c>
      <c r="L1554">
        <f t="shared" si="630"/>
        <v>1</v>
      </c>
      <c r="M1554" t="str">
        <f t="shared" si="631"/>
        <v>Suele comer</v>
      </c>
      <c r="N1554">
        <v>2049565</v>
      </c>
      <c r="O1554">
        <f t="shared" si="632"/>
        <v>2</v>
      </c>
      <c r="P1554" t="str">
        <f t="shared" si="633"/>
        <v>Mas de 3</v>
      </c>
      <c r="Q1554">
        <v>1</v>
      </c>
      <c r="R1554" t="str">
        <f t="shared" si="634"/>
        <v>A veces</v>
      </c>
      <c r="S1554">
        <v>0</v>
      </c>
      <c r="T1554" t="str">
        <f t="shared" si="635"/>
        <v>No fuma</v>
      </c>
      <c r="U1554">
        <v>1</v>
      </c>
      <c r="V1554">
        <f t="shared" si="636"/>
        <v>1</v>
      </c>
      <c r="W1554" t="str">
        <f t="shared" si="637"/>
        <v>Usualmente</v>
      </c>
      <c r="X1554">
        <v>0</v>
      </c>
      <c r="Y1554" t="str">
        <f t="shared" si="638"/>
        <v>No controla</v>
      </c>
      <c r="Z1554">
        <v>1746583</v>
      </c>
      <c r="AA1554">
        <f t="shared" si="639"/>
        <v>3</v>
      </c>
      <c r="AB1554" t="str">
        <f t="shared" si="640"/>
        <v>Siempre</v>
      </c>
      <c r="AC1554">
        <v>0</v>
      </c>
      <c r="AD1554">
        <f t="shared" si="641"/>
        <v>0</v>
      </c>
      <c r="AE1554" t="str">
        <f t="shared" si="642"/>
        <v>Nunca</v>
      </c>
      <c r="AF1554">
        <v>0</v>
      </c>
      <c r="AG1554" t="str">
        <f t="shared" si="643"/>
        <v>Nunca</v>
      </c>
      <c r="AH1554">
        <v>1</v>
      </c>
      <c r="AI1554" t="str">
        <f t="shared" si="644"/>
        <v>Usa auto</v>
      </c>
      <c r="AJ1554">
        <v>0</v>
      </c>
      <c r="AK1554" t="str">
        <f t="shared" si="645"/>
        <v>No usa</v>
      </c>
      <c r="AL1554">
        <v>0</v>
      </c>
      <c r="AM1554" t="str">
        <f t="shared" si="646"/>
        <v>No usa</v>
      </c>
      <c r="AN1554">
        <v>0</v>
      </c>
      <c r="AO1554" t="str">
        <f t="shared" si="647"/>
        <v>No usa</v>
      </c>
      <c r="AP1554">
        <v>0</v>
      </c>
      <c r="AQ1554" t="str">
        <f t="shared" si="648"/>
        <v>No camina</v>
      </c>
      <c r="AR1554">
        <v>1</v>
      </c>
      <c r="AS1554" t="str">
        <f t="shared" si="649"/>
        <v>Es Obeso</v>
      </c>
    </row>
    <row r="1555" spans="1:45" x14ac:dyDescent="0.25">
      <c r="A1555">
        <v>1</v>
      </c>
      <c r="B1555" t="str">
        <f t="shared" si="624"/>
        <v>M</v>
      </c>
      <c r="C1555">
        <v>22276969</v>
      </c>
      <c r="D1555">
        <f t="shared" si="625"/>
        <v>61</v>
      </c>
      <c r="E1555">
        <f t="shared" si="626"/>
        <v>61</v>
      </c>
      <c r="F1555" t="str">
        <f t="shared" si="627"/>
        <v>50-75</v>
      </c>
      <c r="G1555">
        <v>1</v>
      </c>
      <c r="H1555" t="str">
        <f t="shared" si="628"/>
        <v>Pariente gordo</v>
      </c>
      <c r="I1555">
        <v>1</v>
      </c>
      <c r="J1555" t="str">
        <f t="shared" si="629"/>
        <v>Hipercaloricos</v>
      </c>
      <c r="K1555">
        <v>3</v>
      </c>
      <c r="L1555">
        <f t="shared" si="630"/>
        <v>1</v>
      </c>
      <c r="M1555" t="str">
        <f t="shared" si="631"/>
        <v>Suele comer</v>
      </c>
      <c r="N1555">
        <v>2272214</v>
      </c>
      <c r="O1555">
        <f t="shared" si="632"/>
        <v>2</v>
      </c>
      <c r="P1555" t="str">
        <f t="shared" si="633"/>
        <v>Mas de 3</v>
      </c>
      <c r="Q1555">
        <v>1</v>
      </c>
      <c r="R1555" t="str">
        <f t="shared" si="634"/>
        <v>A veces</v>
      </c>
      <c r="S1555">
        <v>0</v>
      </c>
      <c r="T1555" t="str">
        <f t="shared" si="635"/>
        <v>No fuma</v>
      </c>
      <c r="U1555">
        <v>1555534</v>
      </c>
      <c r="V1555">
        <f t="shared" si="636"/>
        <v>2</v>
      </c>
      <c r="W1555" t="str">
        <f t="shared" si="637"/>
        <v>Siempre</v>
      </c>
      <c r="X1555">
        <v>0</v>
      </c>
      <c r="Y1555" t="str">
        <f t="shared" si="638"/>
        <v>No controla</v>
      </c>
      <c r="Z1555">
        <v>0.34883900000000001</v>
      </c>
      <c r="AA1555">
        <f t="shared" si="639"/>
        <v>0</v>
      </c>
      <c r="AB1555" t="str">
        <f t="shared" si="640"/>
        <v>Nunca</v>
      </c>
      <c r="AC1555">
        <v>0</v>
      </c>
      <c r="AD1555">
        <f t="shared" si="641"/>
        <v>0</v>
      </c>
      <c r="AE1555" t="str">
        <f t="shared" si="642"/>
        <v>Nunca</v>
      </c>
      <c r="AF1555">
        <v>1</v>
      </c>
      <c r="AG1555" t="str">
        <f t="shared" si="643"/>
        <v>A veces</v>
      </c>
      <c r="AH1555">
        <v>0</v>
      </c>
      <c r="AI1555" t="str">
        <f t="shared" si="644"/>
        <v>No usa</v>
      </c>
      <c r="AJ1555">
        <v>0</v>
      </c>
      <c r="AK1555" t="str">
        <f t="shared" si="645"/>
        <v>No usa</v>
      </c>
      <c r="AL1555">
        <v>0</v>
      </c>
      <c r="AM1555" t="str">
        <f t="shared" si="646"/>
        <v>No usa</v>
      </c>
      <c r="AN1555">
        <v>1</v>
      </c>
      <c r="AO1555" t="str">
        <f t="shared" si="647"/>
        <v>Usa Transporte</v>
      </c>
      <c r="AP1555">
        <v>0</v>
      </c>
      <c r="AQ1555" t="str">
        <f t="shared" si="648"/>
        <v>No camina</v>
      </c>
      <c r="AR1555">
        <v>1</v>
      </c>
      <c r="AS1555" t="str">
        <f t="shared" si="649"/>
        <v>Es Obeso</v>
      </c>
    </row>
    <row r="1556" spans="1:45" x14ac:dyDescent="0.25">
      <c r="A1556">
        <v>1</v>
      </c>
      <c r="B1556" t="str">
        <f t="shared" si="624"/>
        <v>M</v>
      </c>
      <c r="C1556">
        <v>21963787</v>
      </c>
      <c r="D1556">
        <f t="shared" si="625"/>
        <v>60</v>
      </c>
      <c r="E1556">
        <f t="shared" si="626"/>
        <v>60</v>
      </c>
      <c r="F1556" t="str">
        <f t="shared" si="627"/>
        <v>50-75</v>
      </c>
      <c r="G1556">
        <v>1</v>
      </c>
      <c r="H1556" t="str">
        <f t="shared" si="628"/>
        <v>Pariente gordo</v>
      </c>
      <c r="I1556">
        <v>1</v>
      </c>
      <c r="J1556" t="str">
        <f t="shared" si="629"/>
        <v>Hipercaloricos</v>
      </c>
      <c r="K1556">
        <v>3</v>
      </c>
      <c r="L1556">
        <f t="shared" si="630"/>
        <v>1</v>
      </c>
      <c r="M1556" t="str">
        <f t="shared" si="631"/>
        <v>Suele comer</v>
      </c>
      <c r="N1556">
        <v>2218285</v>
      </c>
      <c r="O1556">
        <f t="shared" si="632"/>
        <v>2</v>
      </c>
      <c r="P1556" t="str">
        <f t="shared" si="633"/>
        <v>Mas de 3</v>
      </c>
      <c r="Q1556">
        <v>1</v>
      </c>
      <c r="R1556" t="str">
        <f t="shared" si="634"/>
        <v>A veces</v>
      </c>
      <c r="S1556">
        <v>0</v>
      </c>
      <c r="T1556" t="str">
        <f t="shared" si="635"/>
        <v>No fuma</v>
      </c>
      <c r="U1556">
        <v>1340117</v>
      </c>
      <c r="V1556">
        <f t="shared" si="636"/>
        <v>2</v>
      </c>
      <c r="W1556" t="str">
        <f t="shared" si="637"/>
        <v>Siempre</v>
      </c>
      <c r="X1556">
        <v>0</v>
      </c>
      <c r="Y1556" t="str">
        <f t="shared" si="638"/>
        <v>No controla</v>
      </c>
      <c r="Z1556">
        <v>0.428259</v>
      </c>
      <c r="AA1556">
        <f t="shared" si="639"/>
        <v>0</v>
      </c>
      <c r="AB1556" t="str">
        <f t="shared" si="640"/>
        <v>Nunca</v>
      </c>
      <c r="AC1556">
        <v>0</v>
      </c>
      <c r="AD1556">
        <f t="shared" si="641"/>
        <v>0</v>
      </c>
      <c r="AE1556" t="str">
        <f t="shared" si="642"/>
        <v>Nunca</v>
      </c>
      <c r="AF1556">
        <v>1</v>
      </c>
      <c r="AG1556" t="str">
        <f t="shared" si="643"/>
        <v>A veces</v>
      </c>
      <c r="AH1556">
        <v>0</v>
      </c>
      <c r="AI1556" t="str">
        <f t="shared" si="644"/>
        <v>No usa</v>
      </c>
      <c r="AJ1556">
        <v>0</v>
      </c>
      <c r="AK1556" t="str">
        <f t="shared" si="645"/>
        <v>No usa</v>
      </c>
      <c r="AL1556">
        <v>0</v>
      </c>
      <c r="AM1556" t="str">
        <f t="shared" si="646"/>
        <v>No usa</v>
      </c>
      <c r="AN1556">
        <v>1</v>
      </c>
      <c r="AO1556" t="str">
        <f t="shared" si="647"/>
        <v>Usa Transporte</v>
      </c>
      <c r="AP1556">
        <v>0</v>
      </c>
      <c r="AQ1556" t="str">
        <f t="shared" si="648"/>
        <v>No camina</v>
      </c>
      <c r="AR1556">
        <v>1</v>
      </c>
      <c r="AS1556" t="str">
        <f t="shared" si="649"/>
        <v>Es Obeso</v>
      </c>
    </row>
    <row r="1557" spans="1:45" x14ac:dyDescent="0.25">
      <c r="A1557">
        <v>1</v>
      </c>
      <c r="B1557" t="str">
        <f t="shared" si="624"/>
        <v>M</v>
      </c>
      <c r="C1557">
        <v>24001685</v>
      </c>
      <c r="D1557">
        <f t="shared" si="625"/>
        <v>65</v>
      </c>
      <c r="E1557">
        <f t="shared" si="626"/>
        <v>65</v>
      </c>
      <c r="F1557" t="str">
        <f t="shared" si="627"/>
        <v>50-75</v>
      </c>
      <c r="G1557">
        <v>1</v>
      </c>
      <c r="H1557" t="str">
        <f t="shared" si="628"/>
        <v>Pariente gordo</v>
      </c>
      <c r="I1557">
        <v>1</v>
      </c>
      <c r="J1557" t="str">
        <f t="shared" si="629"/>
        <v>Hipercaloricos</v>
      </c>
      <c r="K1557">
        <v>3</v>
      </c>
      <c r="L1557">
        <f t="shared" si="630"/>
        <v>1</v>
      </c>
      <c r="M1557" t="str">
        <f t="shared" si="631"/>
        <v>Suele comer</v>
      </c>
      <c r="N1557">
        <v>1418833</v>
      </c>
      <c r="O1557">
        <f t="shared" si="632"/>
        <v>2</v>
      </c>
      <c r="P1557" t="str">
        <f t="shared" si="633"/>
        <v>Mas de 3</v>
      </c>
      <c r="Q1557">
        <v>1</v>
      </c>
      <c r="R1557" t="str">
        <f t="shared" si="634"/>
        <v>A veces</v>
      </c>
      <c r="S1557">
        <v>0</v>
      </c>
      <c r="T1557" t="str">
        <f t="shared" si="635"/>
        <v>No fuma</v>
      </c>
      <c r="U1557">
        <v>1</v>
      </c>
      <c r="V1557">
        <f t="shared" si="636"/>
        <v>1</v>
      </c>
      <c r="W1557" t="str">
        <f t="shared" si="637"/>
        <v>Usualmente</v>
      </c>
      <c r="X1557">
        <v>0</v>
      </c>
      <c r="Y1557" t="str">
        <f t="shared" si="638"/>
        <v>No controla</v>
      </c>
      <c r="Z1557">
        <v>119102</v>
      </c>
      <c r="AA1557">
        <f t="shared" si="639"/>
        <v>2</v>
      </c>
      <c r="AB1557" t="str">
        <f t="shared" si="640"/>
        <v>Usualmente</v>
      </c>
      <c r="AC1557">
        <v>1384186</v>
      </c>
      <c r="AD1557">
        <f t="shared" si="641"/>
        <v>2</v>
      </c>
      <c r="AE1557" t="str">
        <f t="shared" si="642"/>
        <v>Siempre</v>
      </c>
      <c r="AF1557">
        <v>0</v>
      </c>
      <c r="AG1557" t="str">
        <f t="shared" si="643"/>
        <v>Nunca</v>
      </c>
      <c r="AH1557">
        <v>0</v>
      </c>
      <c r="AI1557" t="str">
        <f t="shared" si="644"/>
        <v>No usa</v>
      </c>
      <c r="AJ1557">
        <v>0</v>
      </c>
      <c r="AK1557" t="str">
        <f t="shared" si="645"/>
        <v>No usa</v>
      </c>
      <c r="AL1557">
        <v>0</v>
      </c>
      <c r="AM1557" t="str">
        <f t="shared" si="646"/>
        <v>No usa</v>
      </c>
      <c r="AN1557">
        <v>1</v>
      </c>
      <c r="AO1557" t="str">
        <f t="shared" si="647"/>
        <v>Usa Transporte</v>
      </c>
      <c r="AP1557">
        <v>0</v>
      </c>
      <c r="AQ1557" t="str">
        <f t="shared" si="648"/>
        <v>No camina</v>
      </c>
      <c r="AR1557">
        <v>1</v>
      </c>
      <c r="AS1557" t="str">
        <f t="shared" si="649"/>
        <v>Es Obeso</v>
      </c>
    </row>
    <row r="1558" spans="1:45" x14ac:dyDescent="0.25">
      <c r="A1558">
        <v>1</v>
      </c>
      <c r="B1558" t="str">
        <f t="shared" si="624"/>
        <v>M</v>
      </c>
      <c r="C1558">
        <v>20027764</v>
      </c>
      <c r="D1558">
        <f t="shared" si="625"/>
        <v>54</v>
      </c>
      <c r="E1558">
        <f t="shared" si="626"/>
        <v>54</v>
      </c>
      <c r="F1558" t="str">
        <f t="shared" si="627"/>
        <v>50-75</v>
      </c>
      <c r="G1558">
        <v>1</v>
      </c>
      <c r="H1558" t="str">
        <f t="shared" si="628"/>
        <v>Pariente gordo</v>
      </c>
      <c r="I1558">
        <v>1</v>
      </c>
      <c r="J1558" t="str">
        <f t="shared" si="629"/>
        <v>Hipercaloricos</v>
      </c>
      <c r="K1558">
        <v>2983042</v>
      </c>
      <c r="L1558">
        <f t="shared" si="630"/>
        <v>1</v>
      </c>
      <c r="M1558" t="str">
        <f t="shared" si="631"/>
        <v>Suele comer</v>
      </c>
      <c r="N1558">
        <v>1109956</v>
      </c>
      <c r="O1558">
        <f t="shared" si="632"/>
        <v>2</v>
      </c>
      <c r="P1558" t="str">
        <f t="shared" si="633"/>
        <v>Mas de 3</v>
      </c>
      <c r="Q1558">
        <v>1</v>
      </c>
      <c r="R1558" t="str">
        <f t="shared" si="634"/>
        <v>A veces</v>
      </c>
      <c r="S1558">
        <v>0</v>
      </c>
      <c r="T1558" t="str">
        <f t="shared" si="635"/>
        <v>No fuma</v>
      </c>
      <c r="U1558">
        <v>1430444</v>
      </c>
      <c r="V1558">
        <f t="shared" si="636"/>
        <v>2</v>
      </c>
      <c r="W1558" t="str">
        <f t="shared" si="637"/>
        <v>Siempre</v>
      </c>
      <c r="X1558">
        <v>0</v>
      </c>
      <c r="Y1558" t="str">
        <f t="shared" si="638"/>
        <v>No controla</v>
      </c>
      <c r="Z1558">
        <v>0</v>
      </c>
      <c r="AA1558">
        <f t="shared" si="639"/>
        <v>0</v>
      </c>
      <c r="AB1558" t="str">
        <f t="shared" si="640"/>
        <v>Nunca</v>
      </c>
      <c r="AC1558">
        <v>1690901</v>
      </c>
      <c r="AD1558">
        <f t="shared" si="641"/>
        <v>2</v>
      </c>
      <c r="AE1558" t="str">
        <f t="shared" si="642"/>
        <v>Siempre</v>
      </c>
      <c r="AF1558">
        <v>0</v>
      </c>
      <c r="AG1558" t="str">
        <f t="shared" si="643"/>
        <v>Nunca</v>
      </c>
      <c r="AH1558">
        <v>0</v>
      </c>
      <c r="AI1558" t="str">
        <f t="shared" si="644"/>
        <v>No usa</v>
      </c>
      <c r="AJ1558">
        <v>0</v>
      </c>
      <c r="AK1558" t="str">
        <f t="shared" si="645"/>
        <v>No usa</v>
      </c>
      <c r="AL1558">
        <v>0</v>
      </c>
      <c r="AM1558" t="str">
        <f t="shared" si="646"/>
        <v>No usa</v>
      </c>
      <c r="AN1558">
        <v>1</v>
      </c>
      <c r="AO1558" t="str">
        <f t="shared" si="647"/>
        <v>Usa Transporte</v>
      </c>
      <c r="AP1558">
        <v>0</v>
      </c>
      <c r="AQ1558" t="str">
        <f t="shared" si="648"/>
        <v>No camina</v>
      </c>
      <c r="AR1558">
        <v>1</v>
      </c>
      <c r="AS1558" t="str">
        <f t="shared" si="649"/>
        <v>Es Obeso</v>
      </c>
    </row>
    <row r="1559" spans="1:45" x14ac:dyDescent="0.25">
      <c r="A1559">
        <v>1</v>
      </c>
      <c r="B1559" t="str">
        <f t="shared" si="624"/>
        <v>M</v>
      </c>
      <c r="C1559">
        <v>28704462</v>
      </c>
      <c r="D1559">
        <f t="shared" si="625"/>
        <v>78</v>
      </c>
      <c r="E1559">
        <f t="shared" si="626"/>
        <v>78</v>
      </c>
      <c r="F1559" t="str">
        <f t="shared" si="627"/>
        <v>75-100</v>
      </c>
      <c r="G1559">
        <v>1</v>
      </c>
      <c r="H1559" t="str">
        <f t="shared" si="628"/>
        <v>Pariente gordo</v>
      </c>
      <c r="I1559">
        <v>1</v>
      </c>
      <c r="J1559" t="str">
        <f t="shared" si="629"/>
        <v>Hipercaloricos</v>
      </c>
      <c r="K1559">
        <v>2323351</v>
      </c>
      <c r="L1559">
        <f t="shared" si="630"/>
        <v>1</v>
      </c>
      <c r="M1559" t="str">
        <f t="shared" si="631"/>
        <v>Suele comer</v>
      </c>
      <c r="N1559">
        <v>3</v>
      </c>
      <c r="O1559">
        <f t="shared" si="632"/>
        <v>2</v>
      </c>
      <c r="P1559" t="str">
        <f t="shared" si="633"/>
        <v>Mas de 3</v>
      </c>
      <c r="Q1559">
        <v>1</v>
      </c>
      <c r="R1559" t="str">
        <f t="shared" si="634"/>
        <v>A veces</v>
      </c>
      <c r="S1559">
        <v>0</v>
      </c>
      <c r="T1559" t="str">
        <f t="shared" si="635"/>
        <v>No fuma</v>
      </c>
      <c r="U1559">
        <v>2165048</v>
      </c>
      <c r="V1559">
        <f t="shared" si="636"/>
        <v>2</v>
      </c>
      <c r="W1559" t="str">
        <f t="shared" si="637"/>
        <v>Siempre</v>
      </c>
      <c r="X1559">
        <v>0</v>
      </c>
      <c r="Y1559" t="str">
        <f t="shared" si="638"/>
        <v>No controla</v>
      </c>
      <c r="Z1559">
        <v>0</v>
      </c>
      <c r="AA1559">
        <f t="shared" si="639"/>
        <v>0</v>
      </c>
      <c r="AB1559" t="str">
        <f t="shared" si="640"/>
        <v>Nunca</v>
      </c>
      <c r="AC1559">
        <v>1493716</v>
      </c>
      <c r="AD1559">
        <f t="shared" si="641"/>
        <v>2</v>
      </c>
      <c r="AE1559" t="str">
        <f t="shared" si="642"/>
        <v>Siempre</v>
      </c>
      <c r="AF1559">
        <v>1</v>
      </c>
      <c r="AG1559" t="str">
        <f t="shared" si="643"/>
        <v>A veces</v>
      </c>
      <c r="AH1559">
        <v>1</v>
      </c>
      <c r="AI1559" t="str">
        <f t="shared" si="644"/>
        <v>Usa auto</v>
      </c>
      <c r="AJ1559">
        <v>0</v>
      </c>
      <c r="AK1559" t="str">
        <f t="shared" si="645"/>
        <v>No usa</v>
      </c>
      <c r="AL1559">
        <v>0</v>
      </c>
      <c r="AM1559" t="str">
        <f t="shared" si="646"/>
        <v>No usa</v>
      </c>
      <c r="AN1559">
        <v>0</v>
      </c>
      <c r="AO1559" t="str">
        <f t="shared" si="647"/>
        <v>No usa</v>
      </c>
      <c r="AP1559">
        <v>0</v>
      </c>
      <c r="AQ1559" t="str">
        <f t="shared" si="648"/>
        <v>No camina</v>
      </c>
      <c r="AR1559">
        <v>1</v>
      </c>
      <c r="AS1559" t="str">
        <f t="shared" si="649"/>
        <v>Es Obeso</v>
      </c>
    </row>
    <row r="1560" spans="1:45" x14ac:dyDescent="0.25">
      <c r="A1560">
        <v>1</v>
      </c>
      <c r="B1560" t="str">
        <f t="shared" si="624"/>
        <v>M</v>
      </c>
      <c r="C1560">
        <v>26774115</v>
      </c>
      <c r="D1560">
        <f t="shared" si="625"/>
        <v>73</v>
      </c>
      <c r="E1560">
        <f t="shared" si="626"/>
        <v>73</v>
      </c>
      <c r="F1560" t="str">
        <f t="shared" si="627"/>
        <v>50-75</v>
      </c>
      <c r="G1560">
        <v>1</v>
      </c>
      <c r="H1560" t="str">
        <f t="shared" si="628"/>
        <v>Pariente gordo</v>
      </c>
      <c r="I1560">
        <v>1</v>
      </c>
      <c r="J1560" t="str">
        <f t="shared" si="629"/>
        <v>Hipercaloricos</v>
      </c>
      <c r="K1560">
        <v>1428289</v>
      </c>
      <c r="L1560">
        <f t="shared" si="630"/>
        <v>1</v>
      </c>
      <c r="M1560" t="str">
        <f t="shared" si="631"/>
        <v>Suele comer</v>
      </c>
      <c r="N1560">
        <v>3</v>
      </c>
      <c r="O1560">
        <f t="shared" si="632"/>
        <v>2</v>
      </c>
      <c r="P1560" t="str">
        <f t="shared" si="633"/>
        <v>Mas de 3</v>
      </c>
      <c r="Q1560">
        <v>1</v>
      </c>
      <c r="R1560" t="str">
        <f t="shared" si="634"/>
        <v>A veces</v>
      </c>
      <c r="S1560">
        <v>0</v>
      </c>
      <c r="T1560" t="str">
        <f t="shared" si="635"/>
        <v>No fuma</v>
      </c>
      <c r="U1560">
        <v>2117733</v>
      </c>
      <c r="V1560">
        <f t="shared" si="636"/>
        <v>2</v>
      </c>
      <c r="W1560" t="str">
        <f t="shared" si="637"/>
        <v>Siempre</v>
      </c>
      <c r="X1560">
        <v>0</v>
      </c>
      <c r="Y1560" t="str">
        <f t="shared" si="638"/>
        <v>No controla</v>
      </c>
      <c r="Z1560">
        <v>0.48532199999999998</v>
      </c>
      <c r="AA1560">
        <f t="shared" si="639"/>
        <v>0</v>
      </c>
      <c r="AB1560" t="str">
        <f t="shared" si="640"/>
        <v>Nunca</v>
      </c>
      <c r="AC1560">
        <v>0.69694800000000001</v>
      </c>
      <c r="AD1560">
        <f t="shared" si="641"/>
        <v>0</v>
      </c>
      <c r="AE1560" t="str">
        <f t="shared" si="642"/>
        <v>Nunca</v>
      </c>
      <c r="AF1560">
        <v>1</v>
      </c>
      <c r="AG1560" t="str">
        <f t="shared" si="643"/>
        <v>A veces</v>
      </c>
      <c r="AH1560">
        <v>1</v>
      </c>
      <c r="AI1560" t="str">
        <f t="shared" si="644"/>
        <v>Usa auto</v>
      </c>
      <c r="AJ1560">
        <v>0</v>
      </c>
      <c r="AK1560" t="str">
        <f t="shared" si="645"/>
        <v>No usa</v>
      </c>
      <c r="AL1560">
        <v>0</v>
      </c>
      <c r="AM1560" t="str">
        <f t="shared" si="646"/>
        <v>No usa</v>
      </c>
      <c r="AN1560">
        <v>0</v>
      </c>
      <c r="AO1560" t="str">
        <f t="shared" si="647"/>
        <v>No usa</v>
      </c>
      <c r="AP1560">
        <v>0</v>
      </c>
      <c r="AQ1560" t="str">
        <f t="shared" si="648"/>
        <v>No camina</v>
      </c>
      <c r="AR1560">
        <v>1</v>
      </c>
      <c r="AS1560" t="str">
        <f t="shared" si="649"/>
        <v>Es Obeso</v>
      </c>
    </row>
    <row r="1561" spans="1:45" x14ac:dyDescent="0.25">
      <c r="A1561">
        <v>1</v>
      </c>
      <c r="B1561" t="str">
        <f t="shared" si="624"/>
        <v>M</v>
      </c>
      <c r="C1561">
        <v>25539411</v>
      </c>
      <c r="D1561">
        <f t="shared" si="625"/>
        <v>69</v>
      </c>
      <c r="E1561">
        <f t="shared" si="626"/>
        <v>69</v>
      </c>
      <c r="F1561" t="str">
        <f t="shared" si="627"/>
        <v>50-75</v>
      </c>
      <c r="G1561">
        <v>1</v>
      </c>
      <c r="H1561" t="str">
        <f t="shared" si="628"/>
        <v>Pariente gordo</v>
      </c>
      <c r="I1561">
        <v>1</v>
      </c>
      <c r="J1561" t="str">
        <f t="shared" si="629"/>
        <v>Hipercaloricos</v>
      </c>
      <c r="K1561">
        <v>1992889</v>
      </c>
      <c r="L1561">
        <f t="shared" si="630"/>
        <v>1</v>
      </c>
      <c r="M1561" t="str">
        <f t="shared" si="631"/>
        <v>Suele comer</v>
      </c>
      <c r="N1561">
        <v>3</v>
      </c>
      <c r="O1561">
        <f t="shared" si="632"/>
        <v>2</v>
      </c>
      <c r="P1561" t="str">
        <f t="shared" si="633"/>
        <v>Mas de 3</v>
      </c>
      <c r="Q1561">
        <v>1</v>
      </c>
      <c r="R1561" t="str">
        <f t="shared" si="634"/>
        <v>A veces</v>
      </c>
      <c r="S1561">
        <v>0</v>
      </c>
      <c r="T1561" t="str">
        <f t="shared" si="635"/>
        <v>No fuma</v>
      </c>
      <c r="U1561">
        <v>2141271</v>
      </c>
      <c r="V1561">
        <f t="shared" si="636"/>
        <v>2</v>
      </c>
      <c r="W1561" t="str">
        <f t="shared" si="637"/>
        <v>Siempre</v>
      </c>
      <c r="X1561">
        <v>0</v>
      </c>
      <c r="Y1561" t="str">
        <f t="shared" si="638"/>
        <v>No controla</v>
      </c>
      <c r="Z1561">
        <v>1121038</v>
      </c>
      <c r="AA1561">
        <f t="shared" si="639"/>
        <v>3</v>
      </c>
      <c r="AB1561" t="str">
        <f t="shared" si="640"/>
        <v>Siempre</v>
      </c>
      <c r="AC1561">
        <v>0</v>
      </c>
      <c r="AD1561">
        <f t="shared" si="641"/>
        <v>0</v>
      </c>
      <c r="AE1561" t="str">
        <f t="shared" si="642"/>
        <v>Nunca</v>
      </c>
      <c r="AF1561">
        <v>1</v>
      </c>
      <c r="AG1561" t="str">
        <f t="shared" si="643"/>
        <v>A veces</v>
      </c>
      <c r="AH1561">
        <v>0</v>
      </c>
      <c r="AI1561" t="str">
        <f t="shared" si="644"/>
        <v>No usa</v>
      </c>
      <c r="AJ1561">
        <v>0</v>
      </c>
      <c r="AK1561" t="str">
        <f t="shared" si="645"/>
        <v>No usa</v>
      </c>
      <c r="AL1561">
        <v>0</v>
      </c>
      <c r="AM1561" t="str">
        <f t="shared" si="646"/>
        <v>No usa</v>
      </c>
      <c r="AN1561">
        <v>1</v>
      </c>
      <c r="AO1561" t="str">
        <f t="shared" si="647"/>
        <v>Usa Transporte</v>
      </c>
      <c r="AP1561">
        <v>0</v>
      </c>
      <c r="AQ1561" t="str">
        <f t="shared" si="648"/>
        <v>No camina</v>
      </c>
      <c r="AR1561">
        <v>1</v>
      </c>
      <c r="AS1561" t="str">
        <f t="shared" si="649"/>
        <v>Es Obeso</v>
      </c>
    </row>
    <row r="1562" spans="1:45" x14ac:dyDescent="0.25">
      <c r="A1562">
        <v>1</v>
      </c>
      <c r="B1562" t="str">
        <f t="shared" si="624"/>
        <v>M</v>
      </c>
      <c r="C1562">
        <v>25300208</v>
      </c>
      <c r="D1562">
        <f t="shared" si="625"/>
        <v>69</v>
      </c>
      <c r="E1562">
        <f t="shared" si="626"/>
        <v>69</v>
      </c>
      <c r="F1562" t="str">
        <f t="shared" si="627"/>
        <v>50-75</v>
      </c>
      <c r="G1562">
        <v>1</v>
      </c>
      <c r="H1562" t="str">
        <f t="shared" si="628"/>
        <v>Pariente gordo</v>
      </c>
      <c r="I1562">
        <v>1</v>
      </c>
      <c r="J1562" t="str">
        <f t="shared" si="629"/>
        <v>Hipercaloricos</v>
      </c>
      <c r="K1562">
        <v>1562804</v>
      </c>
      <c r="L1562">
        <f t="shared" si="630"/>
        <v>1</v>
      </c>
      <c r="M1562" t="str">
        <f t="shared" si="631"/>
        <v>Suele comer</v>
      </c>
      <c r="N1562">
        <v>3</v>
      </c>
      <c r="O1562">
        <f t="shared" si="632"/>
        <v>2</v>
      </c>
      <c r="P1562" t="str">
        <f t="shared" si="633"/>
        <v>Mas de 3</v>
      </c>
      <c r="Q1562">
        <v>1</v>
      </c>
      <c r="R1562" t="str">
        <f t="shared" si="634"/>
        <v>A veces</v>
      </c>
      <c r="S1562">
        <v>0</v>
      </c>
      <c r="T1562" t="str">
        <f t="shared" si="635"/>
        <v>No fuma</v>
      </c>
      <c r="U1562">
        <v>2075493</v>
      </c>
      <c r="V1562">
        <f t="shared" si="636"/>
        <v>2</v>
      </c>
      <c r="W1562" t="str">
        <f t="shared" si="637"/>
        <v>Siempre</v>
      </c>
      <c r="X1562">
        <v>0</v>
      </c>
      <c r="Y1562" t="str">
        <f t="shared" si="638"/>
        <v>No controla</v>
      </c>
      <c r="Z1562">
        <v>1553734</v>
      </c>
      <c r="AA1562">
        <f t="shared" si="639"/>
        <v>3</v>
      </c>
      <c r="AB1562" t="str">
        <f t="shared" si="640"/>
        <v>Siempre</v>
      </c>
      <c r="AC1562">
        <v>4.3600000000000003E-4</v>
      </c>
      <c r="AD1562">
        <f t="shared" si="641"/>
        <v>0</v>
      </c>
      <c r="AE1562" t="str">
        <f t="shared" si="642"/>
        <v>Nunca</v>
      </c>
      <c r="AF1562">
        <v>1</v>
      </c>
      <c r="AG1562" t="str">
        <f t="shared" si="643"/>
        <v>A veces</v>
      </c>
      <c r="AH1562">
        <v>0</v>
      </c>
      <c r="AI1562" t="str">
        <f t="shared" si="644"/>
        <v>No usa</v>
      </c>
      <c r="AJ1562">
        <v>0</v>
      </c>
      <c r="AK1562" t="str">
        <f t="shared" si="645"/>
        <v>No usa</v>
      </c>
      <c r="AL1562">
        <v>0</v>
      </c>
      <c r="AM1562" t="str">
        <f t="shared" si="646"/>
        <v>No usa</v>
      </c>
      <c r="AN1562">
        <v>1</v>
      </c>
      <c r="AO1562" t="str">
        <f t="shared" si="647"/>
        <v>Usa Transporte</v>
      </c>
      <c r="AP1562">
        <v>0</v>
      </c>
      <c r="AQ1562" t="str">
        <f t="shared" si="648"/>
        <v>No camina</v>
      </c>
      <c r="AR1562">
        <v>1</v>
      </c>
      <c r="AS1562" t="str">
        <f t="shared" si="649"/>
        <v>Es Obeso</v>
      </c>
    </row>
    <row r="1563" spans="1:45" x14ac:dyDescent="0.25">
      <c r="A1563">
        <v>1</v>
      </c>
      <c r="B1563" t="str">
        <f t="shared" si="624"/>
        <v>M</v>
      </c>
      <c r="C1563">
        <v>31194458</v>
      </c>
      <c r="D1563">
        <f t="shared" si="625"/>
        <v>85</v>
      </c>
      <c r="E1563">
        <f t="shared" si="626"/>
        <v>85</v>
      </c>
      <c r="F1563" t="str">
        <f t="shared" si="627"/>
        <v>75-100</v>
      </c>
      <c r="G1563">
        <v>1</v>
      </c>
      <c r="H1563" t="str">
        <f t="shared" si="628"/>
        <v>Pariente gordo</v>
      </c>
      <c r="I1563">
        <v>1</v>
      </c>
      <c r="J1563" t="str">
        <f t="shared" si="629"/>
        <v>Hipercaloricos</v>
      </c>
      <c r="K1563">
        <v>1794825</v>
      </c>
      <c r="L1563">
        <f t="shared" si="630"/>
        <v>1</v>
      </c>
      <c r="M1563" t="str">
        <f t="shared" si="631"/>
        <v>Suele comer</v>
      </c>
      <c r="N1563">
        <v>3914454</v>
      </c>
      <c r="O1563">
        <f t="shared" si="632"/>
        <v>2</v>
      </c>
      <c r="P1563" t="str">
        <f t="shared" si="633"/>
        <v>Mas de 3</v>
      </c>
      <c r="Q1563">
        <v>1</v>
      </c>
      <c r="R1563" t="str">
        <f t="shared" si="634"/>
        <v>A veces</v>
      </c>
      <c r="S1563">
        <v>0</v>
      </c>
      <c r="T1563" t="str">
        <f t="shared" si="635"/>
        <v>No fuma</v>
      </c>
      <c r="U1563">
        <v>1972016</v>
      </c>
      <c r="V1563">
        <f t="shared" si="636"/>
        <v>2</v>
      </c>
      <c r="W1563" t="str">
        <f t="shared" si="637"/>
        <v>Siempre</v>
      </c>
      <c r="X1563">
        <v>0</v>
      </c>
      <c r="Y1563" t="str">
        <f t="shared" si="638"/>
        <v>No controla</v>
      </c>
      <c r="Z1563">
        <v>0.66896299999999997</v>
      </c>
      <c r="AA1563">
        <f t="shared" si="639"/>
        <v>0</v>
      </c>
      <c r="AB1563" t="str">
        <f t="shared" si="640"/>
        <v>Nunca</v>
      </c>
      <c r="AC1563">
        <v>0</v>
      </c>
      <c r="AD1563">
        <f t="shared" si="641"/>
        <v>0</v>
      </c>
      <c r="AE1563" t="str">
        <f t="shared" si="642"/>
        <v>Nunca</v>
      </c>
      <c r="AF1563">
        <v>0</v>
      </c>
      <c r="AG1563" t="str">
        <f t="shared" si="643"/>
        <v>Nunca</v>
      </c>
      <c r="AH1563">
        <v>1</v>
      </c>
      <c r="AI1563" t="str">
        <f t="shared" si="644"/>
        <v>Usa auto</v>
      </c>
      <c r="AJ1563">
        <v>0</v>
      </c>
      <c r="AK1563" t="str">
        <f t="shared" si="645"/>
        <v>No usa</v>
      </c>
      <c r="AL1563">
        <v>0</v>
      </c>
      <c r="AM1563" t="str">
        <f t="shared" si="646"/>
        <v>No usa</v>
      </c>
      <c r="AN1563">
        <v>0</v>
      </c>
      <c r="AO1563" t="str">
        <f t="shared" si="647"/>
        <v>No usa</v>
      </c>
      <c r="AP1563">
        <v>0</v>
      </c>
      <c r="AQ1563" t="str">
        <f t="shared" si="648"/>
        <v>No camina</v>
      </c>
      <c r="AR1563">
        <v>1</v>
      </c>
      <c r="AS1563" t="str">
        <f t="shared" si="649"/>
        <v>Es Obeso</v>
      </c>
    </row>
    <row r="1564" spans="1:45" x14ac:dyDescent="0.25">
      <c r="A1564">
        <v>1</v>
      </c>
      <c r="B1564" t="str">
        <f t="shared" si="624"/>
        <v>M</v>
      </c>
      <c r="C1564">
        <v>40794057</v>
      </c>
      <c r="D1564">
        <f t="shared" si="625"/>
        <v>111</v>
      </c>
      <c r="E1564">
        <f t="shared" si="626"/>
        <v>100</v>
      </c>
      <c r="F1564" t="str">
        <f t="shared" si="627"/>
        <v>75-100</v>
      </c>
      <c r="G1564">
        <v>1</v>
      </c>
      <c r="H1564" t="str">
        <f t="shared" si="628"/>
        <v>Pariente gordo</v>
      </c>
      <c r="I1564">
        <v>1</v>
      </c>
      <c r="J1564" t="str">
        <f t="shared" si="629"/>
        <v>Hipercaloricos</v>
      </c>
      <c r="K1564">
        <v>2305349</v>
      </c>
      <c r="L1564">
        <f t="shared" si="630"/>
        <v>1</v>
      </c>
      <c r="M1564" t="str">
        <f t="shared" si="631"/>
        <v>Suele comer</v>
      </c>
      <c r="N1564">
        <v>3169089</v>
      </c>
      <c r="O1564">
        <f t="shared" si="632"/>
        <v>2</v>
      </c>
      <c r="P1564" t="str">
        <f t="shared" si="633"/>
        <v>Mas de 3</v>
      </c>
      <c r="Q1564">
        <v>1</v>
      </c>
      <c r="R1564" t="str">
        <f t="shared" si="634"/>
        <v>A veces</v>
      </c>
      <c r="S1564">
        <v>0</v>
      </c>
      <c r="T1564" t="str">
        <f t="shared" si="635"/>
        <v>No fuma</v>
      </c>
      <c r="U1564">
        <v>102161</v>
      </c>
      <c r="V1564">
        <f t="shared" si="636"/>
        <v>2</v>
      </c>
      <c r="W1564" t="str">
        <f t="shared" si="637"/>
        <v>Siempre</v>
      </c>
      <c r="X1564">
        <v>0</v>
      </c>
      <c r="Y1564" t="str">
        <f t="shared" si="638"/>
        <v>No controla</v>
      </c>
      <c r="Z1564">
        <v>0.90898100000000004</v>
      </c>
      <c r="AA1564">
        <f t="shared" si="639"/>
        <v>0</v>
      </c>
      <c r="AB1564" t="str">
        <f t="shared" si="640"/>
        <v>Nunca</v>
      </c>
      <c r="AC1564">
        <v>0</v>
      </c>
      <c r="AD1564">
        <f t="shared" si="641"/>
        <v>0</v>
      </c>
      <c r="AE1564" t="str">
        <f t="shared" si="642"/>
        <v>Nunca</v>
      </c>
      <c r="AF1564">
        <v>0</v>
      </c>
      <c r="AG1564" t="str">
        <f t="shared" si="643"/>
        <v>Nunca</v>
      </c>
      <c r="AH1564">
        <v>1</v>
      </c>
      <c r="AI1564" t="str">
        <f t="shared" si="644"/>
        <v>Usa auto</v>
      </c>
      <c r="AJ1564">
        <v>0</v>
      </c>
      <c r="AK1564" t="str">
        <f t="shared" si="645"/>
        <v>No usa</v>
      </c>
      <c r="AL1564">
        <v>0</v>
      </c>
      <c r="AM1564" t="str">
        <f t="shared" si="646"/>
        <v>No usa</v>
      </c>
      <c r="AN1564">
        <v>0</v>
      </c>
      <c r="AO1564" t="str">
        <f t="shared" si="647"/>
        <v>No usa</v>
      </c>
      <c r="AP1564">
        <v>0</v>
      </c>
      <c r="AQ1564" t="str">
        <f t="shared" si="648"/>
        <v>No camina</v>
      </c>
      <c r="AR1564">
        <v>1</v>
      </c>
      <c r="AS1564" t="str">
        <f t="shared" si="649"/>
        <v>Es Obeso</v>
      </c>
    </row>
    <row r="1565" spans="1:45" x14ac:dyDescent="0.25">
      <c r="A1565">
        <v>1</v>
      </c>
      <c r="B1565" t="str">
        <f t="shared" si="624"/>
        <v>M</v>
      </c>
      <c r="C1565">
        <v>3355336</v>
      </c>
      <c r="D1565">
        <f t="shared" si="625"/>
        <v>9</v>
      </c>
      <c r="E1565">
        <f t="shared" si="626"/>
        <v>9</v>
      </c>
      <c r="F1565" t="str">
        <f t="shared" si="627"/>
        <v>1-25</v>
      </c>
      <c r="G1565">
        <v>1</v>
      </c>
      <c r="H1565" t="str">
        <f t="shared" si="628"/>
        <v>Pariente gordo</v>
      </c>
      <c r="I1565">
        <v>1</v>
      </c>
      <c r="J1565" t="str">
        <f t="shared" si="629"/>
        <v>Hipercaloricos</v>
      </c>
      <c r="K1565">
        <v>2576449</v>
      </c>
      <c r="L1565">
        <f t="shared" si="630"/>
        <v>1</v>
      </c>
      <c r="M1565" t="str">
        <f t="shared" si="631"/>
        <v>Suele comer</v>
      </c>
      <c r="N1565">
        <v>2419656</v>
      </c>
      <c r="O1565">
        <f t="shared" si="632"/>
        <v>2</v>
      </c>
      <c r="P1565" t="str">
        <f t="shared" si="633"/>
        <v>Mas de 3</v>
      </c>
      <c r="Q1565">
        <v>1</v>
      </c>
      <c r="R1565" t="str">
        <f t="shared" si="634"/>
        <v>A veces</v>
      </c>
      <c r="S1565">
        <v>0</v>
      </c>
      <c r="T1565" t="str">
        <f t="shared" si="635"/>
        <v>No fuma</v>
      </c>
      <c r="U1565">
        <v>1</v>
      </c>
      <c r="V1565">
        <f t="shared" si="636"/>
        <v>1</v>
      </c>
      <c r="W1565" t="str">
        <f t="shared" si="637"/>
        <v>Usualmente</v>
      </c>
      <c r="X1565">
        <v>0</v>
      </c>
      <c r="Y1565" t="str">
        <f t="shared" si="638"/>
        <v>No controla</v>
      </c>
      <c r="Z1565">
        <v>1982379</v>
      </c>
      <c r="AA1565">
        <f t="shared" si="639"/>
        <v>3</v>
      </c>
      <c r="AB1565" t="str">
        <f t="shared" si="640"/>
        <v>Siempre</v>
      </c>
      <c r="AC1565">
        <v>0</v>
      </c>
      <c r="AD1565">
        <f t="shared" si="641"/>
        <v>0</v>
      </c>
      <c r="AE1565" t="str">
        <f t="shared" si="642"/>
        <v>Nunca</v>
      </c>
      <c r="AF1565">
        <v>0</v>
      </c>
      <c r="AG1565" t="str">
        <f t="shared" si="643"/>
        <v>Nunca</v>
      </c>
      <c r="AH1565">
        <v>0</v>
      </c>
      <c r="AI1565" t="str">
        <f t="shared" si="644"/>
        <v>No usa</v>
      </c>
      <c r="AJ1565">
        <v>0</v>
      </c>
      <c r="AK1565" t="str">
        <f t="shared" si="645"/>
        <v>No usa</v>
      </c>
      <c r="AL1565">
        <v>0</v>
      </c>
      <c r="AM1565" t="str">
        <f t="shared" si="646"/>
        <v>No usa</v>
      </c>
      <c r="AN1565">
        <v>1</v>
      </c>
      <c r="AO1565" t="str">
        <f t="shared" si="647"/>
        <v>Usa Transporte</v>
      </c>
      <c r="AP1565">
        <v>0</v>
      </c>
      <c r="AQ1565" t="str">
        <f t="shared" si="648"/>
        <v>No camina</v>
      </c>
      <c r="AR1565">
        <v>1</v>
      </c>
      <c r="AS1565" t="str">
        <f t="shared" si="649"/>
        <v>Es Obeso</v>
      </c>
    </row>
    <row r="1566" spans="1:45" x14ac:dyDescent="0.25">
      <c r="A1566">
        <v>1</v>
      </c>
      <c r="B1566" t="str">
        <f t="shared" si="624"/>
        <v>M</v>
      </c>
      <c r="C1566">
        <v>30304203</v>
      </c>
      <c r="D1566">
        <f t="shared" si="625"/>
        <v>83</v>
      </c>
      <c r="E1566">
        <f t="shared" si="626"/>
        <v>83</v>
      </c>
      <c r="F1566" t="str">
        <f t="shared" si="627"/>
        <v>75-100</v>
      </c>
      <c r="G1566">
        <v>1</v>
      </c>
      <c r="H1566" t="str">
        <f t="shared" si="628"/>
        <v>Pariente gordo</v>
      </c>
      <c r="I1566">
        <v>1</v>
      </c>
      <c r="J1566" t="str">
        <f t="shared" si="629"/>
        <v>Hipercaloricos</v>
      </c>
      <c r="K1566">
        <v>2754645</v>
      </c>
      <c r="L1566">
        <f t="shared" si="630"/>
        <v>1</v>
      </c>
      <c r="M1566" t="str">
        <f t="shared" si="631"/>
        <v>Suele comer</v>
      </c>
      <c r="N1566">
        <v>2175432</v>
      </c>
      <c r="O1566">
        <f t="shared" si="632"/>
        <v>2</v>
      </c>
      <c r="P1566" t="str">
        <f t="shared" si="633"/>
        <v>Mas de 3</v>
      </c>
      <c r="Q1566">
        <v>1</v>
      </c>
      <c r="R1566" t="str">
        <f t="shared" si="634"/>
        <v>A veces</v>
      </c>
      <c r="S1566">
        <v>0</v>
      </c>
      <c r="T1566" t="str">
        <f t="shared" si="635"/>
        <v>No fuma</v>
      </c>
      <c r="U1566">
        <v>1541733</v>
      </c>
      <c r="V1566">
        <f t="shared" si="636"/>
        <v>2</v>
      </c>
      <c r="W1566" t="str">
        <f t="shared" si="637"/>
        <v>Siempre</v>
      </c>
      <c r="X1566">
        <v>0</v>
      </c>
      <c r="Y1566" t="str">
        <f t="shared" si="638"/>
        <v>No controla</v>
      </c>
      <c r="Z1566">
        <v>0.358709</v>
      </c>
      <c r="AA1566">
        <f t="shared" si="639"/>
        <v>0</v>
      </c>
      <c r="AB1566" t="str">
        <f t="shared" si="640"/>
        <v>Nunca</v>
      </c>
      <c r="AC1566">
        <v>10739</v>
      </c>
      <c r="AD1566">
        <f t="shared" si="641"/>
        <v>1</v>
      </c>
      <c r="AE1566" t="str">
        <f t="shared" si="642"/>
        <v>Usualmente</v>
      </c>
      <c r="AF1566">
        <v>0</v>
      </c>
      <c r="AG1566" t="str">
        <f t="shared" si="643"/>
        <v>Nunca</v>
      </c>
      <c r="AH1566">
        <v>0</v>
      </c>
      <c r="AI1566" t="str">
        <f t="shared" si="644"/>
        <v>No usa</v>
      </c>
      <c r="AJ1566">
        <v>0</v>
      </c>
      <c r="AK1566" t="str">
        <f t="shared" si="645"/>
        <v>No usa</v>
      </c>
      <c r="AL1566">
        <v>0</v>
      </c>
      <c r="AM1566" t="str">
        <f t="shared" si="646"/>
        <v>No usa</v>
      </c>
      <c r="AN1566">
        <v>1</v>
      </c>
      <c r="AO1566" t="str">
        <f t="shared" si="647"/>
        <v>Usa Transporte</v>
      </c>
      <c r="AP1566">
        <v>0</v>
      </c>
      <c r="AQ1566" t="str">
        <f t="shared" si="648"/>
        <v>No camina</v>
      </c>
      <c r="AR1566">
        <v>1</v>
      </c>
      <c r="AS1566" t="str">
        <f t="shared" si="649"/>
        <v>Es Obeso</v>
      </c>
    </row>
    <row r="1567" spans="1:45" x14ac:dyDescent="0.25">
      <c r="A1567">
        <v>1</v>
      </c>
      <c r="B1567" t="str">
        <f t="shared" si="624"/>
        <v>M</v>
      </c>
      <c r="C1567">
        <v>30958051</v>
      </c>
      <c r="D1567">
        <f t="shared" si="625"/>
        <v>84</v>
      </c>
      <c r="E1567">
        <f t="shared" si="626"/>
        <v>84</v>
      </c>
      <c r="F1567" t="str">
        <f t="shared" si="627"/>
        <v>75-100</v>
      </c>
      <c r="G1567">
        <v>1</v>
      </c>
      <c r="H1567" t="str">
        <f t="shared" si="628"/>
        <v>Pariente gordo</v>
      </c>
      <c r="I1567">
        <v>1</v>
      </c>
      <c r="J1567" t="str">
        <f t="shared" si="629"/>
        <v>Hipercaloricos</v>
      </c>
      <c r="K1567">
        <v>2633855</v>
      </c>
      <c r="L1567">
        <f t="shared" si="630"/>
        <v>1</v>
      </c>
      <c r="M1567" t="str">
        <f t="shared" si="631"/>
        <v>Suele comer</v>
      </c>
      <c r="N1567">
        <v>3</v>
      </c>
      <c r="O1567">
        <f t="shared" si="632"/>
        <v>2</v>
      </c>
      <c r="P1567" t="str">
        <f t="shared" si="633"/>
        <v>Mas de 3</v>
      </c>
      <c r="Q1567">
        <v>1</v>
      </c>
      <c r="R1567" t="str">
        <f t="shared" si="634"/>
        <v>A veces</v>
      </c>
      <c r="S1567">
        <v>0</v>
      </c>
      <c r="T1567" t="str">
        <f t="shared" si="635"/>
        <v>No fuma</v>
      </c>
      <c r="U1567">
        <v>1619305</v>
      </c>
      <c r="V1567">
        <f t="shared" si="636"/>
        <v>2</v>
      </c>
      <c r="W1567" t="str">
        <f t="shared" si="637"/>
        <v>Siempre</v>
      </c>
      <c r="X1567">
        <v>0</v>
      </c>
      <c r="Y1567" t="str">
        <f t="shared" si="638"/>
        <v>No controla</v>
      </c>
      <c r="Z1567">
        <v>1847802</v>
      </c>
      <c r="AA1567">
        <f t="shared" si="639"/>
        <v>3</v>
      </c>
      <c r="AB1567" t="str">
        <f t="shared" si="640"/>
        <v>Siempre</v>
      </c>
      <c r="AC1567">
        <v>0.42461199999999999</v>
      </c>
      <c r="AD1567">
        <f t="shared" si="641"/>
        <v>0</v>
      </c>
      <c r="AE1567" t="str">
        <f t="shared" si="642"/>
        <v>Nunca</v>
      </c>
      <c r="AF1567">
        <v>1</v>
      </c>
      <c r="AG1567" t="str">
        <f t="shared" si="643"/>
        <v>A veces</v>
      </c>
      <c r="AH1567">
        <v>0</v>
      </c>
      <c r="AI1567" t="str">
        <f t="shared" si="644"/>
        <v>No usa</v>
      </c>
      <c r="AJ1567">
        <v>0</v>
      </c>
      <c r="AK1567" t="str">
        <f t="shared" si="645"/>
        <v>No usa</v>
      </c>
      <c r="AL1567">
        <v>0</v>
      </c>
      <c r="AM1567" t="str">
        <f t="shared" si="646"/>
        <v>No usa</v>
      </c>
      <c r="AN1567">
        <v>1</v>
      </c>
      <c r="AO1567" t="str">
        <f t="shared" si="647"/>
        <v>Usa Transporte</v>
      </c>
      <c r="AP1567">
        <v>0</v>
      </c>
      <c r="AQ1567" t="str">
        <f t="shared" si="648"/>
        <v>No camina</v>
      </c>
      <c r="AR1567">
        <v>1</v>
      </c>
      <c r="AS1567" t="str">
        <f t="shared" si="649"/>
        <v>Es Obeso</v>
      </c>
    </row>
    <row r="1568" spans="1:45" x14ac:dyDescent="0.25">
      <c r="A1568">
        <v>1</v>
      </c>
      <c r="B1568" t="str">
        <f t="shared" si="624"/>
        <v>M</v>
      </c>
      <c r="C1568">
        <v>29429687</v>
      </c>
      <c r="D1568">
        <f t="shared" si="625"/>
        <v>80</v>
      </c>
      <c r="E1568">
        <f t="shared" si="626"/>
        <v>80</v>
      </c>
      <c r="F1568" t="str">
        <f t="shared" si="627"/>
        <v>75-100</v>
      </c>
      <c r="G1568">
        <v>1</v>
      </c>
      <c r="H1568" t="str">
        <f t="shared" si="628"/>
        <v>Pariente gordo</v>
      </c>
      <c r="I1568">
        <v>1</v>
      </c>
      <c r="J1568" t="str">
        <f t="shared" si="629"/>
        <v>Hipercaloricos</v>
      </c>
      <c r="K1568">
        <v>2200588</v>
      </c>
      <c r="L1568">
        <f t="shared" si="630"/>
        <v>1</v>
      </c>
      <c r="M1568" t="str">
        <f t="shared" si="631"/>
        <v>Suele comer</v>
      </c>
      <c r="N1568">
        <v>3</v>
      </c>
      <c r="O1568">
        <f t="shared" si="632"/>
        <v>2</v>
      </c>
      <c r="P1568" t="str">
        <f t="shared" si="633"/>
        <v>Mas de 3</v>
      </c>
      <c r="Q1568">
        <v>1</v>
      </c>
      <c r="R1568" t="str">
        <f t="shared" si="634"/>
        <v>A veces</v>
      </c>
      <c r="S1568">
        <v>0</v>
      </c>
      <c r="T1568" t="str">
        <f t="shared" si="635"/>
        <v>No fuma</v>
      </c>
      <c r="U1568">
        <v>1295697</v>
      </c>
      <c r="V1568">
        <f t="shared" si="636"/>
        <v>2</v>
      </c>
      <c r="W1568" t="str">
        <f t="shared" si="637"/>
        <v>Siempre</v>
      </c>
      <c r="X1568">
        <v>0</v>
      </c>
      <c r="Y1568" t="str">
        <f t="shared" si="638"/>
        <v>No controla</v>
      </c>
      <c r="Z1568">
        <v>1058378</v>
      </c>
      <c r="AA1568">
        <f t="shared" si="639"/>
        <v>3</v>
      </c>
      <c r="AB1568" t="str">
        <f t="shared" si="640"/>
        <v>Siempre</v>
      </c>
      <c r="AC1568">
        <v>0</v>
      </c>
      <c r="AD1568">
        <f t="shared" si="641"/>
        <v>0</v>
      </c>
      <c r="AE1568" t="str">
        <f t="shared" si="642"/>
        <v>Nunca</v>
      </c>
      <c r="AF1568">
        <v>1</v>
      </c>
      <c r="AG1568" t="str">
        <f t="shared" si="643"/>
        <v>A veces</v>
      </c>
      <c r="AH1568">
        <v>0</v>
      </c>
      <c r="AI1568" t="str">
        <f t="shared" si="644"/>
        <v>No usa</v>
      </c>
      <c r="AJ1568">
        <v>0</v>
      </c>
      <c r="AK1568" t="str">
        <f t="shared" si="645"/>
        <v>No usa</v>
      </c>
      <c r="AL1568">
        <v>0</v>
      </c>
      <c r="AM1568" t="str">
        <f t="shared" si="646"/>
        <v>No usa</v>
      </c>
      <c r="AN1568">
        <v>1</v>
      </c>
      <c r="AO1568" t="str">
        <f t="shared" si="647"/>
        <v>Usa Transporte</v>
      </c>
      <c r="AP1568">
        <v>0</v>
      </c>
      <c r="AQ1568" t="str">
        <f t="shared" si="648"/>
        <v>No camina</v>
      </c>
      <c r="AR1568">
        <v>1</v>
      </c>
      <c r="AS1568" t="str">
        <f t="shared" si="649"/>
        <v>Es Obeso</v>
      </c>
    </row>
    <row r="1569" spans="1:45" x14ac:dyDescent="0.25">
      <c r="A1569">
        <v>1</v>
      </c>
      <c r="B1569" t="str">
        <f t="shared" si="624"/>
        <v>M</v>
      </c>
      <c r="C1569">
        <v>30520854</v>
      </c>
      <c r="D1569">
        <f t="shared" si="625"/>
        <v>83</v>
      </c>
      <c r="E1569">
        <f t="shared" si="626"/>
        <v>83</v>
      </c>
      <c r="F1569" t="str">
        <f t="shared" si="627"/>
        <v>75-100</v>
      </c>
      <c r="G1569">
        <v>1</v>
      </c>
      <c r="H1569" t="str">
        <f t="shared" si="628"/>
        <v>Pariente gordo</v>
      </c>
      <c r="I1569">
        <v>1</v>
      </c>
      <c r="J1569" t="str">
        <f t="shared" si="629"/>
        <v>Hipercaloricos</v>
      </c>
      <c r="K1569">
        <v>2499108</v>
      </c>
      <c r="L1569">
        <f t="shared" si="630"/>
        <v>1</v>
      </c>
      <c r="M1569" t="str">
        <f t="shared" si="631"/>
        <v>Suele comer</v>
      </c>
      <c r="N1569">
        <v>3</v>
      </c>
      <c r="O1569">
        <f t="shared" si="632"/>
        <v>2</v>
      </c>
      <c r="P1569" t="str">
        <f t="shared" si="633"/>
        <v>Mas de 3</v>
      </c>
      <c r="Q1569">
        <v>1</v>
      </c>
      <c r="R1569" t="str">
        <f t="shared" si="634"/>
        <v>A veces</v>
      </c>
      <c r="S1569">
        <v>0</v>
      </c>
      <c r="T1569" t="str">
        <f t="shared" si="635"/>
        <v>No fuma</v>
      </c>
      <c r="U1569">
        <v>2040952</v>
      </c>
      <c r="V1569">
        <f t="shared" si="636"/>
        <v>2</v>
      </c>
      <c r="W1569" t="str">
        <f t="shared" si="637"/>
        <v>Siempre</v>
      </c>
      <c r="X1569">
        <v>0</v>
      </c>
      <c r="Y1569" t="str">
        <f t="shared" si="638"/>
        <v>No controla</v>
      </c>
      <c r="Z1569">
        <v>0.83873900000000001</v>
      </c>
      <c r="AA1569">
        <f t="shared" si="639"/>
        <v>0</v>
      </c>
      <c r="AB1569" t="str">
        <f t="shared" si="640"/>
        <v>Nunca</v>
      </c>
      <c r="AC1569">
        <v>0.48985400000000001</v>
      </c>
      <c r="AD1569">
        <f t="shared" si="641"/>
        <v>0</v>
      </c>
      <c r="AE1569" t="str">
        <f t="shared" si="642"/>
        <v>Nunca</v>
      </c>
      <c r="AF1569">
        <v>1</v>
      </c>
      <c r="AG1569" t="str">
        <f t="shared" si="643"/>
        <v>A veces</v>
      </c>
      <c r="AH1569">
        <v>1</v>
      </c>
      <c r="AI1569" t="str">
        <f t="shared" si="644"/>
        <v>Usa auto</v>
      </c>
      <c r="AJ1569">
        <v>0</v>
      </c>
      <c r="AK1569" t="str">
        <f t="shared" si="645"/>
        <v>No usa</v>
      </c>
      <c r="AL1569">
        <v>0</v>
      </c>
      <c r="AM1569" t="str">
        <f t="shared" si="646"/>
        <v>No usa</v>
      </c>
      <c r="AN1569">
        <v>0</v>
      </c>
      <c r="AO1569" t="str">
        <f t="shared" si="647"/>
        <v>No usa</v>
      </c>
      <c r="AP1569">
        <v>0</v>
      </c>
      <c r="AQ1569" t="str">
        <f t="shared" si="648"/>
        <v>No camina</v>
      </c>
      <c r="AR1569">
        <v>1</v>
      </c>
      <c r="AS1569" t="str">
        <f t="shared" si="649"/>
        <v>Es Obeso</v>
      </c>
    </row>
    <row r="1570" spans="1:45" x14ac:dyDescent="0.25">
      <c r="A1570">
        <v>1</v>
      </c>
      <c r="B1570" t="str">
        <f t="shared" si="624"/>
        <v>M</v>
      </c>
      <c r="C1570">
        <v>30610436</v>
      </c>
      <c r="D1570">
        <f t="shared" si="625"/>
        <v>83</v>
      </c>
      <c r="E1570">
        <f t="shared" si="626"/>
        <v>83</v>
      </c>
      <c r="F1570" t="str">
        <f t="shared" si="627"/>
        <v>75-100</v>
      </c>
      <c r="G1570">
        <v>1</v>
      </c>
      <c r="H1570" t="str">
        <f t="shared" si="628"/>
        <v>Pariente gordo</v>
      </c>
      <c r="I1570">
        <v>1</v>
      </c>
      <c r="J1570" t="str">
        <f t="shared" si="629"/>
        <v>Hipercaloricos</v>
      </c>
      <c r="K1570">
        <v>205687</v>
      </c>
      <c r="L1570">
        <f t="shared" si="630"/>
        <v>1</v>
      </c>
      <c r="M1570" t="str">
        <f t="shared" si="631"/>
        <v>Suele comer</v>
      </c>
      <c r="N1570">
        <v>3</v>
      </c>
      <c r="O1570">
        <f t="shared" si="632"/>
        <v>2</v>
      </c>
      <c r="P1570" t="str">
        <f t="shared" si="633"/>
        <v>Mas de 3</v>
      </c>
      <c r="Q1570">
        <v>1</v>
      </c>
      <c r="R1570" t="str">
        <f t="shared" si="634"/>
        <v>A veces</v>
      </c>
      <c r="S1570">
        <v>0</v>
      </c>
      <c r="T1570" t="str">
        <f t="shared" si="635"/>
        <v>No fuma</v>
      </c>
      <c r="U1570">
        <v>2358088</v>
      </c>
      <c r="V1570">
        <f t="shared" si="636"/>
        <v>2</v>
      </c>
      <c r="W1570" t="str">
        <f t="shared" si="637"/>
        <v>Siempre</v>
      </c>
      <c r="X1570">
        <v>0</v>
      </c>
      <c r="Y1570" t="str">
        <f t="shared" si="638"/>
        <v>No controla</v>
      </c>
      <c r="Z1570">
        <v>9.3418000000000001E-2</v>
      </c>
      <c r="AA1570">
        <f t="shared" si="639"/>
        <v>0</v>
      </c>
      <c r="AB1570" t="str">
        <f t="shared" si="640"/>
        <v>Nunca</v>
      </c>
      <c r="AC1570">
        <v>1759954</v>
      </c>
      <c r="AD1570">
        <f t="shared" si="641"/>
        <v>2</v>
      </c>
      <c r="AE1570" t="str">
        <f t="shared" si="642"/>
        <v>Siempre</v>
      </c>
      <c r="AF1570">
        <v>1</v>
      </c>
      <c r="AG1570" t="str">
        <f t="shared" si="643"/>
        <v>A veces</v>
      </c>
      <c r="AH1570">
        <v>1</v>
      </c>
      <c r="AI1570" t="str">
        <f t="shared" si="644"/>
        <v>Usa auto</v>
      </c>
      <c r="AJ1570">
        <v>0</v>
      </c>
      <c r="AK1570" t="str">
        <f t="shared" si="645"/>
        <v>No usa</v>
      </c>
      <c r="AL1570">
        <v>0</v>
      </c>
      <c r="AM1570" t="str">
        <f t="shared" si="646"/>
        <v>No usa</v>
      </c>
      <c r="AN1570">
        <v>0</v>
      </c>
      <c r="AO1570" t="str">
        <f t="shared" si="647"/>
        <v>No usa</v>
      </c>
      <c r="AP1570">
        <v>0</v>
      </c>
      <c r="AQ1570" t="str">
        <f t="shared" si="648"/>
        <v>No camina</v>
      </c>
      <c r="AR1570">
        <v>1</v>
      </c>
      <c r="AS1570" t="str">
        <f t="shared" si="649"/>
        <v>Es Obeso</v>
      </c>
    </row>
    <row r="1571" spans="1:45" x14ac:dyDescent="0.25">
      <c r="A1571">
        <v>1</v>
      </c>
      <c r="B1571" t="str">
        <f t="shared" si="624"/>
        <v>M</v>
      </c>
      <c r="C1571">
        <v>26740655</v>
      </c>
      <c r="D1571">
        <f t="shared" si="625"/>
        <v>73</v>
      </c>
      <c r="E1571">
        <f t="shared" si="626"/>
        <v>73</v>
      </c>
      <c r="F1571" t="str">
        <f t="shared" si="627"/>
        <v>50-75</v>
      </c>
      <c r="G1571">
        <v>1</v>
      </c>
      <c r="H1571" t="str">
        <f t="shared" si="628"/>
        <v>Pariente gordo</v>
      </c>
      <c r="I1571">
        <v>1</v>
      </c>
      <c r="J1571" t="str">
        <f t="shared" si="629"/>
        <v>Hipercaloricos</v>
      </c>
      <c r="K1571">
        <v>2247795</v>
      </c>
      <c r="L1571">
        <f t="shared" si="630"/>
        <v>1</v>
      </c>
      <c r="M1571" t="str">
        <f t="shared" si="631"/>
        <v>Suele comer</v>
      </c>
      <c r="N1571">
        <v>3</v>
      </c>
      <c r="O1571">
        <f t="shared" si="632"/>
        <v>2</v>
      </c>
      <c r="P1571" t="str">
        <f t="shared" si="633"/>
        <v>Mas de 3</v>
      </c>
      <c r="Q1571">
        <v>1</v>
      </c>
      <c r="R1571" t="str">
        <f t="shared" si="634"/>
        <v>A veces</v>
      </c>
      <c r="S1571">
        <v>0</v>
      </c>
      <c r="T1571" t="str">
        <f t="shared" si="635"/>
        <v>No fuma</v>
      </c>
      <c r="U1571">
        <v>2816015</v>
      </c>
      <c r="V1571">
        <f t="shared" si="636"/>
        <v>2</v>
      </c>
      <c r="W1571" t="str">
        <f t="shared" si="637"/>
        <v>Siempre</v>
      </c>
      <c r="X1571">
        <v>0</v>
      </c>
      <c r="Y1571" t="str">
        <f t="shared" si="638"/>
        <v>No controla</v>
      </c>
      <c r="Z1571">
        <v>0.71272599999999997</v>
      </c>
      <c r="AA1571">
        <f t="shared" si="639"/>
        <v>0</v>
      </c>
      <c r="AB1571" t="str">
        <f t="shared" si="640"/>
        <v>Nunca</v>
      </c>
      <c r="AC1571">
        <v>0</v>
      </c>
      <c r="AD1571">
        <f t="shared" si="641"/>
        <v>0</v>
      </c>
      <c r="AE1571" t="str">
        <f t="shared" si="642"/>
        <v>Nunca</v>
      </c>
      <c r="AF1571">
        <v>1</v>
      </c>
      <c r="AG1571" t="str">
        <f t="shared" si="643"/>
        <v>A veces</v>
      </c>
      <c r="AH1571">
        <v>0</v>
      </c>
      <c r="AI1571" t="str">
        <f t="shared" si="644"/>
        <v>No usa</v>
      </c>
      <c r="AJ1571">
        <v>0</v>
      </c>
      <c r="AK1571" t="str">
        <f t="shared" si="645"/>
        <v>No usa</v>
      </c>
      <c r="AL1571">
        <v>0</v>
      </c>
      <c r="AM1571" t="str">
        <f t="shared" si="646"/>
        <v>No usa</v>
      </c>
      <c r="AN1571">
        <v>1</v>
      </c>
      <c r="AO1571" t="str">
        <f t="shared" si="647"/>
        <v>Usa Transporte</v>
      </c>
      <c r="AP1571">
        <v>0</v>
      </c>
      <c r="AQ1571" t="str">
        <f t="shared" si="648"/>
        <v>No camina</v>
      </c>
      <c r="AR1571">
        <v>1</v>
      </c>
      <c r="AS1571" t="str">
        <f t="shared" si="649"/>
        <v>Es Obeso</v>
      </c>
    </row>
    <row r="1572" spans="1:45" x14ac:dyDescent="0.25">
      <c r="A1572">
        <v>1</v>
      </c>
      <c r="B1572" t="str">
        <f t="shared" si="624"/>
        <v>M</v>
      </c>
      <c r="C1572">
        <v>26680376</v>
      </c>
      <c r="D1572">
        <f t="shared" si="625"/>
        <v>73</v>
      </c>
      <c r="E1572">
        <f t="shared" si="626"/>
        <v>73</v>
      </c>
      <c r="F1572" t="str">
        <f t="shared" si="627"/>
        <v>50-75</v>
      </c>
      <c r="G1572">
        <v>1</v>
      </c>
      <c r="H1572" t="str">
        <f t="shared" si="628"/>
        <v>Pariente gordo</v>
      </c>
      <c r="I1572">
        <v>1</v>
      </c>
      <c r="J1572" t="str">
        <f t="shared" si="629"/>
        <v>Hipercaloricos</v>
      </c>
      <c r="K1572">
        <v>2239634</v>
      </c>
      <c r="L1572">
        <f t="shared" si="630"/>
        <v>1</v>
      </c>
      <c r="M1572" t="str">
        <f t="shared" si="631"/>
        <v>Suele comer</v>
      </c>
      <c r="N1572">
        <v>3</v>
      </c>
      <c r="O1572">
        <f t="shared" si="632"/>
        <v>2</v>
      </c>
      <c r="P1572" t="str">
        <f t="shared" si="633"/>
        <v>Mas de 3</v>
      </c>
      <c r="Q1572">
        <v>1</v>
      </c>
      <c r="R1572" t="str">
        <f t="shared" si="634"/>
        <v>A veces</v>
      </c>
      <c r="S1572">
        <v>0</v>
      </c>
      <c r="T1572" t="str">
        <f t="shared" si="635"/>
        <v>No fuma</v>
      </c>
      <c r="U1572">
        <v>2684264</v>
      </c>
      <c r="V1572">
        <f t="shared" si="636"/>
        <v>2</v>
      </c>
      <c r="W1572" t="str">
        <f t="shared" si="637"/>
        <v>Siempre</v>
      </c>
      <c r="X1572">
        <v>0</v>
      </c>
      <c r="Y1572" t="str">
        <f t="shared" si="638"/>
        <v>No controla</v>
      </c>
      <c r="Z1572">
        <v>0.97930600000000001</v>
      </c>
      <c r="AA1572">
        <f t="shared" si="639"/>
        <v>0</v>
      </c>
      <c r="AB1572" t="str">
        <f t="shared" si="640"/>
        <v>Nunca</v>
      </c>
      <c r="AC1572">
        <v>0</v>
      </c>
      <c r="AD1572">
        <f t="shared" si="641"/>
        <v>0</v>
      </c>
      <c r="AE1572" t="str">
        <f t="shared" si="642"/>
        <v>Nunca</v>
      </c>
      <c r="AF1572">
        <v>1</v>
      </c>
      <c r="AG1572" t="str">
        <f t="shared" si="643"/>
        <v>A veces</v>
      </c>
      <c r="AH1572">
        <v>0</v>
      </c>
      <c r="AI1572" t="str">
        <f t="shared" si="644"/>
        <v>No usa</v>
      </c>
      <c r="AJ1572">
        <v>0</v>
      </c>
      <c r="AK1572" t="str">
        <f t="shared" si="645"/>
        <v>No usa</v>
      </c>
      <c r="AL1572">
        <v>0</v>
      </c>
      <c r="AM1572" t="str">
        <f t="shared" si="646"/>
        <v>No usa</v>
      </c>
      <c r="AN1572">
        <v>1</v>
      </c>
      <c r="AO1572" t="str">
        <f t="shared" si="647"/>
        <v>Usa Transporte</v>
      </c>
      <c r="AP1572">
        <v>0</v>
      </c>
      <c r="AQ1572" t="str">
        <f t="shared" si="648"/>
        <v>No camina</v>
      </c>
      <c r="AR1572">
        <v>1</v>
      </c>
      <c r="AS1572" t="str">
        <f t="shared" si="649"/>
        <v>Es Obeso</v>
      </c>
    </row>
    <row r="1573" spans="1:45" x14ac:dyDescent="0.25">
      <c r="A1573">
        <v>1</v>
      </c>
      <c r="B1573" t="str">
        <f t="shared" si="624"/>
        <v>M</v>
      </c>
      <c r="C1573">
        <v>37056193</v>
      </c>
      <c r="D1573">
        <f t="shared" si="625"/>
        <v>101</v>
      </c>
      <c r="E1573">
        <f t="shared" si="626"/>
        <v>100</v>
      </c>
      <c r="F1573" t="str">
        <f t="shared" si="627"/>
        <v>75-100</v>
      </c>
      <c r="G1573">
        <v>1</v>
      </c>
      <c r="H1573" t="str">
        <f t="shared" si="628"/>
        <v>Pariente gordo</v>
      </c>
      <c r="I1573">
        <v>1</v>
      </c>
      <c r="J1573" t="str">
        <f t="shared" si="629"/>
        <v>Hipercaloricos</v>
      </c>
      <c r="K1573">
        <v>209283</v>
      </c>
      <c r="L1573">
        <f t="shared" si="630"/>
        <v>1</v>
      </c>
      <c r="M1573" t="str">
        <f t="shared" si="631"/>
        <v>Suele comer</v>
      </c>
      <c r="N1573">
        <v>3</v>
      </c>
      <c r="O1573">
        <f t="shared" si="632"/>
        <v>2</v>
      </c>
      <c r="P1573" t="str">
        <f t="shared" si="633"/>
        <v>Mas de 3</v>
      </c>
      <c r="Q1573">
        <v>1</v>
      </c>
      <c r="R1573" t="str">
        <f t="shared" si="634"/>
        <v>A veces</v>
      </c>
      <c r="S1573">
        <v>0</v>
      </c>
      <c r="T1573" t="str">
        <f t="shared" si="635"/>
        <v>No fuma</v>
      </c>
      <c r="U1573">
        <v>2077704</v>
      </c>
      <c r="V1573">
        <f t="shared" si="636"/>
        <v>2</v>
      </c>
      <c r="W1573" t="str">
        <f t="shared" si="637"/>
        <v>Siempre</v>
      </c>
      <c r="X1573">
        <v>0</v>
      </c>
      <c r="Y1573" t="str">
        <f t="shared" si="638"/>
        <v>No controla</v>
      </c>
      <c r="Z1573">
        <v>0.59865500000000005</v>
      </c>
      <c r="AA1573">
        <f t="shared" si="639"/>
        <v>0</v>
      </c>
      <c r="AB1573" t="str">
        <f t="shared" si="640"/>
        <v>Nunca</v>
      </c>
      <c r="AC1573">
        <v>0</v>
      </c>
      <c r="AD1573">
        <f t="shared" si="641"/>
        <v>0</v>
      </c>
      <c r="AE1573" t="str">
        <f t="shared" si="642"/>
        <v>Nunca</v>
      </c>
      <c r="AF1573">
        <v>1</v>
      </c>
      <c r="AG1573" t="str">
        <f t="shared" si="643"/>
        <v>A veces</v>
      </c>
      <c r="AH1573">
        <v>1</v>
      </c>
      <c r="AI1573" t="str">
        <f t="shared" si="644"/>
        <v>Usa auto</v>
      </c>
      <c r="AJ1573">
        <v>0</v>
      </c>
      <c r="AK1573" t="str">
        <f t="shared" si="645"/>
        <v>No usa</v>
      </c>
      <c r="AL1573">
        <v>0</v>
      </c>
      <c r="AM1573" t="str">
        <f t="shared" si="646"/>
        <v>No usa</v>
      </c>
      <c r="AN1573">
        <v>0</v>
      </c>
      <c r="AO1573" t="str">
        <f t="shared" si="647"/>
        <v>No usa</v>
      </c>
      <c r="AP1573">
        <v>0</v>
      </c>
      <c r="AQ1573" t="str">
        <f t="shared" si="648"/>
        <v>No camina</v>
      </c>
      <c r="AR1573">
        <v>1</v>
      </c>
      <c r="AS1573" t="str">
        <f t="shared" si="649"/>
        <v>Es Obeso</v>
      </c>
    </row>
    <row r="1574" spans="1:45" x14ac:dyDescent="0.25">
      <c r="A1574">
        <v>1</v>
      </c>
      <c r="B1574" t="str">
        <f t="shared" si="624"/>
        <v>M</v>
      </c>
      <c r="C1574">
        <v>28825279</v>
      </c>
      <c r="D1574">
        <f t="shared" si="625"/>
        <v>78</v>
      </c>
      <c r="E1574">
        <f t="shared" si="626"/>
        <v>78</v>
      </c>
      <c r="F1574" t="str">
        <f t="shared" si="627"/>
        <v>75-100</v>
      </c>
      <c r="G1574">
        <v>1</v>
      </c>
      <c r="H1574" t="str">
        <f t="shared" si="628"/>
        <v>Pariente gordo</v>
      </c>
      <c r="I1574">
        <v>1</v>
      </c>
      <c r="J1574" t="str">
        <f t="shared" si="629"/>
        <v>Hipercaloricos</v>
      </c>
      <c r="K1574">
        <v>29673</v>
      </c>
      <c r="L1574">
        <f t="shared" si="630"/>
        <v>1</v>
      </c>
      <c r="M1574" t="str">
        <f t="shared" si="631"/>
        <v>Suele comer</v>
      </c>
      <c r="N1574">
        <v>3</v>
      </c>
      <c r="O1574">
        <f t="shared" si="632"/>
        <v>2</v>
      </c>
      <c r="P1574" t="str">
        <f t="shared" si="633"/>
        <v>Mas de 3</v>
      </c>
      <c r="Q1574">
        <v>1</v>
      </c>
      <c r="R1574" t="str">
        <f t="shared" si="634"/>
        <v>A veces</v>
      </c>
      <c r="S1574">
        <v>0</v>
      </c>
      <c r="T1574" t="str">
        <f t="shared" si="635"/>
        <v>No fuma</v>
      </c>
      <c r="U1574">
        <v>2530035</v>
      </c>
      <c r="V1574">
        <f t="shared" si="636"/>
        <v>2</v>
      </c>
      <c r="W1574" t="str">
        <f t="shared" si="637"/>
        <v>Siempre</v>
      </c>
      <c r="X1574">
        <v>0</v>
      </c>
      <c r="Y1574" t="str">
        <f t="shared" si="638"/>
        <v>No controla</v>
      </c>
      <c r="Z1574">
        <v>1045107</v>
      </c>
      <c r="AA1574">
        <f t="shared" si="639"/>
        <v>3</v>
      </c>
      <c r="AB1574" t="str">
        <f t="shared" si="640"/>
        <v>Siempre</v>
      </c>
      <c r="AC1574">
        <v>0.94786599999999999</v>
      </c>
      <c r="AD1574">
        <f t="shared" si="641"/>
        <v>0</v>
      </c>
      <c r="AE1574" t="str">
        <f t="shared" si="642"/>
        <v>Nunca</v>
      </c>
      <c r="AF1574">
        <v>1</v>
      </c>
      <c r="AG1574" t="str">
        <f t="shared" si="643"/>
        <v>A veces</v>
      </c>
      <c r="AH1574">
        <v>1</v>
      </c>
      <c r="AI1574" t="str">
        <f t="shared" si="644"/>
        <v>Usa auto</v>
      </c>
      <c r="AJ1574">
        <v>0</v>
      </c>
      <c r="AK1574" t="str">
        <f t="shared" si="645"/>
        <v>No usa</v>
      </c>
      <c r="AL1574">
        <v>0</v>
      </c>
      <c r="AM1574" t="str">
        <f t="shared" si="646"/>
        <v>No usa</v>
      </c>
      <c r="AN1574">
        <v>0</v>
      </c>
      <c r="AO1574" t="str">
        <f t="shared" si="647"/>
        <v>No usa</v>
      </c>
      <c r="AP1574">
        <v>0</v>
      </c>
      <c r="AQ1574" t="str">
        <f t="shared" si="648"/>
        <v>No camina</v>
      </c>
      <c r="AR1574">
        <v>1</v>
      </c>
      <c r="AS1574" t="str">
        <f t="shared" si="649"/>
        <v>Es Obeso</v>
      </c>
    </row>
    <row r="1575" spans="1:45" x14ac:dyDescent="0.25">
      <c r="A1575">
        <v>1</v>
      </c>
      <c r="B1575" t="str">
        <f t="shared" si="624"/>
        <v>M</v>
      </c>
      <c r="C1575">
        <v>25883749</v>
      </c>
      <c r="D1575">
        <f t="shared" si="625"/>
        <v>70</v>
      </c>
      <c r="E1575">
        <f t="shared" si="626"/>
        <v>70</v>
      </c>
      <c r="F1575" t="str">
        <f t="shared" si="627"/>
        <v>50-75</v>
      </c>
      <c r="G1575">
        <v>1</v>
      </c>
      <c r="H1575" t="str">
        <f t="shared" si="628"/>
        <v>Pariente gordo</v>
      </c>
      <c r="I1575">
        <v>1</v>
      </c>
      <c r="J1575" t="str">
        <f t="shared" si="629"/>
        <v>Hipercaloricos</v>
      </c>
      <c r="K1575">
        <v>2225731</v>
      </c>
      <c r="L1575">
        <f t="shared" si="630"/>
        <v>1</v>
      </c>
      <c r="M1575" t="str">
        <f t="shared" si="631"/>
        <v>Suele comer</v>
      </c>
      <c r="N1575">
        <v>3</v>
      </c>
      <c r="O1575">
        <f t="shared" si="632"/>
        <v>2</v>
      </c>
      <c r="P1575" t="str">
        <f t="shared" si="633"/>
        <v>Mas de 3</v>
      </c>
      <c r="Q1575">
        <v>1</v>
      </c>
      <c r="R1575" t="str">
        <f t="shared" si="634"/>
        <v>A veces</v>
      </c>
      <c r="S1575">
        <v>0</v>
      </c>
      <c r="T1575" t="str">
        <f t="shared" si="635"/>
        <v>No fuma</v>
      </c>
      <c r="U1575">
        <v>2154326</v>
      </c>
      <c r="V1575">
        <f t="shared" si="636"/>
        <v>2</v>
      </c>
      <c r="W1575" t="str">
        <f t="shared" si="637"/>
        <v>Siempre</v>
      </c>
      <c r="X1575">
        <v>0</v>
      </c>
      <c r="Y1575" t="str">
        <f t="shared" si="638"/>
        <v>No controla</v>
      </c>
      <c r="Z1575">
        <v>1266866</v>
      </c>
      <c r="AA1575">
        <f t="shared" si="639"/>
        <v>3</v>
      </c>
      <c r="AB1575" t="str">
        <f t="shared" si="640"/>
        <v>Siempre</v>
      </c>
      <c r="AC1575">
        <v>0.39017800000000002</v>
      </c>
      <c r="AD1575">
        <f t="shared" si="641"/>
        <v>0</v>
      </c>
      <c r="AE1575" t="str">
        <f t="shared" si="642"/>
        <v>Nunca</v>
      </c>
      <c r="AF1575">
        <v>1</v>
      </c>
      <c r="AG1575" t="str">
        <f t="shared" si="643"/>
        <v>A veces</v>
      </c>
      <c r="AH1575">
        <v>0</v>
      </c>
      <c r="AI1575" t="str">
        <f t="shared" si="644"/>
        <v>No usa</v>
      </c>
      <c r="AJ1575">
        <v>0</v>
      </c>
      <c r="AK1575" t="str">
        <f t="shared" si="645"/>
        <v>No usa</v>
      </c>
      <c r="AL1575">
        <v>0</v>
      </c>
      <c r="AM1575" t="str">
        <f t="shared" si="646"/>
        <v>No usa</v>
      </c>
      <c r="AN1575">
        <v>1</v>
      </c>
      <c r="AO1575" t="str">
        <f t="shared" si="647"/>
        <v>Usa Transporte</v>
      </c>
      <c r="AP1575">
        <v>0</v>
      </c>
      <c r="AQ1575" t="str">
        <f t="shared" si="648"/>
        <v>No camina</v>
      </c>
      <c r="AR1575">
        <v>1</v>
      </c>
      <c r="AS1575" t="str">
        <f t="shared" si="649"/>
        <v>Es Obeso</v>
      </c>
    </row>
    <row r="1576" spans="1:45" x14ac:dyDescent="0.25">
      <c r="A1576">
        <v>1</v>
      </c>
      <c r="B1576" t="str">
        <f t="shared" si="624"/>
        <v>M</v>
      </c>
      <c r="C1576">
        <v>25486521</v>
      </c>
      <c r="D1576">
        <f t="shared" si="625"/>
        <v>69</v>
      </c>
      <c r="E1576">
        <f t="shared" si="626"/>
        <v>69</v>
      </c>
      <c r="F1576" t="str">
        <f t="shared" si="627"/>
        <v>50-75</v>
      </c>
      <c r="G1576">
        <v>1</v>
      </c>
      <c r="H1576" t="str">
        <f t="shared" si="628"/>
        <v>Pariente gordo</v>
      </c>
      <c r="I1576">
        <v>1</v>
      </c>
      <c r="J1576" t="str">
        <f t="shared" si="629"/>
        <v>Hipercaloricos</v>
      </c>
      <c r="K1576">
        <v>2178308</v>
      </c>
      <c r="L1576">
        <f t="shared" si="630"/>
        <v>1</v>
      </c>
      <c r="M1576" t="str">
        <f t="shared" si="631"/>
        <v>Suele comer</v>
      </c>
      <c r="N1576">
        <v>3</v>
      </c>
      <c r="O1576">
        <f t="shared" si="632"/>
        <v>2</v>
      </c>
      <c r="P1576" t="str">
        <f t="shared" si="633"/>
        <v>Mas de 3</v>
      </c>
      <c r="Q1576">
        <v>1</v>
      </c>
      <c r="R1576" t="str">
        <f t="shared" si="634"/>
        <v>A veces</v>
      </c>
      <c r="S1576">
        <v>0</v>
      </c>
      <c r="T1576" t="str">
        <f t="shared" si="635"/>
        <v>No fuma</v>
      </c>
      <c r="U1576">
        <v>2165804</v>
      </c>
      <c r="V1576">
        <f t="shared" si="636"/>
        <v>2</v>
      </c>
      <c r="W1576" t="str">
        <f t="shared" si="637"/>
        <v>Siempre</v>
      </c>
      <c r="X1576">
        <v>0</v>
      </c>
      <c r="Y1576" t="str">
        <f t="shared" si="638"/>
        <v>No controla</v>
      </c>
      <c r="Z1576">
        <v>1420675</v>
      </c>
      <c r="AA1576">
        <f t="shared" si="639"/>
        <v>3</v>
      </c>
      <c r="AB1576" t="str">
        <f t="shared" si="640"/>
        <v>Siempre</v>
      </c>
      <c r="AC1576">
        <v>1875683</v>
      </c>
      <c r="AD1576">
        <f t="shared" si="641"/>
        <v>2</v>
      </c>
      <c r="AE1576" t="str">
        <f t="shared" si="642"/>
        <v>Siempre</v>
      </c>
      <c r="AF1576">
        <v>1</v>
      </c>
      <c r="AG1576" t="str">
        <f t="shared" si="643"/>
        <v>A veces</v>
      </c>
      <c r="AH1576">
        <v>0</v>
      </c>
      <c r="AI1576" t="str">
        <f t="shared" si="644"/>
        <v>No usa</v>
      </c>
      <c r="AJ1576">
        <v>0</v>
      </c>
      <c r="AK1576" t="str">
        <f t="shared" si="645"/>
        <v>No usa</v>
      </c>
      <c r="AL1576">
        <v>0</v>
      </c>
      <c r="AM1576" t="str">
        <f t="shared" si="646"/>
        <v>No usa</v>
      </c>
      <c r="AN1576">
        <v>1</v>
      </c>
      <c r="AO1576" t="str">
        <f t="shared" si="647"/>
        <v>Usa Transporte</v>
      </c>
      <c r="AP1576">
        <v>0</v>
      </c>
      <c r="AQ1576" t="str">
        <f t="shared" si="648"/>
        <v>No camina</v>
      </c>
      <c r="AR1576">
        <v>1</v>
      </c>
      <c r="AS1576" t="str">
        <f t="shared" si="649"/>
        <v>Es Obeso</v>
      </c>
    </row>
    <row r="1577" spans="1:45" x14ac:dyDescent="0.25">
      <c r="A1577">
        <v>1</v>
      </c>
      <c r="B1577" t="str">
        <f t="shared" si="624"/>
        <v>M</v>
      </c>
      <c r="C1577">
        <v>29883021</v>
      </c>
      <c r="D1577">
        <f t="shared" si="625"/>
        <v>81</v>
      </c>
      <c r="E1577">
        <f t="shared" si="626"/>
        <v>81</v>
      </c>
      <c r="F1577" t="str">
        <f t="shared" si="627"/>
        <v>75-100</v>
      </c>
      <c r="G1577">
        <v>1</v>
      </c>
      <c r="H1577" t="str">
        <f t="shared" si="628"/>
        <v>Pariente gordo</v>
      </c>
      <c r="I1577">
        <v>1</v>
      </c>
      <c r="J1577" t="str">
        <f t="shared" si="629"/>
        <v>Hipercaloricos</v>
      </c>
      <c r="K1577">
        <v>2065752</v>
      </c>
      <c r="L1577">
        <f t="shared" si="630"/>
        <v>1</v>
      </c>
      <c r="M1577" t="str">
        <f t="shared" si="631"/>
        <v>Suele comer</v>
      </c>
      <c r="N1577">
        <v>3</v>
      </c>
      <c r="O1577">
        <f t="shared" si="632"/>
        <v>2</v>
      </c>
      <c r="P1577" t="str">
        <f t="shared" si="633"/>
        <v>Mas de 3</v>
      </c>
      <c r="Q1577">
        <v>1</v>
      </c>
      <c r="R1577" t="str">
        <f t="shared" si="634"/>
        <v>A veces</v>
      </c>
      <c r="S1577">
        <v>0</v>
      </c>
      <c r="T1577" t="str">
        <f t="shared" si="635"/>
        <v>No fuma</v>
      </c>
      <c r="U1577">
        <v>2078297</v>
      </c>
      <c r="V1577">
        <f t="shared" si="636"/>
        <v>2</v>
      </c>
      <c r="W1577" t="str">
        <f t="shared" si="637"/>
        <v>Siempre</v>
      </c>
      <c r="X1577">
        <v>0</v>
      </c>
      <c r="Y1577" t="str">
        <f t="shared" si="638"/>
        <v>No controla</v>
      </c>
      <c r="Z1577">
        <v>0</v>
      </c>
      <c r="AA1577">
        <f t="shared" si="639"/>
        <v>0</v>
      </c>
      <c r="AB1577" t="str">
        <f t="shared" si="640"/>
        <v>Nunca</v>
      </c>
      <c r="AC1577">
        <v>0.67735400000000001</v>
      </c>
      <c r="AD1577">
        <f t="shared" si="641"/>
        <v>0</v>
      </c>
      <c r="AE1577" t="str">
        <f t="shared" si="642"/>
        <v>Nunca</v>
      </c>
      <c r="AF1577">
        <v>1</v>
      </c>
      <c r="AG1577" t="str">
        <f t="shared" si="643"/>
        <v>A veces</v>
      </c>
      <c r="AH1577">
        <v>1</v>
      </c>
      <c r="AI1577" t="str">
        <f t="shared" si="644"/>
        <v>Usa auto</v>
      </c>
      <c r="AJ1577">
        <v>0</v>
      </c>
      <c r="AK1577" t="str">
        <f t="shared" si="645"/>
        <v>No usa</v>
      </c>
      <c r="AL1577">
        <v>0</v>
      </c>
      <c r="AM1577" t="str">
        <f t="shared" si="646"/>
        <v>No usa</v>
      </c>
      <c r="AN1577">
        <v>0</v>
      </c>
      <c r="AO1577" t="str">
        <f t="shared" si="647"/>
        <v>No usa</v>
      </c>
      <c r="AP1577">
        <v>0</v>
      </c>
      <c r="AQ1577" t="str">
        <f t="shared" si="648"/>
        <v>No camina</v>
      </c>
      <c r="AR1577">
        <v>1</v>
      </c>
      <c r="AS1577" t="str">
        <f t="shared" si="649"/>
        <v>Es Obeso</v>
      </c>
    </row>
    <row r="1578" spans="1:45" x14ac:dyDescent="0.25">
      <c r="A1578">
        <v>1</v>
      </c>
      <c r="B1578" t="str">
        <f t="shared" si="624"/>
        <v>M</v>
      </c>
      <c r="C1578">
        <v>26957645</v>
      </c>
      <c r="D1578">
        <f t="shared" si="625"/>
        <v>73</v>
      </c>
      <c r="E1578">
        <f t="shared" si="626"/>
        <v>73</v>
      </c>
      <c r="F1578" t="str">
        <f t="shared" si="627"/>
        <v>50-75</v>
      </c>
      <c r="G1578">
        <v>1</v>
      </c>
      <c r="H1578" t="str">
        <f t="shared" si="628"/>
        <v>Pariente gordo</v>
      </c>
      <c r="I1578">
        <v>1</v>
      </c>
      <c r="J1578" t="str">
        <f t="shared" si="629"/>
        <v>Hipercaloricos</v>
      </c>
      <c r="K1578">
        <v>2263245</v>
      </c>
      <c r="L1578">
        <f t="shared" si="630"/>
        <v>1</v>
      </c>
      <c r="M1578" t="str">
        <f t="shared" si="631"/>
        <v>Suele comer</v>
      </c>
      <c r="N1578">
        <v>3</v>
      </c>
      <c r="O1578">
        <f t="shared" si="632"/>
        <v>2</v>
      </c>
      <c r="P1578" t="str">
        <f t="shared" si="633"/>
        <v>Mas de 3</v>
      </c>
      <c r="Q1578">
        <v>1</v>
      </c>
      <c r="R1578" t="str">
        <f t="shared" si="634"/>
        <v>A veces</v>
      </c>
      <c r="S1578">
        <v>0</v>
      </c>
      <c r="T1578" t="str">
        <f t="shared" si="635"/>
        <v>No fuma</v>
      </c>
      <c r="U1578">
        <v>2092509</v>
      </c>
      <c r="V1578">
        <f t="shared" si="636"/>
        <v>2</v>
      </c>
      <c r="W1578" t="str">
        <f t="shared" si="637"/>
        <v>Siempre</v>
      </c>
      <c r="X1578">
        <v>0</v>
      </c>
      <c r="Y1578" t="str">
        <f t="shared" si="638"/>
        <v>No controla</v>
      </c>
      <c r="Z1578">
        <v>0</v>
      </c>
      <c r="AA1578">
        <f t="shared" si="639"/>
        <v>0</v>
      </c>
      <c r="AB1578" t="str">
        <f t="shared" si="640"/>
        <v>Nunca</v>
      </c>
      <c r="AC1578">
        <v>1836853</v>
      </c>
      <c r="AD1578">
        <f t="shared" si="641"/>
        <v>2</v>
      </c>
      <c r="AE1578" t="str">
        <f t="shared" si="642"/>
        <v>Siempre</v>
      </c>
      <c r="AF1578">
        <v>1</v>
      </c>
      <c r="AG1578" t="str">
        <f t="shared" si="643"/>
        <v>A veces</v>
      </c>
      <c r="AH1578">
        <v>1</v>
      </c>
      <c r="AI1578" t="str">
        <f t="shared" si="644"/>
        <v>Usa auto</v>
      </c>
      <c r="AJ1578">
        <v>0</v>
      </c>
      <c r="AK1578" t="str">
        <f t="shared" si="645"/>
        <v>No usa</v>
      </c>
      <c r="AL1578">
        <v>0</v>
      </c>
      <c r="AM1578" t="str">
        <f t="shared" si="646"/>
        <v>No usa</v>
      </c>
      <c r="AN1578">
        <v>0</v>
      </c>
      <c r="AO1578" t="str">
        <f t="shared" si="647"/>
        <v>No usa</v>
      </c>
      <c r="AP1578">
        <v>0</v>
      </c>
      <c r="AQ1578" t="str">
        <f t="shared" si="648"/>
        <v>No camina</v>
      </c>
      <c r="AR1578">
        <v>1</v>
      </c>
      <c r="AS1578" t="str">
        <f t="shared" si="649"/>
        <v>Es Obeso</v>
      </c>
    </row>
    <row r="1579" spans="1:45" x14ac:dyDescent="0.25">
      <c r="A1579">
        <v>1</v>
      </c>
      <c r="B1579" t="str">
        <f t="shared" si="624"/>
        <v>M</v>
      </c>
      <c r="C1579">
        <v>26490926</v>
      </c>
      <c r="D1579">
        <f t="shared" si="625"/>
        <v>72</v>
      </c>
      <c r="E1579">
        <f t="shared" si="626"/>
        <v>72</v>
      </c>
      <c r="F1579" t="str">
        <f t="shared" si="627"/>
        <v>50-75</v>
      </c>
      <c r="G1579">
        <v>1</v>
      </c>
      <c r="H1579" t="str">
        <f t="shared" si="628"/>
        <v>Pariente gordo</v>
      </c>
      <c r="I1579">
        <v>1</v>
      </c>
      <c r="J1579" t="str">
        <f t="shared" si="629"/>
        <v>Hipercaloricos</v>
      </c>
      <c r="K1579">
        <v>2443538</v>
      </c>
      <c r="L1579">
        <f t="shared" si="630"/>
        <v>1</v>
      </c>
      <c r="M1579" t="str">
        <f t="shared" si="631"/>
        <v>Suele comer</v>
      </c>
      <c r="N1579">
        <v>3</v>
      </c>
      <c r="O1579">
        <f t="shared" si="632"/>
        <v>2</v>
      </c>
      <c r="P1579" t="str">
        <f t="shared" si="633"/>
        <v>Mas de 3</v>
      </c>
      <c r="Q1579">
        <v>1</v>
      </c>
      <c r="R1579" t="str">
        <f t="shared" si="634"/>
        <v>A veces</v>
      </c>
      <c r="S1579">
        <v>0</v>
      </c>
      <c r="T1579" t="str">
        <f t="shared" si="635"/>
        <v>No fuma</v>
      </c>
      <c r="U1579">
        <v>2939492</v>
      </c>
      <c r="V1579">
        <f t="shared" si="636"/>
        <v>2</v>
      </c>
      <c r="W1579" t="str">
        <f t="shared" si="637"/>
        <v>Siempre</v>
      </c>
      <c r="X1579">
        <v>0</v>
      </c>
      <c r="Y1579" t="str">
        <f t="shared" si="638"/>
        <v>No controla</v>
      </c>
      <c r="Z1579">
        <v>1208142</v>
      </c>
      <c r="AA1579">
        <f t="shared" si="639"/>
        <v>3</v>
      </c>
      <c r="AB1579" t="str">
        <f t="shared" si="640"/>
        <v>Siempre</v>
      </c>
      <c r="AC1579">
        <v>0.73893500000000001</v>
      </c>
      <c r="AD1579">
        <f t="shared" si="641"/>
        <v>0</v>
      </c>
      <c r="AE1579" t="str">
        <f t="shared" si="642"/>
        <v>Nunca</v>
      </c>
      <c r="AF1579">
        <v>1</v>
      </c>
      <c r="AG1579" t="str">
        <f t="shared" si="643"/>
        <v>A veces</v>
      </c>
      <c r="AH1579">
        <v>0</v>
      </c>
      <c r="AI1579" t="str">
        <f t="shared" si="644"/>
        <v>No usa</v>
      </c>
      <c r="AJ1579">
        <v>0</v>
      </c>
      <c r="AK1579" t="str">
        <f t="shared" si="645"/>
        <v>No usa</v>
      </c>
      <c r="AL1579">
        <v>0</v>
      </c>
      <c r="AM1579" t="str">
        <f t="shared" si="646"/>
        <v>No usa</v>
      </c>
      <c r="AN1579">
        <v>1</v>
      </c>
      <c r="AO1579" t="str">
        <f t="shared" si="647"/>
        <v>Usa Transporte</v>
      </c>
      <c r="AP1579">
        <v>0</v>
      </c>
      <c r="AQ1579" t="str">
        <f t="shared" si="648"/>
        <v>No camina</v>
      </c>
      <c r="AR1579">
        <v>1</v>
      </c>
      <c r="AS1579" t="str">
        <f t="shared" si="649"/>
        <v>Es Obeso</v>
      </c>
    </row>
    <row r="1580" spans="1:45" x14ac:dyDescent="0.25">
      <c r="A1580">
        <v>1</v>
      </c>
      <c r="B1580" t="str">
        <f t="shared" si="624"/>
        <v>M</v>
      </c>
      <c r="C1580">
        <v>27558801</v>
      </c>
      <c r="D1580">
        <f t="shared" si="625"/>
        <v>75</v>
      </c>
      <c r="E1580">
        <f t="shared" si="626"/>
        <v>75</v>
      </c>
      <c r="F1580" t="str">
        <f t="shared" si="627"/>
        <v>50-75</v>
      </c>
      <c r="G1580">
        <v>1</v>
      </c>
      <c r="H1580" t="str">
        <f t="shared" si="628"/>
        <v>Pariente gordo</v>
      </c>
      <c r="I1580">
        <v>1</v>
      </c>
      <c r="J1580" t="str">
        <f t="shared" si="629"/>
        <v>Hipercaloricos</v>
      </c>
      <c r="K1580">
        <v>2744994</v>
      </c>
      <c r="L1580">
        <f t="shared" si="630"/>
        <v>1</v>
      </c>
      <c r="M1580" t="str">
        <f t="shared" si="631"/>
        <v>Suele comer</v>
      </c>
      <c r="N1580">
        <v>3</v>
      </c>
      <c r="O1580">
        <f t="shared" si="632"/>
        <v>2</v>
      </c>
      <c r="P1580" t="str">
        <f t="shared" si="633"/>
        <v>Mas de 3</v>
      </c>
      <c r="Q1580">
        <v>1</v>
      </c>
      <c r="R1580" t="str">
        <f t="shared" si="634"/>
        <v>A veces</v>
      </c>
      <c r="S1580">
        <v>0</v>
      </c>
      <c r="T1580" t="str">
        <f t="shared" si="635"/>
        <v>No fuma</v>
      </c>
      <c r="U1580">
        <v>2478838</v>
      </c>
      <c r="V1580">
        <f t="shared" si="636"/>
        <v>2</v>
      </c>
      <c r="W1580" t="str">
        <f t="shared" si="637"/>
        <v>Siempre</v>
      </c>
      <c r="X1580">
        <v>0</v>
      </c>
      <c r="Y1580" t="str">
        <f t="shared" si="638"/>
        <v>No controla</v>
      </c>
      <c r="Z1580">
        <v>0.68448699999999996</v>
      </c>
      <c r="AA1580">
        <f t="shared" si="639"/>
        <v>0</v>
      </c>
      <c r="AB1580" t="str">
        <f t="shared" si="640"/>
        <v>Nunca</v>
      </c>
      <c r="AC1580">
        <v>0.67790899999999998</v>
      </c>
      <c r="AD1580">
        <f t="shared" si="641"/>
        <v>0</v>
      </c>
      <c r="AE1580" t="str">
        <f t="shared" si="642"/>
        <v>Nunca</v>
      </c>
      <c r="AF1580">
        <v>1</v>
      </c>
      <c r="AG1580" t="str">
        <f t="shared" si="643"/>
        <v>A veces</v>
      </c>
      <c r="AH1580">
        <v>0</v>
      </c>
      <c r="AI1580" t="str">
        <f t="shared" si="644"/>
        <v>No usa</v>
      </c>
      <c r="AJ1580">
        <v>0</v>
      </c>
      <c r="AK1580" t="str">
        <f t="shared" si="645"/>
        <v>No usa</v>
      </c>
      <c r="AL1580">
        <v>0</v>
      </c>
      <c r="AM1580" t="str">
        <f t="shared" si="646"/>
        <v>No usa</v>
      </c>
      <c r="AN1580">
        <v>1</v>
      </c>
      <c r="AO1580" t="str">
        <f t="shared" si="647"/>
        <v>Usa Transporte</v>
      </c>
      <c r="AP1580">
        <v>0</v>
      </c>
      <c r="AQ1580" t="str">
        <f t="shared" si="648"/>
        <v>No camina</v>
      </c>
      <c r="AR1580">
        <v>1</v>
      </c>
      <c r="AS1580" t="str">
        <f t="shared" si="649"/>
        <v>Es Obeso</v>
      </c>
    </row>
    <row r="1581" spans="1:45" x14ac:dyDescent="0.25">
      <c r="A1581">
        <v>1</v>
      </c>
      <c r="B1581" t="str">
        <f t="shared" si="624"/>
        <v>M</v>
      </c>
      <c r="C1581">
        <v>22908879</v>
      </c>
      <c r="D1581">
        <f t="shared" si="625"/>
        <v>62</v>
      </c>
      <c r="E1581">
        <f t="shared" si="626"/>
        <v>62</v>
      </c>
      <c r="F1581" t="str">
        <f t="shared" si="627"/>
        <v>50-75</v>
      </c>
      <c r="G1581">
        <v>1</v>
      </c>
      <c r="H1581" t="str">
        <f t="shared" si="628"/>
        <v>Pariente gordo</v>
      </c>
      <c r="I1581">
        <v>1</v>
      </c>
      <c r="J1581" t="str">
        <f t="shared" si="629"/>
        <v>Hipercaloricos</v>
      </c>
      <c r="K1581">
        <v>2630137</v>
      </c>
      <c r="L1581">
        <f t="shared" si="630"/>
        <v>1</v>
      </c>
      <c r="M1581" t="str">
        <f t="shared" si="631"/>
        <v>Suele comer</v>
      </c>
      <c r="N1581">
        <v>2806298</v>
      </c>
      <c r="O1581">
        <f t="shared" si="632"/>
        <v>2</v>
      </c>
      <c r="P1581" t="str">
        <f t="shared" si="633"/>
        <v>Mas de 3</v>
      </c>
      <c r="Q1581">
        <v>1</v>
      </c>
      <c r="R1581" t="str">
        <f t="shared" si="634"/>
        <v>A veces</v>
      </c>
      <c r="S1581">
        <v>0</v>
      </c>
      <c r="T1581" t="str">
        <f t="shared" si="635"/>
        <v>No fuma</v>
      </c>
      <c r="U1581">
        <v>1970508</v>
      </c>
      <c r="V1581">
        <f t="shared" si="636"/>
        <v>2</v>
      </c>
      <c r="W1581" t="str">
        <f t="shared" si="637"/>
        <v>Siempre</v>
      </c>
      <c r="X1581">
        <v>0</v>
      </c>
      <c r="Y1581" t="str">
        <f t="shared" si="638"/>
        <v>No controla</v>
      </c>
      <c r="Z1581">
        <v>1304291</v>
      </c>
      <c r="AA1581">
        <f t="shared" si="639"/>
        <v>3</v>
      </c>
      <c r="AB1581" t="str">
        <f t="shared" si="640"/>
        <v>Siempre</v>
      </c>
      <c r="AC1581">
        <v>0</v>
      </c>
      <c r="AD1581">
        <f t="shared" si="641"/>
        <v>0</v>
      </c>
      <c r="AE1581" t="str">
        <f t="shared" si="642"/>
        <v>Nunca</v>
      </c>
      <c r="AF1581">
        <v>1</v>
      </c>
      <c r="AG1581" t="str">
        <f t="shared" si="643"/>
        <v>A veces</v>
      </c>
      <c r="AH1581">
        <v>0</v>
      </c>
      <c r="AI1581" t="str">
        <f t="shared" si="644"/>
        <v>No usa</v>
      </c>
      <c r="AJ1581">
        <v>0</v>
      </c>
      <c r="AK1581" t="str">
        <f t="shared" si="645"/>
        <v>No usa</v>
      </c>
      <c r="AL1581">
        <v>0</v>
      </c>
      <c r="AM1581" t="str">
        <f t="shared" si="646"/>
        <v>No usa</v>
      </c>
      <c r="AN1581">
        <v>1</v>
      </c>
      <c r="AO1581" t="str">
        <f t="shared" si="647"/>
        <v>Usa Transporte</v>
      </c>
      <c r="AP1581">
        <v>0</v>
      </c>
      <c r="AQ1581" t="str">
        <f t="shared" si="648"/>
        <v>No camina</v>
      </c>
      <c r="AR1581">
        <v>1</v>
      </c>
      <c r="AS1581" t="str">
        <f t="shared" si="649"/>
        <v>Es Obeso</v>
      </c>
    </row>
    <row r="1582" spans="1:45" x14ac:dyDescent="0.25">
      <c r="A1582">
        <v>1</v>
      </c>
      <c r="B1582" t="str">
        <f t="shared" si="624"/>
        <v>M</v>
      </c>
      <c r="C1582">
        <v>24201622</v>
      </c>
      <c r="D1582">
        <f t="shared" si="625"/>
        <v>66</v>
      </c>
      <c r="E1582">
        <f t="shared" si="626"/>
        <v>66</v>
      </c>
      <c r="F1582" t="str">
        <f t="shared" si="627"/>
        <v>50-75</v>
      </c>
      <c r="G1582">
        <v>1</v>
      </c>
      <c r="H1582" t="str">
        <f t="shared" si="628"/>
        <v>Pariente gordo</v>
      </c>
      <c r="I1582">
        <v>1</v>
      </c>
      <c r="J1582" t="str">
        <f t="shared" si="629"/>
        <v>Hipercaloricos</v>
      </c>
      <c r="K1582">
        <v>2113843</v>
      </c>
      <c r="L1582">
        <f t="shared" si="630"/>
        <v>1</v>
      </c>
      <c r="M1582" t="str">
        <f t="shared" si="631"/>
        <v>Suele comer</v>
      </c>
      <c r="N1582">
        <v>3</v>
      </c>
      <c r="O1582">
        <f t="shared" si="632"/>
        <v>2</v>
      </c>
      <c r="P1582" t="str">
        <f t="shared" si="633"/>
        <v>Mas de 3</v>
      </c>
      <c r="Q1582">
        <v>1</v>
      </c>
      <c r="R1582" t="str">
        <f t="shared" si="634"/>
        <v>A veces</v>
      </c>
      <c r="S1582">
        <v>0</v>
      </c>
      <c r="T1582" t="str">
        <f t="shared" si="635"/>
        <v>No fuma</v>
      </c>
      <c r="U1582">
        <v>2316069</v>
      </c>
      <c r="V1582">
        <f t="shared" si="636"/>
        <v>2</v>
      </c>
      <c r="W1582" t="str">
        <f t="shared" si="637"/>
        <v>Siempre</v>
      </c>
      <c r="X1582">
        <v>0</v>
      </c>
      <c r="Y1582" t="str">
        <f t="shared" si="638"/>
        <v>No controla</v>
      </c>
      <c r="Z1582">
        <v>1804157</v>
      </c>
      <c r="AA1582">
        <f t="shared" si="639"/>
        <v>3</v>
      </c>
      <c r="AB1582" t="str">
        <f t="shared" si="640"/>
        <v>Siempre</v>
      </c>
      <c r="AC1582">
        <v>0.35731400000000002</v>
      </c>
      <c r="AD1582">
        <f t="shared" si="641"/>
        <v>0</v>
      </c>
      <c r="AE1582" t="str">
        <f t="shared" si="642"/>
        <v>Nunca</v>
      </c>
      <c r="AF1582">
        <v>1</v>
      </c>
      <c r="AG1582" t="str">
        <f t="shared" si="643"/>
        <v>A veces</v>
      </c>
      <c r="AH1582">
        <v>0</v>
      </c>
      <c r="AI1582" t="str">
        <f t="shared" si="644"/>
        <v>No usa</v>
      </c>
      <c r="AJ1582">
        <v>0</v>
      </c>
      <c r="AK1582" t="str">
        <f t="shared" si="645"/>
        <v>No usa</v>
      </c>
      <c r="AL1582">
        <v>0</v>
      </c>
      <c r="AM1582" t="str">
        <f t="shared" si="646"/>
        <v>No usa</v>
      </c>
      <c r="AN1582">
        <v>1</v>
      </c>
      <c r="AO1582" t="str">
        <f t="shared" si="647"/>
        <v>Usa Transporte</v>
      </c>
      <c r="AP1582">
        <v>0</v>
      </c>
      <c r="AQ1582" t="str">
        <f t="shared" si="648"/>
        <v>No camina</v>
      </c>
      <c r="AR1582">
        <v>1</v>
      </c>
      <c r="AS1582" t="str">
        <f t="shared" si="649"/>
        <v>Es Obeso</v>
      </c>
    </row>
    <row r="1583" spans="1:45" x14ac:dyDescent="0.25">
      <c r="A1583">
        <v>1</v>
      </c>
      <c r="B1583" t="str">
        <f t="shared" si="624"/>
        <v>M</v>
      </c>
      <c r="C1583">
        <v>31689773</v>
      </c>
      <c r="D1583">
        <f t="shared" si="625"/>
        <v>86</v>
      </c>
      <c r="E1583">
        <f t="shared" si="626"/>
        <v>86</v>
      </c>
      <c r="F1583" t="str">
        <f t="shared" si="627"/>
        <v>75-100</v>
      </c>
      <c r="G1583">
        <v>1</v>
      </c>
      <c r="H1583" t="str">
        <f t="shared" si="628"/>
        <v>Pariente gordo</v>
      </c>
      <c r="I1583">
        <v>1</v>
      </c>
      <c r="J1583" t="str">
        <f t="shared" si="629"/>
        <v>Hipercaloricos</v>
      </c>
      <c r="K1583">
        <v>2821727</v>
      </c>
      <c r="L1583">
        <f t="shared" si="630"/>
        <v>1</v>
      </c>
      <c r="M1583" t="str">
        <f t="shared" si="631"/>
        <v>Suele comer</v>
      </c>
      <c r="N1583">
        <v>3</v>
      </c>
      <c r="O1583">
        <f t="shared" si="632"/>
        <v>2</v>
      </c>
      <c r="P1583" t="str">
        <f t="shared" si="633"/>
        <v>Mas de 3</v>
      </c>
      <c r="Q1583">
        <v>1</v>
      </c>
      <c r="R1583" t="str">
        <f t="shared" si="634"/>
        <v>A veces</v>
      </c>
      <c r="S1583">
        <v>0</v>
      </c>
      <c r="T1583" t="str">
        <f t="shared" si="635"/>
        <v>No fuma</v>
      </c>
      <c r="U1583">
        <v>2173279</v>
      </c>
      <c r="V1583">
        <f t="shared" si="636"/>
        <v>2</v>
      </c>
      <c r="W1583" t="str">
        <f t="shared" si="637"/>
        <v>Siempre</v>
      </c>
      <c r="X1583">
        <v>0</v>
      </c>
      <c r="Y1583" t="str">
        <f t="shared" si="638"/>
        <v>No controla</v>
      </c>
      <c r="Z1583">
        <v>1096556</v>
      </c>
      <c r="AA1583">
        <f t="shared" si="639"/>
        <v>3</v>
      </c>
      <c r="AB1583" t="str">
        <f t="shared" si="640"/>
        <v>Siempre</v>
      </c>
      <c r="AC1583">
        <v>0.23285800000000001</v>
      </c>
      <c r="AD1583">
        <f t="shared" si="641"/>
        <v>0</v>
      </c>
      <c r="AE1583" t="str">
        <f t="shared" si="642"/>
        <v>Nunca</v>
      </c>
      <c r="AF1583">
        <v>1</v>
      </c>
      <c r="AG1583" t="str">
        <f t="shared" si="643"/>
        <v>A veces</v>
      </c>
      <c r="AH1583">
        <v>1</v>
      </c>
      <c r="AI1583" t="str">
        <f t="shared" si="644"/>
        <v>Usa auto</v>
      </c>
      <c r="AJ1583">
        <v>0</v>
      </c>
      <c r="AK1583" t="str">
        <f t="shared" si="645"/>
        <v>No usa</v>
      </c>
      <c r="AL1583">
        <v>0</v>
      </c>
      <c r="AM1583" t="str">
        <f t="shared" si="646"/>
        <v>No usa</v>
      </c>
      <c r="AN1583">
        <v>0</v>
      </c>
      <c r="AO1583" t="str">
        <f t="shared" si="647"/>
        <v>No usa</v>
      </c>
      <c r="AP1583">
        <v>0</v>
      </c>
      <c r="AQ1583" t="str">
        <f t="shared" si="648"/>
        <v>No camina</v>
      </c>
      <c r="AR1583">
        <v>1</v>
      </c>
      <c r="AS1583" t="str">
        <f t="shared" si="649"/>
        <v>Es Obeso</v>
      </c>
    </row>
    <row r="1584" spans="1:45" x14ac:dyDescent="0.25">
      <c r="A1584">
        <v>1</v>
      </c>
      <c r="B1584" t="str">
        <f t="shared" si="624"/>
        <v>M</v>
      </c>
      <c r="C1584">
        <v>30242597</v>
      </c>
      <c r="D1584">
        <f t="shared" si="625"/>
        <v>82</v>
      </c>
      <c r="E1584">
        <f t="shared" si="626"/>
        <v>82</v>
      </c>
      <c r="F1584" t="str">
        <f t="shared" si="627"/>
        <v>75-100</v>
      </c>
      <c r="G1584">
        <v>1</v>
      </c>
      <c r="H1584" t="str">
        <f t="shared" si="628"/>
        <v>Pariente gordo</v>
      </c>
      <c r="I1584">
        <v>1</v>
      </c>
      <c r="J1584" t="str">
        <f t="shared" si="629"/>
        <v>Hipercaloricos</v>
      </c>
      <c r="K1584">
        <v>2312528</v>
      </c>
      <c r="L1584">
        <f t="shared" si="630"/>
        <v>1</v>
      </c>
      <c r="M1584" t="str">
        <f t="shared" si="631"/>
        <v>Suele comer</v>
      </c>
      <c r="N1584">
        <v>3</v>
      </c>
      <c r="O1584">
        <f t="shared" si="632"/>
        <v>2</v>
      </c>
      <c r="P1584" t="str">
        <f t="shared" si="633"/>
        <v>Mas de 3</v>
      </c>
      <c r="Q1584">
        <v>1</v>
      </c>
      <c r="R1584" t="str">
        <f t="shared" si="634"/>
        <v>A veces</v>
      </c>
      <c r="S1584">
        <v>0</v>
      </c>
      <c r="T1584" t="str">
        <f t="shared" si="635"/>
        <v>No fuma</v>
      </c>
      <c r="U1584">
        <v>2208068</v>
      </c>
      <c r="V1584">
        <f t="shared" si="636"/>
        <v>2</v>
      </c>
      <c r="W1584" t="str">
        <f t="shared" si="637"/>
        <v>Siempre</v>
      </c>
      <c r="X1584">
        <v>0</v>
      </c>
      <c r="Y1584" t="str">
        <f t="shared" si="638"/>
        <v>No controla</v>
      </c>
      <c r="Z1584">
        <v>107672</v>
      </c>
      <c r="AA1584">
        <f t="shared" si="639"/>
        <v>2</v>
      </c>
      <c r="AB1584" t="str">
        <f t="shared" si="640"/>
        <v>Usualmente</v>
      </c>
      <c r="AC1584">
        <v>1035711</v>
      </c>
      <c r="AD1584">
        <f t="shared" si="641"/>
        <v>2</v>
      </c>
      <c r="AE1584" t="str">
        <f t="shared" si="642"/>
        <v>Siempre</v>
      </c>
      <c r="AF1584">
        <v>1</v>
      </c>
      <c r="AG1584" t="str">
        <f t="shared" si="643"/>
        <v>A veces</v>
      </c>
      <c r="AH1584">
        <v>1</v>
      </c>
      <c r="AI1584" t="str">
        <f t="shared" si="644"/>
        <v>Usa auto</v>
      </c>
      <c r="AJ1584">
        <v>0</v>
      </c>
      <c r="AK1584" t="str">
        <f t="shared" si="645"/>
        <v>No usa</v>
      </c>
      <c r="AL1584">
        <v>0</v>
      </c>
      <c r="AM1584" t="str">
        <f t="shared" si="646"/>
        <v>No usa</v>
      </c>
      <c r="AN1584">
        <v>0</v>
      </c>
      <c r="AO1584" t="str">
        <f t="shared" si="647"/>
        <v>No usa</v>
      </c>
      <c r="AP1584">
        <v>0</v>
      </c>
      <c r="AQ1584" t="str">
        <f t="shared" si="648"/>
        <v>No camina</v>
      </c>
      <c r="AR1584">
        <v>1</v>
      </c>
      <c r="AS1584" t="str">
        <f t="shared" si="649"/>
        <v>Es Obeso</v>
      </c>
    </row>
    <row r="1585" spans="1:45" x14ac:dyDescent="0.25">
      <c r="A1585">
        <v>1</v>
      </c>
      <c r="B1585" t="str">
        <f t="shared" si="624"/>
        <v>M</v>
      </c>
      <c r="C1585">
        <v>31346845</v>
      </c>
      <c r="D1585">
        <f t="shared" si="625"/>
        <v>85</v>
      </c>
      <c r="E1585">
        <f t="shared" si="626"/>
        <v>85</v>
      </c>
      <c r="F1585" t="str">
        <f t="shared" si="627"/>
        <v>75-100</v>
      </c>
      <c r="G1585">
        <v>1</v>
      </c>
      <c r="H1585" t="str">
        <f t="shared" si="628"/>
        <v>Pariente gordo</v>
      </c>
      <c r="I1585">
        <v>1</v>
      </c>
      <c r="J1585" t="str">
        <f t="shared" si="629"/>
        <v>Hipercaloricos</v>
      </c>
      <c r="K1585">
        <v>2938801</v>
      </c>
      <c r="L1585">
        <f t="shared" si="630"/>
        <v>1</v>
      </c>
      <c r="M1585" t="str">
        <f t="shared" si="631"/>
        <v>Suele comer</v>
      </c>
      <c r="N1585">
        <v>3</v>
      </c>
      <c r="O1585">
        <f t="shared" si="632"/>
        <v>2</v>
      </c>
      <c r="P1585" t="str">
        <f t="shared" si="633"/>
        <v>Mas de 3</v>
      </c>
      <c r="Q1585">
        <v>1</v>
      </c>
      <c r="R1585" t="str">
        <f t="shared" si="634"/>
        <v>A veces</v>
      </c>
      <c r="S1585">
        <v>1</v>
      </c>
      <c r="T1585" t="str">
        <f t="shared" si="635"/>
        <v>Fuma</v>
      </c>
      <c r="U1585">
        <v>1478994</v>
      </c>
      <c r="V1585">
        <f t="shared" si="636"/>
        <v>2</v>
      </c>
      <c r="W1585" t="str">
        <f t="shared" si="637"/>
        <v>Siempre</v>
      </c>
      <c r="X1585">
        <v>0</v>
      </c>
      <c r="Y1585" t="str">
        <f t="shared" si="638"/>
        <v>No controla</v>
      </c>
      <c r="Z1585">
        <v>0.94676300000000002</v>
      </c>
      <c r="AA1585">
        <f t="shared" si="639"/>
        <v>0</v>
      </c>
      <c r="AB1585" t="str">
        <f t="shared" si="640"/>
        <v>Nunca</v>
      </c>
      <c r="AC1585">
        <v>1360463</v>
      </c>
      <c r="AD1585">
        <f t="shared" si="641"/>
        <v>2</v>
      </c>
      <c r="AE1585" t="str">
        <f t="shared" si="642"/>
        <v>Siempre</v>
      </c>
      <c r="AF1585">
        <v>1</v>
      </c>
      <c r="AG1585" t="str">
        <f t="shared" si="643"/>
        <v>A veces</v>
      </c>
      <c r="AH1585">
        <v>0</v>
      </c>
      <c r="AI1585" t="str">
        <f t="shared" si="644"/>
        <v>No usa</v>
      </c>
      <c r="AJ1585">
        <v>0</v>
      </c>
      <c r="AK1585" t="str">
        <f t="shared" si="645"/>
        <v>No usa</v>
      </c>
      <c r="AL1585">
        <v>0</v>
      </c>
      <c r="AM1585" t="str">
        <f t="shared" si="646"/>
        <v>No usa</v>
      </c>
      <c r="AN1585">
        <v>1</v>
      </c>
      <c r="AO1585" t="str">
        <f t="shared" si="647"/>
        <v>Usa Transporte</v>
      </c>
      <c r="AP1585">
        <v>0</v>
      </c>
      <c r="AQ1585" t="str">
        <f t="shared" si="648"/>
        <v>No camina</v>
      </c>
      <c r="AR1585">
        <v>1</v>
      </c>
      <c r="AS1585" t="str">
        <f t="shared" si="649"/>
        <v>Es Obeso</v>
      </c>
    </row>
    <row r="1586" spans="1:45" x14ac:dyDescent="0.25">
      <c r="A1586">
        <v>1</v>
      </c>
      <c r="B1586" t="str">
        <f t="shared" si="624"/>
        <v>M</v>
      </c>
      <c r="C1586">
        <v>30577343</v>
      </c>
      <c r="D1586">
        <f t="shared" si="625"/>
        <v>83</v>
      </c>
      <c r="E1586">
        <f t="shared" si="626"/>
        <v>83</v>
      </c>
      <c r="F1586" t="str">
        <f t="shared" si="627"/>
        <v>75-100</v>
      </c>
      <c r="G1586">
        <v>1</v>
      </c>
      <c r="H1586" t="str">
        <f t="shared" si="628"/>
        <v>Pariente gordo</v>
      </c>
      <c r="I1586">
        <v>1</v>
      </c>
      <c r="J1586" t="str">
        <f t="shared" si="629"/>
        <v>Hipercaloricos</v>
      </c>
      <c r="K1586">
        <v>2050619</v>
      </c>
      <c r="L1586">
        <f t="shared" si="630"/>
        <v>1</v>
      </c>
      <c r="M1586" t="str">
        <f t="shared" si="631"/>
        <v>Suele comer</v>
      </c>
      <c r="N1586">
        <v>3</v>
      </c>
      <c r="O1586">
        <f t="shared" si="632"/>
        <v>2</v>
      </c>
      <c r="P1586" t="str">
        <f t="shared" si="633"/>
        <v>Mas de 3</v>
      </c>
      <c r="Q1586">
        <v>1</v>
      </c>
      <c r="R1586" t="str">
        <f t="shared" si="634"/>
        <v>A veces</v>
      </c>
      <c r="S1586">
        <v>1</v>
      </c>
      <c r="T1586" t="str">
        <f t="shared" si="635"/>
        <v>Fuma</v>
      </c>
      <c r="U1586">
        <v>1515183</v>
      </c>
      <c r="V1586">
        <f t="shared" si="636"/>
        <v>2</v>
      </c>
      <c r="W1586" t="str">
        <f t="shared" si="637"/>
        <v>Siempre</v>
      </c>
      <c r="X1586">
        <v>0</v>
      </c>
      <c r="Y1586" t="str">
        <f t="shared" si="638"/>
        <v>No controla</v>
      </c>
      <c r="Z1586">
        <v>0.84981099999999998</v>
      </c>
      <c r="AA1586">
        <f t="shared" si="639"/>
        <v>0</v>
      </c>
      <c r="AB1586" t="str">
        <f t="shared" si="640"/>
        <v>Nunca</v>
      </c>
      <c r="AC1586">
        <v>0.26190099999999999</v>
      </c>
      <c r="AD1586">
        <f t="shared" si="641"/>
        <v>0</v>
      </c>
      <c r="AE1586" t="str">
        <f t="shared" si="642"/>
        <v>Nunca</v>
      </c>
      <c r="AF1586">
        <v>1</v>
      </c>
      <c r="AG1586" t="str">
        <f t="shared" si="643"/>
        <v>A veces</v>
      </c>
      <c r="AH1586">
        <v>0</v>
      </c>
      <c r="AI1586" t="str">
        <f t="shared" si="644"/>
        <v>No usa</v>
      </c>
      <c r="AJ1586">
        <v>0</v>
      </c>
      <c r="AK1586" t="str">
        <f t="shared" si="645"/>
        <v>No usa</v>
      </c>
      <c r="AL1586">
        <v>0</v>
      </c>
      <c r="AM1586" t="str">
        <f t="shared" si="646"/>
        <v>No usa</v>
      </c>
      <c r="AN1586">
        <v>1</v>
      </c>
      <c r="AO1586" t="str">
        <f t="shared" si="647"/>
        <v>Usa Transporte</v>
      </c>
      <c r="AP1586">
        <v>0</v>
      </c>
      <c r="AQ1586" t="str">
        <f t="shared" si="648"/>
        <v>No camina</v>
      </c>
      <c r="AR1586">
        <v>1</v>
      </c>
      <c r="AS1586" t="str">
        <f t="shared" si="649"/>
        <v>Es Obeso</v>
      </c>
    </row>
    <row r="1587" spans="1:45" x14ac:dyDescent="0.25">
      <c r="A1587">
        <v>1</v>
      </c>
      <c r="B1587" t="str">
        <f t="shared" si="624"/>
        <v>M</v>
      </c>
      <c r="C1587">
        <v>25124595</v>
      </c>
      <c r="D1587">
        <f t="shared" si="625"/>
        <v>68</v>
      </c>
      <c r="E1587">
        <f t="shared" si="626"/>
        <v>68</v>
      </c>
      <c r="F1587" t="str">
        <f t="shared" si="627"/>
        <v>50-75</v>
      </c>
      <c r="G1587">
        <v>1</v>
      </c>
      <c r="H1587" t="str">
        <f t="shared" si="628"/>
        <v>Pariente gordo</v>
      </c>
      <c r="I1587">
        <v>1</v>
      </c>
      <c r="J1587" t="str">
        <f t="shared" si="629"/>
        <v>Hipercaloricos</v>
      </c>
      <c r="K1587">
        <v>1457758</v>
      </c>
      <c r="L1587">
        <f t="shared" si="630"/>
        <v>1</v>
      </c>
      <c r="M1587" t="str">
        <f t="shared" si="631"/>
        <v>Suele comer</v>
      </c>
      <c r="N1587">
        <v>3</v>
      </c>
      <c r="O1587">
        <f t="shared" si="632"/>
        <v>2</v>
      </c>
      <c r="P1587" t="str">
        <f t="shared" si="633"/>
        <v>Mas de 3</v>
      </c>
      <c r="Q1587">
        <v>1</v>
      </c>
      <c r="R1587" t="str">
        <f t="shared" si="634"/>
        <v>A veces</v>
      </c>
      <c r="S1587">
        <v>0</v>
      </c>
      <c r="T1587" t="str">
        <f t="shared" si="635"/>
        <v>No fuma</v>
      </c>
      <c r="U1587">
        <v>2020249</v>
      </c>
      <c r="V1587">
        <f t="shared" si="636"/>
        <v>2</v>
      </c>
      <c r="W1587" t="str">
        <f t="shared" si="637"/>
        <v>Siempre</v>
      </c>
      <c r="X1587">
        <v>0</v>
      </c>
      <c r="Y1587" t="str">
        <f t="shared" si="638"/>
        <v>No controla</v>
      </c>
      <c r="Z1587">
        <v>1556709</v>
      </c>
      <c r="AA1587">
        <f t="shared" si="639"/>
        <v>3</v>
      </c>
      <c r="AB1587" t="str">
        <f t="shared" si="640"/>
        <v>Siempre</v>
      </c>
      <c r="AC1587">
        <v>1.33E-3</v>
      </c>
      <c r="AD1587">
        <f t="shared" si="641"/>
        <v>0</v>
      </c>
      <c r="AE1587" t="str">
        <f t="shared" si="642"/>
        <v>Nunca</v>
      </c>
      <c r="AF1587">
        <v>1</v>
      </c>
      <c r="AG1587" t="str">
        <f t="shared" si="643"/>
        <v>A veces</v>
      </c>
      <c r="AH1587">
        <v>0</v>
      </c>
      <c r="AI1587" t="str">
        <f t="shared" si="644"/>
        <v>No usa</v>
      </c>
      <c r="AJ1587">
        <v>0</v>
      </c>
      <c r="AK1587" t="str">
        <f t="shared" si="645"/>
        <v>No usa</v>
      </c>
      <c r="AL1587">
        <v>0</v>
      </c>
      <c r="AM1587" t="str">
        <f t="shared" si="646"/>
        <v>No usa</v>
      </c>
      <c r="AN1587">
        <v>1</v>
      </c>
      <c r="AO1587" t="str">
        <f t="shared" si="647"/>
        <v>Usa Transporte</v>
      </c>
      <c r="AP1587">
        <v>0</v>
      </c>
      <c r="AQ1587" t="str">
        <f t="shared" si="648"/>
        <v>No camina</v>
      </c>
      <c r="AR1587">
        <v>1</v>
      </c>
      <c r="AS1587" t="str">
        <f t="shared" si="649"/>
        <v>Es Obeso</v>
      </c>
    </row>
    <row r="1588" spans="1:45" x14ac:dyDescent="0.25">
      <c r="A1588">
        <v>1</v>
      </c>
      <c r="B1588" t="str">
        <f t="shared" si="624"/>
        <v>M</v>
      </c>
      <c r="C1588">
        <v>25509034</v>
      </c>
      <c r="D1588">
        <f t="shared" si="625"/>
        <v>69</v>
      </c>
      <c r="E1588">
        <f t="shared" si="626"/>
        <v>69</v>
      </c>
      <c r="F1588" t="str">
        <f t="shared" si="627"/>
        <v>50-75</v>
      </c>
      <c r="G1588">
        <v>1</v>
      </c>
      <c r="H1588" t="str">
        <f t="shared" si="628"/>
        <v>Pariente gordo</v>
      </c>
      <c r="I1588">
        <v>1</v>
      </c>
      <c r="J1588" t="str">
        <f t="shared" si="629"/>
        <v>Hipercaloricos</v>
      </c>
      <c r="K1588">
        <v>219331</v>
      </c>
      <c r="L1588">
        <f t="shared" si="630"/>
        <v>1</v>
      </c>
      <c r="M1588" t="str">
        <f t="shared" si="631"/>
        <v>Suele comer</v>
      </c>
      <c r="N1588">
        <v>3</v>
      </c>
      <c r="O1588">
        <f t="shared" si="632"/>
        <v>2</v>
      </c>
      <c r="P1588" t="str">
        <f t="shared" si="633"/>
        <v>Mas de 3</v>
      </c>
      <c r="Q1588">
        <v>1</v>
      </c>
      <c r="R1588" t="str">
        <f t="shared" si="634"/>
        <v>A veces</v>
      </c>
      <c r="S1588">
        <v>0</v>
      </c>
      <c r="T1588" t="str">
        <f t="shared" si="635"/>
        <v>No fuma</v>
      </c>
      <c r="U1588">
        <v>2089983</v>
      </c>
      <c r="V1588">
        <f t="shared" si="636"/>
        <v>2</v>
      </c>
      <c r="W1588" t="str">
        <f t="shared" si="637"/>
        <v>Siempre</v>
      </c>
      <c r="X1588">
        <v>0</v>
      </c>
      <c r="Y1588" t="str">
        <f t="shared" si="638"/>
        <v>No controla</v>
      </c>
      <c r="Z1588">
        <v>1360994</v>
      </c>
      <c r="AA1588">
        <f t="shared" si="639"/>
        <v>3</v>
      </c>
      <c r="AB1588" t="str">
        <f t="shared" si="640"/>
        <v>Siempre</v>
      </c>
      <c r="AC1588">
        <v>0.85743800000000003</v>
      </c>
      <c r="AD1588">
        <f t="shared" si="641"/>
        <v>0</v>
      </c>
      <c r="AE1588" t="str">
        <f t="shared" si="642"/>
        <v>Nunca</v>
      </c>
      <c r="AF1588">
        <v>1</v>
      </c>
      <c r="AG1588" t="str">
        <f t="shared" si="643"/>
        <v>A veces</v>
      </c>
      <c r="AH1588">
        <v>0</v>
      </c>
      <c r="AI1588" t="str">
        <f t="shared" si="644"/>
        <v>No usa</v>
      </c>
      <c r="AJ1588">
        <v>0</v>
      </c>
      <c r="AK1588" t="str">
        <f t="shared" si="645"/>
        <v>No usa</v>
      </c>
      <c r="AL1588">
        <v>0</v>
      </c>
      <c r="AM1588" t="str">
        <f t="shared" si="646"/>
        <v>No usa</v>
      </c>
      <c r="AN1588">
        <v>1</v>
      </c>
      <c r="AO1588" t="str">
        <f t="shared" si="647"/>
        <v>Usa Transporte</v>
      </c>
      <c r="AP1588">
        <v>0</v>
      </c>
      <c r="AQ1588" t="str">
        <f t="shared" si="648"/>
        <v>No camina</v>
      </c>
      <c r="AR1588">
        <v>1</v>
      </c>
      <c r="AS1588" t="str">
        <f t="shared" si="649"/>
        <v>Es Obeso</v>
      </c>
    </row>
    <row r="1589" spans="1:45" x14ac:dyDescent="0.25">
      <c r="A1589">
        <v>1</v>
      </c>
      <c r="B1589" t="str">
        <f t="shared" si="624"/>
        <v>M</v>
      </c>
      <c r="C1589">
        <v>25478662</v>
      </c>
      <c r="D1589">
        <f t="shared" si="625"/>
        <v>69</v>
      </c>
      <c r="E1589">
        <f t="shared" si="626"/>
        <v>69</v>
      </c>
      <c r="F1589" t="str">
        <f t="shared" si="627"/>
        <v>50-75</v>
      </c>
      <c r="G1589">
        <v>1</v>
      </c>
      <c r="H1589" t="str">
        <f t="shared" si="628"/>
        <v>Pariente gordo</v>
      </c>
      <c r="I1589">
        <v>1</v>
      </c>
      <c r="J1589" t="str">
        <f t="shared" si="629"/>
        <v>Hipercaloricos</v>
      </c>
      <c r="K1589">
        <v>2028571</v>
      </c>
      <c r="L1589">
        <f t="shared" si="630"/>
        <v>1</v>
      </c>
      <c r="M1589" t="str">
        <f t="shared" si="631"/>
        <v>Suele comer</v>
      </c>
      <c r="N1589">
        <v>3</v>
      </c>
      <c r="O1589">
        <f t="shared" si="632"/>
        <v>2</v>
      </c>
      <c r="P1589" t="str">
        <f t="shared" si="633"/>
        <v>Mas de 3</v>
      </c>
      <c r="Q1589">
        <v>1</v>
      </c>
      <c r="R1589" t="str">
        <f t="shared" si="634"/>
        <v>A veces</v>
      </c>
      <c r="S1589">
        <v>0</v>
      </c>
      <c r="T1589" t="str">
        <f t="shared" si="635"/>
        <v>No fuma</v>
      </c>
      <c r="U1589">
        <v>2530428</v>
      </c>
      <c r="V1589">
        <f t="shared" si="636"/>
        <v>2</v>
      </c>
      <c r="W1589" t="str">
        <f t="shared" si="637"/>
        <v>Siempre</v>
      </c>
      <c r="X1589">
        <v>0</v>
      </c>
      <c r="Y1589" t="str">
        <f t="shared" si="638"/>
        <v>No controla</v>
      </c>
      <c r="Z1589">
        <v>131257</v>
      </c>
      <c r="AA1589">
        <f t="shared" si="639"/>
        <v>2</v>
      </c>
      <c r="AB1589" t="str">
        <f t="shared" si="640"/>
        <v>Usualmente</v>
      </c>
      <c r="AC1589">
        <v>6.6805000000000003E-2</v>
      </c>
      <c r="AD1589">
        <f t="shared" si="641"/>
        <v>0</v>
      </c>
      <c r="AE1589" t="str">
        <f t="shared" si="642"/>
        <v>Nunca</v>
      </c>
      <c r="AF1589">
        <v>1</v>
      </c>
      <c r="AG1589" t="str">
        <f t="shared" si="643"/>
        <v>A veces</v>
      </c>
      <c r="AH1589">
        <v>0</v>
      </c>
      <c r="AI1589" t="str">
        <f t="shared" si="644"/>
        <v>No usa</v>
      </c>
      <c r="AJ1589">
        <v>0</v>
      </c>
      <c r="AK1589" t="str">
        <f t="shared" si="645"/>
        <v>No usa</v>
      </c>
      <c r="AL1589">
        <v>0</v>
      </c>
      <c r="AM1589" t="str">
        <f t="shared" si="646"/>
        <v>No usa</v>
      </c>
      <c r="AN1589">
        <v>1</v>
      </c>
      <c r="AO1589" t="str">
        <f t="shared" si="647"/>
        <v>Usa Transporte</v>
      </c>
      <c r="AP1589">
        <v>0</v>
      </c>
      <c r="AQ1589" t="str">
        <f t="shared" si="648"/>
        <v>No camina</v>
      </c>
      <c r="AR1589">
        <v>1</v>
      </c>
      <c r="AS1589" t="str">
        <f t="shared" si="649"/>
        <v>Es Obeso</v>
      </c>
    </row>
    <row r="1590" spans="1:45" x14ac:dyDescent="0.25">
      <c r="A1590">
        <v>1</v>
      </c>
      <c r="B1590" t="str">
        <f t="shared" si="624"/>
        <v>M</v>
      </c>
      <c r="C1590">
        <v>25100513</v>
      </c>
      <c r="D1590">
        <f t="shared" si="625"/>
        <v>68</v>
      </c>
      <c r="E1590">
        <f t="shared" si="626"/>
        <v>68</v>
      </c>
      <c r="F1590" t="str">
        <f t="shared" si="627"/>
        <v>50-75</v>
      </c>
      <c r="G1590">
        <v>1</v>
      </c>
      <c r="H1590" t="str">
        <f t="shared" si="628"/>
        <v>Pariente gordo</v>
      </c>
      <c r="I1590">
        <v>1</v>
      </c>
      <c r="J1590" t="str">
        <f t="shared" si="629"/>
        <v>Hipercaloricos</v>
      </c>
      <c r="K1590">
        <v>1455602</v>
      </c>
      <c r="L1590">
        <f t="shared" si="630"/>
        <v>1</v>
      </c>
      <c r="M1590" t="str">
        <f t="shared" si="631"/>
        <v>Suele comer</v>
      </c>
      <c r="N1590">
        <v>3</v>
      </c>
      <c r="O1590">
        <f t="shared" si="632"/>
        <v>2</v>
      </c>
      <c r="P1590" t="str">
        <f t="shared" si="633"/>
        <v>Mas de 3</v>
      </c>
      <c r="Q1590">
        <v>1</v>
      </c>
      <c r="R1590" t="str">
        <f t="shared" si="634"/>
        <v>A veces</v>
      </c>
      <c r="S1590">
        <v>0</v>
      </c>
      <c r="T1590" t="str">
        <f t="shared" si="635"/>
        <v>No fuma</v>
      </c>
      <c r="U1590">
        <v>2363307</v>
      </c>
      <c r="V1590">
        <f t="shared" si="636"/>
        <v>2</v>
      </c>
      <c r="W1590" t="str">
        <f t="shared" si="637"/>
        <v>Siempre</v>
      </c>
      <c r="X1590">
        <v>0</v>
      </c>
      <c r="Y1590" t="str">
        <f t="shared" si="638"/>
        <v>No controla</v>
      </c>
      <c r="Z1590">
        <v>1144683</v>
      </c>
      <c r="AA1590">
        <f t="shared" si="639"/>
        <v>3</v>
      </c>
      <c r="AB1590" t="str">
        <f t="shared" si="640"/>
        <v>Siempre</v>
      </c>
      <c r="AC1590">
        <v>0.101026</v>
      </c>
      <c r="AD1590">
        <f t="shared" si="641"/>
        <v>0</v>
      </c>
      <c r="AE1590" t="str">
        <f t="shared" si="642"/>
        <v>Nunca</v>
      </c>
      <c r="AF1590">
        <v>1</v>
      </c>
      <c r="AG1590" t="str">
        <f t="shared" si="643"/>
        <v>A veces</v>
      </c>
      <c r="AH1590">
        <v>0</v>
      </c>
      <c r="AI1590" t="str">
        <f t="shared" si="644"/>
        <v>No usa</v>
      </c>
      <c r="AJ1590">
        <v>0</v>
      </c>
      <c r="AK1590" t="str">
        <f t="shared" si="645"/>
        <v>No usa</v>
      </c>
      <c r="AL1590">
        <v>0</v>
      </c>
      <c r="AM1590" t="str">
        <f t="shared" si="646"/>
        <v>No usa</v>
      </c>
      <c r="AN1590">
        <v>1</v>
      </c>
      <c r="AO1590" t="str">
        <f t="shared" si="647"/>
        <v>Usa Transporte</v>
      </c>
      <c r="AP1590">
        <v>0</v>
      </c>
      <c r="AQ1590" t="str">
        <f t="shared" si="648"/>
        <v>No camina</v>
      </c>
      <c r="AR1590">
        <v>1</v>
      </c>
      <c r="AS1590" t="str">
        <f t="shared" si="649"/>
        <v>Es Obeso</v>
      </c>
    </row>
    <row r="1591" spans="1:45" x14ac:dyDescent="0.25">
      <c r="A1591">
        <v>1</v>
      </c>
      <c r="B1591" t="str">
        <f t="shared" si="624"/>
        <v>M</v>
      </c>
      <c r="C1591">
        <v>38523646</v>
      </c>
      <c r="D1591">
        <f t="shared" si="625"/>
        <v>105</v>
      </c>
      <c r="E1591">
        <f t="shared" si="626"/>
        <v>100</v>
      </c>
      <c r="F1591" t="str">
        <f t="shared" si="627"/>
        <v>75-100</v>
      </c>
      <c r="G1591">
        <v>1</v>
      </c>
      <c r="H1591" t="str">
        <f t="shared" si="628"/>
        <v>Pariente gordo</v>
      </c>
      <c r="I1591">
        <v>1</v>
      </c>
      <c r="J1591" t="str">
        <f t="shared" si="629"/>
        <v>Hipercaloricos</v>
      </c>
      <c r="K1591">
        <v>2177896</v>
      </c>
      <c r="L1591">
        <f t="shared" si="630"/>
        <v>1</v>
      </c>
      <c r="M1591" t="str">
        <f t="shared" si="631"/>
        <v>Suele comer</v>
      </c>
      <c r="N1591">
        <v>2987652</v>
      </c>
      <c r="O1591">
        <f t="shared" si="632"/>
        <v>2</v>
      </c>
      <c r="P1591" t="str">
        <f t="shared" si="633"/>
        <v>Mas de 3</v>
      </c>
      <c r="Q1591">
        <v>1</v>
      </c>
      <c r="R1591" t="str">
        <f t="shared" si="634"/>
        <v>A veces</v>
      </c>
      <c r="S1591">
        <v>0</v>
      </c>
      <c r="T1591" t="str">
        <f t="shared" si="635"/>
        <v>No fuma</v>
      </c>
      <c r="U1591">
        <v>1745095</v>
      </c>
      <c r="V1591">
        <f t="shared" si="636"/>
        <v>2</v>
      </c>
      <c r="W1591" t="str">
        <f t="shared" si="637"/>
        <v>Siempre</v>
      </c>
      <c r="X1591">
        <v>0</v>
      </c>
      <c r="Y1591" t="str">
        <f t="shared" si="638"/>
        <v>No controla</v>
      </c>
      <c r="Z1591">
        <v>0.65654800000000002</v>
      </c>
      <c r="AA1591">
        <f t="shared" si="639"/>
        <v>0</v>
      </c>
      <c r="AB1591" t="str">
        <f t="shared" si="640"/>
        <v>Nunca</v>
      </c>
      <c r="AC1591">
        <v>0</v>
      </c>
      <c r="AD1591">
        <f t="shared" si="641"/>
        <v>0</v>
      </c>
      <c r="AE1591" t="str">
        <f t="shared" si="642"/>
        <v>Nunca</v>
      </c>
      <c r="AF1591">
        <v>1</v>
      </c>
      <c r="AG1591" t="str">
        <f t="shared" si="643"/>
        <v>A veces</v>
      </c>
      <c r="AH1591">
        <v>1</v>
      </c>
      <c r="AI1591" t="str">
        <f t="shared" si="644"/>
        <v>Usa auto</v>
      </c>
      <c r="AJ1591">
        <v>0</v>
      </c>
      <c r="AK1591" t="str">
        <f t="shared" si="645"/>
        <v>No usa</v>
      </c>
      <c r="AL1591">
        <v>0</v>
      </c>
      <c r="AM1591" t="str">
        <f t="shared" si="646"/>
        <v>No usa</v>
      </c>
      <c r="AN1591">
        <v>0</v>
      </c>
      <c r="AO1591" t="str">
        <f t="shared" si="647"/>
        <v>No usa</v>
      </c>
      <c r="AP1591">
        <v>0</v>
      </c>
      <c r="AQ1591" t="str">
        <f t="shared" si="648"/>
        <v>No camina</v>
      </c>
      <c r="AR1591">
        <v>1</v>
      </c>
      <c r="AS1591" t="str">
        <f t="shared" si="649"/>
        <v>Es Obeso</v>
      </c>
    </row>
    <row r="1592" spans="1:45" x14ac:dyDescent="0.25">
      <c r="A1592">
        <v>1</v>
      </c>
      <c r="B1592" t="str">
        <f t="shared" si="624"/>
        <v>M</v>
      </c>
      <c r="C1592">
        <v>3871216</v>
      </c>
      <c r="D1592">
        <f t="shared" si="625"/>
        <v>10</v>
      </c>
      <c r="E1592">
        <f t="shared" si="626"/>
        <v>10</v>
      </c>
      <c r="F1592" t="str">
        <f t="shared" si="627"/>
        <v>1-25</v>
      </c>
      <c r="G1592">
        <v>1</v>
      </c>
      <c r="H1592" t="str">
        <f t="shared" si="628"/>
        <v>Pariente gordo</v>
      </c>
      <c r="I1592">
        <v>1</v>
      </c>
      <c r="J1592" t="str">
        <f t="shared" si="629"/>
        <v>Hipercaloricos</v>
      </c>
      <c r="K1592">
        <v>2252382</v>
      </c>
      <c r="L1592">
        <f t="shared" si="630"/>
        <v>1</v>
      </c>
      <c r="M1592" t="str">
        <f t="shared" si="631"/>
        <v>Suele comer</v>
      </c>
      <c r="N1592">
        <v>2842848</v>
      </c>
      <c r="O1592">
        <f t="shared" si="632"/>
        <v>2</v>
      </c>
      <c r="P1592" t="str">
        <f t="shared" si="633"/>
        <v>Mas de 3</v>
      </c>
      <c r="Q1592">
        <v>1</v>
      </c>
      <c r="R1592" t="str">
        <f t="shared" si="634"/>
        <v>A veces</v>
      </c>
      <c r="S1592">
        <v>0</v>
      </c>
      <c r="T1592" t="str">
        <f t="shared" si="635"/>
        <v>No fuma</v>
      </c>
      <c r="U1592">
        <v>1879381</v>
      </c>
      <c r="V1592">
        <f t="shared" si="636"/>
        <v>2</v>
      </c>
      <c r="W1592" t="str">
        <f t="shared" si="637"/>
        <v>Siempre</v>
      </c>
      <c r="X1592">
        <v>0</v>
      </c>
      <c r="Y1592" t="str">
        <f t="shared" si="638"/>
        <v>No controla</v>
      </c>
      <c r="Z1592">
        <v>0.91938799999999998</v>
      </c>
      <c r="AA1592">
        <f t="shared" si="639"/>
        <v>0</v>
      </c>
      <c r="AB1592" t="str">
        <f t="shared" si="640"/>
        <v>Nunca</v>
      </c>
      <c r="AC1592">
        <v>0</v>
      </c>
      <c r="AD1592">
        <f t="shared" si="641"/>
        <v>0</v>
      </c>
      <c r="AE1592" t="str">
        <f t="shared" si="642"/>
        <v>Nunca</v>
      </c>
      <c r="AF1592">
        <v>1</v>
      </c>
      <c r="AG1592" t="str">
        <f t="shared" si="643"/>
        <v>A veces</v>
      </c>
      <c r="AH1592">
        <v>1</v>
      </c>
      <c r="AI1592" t="str">
        <f t="shared" si="644"/>
        <v>Usa auto</v>
      </c>
      <c r="AJ1592">
        <v>0</v>
      </c>
      <c r="AK1592" t="str">
        <f t="shared" si="645"/>
        <v>No usa</v>
      </c>
      <c r="AL1592">
        <v>0</v>
      </c>
      <c r="AM1592" t="str">
        <f t="shared" si="646"/>
        <v>No usa</v>
      </c>
      <c r="AN1592">
        <v>0</v>
      </c>
      <c r="AO1592" t="str">
        <f t="shared" si="647"/>
        <v>No usa</v>
      </c>
      <c r="AP1592">
        <v>0</v>
      </c>
      <c r="AQ1592" t="str">
        <f t="shared" si="648"/>
        <v>No camina</v>
      </c>
      <c r="AR1592">
        <v>1</v>
      </c>
      <c r="AS1592" t="str">
        <f t="shared" si="649"/>
        <v>Es Obeso</v>
      </c>
    </row>
    <row r="1593" spans="1:45" x14ac:dyDescent="0.25">
      <c r="A1593">
        <v>1</v>
      </c>
      <c r="B1593" t="str">
        <f t="shared" si="624"/>
        <v>M</v>
      </c>
      <c r="C1593">
        <v>25717522</v>
      </c>
      <c r="D1593">
        <f t="shared" si="625"/>
        <v>70</v>
      </c>
      <c r="E1593">
        <f t="shared" si="626"/>
        <v>70</v>
      </c>
      <c r="F1593" t="str">
        <f t="shared" si="627"/>
        <v>50-75</v>
      </c>
      <c r="G1593">
        <v>1</v>
      </c>
      <c r="H1593" t="str">
        <f t="shared" si="628"/>
        <v>Pariente gordo</v>
      </c>
      <c r="I1593">
        <v>1</v>
      </c>
      <c r="J1593" t="str">
        <f t="shared" si="629"/>
        <v>Hipercaloricos</v>
      </c>
      <c r="K1593">
        <v>2668949</v>
      </c>
      <c r="L1593">
        <f t="shared" si="630"/>
        <v>1</v>
      </c>
      <c r="M1593" t="str">
        <f t="shared" si="631"/>
        <v>Suele comer</v>
      </c>
      <c r="N1593">
        <v>1134321</v>
      </c>
      <c r="O1593">
        <f t="shared" si="632"/>
        <v>2</v>
      </c>
      <c r="P1593" t="str">
        <f t="shared" si="633"/>
        <v>Mas de 3</v>
      </c>
      <c r="Q1593">
        <v>1</v>
      </c>
      <c r="R1593" t="str">
        <f t="shared" si="634"/>
        <v>A veces</v>
      </c>
      <c r="S1593">
        <v>0</v>
      </c>
      <c r="T1593" t="str">
        <f t="shared" si="635"/>
        <v>No fuma</v>
      </c>
      <c r="U1593">
        <v>1279443</v>
      </c>
      <c r="V1593">
        <f t="shared" si="636"/>
        <v>2</v>
      </c>
      <c r="W1593" t="str">
        <f t="shared" si="637"/>
        <v>Siempre</v>
      </c>
      <c r="X1593">
        <v>0</v>
      </c>
      <c r="Y1593" t="str">
        <f t="shared" si="638"/>
        <v>No controla</v>
      </c>
      <c r="Z1593">
        <v>0.11243</v>
      </c>
      <c r="AA1593">
        <f t="shared" si="639"/>
        <v>0</v>
      </c>
      <c r="AB1593" t="str">
        <f t="shared" si="640"/>
        <v>Nunca</v>
      </c>
      <c r="AC1593">
        <v>1135503</v>
      </c>
      <c r="AD1593">
        <f t="shared" si="641"/>
        <v>2</v>
      </c>
      <c r="AE1593" t="str">
        <f t="shared" si="642"/>
        <v>Siempre</v>
      </c>
      <c r="AF1593">
        <v>0</v>
      </c>
      <c r="AG1593" t="str">
        <f t="shared" si="643"/>
        <v>Nunca</v>
      </c>
      <c r="AH1593">
        <v>0</v>
      </c>
      <c r="AI1593" t="str">
        <f t="shared" si="644"/>
        <v>No usa</v>
      </c>
      <c r="AJ1593">
        <v>0</v>
      </c>
      <c r="AK1593" t="str">
        <f t="shared" si="645"/>
        <v>No usa</v>
      </c>
      <c r="AL1593">
        <v>0</v>
      </c>
      <c r="AM1593" t="str">
        <f t="shared" si="646"/>
        <v>No usa</v>
      </c>
      <c r="AN1593">
        <v>1</v>
      </c>
      <c r="AO1593" t="str">
        <f t="shared" si="647"/>
        <v>Usa Transporte</v>
      </c>
      <c r="AP1593">
        <v>0</v>
      </c>
      <c r="AQ1593" t="str">
        <f t="shared" si="648"/>
        <v>No camina</v>
      </c>
      <c r="AR1593">
        <v>1</v>
      </c>
      <c r="AS1593" t="str">
        <f t="shared" si="649"/>
        <v>Es Obeso</v>
      </c>
    </row>
    <row r="1594" spans="1:45" x14ac:dyDescent="0.25">
      <c r="A1594">
        <v>1</v>
      </c>
      <c r="B1594" t="str">
        <f t="shared" si="624"/>
        <v>M</v>
      </c>
      <c r="C1594">
        <v>32259623</v>
      </c>
      <c r="D1594">
        <f t="shared" si="625"/>
        <v>88</v>
      </c>
      <c r="E1594">
        <f t="shared" si="626"/>
        <v>88</v>
      </c>
      <c r="F1594" t="str">
        <f t="shared" si="627"/>
        <v>75-100</v>
      </c>
      <c r="G1594">
        <v>1</v>
      </c>
      <c r="H1594" t="str">
        <f t="shared" si="628"/>
        <v>Pariente gordo</v>
      </c>
      <c r="I1594">
        <v>1</v>
      </c>
      <c r="J1594" t="str">
        <f t="shared" si="629"/>
        <v>Hipercaloricos</v>
      </c>
      <c r="K1594">
        <v>2723953</v>
      </c>
      <c r="L1594">
        <f t="shared" si="630"/>
        <v>1</v>
      </c>
      <c r="M1594" t="str">
        <f t="shared" si="631"/>
        <v>Suele comer</v>
      </c>
      <c r="N1594">
        <v>1924168</v>
      </c>
      <c r="O1594">
        <f t="shared" si="632"/>
        <v>2</v>
      </c>
      <c r="P1594" t="str">
        <f t="shared" si="633"/>
        <v>Mas de 3</v>
      </c>
      <c r="Q1594">
        <v>1</v>
      </c>
      <c r="R1594" t="str">
        <f t="shared" si="634"/>
        <v>A veces</v>
      </c>
      <c r="S1594">
        <v>0</v>
      </c>
      <c r="T1594" t="str">
        <f t="shared" si="635"/>
        <v>No fuma</v>
      </c>
      <c r="U1594">
        <v>1</v>
      </c>
      <c r="V1594">
        <f t="shared" si="636"/>
        <v>1</v>
      </c>
      <c r="W1594" t="str">
        <f t="shared" si="637"/>
        <v>Usualmente</v>
      </c>
      <c r="X1594">
        <v>0</v>
      </c>
      <c r="Y1594" t="str">
        <f t="shared" si="638"/>
        <v>No controla</v>
      </c>
      <c r="Z1594">
        <v>1622055</v>
      </c>
      <c r="AA1594">
        <f t="shared" si="639"/>
        <v>3</v>
      </c>
      <c r="AB1594" t="str">
        <f t="shared" si="640"/>
        <v>Siempre</v>
      </c>
      <c r="AC1594">
        <v>6.9366999999999998E-2</v>
      </c>
      <c r="AD1594">
        <f t="shared" si="641"/>
        <v>0</v>
      </c>
      <c r="AE1594" t="str">
        <f t="shared" si="642"/>
        <v>Nunca</v>
      </c>
      <c r="AF1594">
        <v>0</v>
      </c>
      <c r="AG1594" t="str">
        <f t="shared" si="643"/>
        <v>Nunca</v>
      </c>
      <c r="AH1594">
        <v>0</v>
      </c>
      <c r="AI1594" t="str">
        <f t="shared" si="644"/>
        <v>No usa</v>
      </c>
      <c r="AJ1594">
        <v>0</v>
      </c>
      <c r="AK1594" t="str">
        <f t="shared" si="645"/>
        <v>No usa</v>
      </c>
      <c r="AL1594">
        <v>0</v>
      </c>
      <c r="AM1594" t="str">
        <f t="shared" si="646"/>
        <v>No usa</v>
      </c>
      <c r="AN1594">
        <v>1</v>
      </c>
      <c r="AO1594" t="str">
        <f t="shared" si="647"/>
        <v>Usa Transporte</v>
      </c>
      <c r="AP1594">
        <v>0</v>
      </c>
      <c r="AQ1594" t="str">
        <f t="shared" si="648"/>
        <v>No camina</v>
      </c>
      <c r="AR1594">
        <v>1</v>
      </c>
      <c r="AS1594" t="str">
        <f t="shared" si="649"/>
        <v>Es Obeso</v>
      </c>
    </row>
    <row r="1595" spans="1:45" x14ac:dyDescent="0.25">
      <c r="A1595">
        <v>1</v>
      </c>
      <c r="B1595" t="str">
        <f t="shared" si="624"/>
        <v>M</v>
      </c>
      <c r="C1595">
        <v>2347007</v>
      </c>
      <c r="D1595">
        <f t="shared" si="625"/>
        <v>6</v>
      </c>
      <c r="E1595">
        <f t="shared" si="626"/>
        <v>6</v>
      </c>
      <c r="F1595" t="str">
        <f t="shared" si="627"/>
        <v>1-25</v>
      </c>
      <c r="G1595">
        <v>1</v>
      </c>
      <c r="H1595" t="str">
        <f t="shared" si="628"/>
        <v>Pariente gordo</v>
      </c>
      <c r="I1595">
        <v>1</v>
      </c>
      <c r="J1595" t="str">
        <f t="shared" si="629"/>
        <v>Hipercaloricos</v>
      </c>
      <c r="K1595">
        <v>3</v>
      </c>
      <c r="L1595">
        <f t="shared" si="630"/>
        <v>1</v>
      </c>
      <c r="M1595" t="str">
        <f t="shared" si="631"/>
        <v>Suele comer</v>
      </c>
      <c r="N1595">
        <v>2701689</v>
      </c>
      <c r="O1595">
        <f t="shared" si="632"/>
        <v>2</v>
      </c>
      <c r="P1595" t="str">
        <f t="shared" si="633"/>
        <v>Mas de 3</v>
      </c>
      <c r="Q1595">
        <v>1</v>
      </c>
      <c r="R1595" t="str">
        <f t="shared" si="634"/>
        <v>A veces</v>
      </c>
      <c r="S1595">
        <v>0</v>
      </c>
      <c r="T1595" t="str">
        <f t="shared" si="635"/>
        <v>No fuma</v>
      </c>
      <c r="U1595">
        <v>2738485</v>
      </c>
      <c r="V1595">
        <f t="shared" si="636"/>
        <v>2</v>
      </c>
      <c r="W1595" t="str">
        <f t="shared" si="637"/>
        <v>Siempre</v>
      </c>
      <c r="X1595">
        <v>0</v>
      </c>
      <c r="Y1595" t="str">
        <f t="shared" si="638"/>
        <v>No controla</v>
      </c>
      <c r="Z1595">
        <v>0.99225300000000005</v>
      </c>
      <c r="AA1595">
        <f t="shared" si="639"/>
        <v>0</v>
      </c>
      <c r="AB1595" t="str">
        <f t="shared" si="640"/>
        <v>Nunca</v>
      </c>
      <c r="AC1595">
        <v>0</v>
      </c>
      <c r="AD1595">
        <f t="shared" si="641"/>
        <v>0</v>
      </c>
      <c r="AE1595" t="str">
        <f t="shared" si="642"/>
        <v>Nunca</v>
      </c>
      <c r="AF1595">
        <v>1</v>
      </c>
      <c r="AG1595" t="str">
        <f t="shared" si="643"/>
        <v>A veces</v>
      </c>
      <c r="AH1595">
        <v>0</v>
      </c>
      <c r="AI1595" t="str">
        <f t="shared" si="644"/>
        <v>No usa</v>
      </c>
      <c r="AJ1595">
        <v>0</v>
      </c>
      <c r="AK1595" t="str">
        <f t="shared" si="645"/>
        <v>No usa</v>
      </c>
      <c r="AL1595">
        <v>0</v>
      </c>
      <c r="AM1595" t="str">
        <f t="shared" si="646"/>
        <v>No usa</v>
      </c>
      <c r="AN1595">
        <v>1</v>
      </c>
      <c r="AO1595" t="str">
        <f t="shared" si="647"/>
        <v>Usa Transporte</v>
      </c>
      <c r="AP1595">
        <v>0</v>
      </c>
      <c r="AQ1595" t="str">
        <f t="shared" si="648"/>
        <v>No camina</v>
      </c>
      <c r="AR1595">
        <v>1</v>
      </c>
      <c r="AS1595" t="str">
        <f t="shared" si="649"/>
        <v>Es Obeso</v>
      </c>
    </row>
    <row r="1596" spans="1:45" x14ac:dyDescent="0.25">
      <c r="A1596">
        <v>1</v>
      </c>
      <c r="B1596" t="str">
        <f t="shared" si="624"/>
        <v>M</v>
      </c>
      <c r="C1596">
        <v>24408805</v>
      </c>
      <c r="D1596">
        <f t="shared" si="625"/>
        <v>66</v>
      </c>
      <c r="E1596">
        <f t="shared" si="626"/>
        <v>66</v>
      </c>
      <c r="F1596" t="str">
        <f t="shared" si="627"/>
        <v>50-75</v>
      </c>
      <c r="G1596">
        <v>1</v>
      </c>
      <c r="H1596" t="str">
        <f t="shared" si="628"/>
        <v>Pariente gordo</v>
      </c>
      <c r="I1596">
        <v>1</v>
      </c>
      <c r="J1596" t="str">
        <f t="shared" si="629"/>
        <v>Hipercaloricos</v>
      </c>
      <c r="K1596">
        <v>2736298</v>
      </c>
      <c r="L1596">
        <f t="shared" si="630"/>
        <v>1</v>
      </c>
      <c r="M1596" t="str">
        <f t="shared" si="631"/>
        <v>Suele comer</v>
      </c>
      <c r="N1596">
        <v>2992903</v>
      </c>
      <c r="O1596">
        <f t="shared" si="632"/>
        <v>2</v>
      </c>
      <c r="P1596" t="str">
        <f t="shared" si="633"/>
        <v>Mas de 3</v>
      </c>
      <c r="Q1596">
        <v>1</v>
      </c>
      <c r="R1596" t="str">
        <f t="shared" si="634"/>
        <v>A veces</v>
      </c>
      <c r="S1596">
        <v>0</v>
      </c>
      <c r="T1596" t="str">
        <f t="shared" si="635"/>
        <v>No fuma</v>
      </c>
      <c r="U1596">
        <v>2045561</v>
      </c>
      <c r="V1596">
        <f t="shared" si="636"/>
        <v>2</v>
      </c>
      <c r="W1596" t="str">
        <f t="shared" si="637"/>
        <v>Siempre</v>
      </c>
      <c r="X1596">
        <v>0</v>
      </c>
      <c r="Y1596" t="str">
        <f t="shared" si="638"/>
        <v>No controla</v>
      </c>
      <c r="Z1596">
        <v>0.85495699999999997</v>
      </c>
      <c r="AA1596">
        <f t="shared" si="639"/>
        <v>0</v>
      </c>
      <c r="AB1596" t="str">
        <f t="shared" si="640"/>
        <v>Nunca</v>
      </c>
      <c r="AC1596">
        <v>0.428452</v>
      </c>
      <c r="AD1596">
        <f t="shared" si="641"/>
        <v>0</v>
      </c>
      <c r="AE1596" t="str">
        <f t="shared" si="642"/>
        <v>Nunca</v>
      </c>
      <c r="AF1596">
        <v>1</v>
      </c>
      <c r="AG1596" t="str">
        <f t="shared" si="643"/>
        <v>A veces</v>
      </c>
      <c r="AH1596">
        <v>0</v>
      </c>
      <c r="AI1596" t="str">
        <f t="shared" si="644"/>
        <v>No usa</v>
      </c>
      <c r="AJ1596">
        <v>0</v>
      </c>
      <c r="AK1596" t="str">
        <f t="shared" si="645"/>
        <v>No usa</v>
      </c>
      <c r="AL1596">
        <v>0</v>
      </c>
      <c r="AM1596" t="str">
        <f t="shared" si="646"/>
        <v>No usa</v>
      </c>
      <c r="AN1596">
        <v>1</v>
      </c>
      <c r="AO1596" t="str">
        <f t="shared" si="647"/>
        <v>Usa Transporte</v>
      </c>
      <c r="AP1596">
        <v>0</v>
      </c>
      <c r="AQ1596" t="str">
        <f t="shared" si="648"/>
        <v>No camina</v>
      </c>
      <c r="AR1596">
        <v>1</v>
      </c>
      <c r="AS1596" t="str">
        <f t="shared" si="649"/>
        <v>Es Obeso</v>
      </c>
    </row>
    <row r="1597" spans="1:45" x14ac:dyDescent="0.25">
      <c r="A1597">
        <v>1</v>
      </c>
      <c r="B1597" t="str">
        <f t="shared" si="624"/>
        <v>M</v>
      </c>
      <c r="C1597">
        <v>24443011</v>
      </c>
      <c r="D1597">
        <f t="shared" si="625"/>
        <v>66</v>
      </c>
      <c r="E1597">
        <f t="shared" si="626"/>
        <v>66</v>
      </c>
      <c r="F1597" t="str">
        <f t="shared" si="627"/>
        <v>50-75</v>
      </c>
      <c r="G1597">
        <v>1</v>
      </c>
      <c r="H1597" t="str">
        <f t="shared" si="628"/>
        <v>Pariente gordo</v>
      </c>
      <c r="I1597">
        <v>1</v>
      </c>
      <c r="J1597" t="str">
        <f t="shared" si="629"/>
        <v>Hipercaloricos</v>
      </c>
      <c r="K1597">
        <v>2722161</v>
      </c>
      <c r="L1597">
        <f t="shared" si="630"/>
        <v>1</v>
      </c>
      <c r="M1597" t="str">
        <f t="shared" si="631"/>
        <v>Suele comer</v>
      </c>
      <c r="N1597">
        <v>2658837</v>
      </c>
      <c r="O1597">
        <f t="shared" si="632"/>
        <v>2</v>
      </c>
      <c r="P1597" t="str">
        <f t="shared" si="633"/>
        <v>Mas de 3</v>
      </c>
      <c r="Q1597">
        <v>1</v>
      </c>
      <c r="R1597" t="str">
        <f t="shared" si="634"/>
        <v>A veces</v>
      </c>
      <c r="S1597">
        <v>0</v>
      </c>
      <c r="T1597" t="str">
        <f t="shared" si="635"/>
        <v>No fuma</v>
      </c>
      <c r="U1597">
        <v>2375707</v>
      </c>
      <c r="V1597">
        <f t="shared" si="636"/>
        <v>2</v>
      </c>
      <c r="W1597" t="str">
        <f t="shared" si="637"/>
        <v>Siempre</v>
      </c>
      <c r="X1597">
        <v>0</v>
      </c>
      <c r="Y1597" t="str">
        <f t="shared" si="638"/>
        <v>No controla</v>
      </c>
      <c r="Z1597">
        <v>1299469</v>
      </c>
      <c r="AA1597">
        <f t="shared" si="639"/>
        <v>3</v>
      </c>
      <c r="AB1597" t="str">
        <f t="shared" si="640"/>
        <v>Siempre</v>
      </c>
      <c r="AC1597">
        <v>0</v>
      </c>
      <c r="AD1597">
        <f t="shared" si="641"/>
        <v>0</v>
      </c>
      <c r="AE1597" t="str">
        <f t="shared" si="642"/>
        <v>Nunca</v>
      </c>
      <c r="AF1597">
        <v>1</v>
      </c>
      <c r="AG1597" t="str">
        <f t="shared" si="643"/>
        <v>A veces</v>
      </c>
      <c r="AH1597">
        <v>0</v>
      </c>
      <c r="AI1597" t="str">
        <f t="shared" si="644"/>
        <v>No usa</v>
      </c>
      <c r="AJ1597">
        <v>0</v>
      </c>
      <c r="AK1597" t="str">
        <f t="shared" si="645"/>
        <v>No usa</v>
      </c>
      <c r="AL1597">
        <v>0</v>
      </c>
      <c r="AM1597" t="str">
        <f t="shared" si="646"/>
        <v>No usa</v>
      </c>
      <c r="AN1597">
        <v>1</v>
      </c>
      <c r="AO1597" t="str">
        <f t="shared" si="647"/>
        <v>Usa Transporte</v>
      </c>
      <c r="AP1597">
        <v>0</v>
      </c>
      <c r="AQ1597" t="str">
        <f t="shared" si="648"/>
        <v>No camina</v>
      </c>
      <c r="AR1597">
        <v>1</v>
      </c>
      <c r="AS1597" t="str">
        <f t="shared" si="649"/>
        <v>Es Obeso</v>
      </c>
    </row>
    <row r="1598" spans="1:45" x14ac:dyDescent="0.25">
      <c r="A1598">
        <v>1</v>
      </c>
      <c r="B1598" t="str">
        <f t="shared" si="624"/>
        <v>M</v>
      </c>
      <c r="C1598">
        <v>22906342</v>
      </c>
      <c r="D1598">
        <f t="shared" si="625"/>
        <v>62</v>
      </c>
      <c r="E1598">
        <f t="shared" si="626"/>
        <v>62</v>
      </c>
      <c r="F1598" t="str">
        <f t="shared" si="627"/>
        <v>50-75</v>
      </c>
      <c r="G1598">
        <v>1</v>
      </c>
      <c r="H1598" t="str">
        <f t="shared" si="628"/>
        <v>Pariente gordo</v>
      </c>
      <c r="I1598">
        <v>1</v>
      </c>
      <c r="J1598" t="str">
        <f t="shared" si="629"/>
        <v>Hipercaloricos</v>
      </c>
      <c r="K1598">
        <v>2971574</v>
      </c>
      <c r="L1598">
        <f t="shared" si="630"/>
        <v>1</v>
      </c>
      <c r="M1598" t="str">
        <f t="shared" si="631"/>
        <v>Suele comer</v>
      </c>
      <c r="N1598">
        <v>280742</v>
      </c>
      <c r="O1598">
        <f t="shared" si="632"/>
        <v>2</v>
      </c>
      <c r="P1598" t="str">
        <f t="shared" si="633"/>
        <v>Mas de 3</v>
      </c>
      <c r="Q1598">
        <v>1</v>
      </c>
      <c r="R1598" t="str">
        <f t="shared" si="634"/>
        <v>A veces</v>
      </c>
      <c r="S1598">
        <v>0</v>
      </c>
      <c r="T1598" t="str">
        <f t="shared" si="635"/>
        <v>No fuma</v>
      </c>
      <c r="U1598">
        <v>1962646</v>
      </c>
      <c r="V1598">
        <f t="shared" si="636"/>
        <v>2</v>
      </c>
      <c r="W1598" t="str">
        <f t="shared" si="637"/>
        <v>Siempre</v>
      </c>
      <c r="X1598">
        <v>0</v>
      </c>
      <c r="Y1598" t="str">
        <f t="shared" si="638"/>
        <v>No controla</v>
      </c>
      <c r="Z1598">
        <v>1583832</v>
      </c>
      <c r="AA1598">
        <f t="shared" si="639"/>
        <v>3</v>
      </c>
      <c r="AB1598" t="str">
        <f t="shared" si="640"/>
        <v>Siempre</v>
      </c>
      <c r="AC1598">
        <v>0.50481600000000004</v>
      </c>
      <c r="AD1598">
        <f t="shared" si="641"/>
        <v>0</v>
      </c>
      <c r="AE1598" t="str">
        <f t="shared" si="642"/>
        <v>Nunca</v>
      </c>
      <c r="AF1598">
        <v>1</v>
      </c>
      <c r="AG1598" t="str">
        <f t="shared" si="643"/>
        <v>A veces</v>
      </c>
      <c r="AH1598">
        <v>0</v>
      </c>
      <c r="AI1598" t="str">
        <f t="shared" si="644"/>
        <v>No usa</v>
      </c>
      <c r="AJ1598">
        <v>0</v>
      </c>
      <c r="AK1598" t="str">
        <f t="shared" si="645"/>
        <v>No usa</v>
      </c>
      <c r="AL1598">
        <v>0</v>
      </c>
      <c r="AM1598" t="str">
        <f t="shared" si="646"/>
        <v>No usa</v>
      </c>
      <c r="AN1598">
        <v>1</v>
      </c>
      <c r="AO1598" t="str">
        <f t="shared" si="647"/>
        <v>Usa Transporte</v>
      </c>
      <c r="AP1598">
        <v>0</v>
      </c>
      <c r="AQ1598" t="str">
        <f t="shared" si="648"/>
        <v>No camina</v>
      </c>
      <c r="AR1598">
        <v>1</v>
      </c>
      <c r="AS1598" t="str">
        <f t="shared" si="649"/>
        <v>Es Obeso</v>
      </c>
    </row>
    <row r="1599" spans="1:45" x14ac:dyDescent="0.25">
      <c r="A1599">
        <v>1</v>
      </c>
      <c r="B1599" t="str">
        <f t="shared" si="624"/>
        <v>M</v>
      </c>
      <c r="C1599">
        <v>24007488</v>
      </c>
      <c r="D1599">
        <f t="shared" si="625"/>
        <v>65</v>
      </c>
      <c r="E1599">
        <f t="shared" si="626"/>
        <v>65</v>
      </c>
      <c r="F1599" t="str">
        <f t="shared" si="627"/>
        <v>50-75</v>
      </c>
      <c r="G1599">
        <v>1</v>
      </c>
      <c r="H1599" t="str">
        <f t="shared" si="628"/>
        <v>Pariente gordo</v>
      </c>
      <c r="I1599">
        <v>1</v>
      </c>
      <c r="J1599" t="str">
        <f t="shared" si="629"/>
        <v>Hipercaloricos</v>
      </c>
      <c r="K1599">
        <v>2871016</v>
      </c>
      <c r="L1599">
        <f t="shared" si="630"/>
        <v>1</v>
      </c>
      <c r="M1599" t="str">
        <f t="shared" si="631"/>
        <v>Suele comer</v>
      </c>
      <c r="N1599">
        <v>1834472</v>
      </c>
      <c r="O1599">
        <f t="shared" si="632"/>
        <v>2</v>
      </c>
      <c r="P1599" t="str">
        <f t="shared" si="633"/>
        <v>Mas de 3</v>
      </c>
      <c r="Q1599">
        <v>1</v>
      </c>
      <c r="R1599" t="str">
        <f t="shared" si="634"/>
        <v>A veces</v>
      </c>
      <c r="S1599">
        <v>0</v>
      </c>
      <c r="T1599" t="str">
        <f t="shared" si="635"/>
        <v>No fuma</v>
      </c>
      <c r="U1599">
        <v>1016585</v>
      </c>
      <c r="V1599">
        <f t="shared" si="636"/>
        <v>2</v>
      </c>
      <c r="W1599" t="str">
        <f t="shared" si="637"/>
        <v>Siempre</v>
      </c>
      <c r="X1599">
        <v>0</v>
      </c>
      <c r="Y1599" t="str">
        <f t="shared" si="638"/>
        <v>No controla</v>
      </c>
      <c r="Z1599">
        <v>0.23616799999999999</v>
      </c>
      <c r="AA1599">
        <f t="shared" si="639"/>
        <v>0</v>
      </c>
      <c r="AB1599" t="str">
        <f t="shared" si="640"/>
        <v>Nunca</v>
      </c>
      <c r="AC1599">
        <v>0.974939</v>
      </c>
      <c r="AD1599">
        <f t="shared" si="641"/>
        <v>0</v>
      </c>
      <c r="AE1599" t="str">
        <f t="shared" si="642"/>
        <v>Nunca</v>
      </c>
      <c r="AF1599">
        <v>0</v>
      </c>
      <c r="AG1599" t="str">
        <f t="shared" si="643"/>
        <v>Nunca</v>
      </c>
      <c r="AH1599">
        <v>0</v>
      </c>
      <c r="AI1599" t="str">
        <f t="shared" si="644"/>
        <v>No usa</v>
      </c>
      <c r="AJ1599">
        <v>0</v>
      </c>
      <c r="AK1599" t="str">
        <f t="shared" si="645"/>
        <v>No usa</v>
      </c>
      <c r="AL1599">
        <v>0</v>
      </c>
      <c r="AM1599" t="str">
        <f t="shared" si="646"/>
        <v>No usa</v>
      </c>
      <c r="AN1599">
        <v>1</v>
      </c>
      <c r="AO1599" t="str">
        <f t="shared" si="647"/>
        <v>Usa Transporte</v>
      </c>
      <c r="AP1599">
        <v>0</v>
      </c>
      <c r="AQ1599" t="str">
        <f t="shared" si="648"/>
        <v>No camina</v>
      </c>
      <c r="AR1599">
        <v>1</v>
      </c>
      <c r="AS1599" t="str">
        <f t="shared" si="649"/>
        <v>Es Obeso</v>
      </c>
    </row>
    <row r="1600" spans="1:45" x14ac:dyDescent="0.25">
      <c r="A1600">
        <v>1</v>
      </c>
      <c r="B1600" t="str">
        <f t="shared" si="624"/>
        <v>M</v>
      </c>
      <c r="C1600">
        <v>30686701</v>
      </c>
      <c r="D1600">
        <f t="shared" si="625"/>
        <v>84</v>
      </c>
      <c r="E1600">
        <f t="shared" si="626"/>
        <v>84</v>
      </c>
      <c r="F1600" t="str">
        <f t="shared" si="627"/>
        <v>75-100</v>
      </c>
      <c r="G1600">
        <v>1</v>
      </c>
      <c r="H1600" t="str">
        <f t="shared" si="628"/>
        <v>Pariente gordo</v>
      </c>
      <c r="I1600">
        <v>1</v>
      </c>
      <c r="J1600" t="str">
        <f t="shared" si="629"/>
        <v>Hipercaloricos</v>
      </c>
      <c r="K1600">
        <v>296405</v>
      </c>
      <c r="L1600">
        <f t="shared" si="630"/>
        <v>1</v>
      </c>
      <c r="M1600" t="str">
        <f t="shared" si="631"/>
        <v>Suele comer</v>
      </c>
      <c r="N1600">
        <v>2123138</v>
      </c>
      <c r="O1600">
        <f t="shared" si="632"/>
        <v>2</v>
      </c>
      <c r="P1600" t="str">
        <f t="shared" si="633"/>
        <v>Mas de 3</v>
      </c>
      <c r="Q1600">
        <v>1</v>
      </c>
      <c r="R1600" t="str">
        <f t="shared" si="634"/>
        <v>A veces</v>
      </c>
      <c r="S1600">
        <v>0</v>
      </c>
      <c r="T1600" t="str">
        <f t="shared" si="635"/>
        <v>No fuma</v>
      </c>
      <c r="U1600">
        <v>1</v>
      </c>
      <c r="V1600">
        <f t="shared" si="636"/>
        <v>1</v>
      </c>
      <c r="W1600" t="str">
        <f t="shared" si="637"/>
        <v>Usualmente</v>
      </c>
      <c r="X1600">
        <v>0</v>
      </c>
      <c r="Y1600" t="str">
        <f t="shared" si="638"/>
        <v>No controla</v>
      </c>
      <c r="Z1600">
        <v>1699181</v>
      </c>
      <c r="AA1600">
        <f t="shared" si="639"/>
        <v>3</v>
      </c>
      <c r="AB1600" t="str">
        <f t="shared" si="640"/>
        <v>Siempre</v>
      </c>
      <c r="AC1600">
        <v>0.62046500000000004</v>
      </c>
      <c r="AD1600">
        <f t="shared" si="641"/>
        <v>0</v>
      </c>
      <c r="AE1600" t="str">
        <f t="shared" si="642"/>
        <v>Nunca</v>
      </c>
      <c r="AF1600">
        <v>0</v>
      </c>
      <c r="AG1600" t="str">
        <f t="shared" si="643"/>
        <v>Nunca</v>
      </c>
      <c r="AH1600">
        <v>0</v>
      </c>
      <c r="AI1600" t="str">
        <f t="shared" si="644"/>
        <v>No usa</v>
      </c>
      <c r="AJ1600">
        <v>0</v>
      </c>
      <c r="AK1600" t="str">
        <f t="shared" si="645"/>
        <v>No usa</v>
      </c>
      <c r="AL1600">
        <v>0</v>
      </c>
      <c r="AM1600" t="str">
        <f t="shared" si="646"/>
        <v>No usa</v>
      </c>
      <c r="AN1600">
        <v>1</v>
      </c>
      <c r="AO1600" t="str">
        <f t="shared" si="647"/>
        <v>Usa Transporte</v>
      </c>
      <c r="AP1600">
        <v>0</v>
      </c>
      <c r="AQ1600" t="str">
        <f t="shared" si="648"/>
        <v>No camina</v>
      </c>
      <c r="AR1600">
        <v>1</v>
      </c>
      <c r="AS1600" t="str">
        <f t="shared" si="649"/>
        <v>Es Obeso</v>
      </c>
    </row>
    <row r="1601" spans="1:45" x14ac:dyDescent="0.25">
      <c r="A1601">
        <v>1</v>
      </c>
      <c r="B1601" t="str">
        <f t="shared" si="624"/>
        <v>M</v>
      </c>
      <c r="C1601">
        <v>20184451</v>
      </c>
      <c r="D1601">
        <f t="shared" si="625"/>
        <v>55</v>
      </c>
      <c r="E1601">
        <f t="shared" si="626"/>
        <v>55</v>
      </c>
      <c r="F1601" t="str">
        <f t="shared" si="627"/>
        <v>50-75</v>
      </c>
      <c r="G1601">
        <v>1</v>
      </c>
      <c r="H1601" t="str">
        <f t="shared" si="628"/>
        <v>Pariente gordo</v>
      </c>
      <c r="I1601">
        <v>1</v>
      </c>
      <c r="J1601" t="str">
        <f t="shared" si="629"/>
        <v>Hipercaloricos</v>
      </c>
      <c r="K1601">
        <v>2653721</v>
      </c>
      <c r="L1601">
        <f t="shared" si="630"/>
        <v>1</v>
      </c>
      <c r="M1601" t="str">
        <f t="shared" si="631"/>
        <v>Suele comer</v>
      </c>
      <c r="N1601">
        <v>1265463</v>
      </c>
      <c r="O1601">
        <f t="shared" si="632"/>
        <v>2</v>
      </c>
      <c r="P1601" t="str">
        <f t="shared" si="633"/>
        <v>Mas de 3</v>
      </c>
      <c r="Q1601">
        <v>1</v>
      </c>
      <c r="R1601" t="str">
        <f t="shared" si="634"/>
        <v>A veces</v>
      </c>
      <c r="S1601">
        <v>0</v>
      </c>
      <c r="T1601" t="str">
        <f t="shared" si="635"/>
        <v>No fuma</v>
      </c>
      <c r="U1601">
        <v>1368457</v>
      </c>
      <c r="V1601">
        <f t="shared" si="636"/>
        <v>2</v>
      </c>
      <c r="W1601" t="str">
        <f t="shared" si="637"/>
        <v>Siempre</v>
      </c>
      <c r="X1601">
        <v>0</v>
      </c>
      <c r="Y1601" t="str">
        <f t="shared" si="638"/>
        <v>No controla</v>
      </c>
      <c r="Z1601">
        <v>0.21835599999999999</v>
      </c>
      <c r="AA1601">
        <f t="shared" si="639"/>
        <v>0</v>
      </c>
      <c r="AB1601" t="str">
        <f t="shared" si="640"/>
        <v>Nunca</v>
      </c>
      <c r="AC1601">
        <v>0.76807099999999995</v>
      </c>
      <c r="AD1601">
        <f t="shared" si="641"/>
        <v>0</v>
      </c>
      <c r="AE1601" t="str">
        <f t="shared" si="642"/>
        <v>Nunca</v>
      </c>
      <c r="AF1601">
        <v>0</v>
      </c>
      <c r="AG1601" t="str">
        <f t="shared" si="643"/>
        <v>Nunca</v>
      </c>
      <c r="AH1601">
        <v>0</v>
      </c>
      <c r="AI1601" t="str">
        <f t="shared" si="644"/>
        <v>No usa</v>
      </c>
      <c r="AJ1601">
        <v>0</v>
      </c>
      <c r="AK1601" t="str">
        <f t="shared" si="645"/>
        <v>No usa</v>
      </c>
      <c r="AL1601">
        <v>0</v>
      </c>
      <c r="AM1601" t="str">
        <f t="shared" si="646"/>
        <v>No usa</v>
      </c>
      <c r="AN1601">
        <v>1</v>
      </c>
      <c r="AO1601" t="str">
        <f t="shared" si="647"/>
        <v>Usa Transporte</v>
      </c>
      <c r="AP1601">
        <v>0</v>
      </c>
      <c r="AQ1601" t="str">
        <f t="shared" si="648"/>
        <v>No camina</v>
      </c>
      <c r="AR1601">
        <v>1</v>
      </c>
      <c r="AS1601" t="str">
        <f t="shared" si="649"/>
        <v>Es Obeso</v>
      </c>
    </row>
    <row r="1602" spans="1:45" x14ac:dyDescent="0.25">
      <c r="A1602">
        <v>1</v>
      </c>
      <c r="B1602" t="str">
        <f t="shared" si="624"/>
        <v>M</v>
      </c>
      <c r="C1602">
        <v>25447208</v>
      </c>
      <c r="D1602">
        <f t="shared" si="625"/>
        <v>69</v>
      </c>
      <c r="E1602">
        <f t="shared" si="626"/>
        <v>69</v>
      </c>
      <c r="F1602" t="str">
        <f t="shared" si="627"/>
        <v>50-75</v>
      </c>
      <c r="G1602">
        <v>1</v>
      </c>
      <c r="H1602" t="str">
        <f t="shared" si="628"/>
        <v>Pariente gordo</v>
      </c>
      <c r="I1602">
        <v>1</v>
      </c>
      <c r="J1602" t="str">
        <f t="shared" si="629"/>
        <v>Hipercaloricos</v>
      </c>
      <c r="K1602">
        <v>2859097</v>
      </c>
      <c r="L1602">
        <f t="shared" si="630"/>
        <v>1</v>
      </c>
      <c r="M1602" t="str">
        <f t="shared" si="631"/>
        <v>Suele comer</v>
      </c>
      <c r="N1602">
        <v>1340361</v>
      </c>
      <c r="O1602">
        <f t="shared" si="632"/>
        <v>2</v>
      </c>
      <c r="P1602" t="str">
        <f t="shared" si="633"/>
        <v>Mas de 3</v>
      </c>
      <c r="Q1602">
        <v>1</v>
      </c>
      <c r="R1602" t="str">
        <f t="shared" si="634"/>
        <v>A veces</v>
      </c>
      <c r="S1602">
        <v>0</v>
      </c>
      <c r="T1602" t="str">
        <f t="shared" si="635"/>
        <v>No fuma</v>
      </c>
      <c r="U1602">
        <v>1530508</v>
      </c>
      <c r="V1602">
        <f t="shared" si="636"/>
        <v>2</v>
      </c>
      <c r="W1602" t="str">
        <f t="shared" si="637"/>
        <v>Siempre</v>
      </c>
      <c r="X1602">
        <v>0</v>
      </c>
      <c r="Y1602" t="str">
        <f t="shared" si="638"/>
        <v>No controla</v>
      </c>
      <c r="Z1602">
        <v>0.17447499999999999</v>
      </c>
      <c r="AA1602">
        <f t="shared" si="639"/>
        <v>0</v>
      </c>
      <c r="AB1602" t="str">
        <f t="shared" si="640"/>
        <v>Nunca</v>
      </c>
      <c r="AC1602">
        <v>1261705</v>
      </c>
      <c r="AD1602">
        <f t="shared" si="641"/>
        <v>2</v>
      </c>
      <c r="AE1602" t="str">
        <f t="shared" si="642"/>
        <v>Siempre</v>
      </c>
      <c r="AF1602">
        <v>0</v>
      </c>
      <c r="AG1602" t="str">
        <f t="shared" si="643"/>
        <v>Nunca</v>
      </c>
      <c r="AH1602">
        <v>0</v>
      </c>
      <c r="AI1602" t="str">
        <f t="shared" si="644"/>
        <v>No usa</v>
      </c>
      <c r="AJ1602">
        <v>0</v>
      </c>
      <c r="AK1602" t="str">
        <f t="shared" si="645"/>
        <v>No usa</v>
      </c>
      <c r="AL1602">
        <v>0</v>
      </c>
      <c r="AM1602" t="str">
        <f t="shared" si="646"/>
        <v>No usa</v>
      </c>
      <c r="AN1602">
        <v>1</v>
      </c>
      <c r="AO1602" t="str">
        <f t="shared" si="647"/>
        <v>Usa Transporte</v>
      </c>
      <c r="AP1602">
        <v>0</v>
      </c>
      <c r="AQ1602" t="str">
        <f t="shared" si="648"/>
        <v>No camina</v>
      </c>
      <c r="AR1602">
        <v>1</v>
      </c>
      <c r="AS1602" t="str">
        <f t="shared" si="649"/>
        <v>Es Obeso</v>
      </c>
    </row>
    <row r="1603" spans="1:45" x14ac:dyDescent="0.25">
      <c r="A1603">
        <v>1</v>
      </c>
      <c r="B1603" t="str">
        <f t="shared" ref="B1603:B1666" si="650">IF(A1603=1,"M","F")</f>
        <v>M</v>
      </c>
      <c r="C1603">
        <v>30002029</v>
      </c>
      <c r="D1603">
        <f t="shared" ref="D1603:D1666" si="651">IF(C1603&lt;100,C1603,ROUNDDOWN((C1603/1000)/365,0))</f>
        <v>82</v>
      </c>
      <c r="E1603">
        <f t="shared" ref="E1603:E1666" si="652">IF(AND(D1603&gt;1,D1603&lt;=100),D1603,IF(D1603&gt;100,100,5))</f>
        <v>82</v>
      </c>
      <c r="F1603" t="str">
        <f t="shared" ref="F1603:F1666" si="653">IF(AND(E1603&gt;=1,E1603&lt;=25),"1-25",IF(AND(E1603&gt;25,E1603&lt;=50),"25-50",IF(AND(E1603&gt;50,E1603&lt;=75),"50-75","75-100")))</f>
        <v>75-100</v>
      </c>
      <c r="G1603">
        <v>1</v>
      </c>
      <c r="H1603" t="str">
        <f t="shared" ref="H1603:H1666" si="654">IF(G1603=1,"Pariente gordo","Pariente normal")</f>
        <v>Pariente gordo</v>
      </c>
      <c r="I1603">
        <v>1</v>
      </c>
      <c r="J1603" t="str">
        <f t="shared" ref="J1603:J1666" si="655">IF(I1603=1,"Hipercaloricos","Saludables")</f>
        <v>Hipercaloricos</v>
      </c>
      <c r="K1603">
        <v>1572036</v>
      </c>
      <c r="L1603">
        <f t="shared" ref="L1603:L1666" si="656">IF(AND(K1603&gt;=1,K1603&lt;=3),1,IF(AND(K1603&gt;3,K1603&lt;3000000),1))</f>
        <v>1</v>
      </c>
      <c r="M1603" t="str">
        <f t="shared" ref="M1603:M1666" si="657">IF(L1603=1,"Suele comer","No come")</f>
        <v>Suele comer</v>
      </c>
      <c r="N1603">
        <v>3</v>
      </c>
      <c r="O1603">
        <f t="shared" ref="O1603:O1666" si="658">IF(N1603=1,N1603,IF(AND(N1603&gt;=2,N1603&lt;4000000),2))</f>
        <v>2</v>
      </c>
      <c r="P1603" t="str">
        <f t="shared" ref="P1603:P1666" si="659">IF(O1603=0,"1-2",IF(O1603=1,3,"Mas de 3"))</f>
        <v>Mas de 3</v>
      </c>
      <c r="Q1603">
        <v>1</v>
      </c>
      <c r="R1603" t="str">
        <f t="shared" ref="R1603:R1666" si="660">IF(Q1603=0,"Nunca",IF(Q1603=1,"A veces",IF(Q1603=2,"Usualmente","Siempre")))</f>
        <v>A veces</v>
      </c>
      <c r="S1603">
        <v>0</v>
      </c>
      <c r="T1603" t="str">
        <f t="shared" ref="T1603:T1666" si="661">IF(S1603=1,"Fuma","No fuma")</f>
        <v>No fuma</v>
      </c>
      <c r="U1603">
        <v>2003563</v>
      </c>
      <c r="V1603">
        <f t="shared" ref="V1603:V1666" si="662">IF(U1603=1,U1603,IF(U1603=2,U1603,IF(AND(U1603&gt;=3,U1603&lt;3000000),2)))</f>
        <v>2</v>
      </c>
      <c r="W1603" t="str">
        <f t="shared" ref="W1603:W1666" si="663">IF(V1603=0,"Nunca",IF(V1603=1,"Usualmente","Siempre"))</f>
        <v>Siempre</v>
      </c>
      <c r="X1603">
        <v>0</v>
      </c>
      <c r="Y1603" t="str">
        <f t="shared" ref="Y1603:Y1666" si="664">IF(X1603=1,"Controla","No controla")</f>
        <v>No controla</v>
      </c>
      <c r="Z1603">
        <v>0</v>
      </c>
      <c r="AA1603">
        <f t="shared" ref="AA1603:AA1666" si="665">IF(Z1603=0,Z1603,IF(Z1603=1,Z1603,IF(Z1603=2,Z1603,IF(Z1603=3,Z1603,IF(AND(Z1603&gt;3,Z1603&lt;300000),2,IF(AND(Z1603&gt;300000,Z1603&lt;3000000),3,IF(AND(Z1603&gt;0,Z1603&lt;1),0)))))))</f>
        <v>0</v>
      </c>
      <c r="AB1603" t="str">
        <f t="shared" ref="AB1603:AB1666" si="666">IF(AA1603=0,"Nunca",IF(AA1603=1,"A veces",IF(AA1603=2,"Usualmente","Siempre")))</f>
        <v>Nunca</v>
      </c>
      <c r="AC1603">
        <v>0.340196</v>
      </c>
      <c r="AD1603">
        <f t="shared" ref="AD1603:AD1666" si="667">IF(AC1603= 0,AC1603,IF(AC1603=1,AC1603,IF(AC1603=2,AC1603,IF(AND(AC1603&gt;2,AC1603&lt;200000),1,IF(AND(AC1603&gt;200000,AC1603&lt;2000000),2,IF(AND(AC1603&gt;0,AC1603&lt;1),0))))))</f>
        <v>0</v>
      </c>
      <c r="AE1603" t="str">
        <f t="shared" ref="AE1603:AE1666" si="668">IF(AD1603=0,"Nunca",IF(AD1603=1,"Usualmente","Siempre"))</f>
        <v>Nunca</v>
      </c>
      <c r="AF1603">
        <v>1</v>
      </c>
      <c r="AG1603" t="str">
        <f t="shared" ref="AG1603:AG1666" si="669">IF(AF1603=0,"Nunca",IF(AF1603=1,"A veces",IF(AF1603=2,"Usualmente","Siempre")))</f>
        <v>A veces</v>
      </c>
      <c r="AH1603">
        <v>1</v>
      </c>
      <c r="AI1603" t="str">
        <f t="shared" ref="AI1603:AI1666" si="670">IF(AH1603=1,"Usa auto","No usa")</f>
        <v>Usa auto</v>
      </c>
      <c r="AJ1603">
        <v>0</v>
      </c>
      <c r="AK1603" t="str">
        <f t="shared" ref="AK1603:AK1666" si="671">IF(AJ1603=1,"Usa Bici","No usa")</f>
        <v>No usa</v>
      </c>
      <c r="AL1603">
        <v>0</v>
      </c>
      <c r="AM1603" t="str">
        <f t="shared" ref="AM1603:AM1666" si="672">IF(AL1603=1,"Usa Moto","No usa")</f>
        <v>No usa</v>
      </c>
      <c r="AN1603">
        <v>0</v>
      </c>
      <c r="AO1603" t="str">
        <f t="shared" ref="AO1603:AO1666" si="673">IF(AN1603=1,"Usa Transporte","No usa")</f>
        <v>No usa</v>
      </c>
      <c r="AP1603">
        <v>0</v>
      </c>
      <c r="AQ1603" t="str">
        <f t="shared" ref="AQ1603:AQ1666" si="674">IF(AP1603=1,"Camina","No camina")</f>
        <v>No camina</v>
      </c>
      <c r="AR1603">
        <v>1</v>
      </c>
      <c r="AS1603" t="str">
        <f t="shared" ref="AS1603:AS1666" si="675">IF(AR1603=1,"Es Obeso","No es obeso")</f>
        <v>Es Obeso</v>
      </c>
    </row>
    <row r="1604" spans="1:45" x14ac:dyDescent="0.25">
      <c r="A1604">
        <v>1</v>
      </c>
      <c r="B1604" t="str">
        <f t="shared" si="650"/>
        <v>M</v>
      </c>
      <c r="C1604">
        <v>30188303</v>
      </c>
      <c r="D1604">
        <f t="shared" si="651"/>
        <v>82</v>
      </c>
      <c r="E1604">
        <f t="shared" si="652"/>
        <v>82</v>
      </c>
      <c r="F1604" t="str">
        <f t="shared" si="653"/>
        <v>75-100</v>
      </c>
      <c r="G1604">
        <v>1</v>
      </c>
      <c r="H1604" t="str">
        <f t="shared" si="654"/>
        <v>Pariente gordo</v>
      </c>
      <c r="I1604">
        <v>1</v>
      </c>
      <c r="J1604" t="str">
        <f t="shared" si="655"/>
        <v>Hipercaloricos</v>
      </c>
      <c r="K1604">
        <v>1387489</v>
      </c>
      <c r="L1604">
        <f t="shared" si="656"/>
        <v>1</v>
      </c>
      <c r="M1604" t="str">
        <f t="shared" si="657"/>
        <v>Suele comer</v>
      </c>
      <c r="N1604">
        <v>3</v>
      </c>
      <c r="O1604">
        <f t="shared" si="658"/>
        <v>2</v>
      </c>
      <c r="P1604" t="str">
        <f t="shared" si="659"/>
        <v>Mas de 3</v>
      </c>
      <c r="Q1604">
        <v>1</v>
      </c>
      <c r="R1604" t="str">
        <f t="shared" si="660"/>
        <v>A veces</v>
      </c>
      <c r="S1604">
        <v>0</v>
      </c>
      <c r="T1604" t="str">
        <f t="shared" si="661"/>
        <v>No fuma</v>
      </c>
      <c r="U1604">
        <v>2017712</v>
      </c>
      <c r="V1604">
        <f t="shared" si="662"/>
        <v>2</v>
      </c>
      <c r="W1604" t="str">
        <f t="shared" si="663"/>
        <v>Siempre</v>
      </c>
      <c r="X1604">
        <v>0</v>
      </c>
      <c r="Y1604" t="str">
        <f t="shared" si="664"/>
        <v>No controla</v>
      </c>
      <c r="Z1604">
        <v>0</v>
      </c>
      <c r="AA1604">
        <f t="shared" si="665"/>
        <v>0</v>
      </c>
      <c r="AB1604" t="str">
        <f t="shared" si="666"/>
        <v>Nunca</v>
      </c>
      <c r="AC1604">
        <v>0.73125700000000005</v>
      </c>
      <c r="AD1604">
        <f t="shared" si="667"/>
        <v>0</v>
      </c>
      <c r="AE1604" t="str">
        <f t="shared" si="668"/>
        <v>Nunca</v>
      </c>
      <c r="AF1604">
        <v>1</v>
      </c>
      <c r="AG1604" t="str">
        <f t="shared" si="669"/>
        <v>A veces</v>
      </c>
      <c r="AH1604">
        <v>1</v>
      </c>
      <c r="AI1604" t="str">
        <f t="shared" si="670"/>
        <v>Usa auto</v>
      </c>
      <c r="AJ1604">
        <v>0</v>
      </c>
      <c r="AK1604" t="str">
        <f t="shared" si="671"/>
        <v>No usa</v>
      </c>
      <c r="AL1604">
        <v>0</v>
      </c>
      <c r="AM1604" t="str">
        <f t="shared" si="672"/>
        <v>No usa</v>
      </c>
      <c r="AN1604">
        <v>0</v>
      </c>
      <c r="AO1604" t="str">
        <f t="shared" si="673"/>
        <v>No usa</v>
      </c>
      <c r="AP1604">
        <v>0</v>
      </c>
      <c r="AQ1604" t="str">
        <f t="shared" si="674"/>
        <v>No camina</v>
      </c>
      <c r="AR1604">
        <v>1</v>
      </c>
      <c r="AS1604" t="str">
        <f t="shared" si="675"/>
        <v>Es Obeso</v>
      </c>
    </row>
    <row r="1605" spans="1:45" x14ac:dyDescent="0.25">
      <c r="A1605">
        <v>1</v>
      </c>
      <c r="B1605" t="str">
        <f t="shared" si="650"/>
        <v>M</v>
      </c>
      <c r="C1605">
        <v>24244029</v>
      </c>
      <c r="D1605">
        <f t="shared" si="651"/>
        <v>66</v>
      </c>
      <c r="E1605">
        <f t="shared" si="652"/>
        <v>66</v>
      </c>
      <c r="F1605" t="str">
        <f t="shared" si="653"/>
        <v>50-75</v>
      </c>
      <c r="G1605">
        <v>1</v>
      </c>
      <c r="H1605" t="str">
        <f t="shared" si="654"/>
        <v>Pariente gordo</v>
      </c>
      <c r="I1605">
        <v>1</v>
      </c>
      <c r="J1605" t="str">
        <f t="shared" si="655"/>
        <v>Hipercaloricos</v>
      </c>
      <c r="K1605">
        <v>2941929</v>
      </c>
      <c r="L1605">
        <f t="shared" si="656"/>
        <v>1</v>
      </c>
      <c r="M1605" t="str">
        <f t="shared" si="657"/>
        <v>Suele comer</v>
      </c>
      <c r="N1605">
        <v>3989492</v>
      </c>
      <c r="O1605">
        <f t="shared" si="658"/>
        <v>2</v>
      </c>
      <c r="P1605" t="str">
        <f t="shared" si="659"/>
        <v>Mas de 3</v>
      </c>
      <c r="Q1605">
        <v>1</v>
      </c>
      <c r="R1605" t="str">
        <f t="shared" si="660"/>
        <v>A veces</v>
      </c>
      <c r="S1605">
        <v>0</v>
      </c>
      <c r="T1605" t="str">
        <f t="shared" si="661"/>
        <v>No fuma</v>
      </c>
      <c r="U1605">
        <v>1014135</v>
      </c>
      <c r="V1605">
        <f t="shared" si="662"/>
        <v>2</v>
      </c>
      <c r="W1605" t="str">
        <f t="shared" si="663"/>
        <v>Siempre</v>
      </c>
      <c r="X1605">
        <v>0</v>
      </c>
      <c r="Y1605" t="str">
        <f t="shared" si="664"/>
        <v>No controla</v>
      </c>
      <c r="Z1605">
        <v>1958694</v>
      </c>
      <c r="AA1605">
        <f t="shared" si="665"/>
        <v>3</v>
      </c>
      <c r="AB1605" t="str">
        <f t="shared" si="666"/>
        <v>Siempre</v>
      </c>
      <c r="AC1605">
        <v>0.68734200000000001</v>
      </c>
      <c r="AD1605">
        <f t="shared" si="667"/>
        <v>0</v>
      </c>
      <c r="AE1605" t="str">
        <f t="shared" si="668"/>
        <v>Nunca</v>
      </c>
      <c r="AF1605">
        <v>0</v>
      </c>
      <c r="AG1605" t="str">
        <f t="shared" si="669"/>
        <v>Nunca</v>
      </c>
      <c r="AH1605">
        <v>0</v>
      </c>
      <c r="AI1605" t="str">
        <f t="shared" si="670"/>
        <v>No usa</v>
      </c>
      <c r="AJ1605">
        <v>0</v>
      </c>
      <c r="AK1605" t="str">
        <f t="shared" si="671"/>
        <v>No usa</v>
      </c>
      <c r="AL1605">
        <v>0</v>
      </c>
      <c r="AM1605" t="str">
        <f t="shared" si="672"/>
        <v>No usa</v>
      </c>
      <c r="AN1605">
        <v>1</v>
      </c>
      <c r="AO1605" t="str">
        <f t="shared" si="673"/>
        <v>Usa Transporte</v>
      </c>
      <c r="AP1605">
        <v>0</v>
      </c>
      <c r="AQ1605" t="str">
        <f t="shared" si="674"/>
        <v>No camina</v>
      </c>
      <c r="AR1605">
        <v>1</v>
      </c>
      <c r="AS1605" t="str">
        <f t="shared" si="675"/>
        <v>Es Obeso</v>
      </c>
    </row>
    <row r="1606" spans="1:45" x14ac:dyDescent="0.25">
      <c r="A1606">
        <v>1</v>
      </c>
      <c r="B1606" t="str">
        <f t="shared" si="650"/>
        <v>M</v>
      </c>
      <c r="C1606">
        <v>24521879</v>
      </c>
      <c r="D1606">
        <f t="shared" si="651"/>
        <v>67</v>
      </c>
      <c r="E1606">
        <f t="shared" si="652"/>
        <v>67</v>
      </c>
      <c r="F1606" t="str">
        <f t="shared" si="653"/>
        <v>50-75</v>
      </c>
      <c r="G1606">
        <v>1</v>
      </c>
      <c r="H1606" t="str">
        <f t="shared" si="654"/>
        <v>Pariente gordo</v>
      </c>
      <c r="I1606">
        <v>1</v>
      </c>
      <c r="J1606" t="str">
        <f t="shared" si="655"/>
        <v>Hipercaloricos</v>
      </c>
      <c r="K1606">
        <v>2973569</v>
      </c>
      <c r="L1606">
        <f t="shared" si="656"/>
        <v>1</v>
      </c>
      <c r="M1606" t="str">
        <f t="shared" si="657"/>
        <v>Suele comer</v>
      </c>
      <c r="N1606">
        <v>2650088</v>
      </c>
      <c r="O1606">
        <f t="shared" si="658"/>
        <v>2</v>
      </c>
      <c r="P1606" t="str">
        <f t="shared" si="659"/>
        <v>Mas de 3</v>
      </c>
      <c r="Q1606">
        <v>1</v>
      </c>
      <c r="R1606" t="str">
        <f t="shared" si="660"/>
        <v>A veces</v>
      </c>
      <c r="S1606">
        <v>0</v>
      </c>
      <c r="T1606" t="str">
        <f t="shared" si="661"/>
        <v>No fuma</v>
      </c>
      <c r="U1606">
        <v>1003063</v>
      </c>
      <c r="V1606">
        <f t="shared" si="662"/>
        <v>2</v>
      </c>
      <c r="W1606" t="str">
        <f t="shared" si="663"/>
        <v>Siempre</v>
      </c>
      <c r="X1606">
        <v>0</v>
      </c>
      <c r="Y1606" t="str">
        <f t="shared" si="664"/>
        <v>No controla</v>
      </c>
      <c r="Z1606">
        <v>1981154</v>
      </c>
      <c r="AA1606">
        <f t="shared" si="665"/>
        <v>3</v>
      </c>
      <c r="AB1606" t="str">
        <f t="shared" si="666"/>
        <v>Siempre</v>
      </c>
      <c r="AC1606">
        <v>0.15700700000000001</v>
      </c>
      <c r="AD1606">
        <f t="shared" si="667"/>
        <v>0</v>
      </c>
      <c r="AE1606" t="str">
        <f t="shared" si="668"/>
        <v>Nunca</v>
      </c>
      <c r="AF1606">
        <v>0</v>
      </c>
      <c r="AG1606" t="str">
        <f t="shared" si="669"/>
        <v>Nunca</v>
      </c>
      <c r="AH1606">
        <v>0</v>
      </c>
      <c r="AI1606" t="str">
        <f t="shared" si="670"/>
        <v>No usa</v>
      </c>
      <c r="AJ1606">
        <v>0</v>
      </c>
      <c r="AK1606" t="str">
        <f t="shared" si="671"/>
        <v>No usa</v>
      </c>
      <c r="AL1606">
        <v>0</v>
      </c>
      <c r="AM1606" t="str">
        <f t="shared" si="672"/>
        <v>No usa</v>
      </c>
      <c r="AN1606">
        <v>1</v>
      </c>
      <c r="AO1606" t="str">
        <f t="shared" si="673"/>
        <v>Usa Transporte</v>
      </c>
      <c r="AP1606">
        <v>0</v>
      </c>
      <c r="AQ1606" t="str">
        <f t="shared" si="674"/>
        <v>No camina</v>
      </c>
      <c r="AR1606">
        <v>1</v>
      </c>
      <c r="AS1606" t="str">
        <f t="shared" si="675"/>
        <v>Es Obeso</v>
      </c>
    </row>
    <row r="1607" spans="1:45" x14ac:dyDescent="0.25">
      <c r="A1607">
        <v>1</v>
      </c>
      <c r="B1607" t="str">
        <f t="shared" si="650"/>
        <v>M</v>
      </c>
      <c r="C1607">
        <v>29721964</v>
      </c>
      <c r="D1607">
        <f t="shared" si="651"/>
        <v>81</v>
      </c>
      <c r="E1607">
        <f t="shared" si="652"/>
        <v>81</v>
      </c>
      <c r="F1607" t="str">
        <f t="shared" si="653"/>
        <v>75-100</v>
      </c>
      <c r="G1607">
        <v>1</v>
      </c>
      <c r="H1607" t="str">
        <f t="shared" si="654"/>
        <v>Pariente gordo</v>
      </c>
      <c r="I1607">
        <v>1</v>
      </c>
      <c r="J1607" t="str">
        <f t="shared" si="655"/>
        <v>Hipercaloricos</v>
      </c>
      <c r="K1607">
        <v>2041376</v>
      </c>
      <c r="L1607">
        <f t="shared" si="656"/>
        <v>1</v>
      </c>
      <c r="M1607" t="str">
        <f t="shared" si="657"/>
        <v>Suele comer</v>
      </c>
      <c r="N1607">
        <v>3</v>
      </c>
      <c r="O1607">
        <f t="shared" si="658"/>
        <v>2</v>
      </c>
      <c r="P1607" t="str">
        <f t="shared" si="659"/>
        <v>Mas de 3</v>
      </c>
      <c r="Q1607">
        <v>1</v>
      </c>
      <c r="R1607" t="str">
        <f t="shared" si="660"/>
        <v>A veces</v>
      </c>
      <c r="S1607">
        <v>0</v>
      </c>
      <c r="T1607" t="str">
        <f t="shared" si="661"/>
        <v>No fuma</v>
      </c>
      <c r="U1607">
        <v>1120213</v>
      </c>
      <c r="V1607">
        <f t="shared" si="662"/>
        <v>2</v>
      </c>
      <c r="W1607" t="str">
        <f t="shared" si="663"/>
        <v>Siempre</v>
      </c>
      <c r="X1607">
        <v>0</v>
      </c>
      <c r="Y1607" t="str">
        <f t="shared" si="664"/>
        <v>No controla</v>
      </c>
      <c r="Z1607">
        <v>105545</v>
      </c>
      <c r="AA1607">
        <f t="shared" si="665"/>
        <v>2</v>
      </c>
      <c r="AB1607" t="str">
        <f t="shared" si="666"/>
        <v>Usualmente</v>
      </c>
      <c r="AC1607">
        <v>0</v>
      </c>
      <c r="AD1607">
        <f t="shared" si="667"/>
        <v>0</v>
      </c>
      <c r="AE1607" t="str">
        <f t="shared" si="668"/>
        <v>Nunca</v>
      </c>
      <c r="AF1607">
        <v>1</v>
      </c>
      <c r="AG1607" t="str">
        <f t="shared" si="669"/>
        <v>A veces</v>
      </c>
      <c r="AH1607">
        <v>0</v>
      </c>
      <c r="AI1607" t="str">
        <f t="shared" si="670"/>
        <v>No usa</v>
      </c>
      <c r="AJ1607">
        <v>0</v>
      </c>
      <c r="AK1607" t="str">
        <f t="shared" si="671"/>
        <v>No usa</v>
      </c>
      <c r="AL1607">
        <v>0</v>
      </c>
      <c r="AM1607" t="str">
        <f t="shared" si="672"/>
        <v>No usa</v>
      </c>
      <c r="AN1607">
        <v>1</v>
      </c>
      <c r="AO1607" t="str">
        <f t="shared" si="673"/>
        <v>Usa Transporte</v>
      </c>
      <c r="AP1607">
        <v>0</v>
      </c>
      <c r="AQ1607" t="str">
        <f t="shared" si="674"/>
        <v>No camina</v>
      </c>
      <c r="AR1607">
        <v>1</v>
      </c>
      <c r="AS1607" t="str">
        <f t="shared" si="675"/>
        <v>Es Obeso</v>
      </c>
    </row>
    <row r="1608" spans="1:45" x14ac:dyDescent="0.25">
      <c r="A1608">
        <v>1</v>
      </c>
      <c r="B1608" t="str">
        <f t="shared" si="650"/>
        <v>M</v>
      </c>
      <c r="C1608">
        <v>29906575</v>
      </c>
      <c r="D1608">
        <f t="shared" si="651"/>
        <v>81</v>
      </c>
      <c r="E1608">
        <f t="shared" si="652"/>
        <v>81</v>
      </c>
      <c r="F1608" t="str">
        <f t="shared" si="653"/>
        <v>75-100</v>
      </c>
      <c r="G1608">
        <v>1</v>
      </c>
      <c r="H1608" t="str">
        <f t="shared" si="654"/>
        <v>Pariente gordo</v>
      </c>
      <c r="I1608">
        <v>1</v>
      </c>
      <c r="J1608" t="str">
        <f t="shared" si="655"/>
        <v>Hipercaloricos</v>
      </c>
      <c r="K1608">
        <v>202472</v>
      </c>
      <c r="L1608">
        <f t="shared" si="656"/>
        <v>1</v>
      </c>
      <c r="M1608" t="str">
        <f t="shared" si="657"/>
        <v>Suele comer</v>
      </c>
      <c r="N1608">
        <v>3</v>
      </c>
      <c r="O1608">
        <f t="shared" si="658"/>
        <v>2</v>
      </c>
      <c r="P1608" t="str">
        <f t="shared" si="659"/>
        <v>Mas de 3</v>
      </c>
      <c r="Q1608">
        <v>1</v>
      </c>
      <c r="R1608" t="str">
        <f t="shared" si="660"/>
        <v>A veces</v>
      </c>
      <c r="S1608">
        <v>0</v>
      </c>
      <c r="T1608" t="str">
        <f t="shared" si="661"/>
        <v>No fuma</v>
      </c>
      <c r="U1608">
        <v>1800335</v>
      </c>
      <c r="V1608">
        <f t="shared" si="662"/>
        <v>2</v>
      </c>
      <c r="W1608" t="str">
        <f t="shared" si="663"/>
        <v>Siempre</v>
      </c>
      <c r="X1608">
        <v>0</v>
      </c>
      <c r="Y1608" t="str">
        <f t="shared" si="664"/>
        <v>No controla</v>
      </c>
      <c r="Z1608">
        <v>1196368</v>
      </c>
      <c r="AA1608">
        <f t="shared" si="665"/>
        <v>3</v>
      </c>
      <c r="AB1608" t="str">
        <f t="shared" si="666"/>
        <v>Siempre</v>
      </c>
      <c r="AC1608">
        <v>0</v>
      </c>
      <c r="AD1608">
        <f t="shared" si="667"/>
        <v>0</v>
      </c>
      <c r="AE1608" t="str">
        <f t="shared" si="668"/>
        <v>Nunca</v>
      </c>
      <c r="AF1608">
        <v>1</v>
      </c>
      <c r="AG1608" t="str">
        <f t="shared" si="669"/>
        <v>A veces</v>
      </c>
      <c r="AH1608">
        <v>0</v>
      </c>
      <c r="AI1608" t="str">
        <f t="shared" si="670"/>
        <v>No usa</v>
      </c>
      <c r="AJ1608">
        <v>0</v>
      </c>
      <c r="AK1608" t="str">
        <f t="shared" si="671"/>
        <v>No usa</v>
      </c>
      <c r="AL1608">
        <v>0</v>
      </c>
      <c r="AM1608" t="str">
        <f t="shared" si="672"/>
        <v>No usa</v>
      </c>
      <c r="AN1608">
        <v>1</v>
      </c>
      <c r="AO1608" t="str">
        <f t="shared" si="673"/>
        <v>Usa Transporte</v>
      </c>
      <c r="AP1608">
        <v>0</v>
      </c>
      <c r="AQ1608" t="str">
        <f t="shared" si="674"/>
        <v>No camina</v>
      </c>
      <c r="AR1608">
        <v>1</v>
      </c>
      <c r="AS1608" t="str">
        <f t="shared" si="675"/>
        <v>Es Obeso</v>
      </c>
    </row>
    <row r="1609" spans="1:45" x14ac:dyDescent="0.25">
      <c r="A1609">
        <v>1</v>
      </c>
      <c r="B1609" t="str">
        <f t="shared" si="650"/>
        <v>M</v>
      </c>
      <c r="C1609">
        <v>37084742</v>
      </c>
      <c r="D1609">
        <f t="shared" si="651"/>
        <v>101</v>
      </c>
      <c r="E1609">
        <f t="shared" si="652"/>
        <v>100</v>
      </c>
      <c r="F1609" t="str">
        <f t="shared" si="653"/>
        <v>75-100</v>
      </c>
      <c r="G1609">
        <v>1</v>
      </c>
      <c r="H1609" t="str">
        <f t="shared" si="654"/>
        <v>Pariente gordo</v>
      </c>
      <c r="I1609">
        <v>1</v>
      </c>
      <c r="J1609" t="str">
        <f t="shared" si="655"/>
        <v>Hipercaloricos</v>
      </c>
      <c r="K1609">
        <v>2133964</v>
      </c>
      <c r="L1609">
        <f t="shared" si="656"/>
        <v>1</v>
      </c>
      <c r="M1609" t="str">
        <f t="shared" si="657"/>
        <v>Suele comer</v>
      </c>
      <c r="N1609">
        <v>3</v>
      </c>
      <c r="O1609">
        <f t="shared" si="658"/>
        <v>2</v>
      </c>
      <c r="P1609" t="str">
        <f t="shared" si="659"/>
        <v>Mas de 3</v>
      </c>
      <c r="Q1609">
        <v>1</v>
      </c>
      <c r="R1609" t="str">
        <f t="shared" si="660"/>
        <v>A veces</v>
      </c>
      <c r="S1609">
        <v>0</v>
      </c>
      <c r="T1609" t="str">
        <f t="shared" si="661"/>
        <v>No fuma</v>
      </c>
      <c r="U1609">
        <v>2008361</v>
      </c>
      <c r="V1609">
        <f t="shared" si="662"/>
        <v>2</v>
      </c>
      <c r="W1609" t="str">
        <f t="shared" si="663"/>
        <v>Siempre</v>
      </c>
      <c r="X1609">
        <v>0</v>
      </c>
      <c r="Y1609" t="str">
        <f t="shared" si="664"/>
        <v>No controla</v>
      </c>
      <c r="Z1609">
        <v>0.20202899999999999</v>
      </c>
      <c r="AA1609">
        <f t="shared" si="665"/>
        <v>0</v>
      </c>
      <c r="AB1609" t="str">
        <f t="shared" si="666"/>
        <v>Nunca</v>
      </c>
      <c r="AC1609">
        <v>0.200516</v>
      </c>
      <c r="AD1609">
        <f t="shared" si="667"/>
        <v>0</v>
      </c>
      <c r="AE1609" t="str">
        <f t="shared" si="668"/>
        <v>Nunca</v>
      </c>
      <c r="AF1609">
        <v>1</v>
      </c>
      <c r="AG1609" t="str">
        <f t="shared" si="669"/>
        <v>A veces</v>
      </c>
      <c r="AH1609">
        <v>1</v>
      </c>
      <c r="AI1609" t="str">
        <f t="shared" si="670"/>
        <v>Usa auto</v>
      </c>
      <c r="AJ1609">
        <v>0</v>
      </c>
      <c r="AK1609" t="str">
        <f t="shared" si="671"/>
        <v>No usa</v>
      </c>
      <c r="AL1609">
        <v>0</v>
      </c>
      <c r="AM1609" t="str">
        <f t="shared" si="672"/>
        <v>No usa</v>
      </c>
      <c r="AN1609">
        <v>0</v>
      </c>
      <c r="AO1609" t="str">
        <f t="shared" si="673"/>
        <v>No usa</v>
      </c>
      <c r="AP1609">
        <v>0</v>
      </c>
      <c r="AQ1609" t="str">
        <f t="shared" si="674"/>
        <v>No camina</v>
      </c>
      <c r="AR1609">
        <v>1</v>
      </c>
      <c r="AS1609" t="str">
        <f t="shared" si="675"/>
        <v>Es Obeso</v>
      </c>
    </row>
    <row r="1610" spans="1:45" x14ac:dyDescent="0.25">
      <c r="A1610">
        <v>1</v>
      </c>
      <c r="B1610" t="str">
        <f t="shared" si="650"/>
        <v>M</v>
      </c>
      <c r="C1610">
        <v>3908886</v>
      </c>
      <c r="D1610">
        <f t="shared" si="651"/>
        <v>10</v>
      </c>
      <c r="E1610">
        <f t="shared" si="652"/>
        <v>10</v>
      </c>
      <c r="F1610" t="str">
        <f t="shared" si="653"/>
        <v>1-25</v>
      </c>
      <c r="G1610">
        <v>1</v>
      </c>
      <c r="H1610" t="str">
        <f t="shared" si="654"/>
        <v>Pariente gordo</v>
      </c>
      <c r="I1610">
        <v>1</v>
      </c>
      <c r="J1610" t="str">
        <f t="shared" si="655"/>
        <v>Hipercaloricos</v>
      </c>
      <c r="K1610">
        <v>2702457</v>
      </c>
      <c r="L1610">
        <f t="shared" si="656"/>
        <v>1</v>
      </c>
      <c r="M1610" t="str">
        <f t="shared" si="657"/>
        <v>Suele comer</v>
      </c>
      <c r="N1610">
        <v>3</v>
      </c>
      <c r="O1610">
        <f t="shared" si="658"/>
        <v>2</v>
      </c>
      <c r="P1610" t="str">
        <f t="shared" si="659"/>
        <v>Mas de 3</v>
      </c>
      <c r="Q1610">
        <v>1</v>
      </c>
      <c r="R1610" t="str">
        <f t="shared" si="660"/>
        <v>A veces</v>
      </c>
      <c r="S1610">
        <v>0</v>
      </c>
      <c r="T1610" t="str">
        <f t="shared" si="661"/>
        <v>No fuma</v>
      </c>
      <c r="U1610">
        <v>2005194</v>
      </c>
      <c r="V1610">
        <f t="shared" si="662"/>
        <v>2</v>
      </c>
      <c r="W1610" t="str">
        <f t="shared" si="663"/>
        <v>Siempre</v>
      </c>
      <c r="X1610">
        <v>0</v>
      </c>
      <c r="Y1610" t="str">
        <f t="shared" si="664"/>
        <v>No controla</v>
      </c>
      <c r="Z1610">
        <v>0.32531300000000002</v>
      </c>
      <c r="AA1610">
        <f t="shared" si="665"/>
        <v>0</v>
      </c>
      <c r="AB1610" t="str">
        <f t="shared" si="666"/>
        <v>Nunca</v>
      </c>
      <c r="AC1610">
        <v>0.41905500000000001</v>
      </c>
      <c r="AD1610">
        <f t="shared" si="667"/>
        <v>0</v>
      </c>
      <c r="AE1610" t="str">
        <f t="shared" si="668"/>
        <v>Nunca</v>
      </c>
      <c r="AF1610">
        <v>1</v>
      </c>
      <c r="AG1610" t="str">
        <f t="shared" si="669"/>
        <v>A veces</v>
      </c>
      <c r="AH1610">
        <v>1</v>
      </c>
      <c r="AI1610" t="str">
        <f t="shared" si="670"/>
        <v>Usa auto</v>
      </c>
      <c r="AJ1610">
        <v>0</v>
      </c>
      <c r="AK1610" t="str">
        <f t="shared" si="671"/>
        <v>No usa</v>
      </c>
      <c r="AL1610">
        <v>0</v>
      </c>
      <c r="AM1610" t="str">
        <f t="shared" si="672"/>
        <v>No usa</v>
      </c>
      <c r="AN1610">
        <v>0</v>
      </c>
      <c r="AO1610" t="str">
        <f t="shared" si="673"/>
        <v>No usa</v>
      </c>
      <c r="AP1610">
        <v>0</v>
      </c>
      <c r="AQ1610" t="str">
        <f t="shared" si="674"/>
        <v>No camina</v>
      </c>
      <c r="AR1610">
        <v>1</v>
      </c>
      <c r="AS1610" t="str">
        <f t="shared" si="675"/>
        <v>Es Obeso</v>
      </c>
    </row>
    <row r="1611" spans="1:45" x14ac:dyDescent="0.25">
      <c r="A1611">
        <v>1</v>
      </c>
      <c r="B1611" t="str">
        <f t="shared" si="650"/>
        <v>M</v>
      </c>
      <c r="C1611">
        <v>22658572</v>
      </c>
      <c r="D1611">
        <f t="shared" si="651"/>
        <v>62</v>
      </c>
      <c r="E1611">
        <f t="shared" si="652"/>
        <v>62</v>
      </c>
      <c r="F1611" t="str">
        <f t="shared" si="653"/>
        <v>50-75</v>
      </c>
      <c r="G1611">
        <v>1</v>
      </c>
      <c r="H1611" t="str">
        <f t="shared" si="654"/>
        <v>Pariente gordo</v>
      </c>
      <c r="I1611">
        <v>1</v>
      </c>
      <c r="J1611" t="str">
        <f t="shared" si="655"/>
        <v>Hipercaloricos</v>
      </c>
      <c r="K1611">
        <v>1760038</v>
      </c>
      <c r="L1611">
        <f t="shared" si="656"/>
        <v>1</v>
      </c>
      <c r="M1611" t="str">
        <f t="shared" si="657"/>
        <v>Suele comer</v>
      </c>
      <c r="N1611">
        <v>3</v>
      </c>
      <c r="O1611">
        <f t="shared" si="658"/>
        <v>2</v>
      </c>
      <c r="P1611" t="str">
        <f t="shared" si="659"/>
        <v>Mas de 3</v>
      </c>
      <c r="Q1611">
        <v>1</v>
      </c>
      <c r="R1611" t="str">
        <f t="shared" si="660"/>
        <v>A veces</v>
      </c>
      <c r="S1611">
        <v>0</v>
      </c>
      <c r="T1611" t="str">
        <f t="shared" si="661"/>
        <v>No fuma</v>
      </c>
      <c r="U1611">
        <v>2003531</v>
      </c>
      <c r="V1611">
        <f t="shared" si="662"/>
        <v>2</v>
      </c>
      <c r="W1611" t="str">
        <f t="shared" si="663"/>
        <v>Siempre</v>
      </c>
      <c r="X1611">
        <v>0</v>
      </c>
      <c r="Y1611" t="str">
        <f t="shared" si="664"/>
        <v>No controla</v>
      </c>
      <c r="Z1611">
        <v>1089061</v>
      </c>
      <c r="AA1611">
        <f t="shared" si="665"/>
        <v>3</v>
      </c>
      <c r="AB1611" t="str">
        <f t="shared" si="666"/>
        <v>Siempre</v>
      </c>
      <c r="AC1611">
        <v>7.2263999999999995E-2</v>
      </c>
      <c r="AD1611">
        <f t="shared" si="667"/>
        <v>0</v>
      </c>
      <c r="AE1611" t="str">
        <f t="shared" si="668"/>
        <v>Nunca</v>
      </c>
      <c r="AF1611">
        <v>1</v>
      </c>
      <c r="AG1611" t="str">
        <f t="shared" si="669"/>
        <v>A veces</v>
      </c>
      <c r="AH1611">
        <v>0</v>
      </c>
      <c r="AI1611" t="str">
        <f t="shared" si="670"/>
        <v>No usa</v>
      </c>
      <c r="AJ1611">
        <v>0</v>
      </c>
      <c r="AK1611" t="str">
        <f t="shared" si="671"/>
        <v>No usa</v>
      </c>
      <c r="AL1611">
        <v>0</v>
      </c>
      <c r="AM1611" t="str">
        <f t="shared" si="672"/>
        <v>No usa</v>
      </c>
      <c r="AN1611">
        <v>1</v>
      </c>
      <c r="AO1611" t="str">
        <f t="shared" si="673"/>
        <v>Usa Transporte</v>
      </c>
      <c r="AP1611">
        <v>0</v>
      </c>
      <c r="AQ1611" t="str">
        <f t="shared" si="674"/>
        <v>No camina</v>
      </c>
      <c r="AR1611">
        <v>1</v>
      </c>
      <c r="AS1611" t="str">
        <f t="shared" si="675"/>
        <v>Es Obeso</v>
      </c>
    </row>
    <row r="1612" spans="1:45" x14ac:dyDescent="0.25">
      <c r="A1612">
        <v>1</v>
      </c>
      <c r="B1612" t="str">
        <f t="shared" si="650"/>
        <v>M</v>
      </c>
      <c r="C1612">
        <v>22889099</v>
      </c>
      <c r="D1612">
        <f t="shared" si="651"/>
        <v>62</v>
      </c>
      <c r="E1612">
        <f t="shared" si="652"/>
        <v>62</v>
      </c>
      <c r="F1612" t="str">
        <f t="shared" si="653"/>
        <v>50-75</v>
      </c>
      <c r="G1612">
        <v>1</v>
      </c>
      <c r="H1612" t="str">
        <f t="shared" si="654"/>
        <v>Pariente gordo</v>
      </c>
      <c r="I1612">
        <v>1</v>
      </c>
      <c r="J1612" t="str">
        <f t="shared" si="655"/>
        <v>Hipercaloricos</v>
      </c>
      <c r="K1612">
        <v>1996646</v>
      </c>
      <c r="L1612">
        <f t="shared" si="656"/>
        <v>1</v>
      </c>
      <c r="M1612" t="str">
        <f t="shared" si="657"/>
        <v>Suele comer</v>
      </c>
      <c r="N1612">
        <v>3</v>
      </c>
      <c r="O1612">
        <f t="shared" si="658"/>
        <v>2</v>
      </c>
      <c r="P1612" t="str">
        <f t="shared" si="659"/>
        <v>Mas de 3</v>
      </c>
      <c r="Q1612">
        <v>1</v>
      </c>
      <c r="R1612" t="str">
        <f t="shared" si="660"/>
        <v>A veces</v>
      </c>
      <c r="S1612">
        <v>0</v>
      </c>
      <c r="T1612" t="str">
        <f t="shared" si="661"/>
        <v>No fuma</v>
      </c>
      <c r="U1612">
        <v>2</v>
      </c>
      <c r="V1612">
        <f t="shared" si="662"/>
        <v>2</v>
      </c>
      <c r="W1612" t="str">
        <f t="shared" si="663"/>
        <v>Siempre</v>
      </c>
      <c r="X1612">
        <v>0</v>
      </c>
      <c r="Y1612" t="str">
        <f t="shared" si="664"/>
        <v>No controla</v>
      </c>
      <c r="Z1612">
        <v>1600536</v>
      </c>
      <c r="AA1612">
        <f t="shared" si="665"/>
        <v>3</v>
      </c>
      <c r="AB1612" t="str">
        <f t="shared" si="666"/>
        <v>Siempre</v>
      </c>
      <c r="AC1612">
        <v>0.73968400000000001</v>
      </c>
      <c r="AD1612">
        <f t="shared" si="667"/>
        <v>0</v>
      </c>
      <c r="AE1612" t="str">
        <f t="shared" si="668"/>
        <v>Nunca</v>
      </c>
      <c r="AF1612">
        <v>1</v>
      </c>
      <c r="AG1612" t="str">
        <f t="shared" si="669"/>
        <v>A veces</v>
      </c>
      <c r="AH1612">
        <v>0</v>
      </c>
      <c r="AI1612" t="str">
        <f t="shared" si="670"/>
        <v>No usa</v>
      </c>
      <c r="AJ1612">
        <v>0</v>
      </c>
      <c r="AK1612" t="str">
        <f t="shared" si="671"/>
        <v>No usa</v>
      </c>
      <c r="AL1612">
        <v>0</v>
      </c>
      <c r="AM1612" t="str">
        <f t="shared" si="672"/>
        <v>No usa</v>
      </c>
      <c r="AN1612">
        <v>1</v>
      </c>
      <c r="AO1612" t="str">
        <f t="shared" si="673"/>
        <v>Usa Transporte</v>
      </c>
      <c r="AP1612">
        <v>0</v>
      </c>
      <c r="AQ1612" t="str">
        <f t="shared" si="674"/>
        <v>No camina</v>
      </c>
      <c r="AR1612">
        <v>1</v>
      </c>
      <c r="AS1612" t="str">
        <f t="shared" si="675"/>
        <v>Es Obeso</v>
      </c>
    </row>
    <row r="1613" spans="1:45" x14ac:dyDescent="0.25">
      <c r="A1613">
        <v>1</v>
      </c>
      <c r="B1613" t="str">
        <f t="shared" si="650"/>
        <v>M</v>
      </c>
      <c r="C1613">
        <v>2463474</v>
      </c>
      <c r="D1613">
        <f t="shared" si="651"/>
        <v>6</v>
      </c>
      <c r="E1613">
        <f t="shared" si="652"/>
        <v>6</v>
      </c>
      <c r="F1613" t="str">
        <f t="shared" si="653"/>
        <v>1-25</v>
      </c>
      <c r="G1613">
        <v>1</v>
      </c>
      <c r="H1613" t="str">
        <f t="shared" si="654"/>
        <v>Pariente gordo</v>
      </c>
      <c r="I1613">
        <v>1</v>
      </c>
      <c r="J1613" t="str">
        <f t="shared" si="655"/>
        <v>Hipercaloricos</v>
      </c>
      <c r="K1613">
        <v>2644094</v>
      </c>
      <c r="L1613">
        <f t="shared" si="656"/>
        <v>1</v>
      </c>
      <c r="M1613" t="str">
        <f t="shared" si="657"/>
        <v>Suele comer</v>
      </c>
      <c r="N1613">
        <v>3</v>
      </c>
      <c r="O1613">
        <f t="shared" si="658"/>
        <v>2</v>
      </c>
      <c r="P1613" t="str">
        <f t="shared" si="659"/>
        <v>Mas de 3</v>
      </c>
      <c r="Q1613">
        <v>1</v>
      </c>
      <c r="R1613" t="str">
        <f t="shared" si="660"/>
        <v>A veces</v>
      </c>
      <c r="S1613">
        <v>0</v>
      </c>
      <c r="T1613" t="str">
        <f t="shared" si="661"/>
        <v>No fuma</v>
      </c>
      <c r="U1613">
        <v>2740525</v>
      </c>
      <c r="V1613">
        <f t="shared" si="662"/>
        <v>2</v>
      </c>
      <c r="W1613" t="str">
        <f t="shared" si="663"/>
        <v>Siempre</v>
      </c>
      <c r="X1613">
        <v>0</v>
      </c>
      <c r="Y1613" t="str">
        <f t="shared" si="664"/>
        <v>No controla</v>
      </c>
      <c r="Z1613">
        <v>2</v>
      </c>
      <c r="AA1613">
        <f t="shared" si="665"/>
        <v>2</v>
      </c>
      <c r="AB1613" t="str">
        <f t="shared" si="666"/>
        <v>Usualmente</v>
      </c>
      <c r="AC1613">
        <v>0.50093600000000005</v>
      </c>
      <c r="AD1613">
        <f t="shared" si="667"/>
        <v>0</v>
      </c>
      <c r="AE1613" t="str">
        <f t="shared" si="668"/>
        <v>Nunca</v>
      </c>
      <c r="AF1613">
        <v>1</v>
      </c>
      <c r="AG1613" t="str">
        <f t="shared" si="669"/>
        <v>A veces</v>
      </c>
      <c r="AH1613">
        <v>0</v>
      </c>
      <c r="AI1613" t="str">
        <f t="shared" si="670"/>
        <v>No usa</v>
      </c>
      <c r="AJ1613">
        <v>0</v>
      </c>
      <c r="AK1613" t="str">
        <f t="shared" si="671"/>
        <v>No usa</v>
      </c>
      <c r="AL1613">
        <v>0</v>
      </c>
      <c r="AM1613" t="str">
        <f t="shared" si="672"/>
        <v>No usa</v>
      </c>
      <c r="AN1613">
        <v>1</v>
      </c>
      <c r="AO1613" t="str">
        <f t="shared" si="673"/>
        <v>Usa Transporte</v>
      </c>
      <c r="AP1613">
        <v>0</v>
      </c>
      <c r="AQ1613" t="str">
        <f t="shared" si="674"/>
        <v>No camina</v>
      </c>
      <c r="AR1613">
        <v>1</v>
      </c>
      <c r="AS1613" t="str">
        <f t="shared" si="675"/>
        <v>Es Obeso</v>
      </c>
    </row>
    <row r="1614" spans="1:45" x14ac:dyDescent="0.25">
      <c r="A1614">
        <v>1</v>
      </c>
      <c r="B1614" t="str">
        <f t="shared" si="650"/>
        <v>M</v>
      </c>
      <c r="C1614">
        <v>24920362</v>
      </c>
      <c r="D1614">
        <f t="shared" si="651"/>
        <v>68</v>
      </c>
      <c r="E1614">
        <f t="shared" si="652"/>
        <v>68</v>
      </c>
      <c r="F1614" t="str">
        <f t="shared" si="653"/>
        <v>50-75</v>
      </c>
      <c r="G1614">
        <v>1</v>
      </c>
      <c r="H1614" t="str">
        <f t="shared" si="654"/>
        <v>Pariente gordo</v>
      </c>
      <c r="I1614">
        <v>1</v>
      </c>
      <c r="J1614" t="str">
        <f t="shared" si="655"/>
        <v>Hipercaloricos</v>
      </c>
      <c r="K1614">
        <v>2475892</v>
      </c>
      <c r="L1614">
        <f t="shared" si="656"/>
        <v>1</v>
      </c>
      <c r="M1614" t="str">
        <f t="shared" si="657"/>
        <v>Suele comer</v>
      </c>
      <c r="N1614">
        <v>3</v>
      </c>
      <c r="O1614">
        <f t="shared" si="658"/>
        <v>2</v>
      </c>
      <c r="P1614" t="str">
        <f t="shared" si="659"/>
        <v>Mas de 3</v>
      </c>
      <c r="Q1614">
        <v>1</v>
      </c>
      <c r="R1614" t="str">
        <f t="shared" si="660"/>
        <v>A veces</v>
      </c>
      <c r="S1614">
        <v>0</v>
      </c>
      <c r="T1614" t="str">
        <f t="shared" si="661"/>
        <v>No fuma</v>
      </c>
      <c r="U1614">
        <v>2949356</v>
      </c>
      <c r="V1614">
        <f t="shared" si="662"/>
        <v>2</v>
      </c>
      <c r="W1614" t="str">
        <f t="shared" si="663"/>
        <v>Siempre</v>
      </c>
      <c r="X1614">
        <v>0</v>
      </c>
      <c r="Y1614" t="str">
        <f t="shared" si="664"/>
        <v>No controla</v>
      </c>
      <c r="Z1614">
        <v>1866839</v>
      </c>
      <c r="AA1614">
        <f t="shared" si="665"/>
        <v>3</v>
      </c>
      <c r="AB1614" t="str">
        <f t="shared" si="666"/>
        <v>Siempre</v>
      </c>
      <c r="AC1614">
        <v>0.100048</v>
      </c>
      <c r="AD1614">
        <f t="shared" si="667"/>
        <v>0</v>
      </c>
      <c r="AE1614" t="str">
        <f t="shared" si="668"/>
        <v>Nunca</v>
      </c>
      <c r="AF1614">
        <v>1</v>
      </c>
      <c r="AG1614" t="str">
        <f t="shared" si="669"/>
        <v>A veces</v>
      </c>
      <c r="AH1614">
        <v>0</v>
      </c>
      <c r="AI1614" t="str">
        <f t="shared" si="670"/>
        <v>No usa</v>
      </c>
      <c r="AJ1614">
        <v>0</v>
      </c>
      <c r="AK1614" t="str">
        <f t="shared" si="671"/>
        <v>No usa</v>
      </c>
      <c r="AL1614">
        <v>0</v>
      </c>
      <c r="AM1614" t="str">
        <f t="shared" si="672"/>
        <v>No usa</v>
      </c>
      <c r="AN1614">
        <v>1</v>
      </c>
      <c r="AO1614" t="str">
        <f t="shared" si="673"/>
        <v>Usa Transporte</v>
      </c>
      <c r="AP1614">
        <v>0</v>
      </c>
      <c r="AQ1614" t="str">
        <f t="shared" si="674"/>
        <v>No camina</v>
      </c>
      <c r="AR1614">
        <v>1</v>
      </c>
      <c r="AS1614" t="str">
        <f t="shared" si="675"/>
        <v>Es Obeso</v>
      </c>
    </row>
    <row r="1615" spans="1:45" x14ac:dyDescent="0.25">
      <c r="A1615">
        <v>1</v>
      </c>
      <c r="B1615" t="str">
        <f t="shared" si="650"/>
        <v>M</v>
      </c>
      <c r="C1615">
        <v>31783845</v>
      </c>
      <c r="D1615">
        <f t="shared" si="651"/>
        <v>87</v>
      </c>
      <c r="E1615">
        <f t="shared" si="652"/>
        <v>87</v>
      </c>
      <c r="F1615" t="str">
        <f t="shared" si="653"/>
        <v>75-100</v>
      </c>
      <c r="G1615">
        <v>1</v>
      </c>
      <c r="H1615" t="str">
        <f t="shared" si="654"/>
        <v>Pariente gordo</v>
      </c>
      <c r="I1615">
        <v>1</v>
      </c>
      <c r="J1615" t="str">
        <f t="shared" si="655"/>
        <v>Hipercaloricos</v>
      </c>
      <c r="K1615">
        <v>2941627</v>
      </c>
      <c r="L1615">
        <f t="shared" si="656"/>
        <v>1</v>
      </c>
      <c r="M1615" t="str">
        <f t="shared" si="657"/>
        <v>Suele comer</v>
      </c>
      <c r="N1615">
        <v>3</v>
      </c>
      <c r="O1615">
        <f t="shared" si="658"/>
        <v>2</v>
      </c>
      <c r="P1615" t="str">
        <f t="shared" si="659"/>
        <v>Mas de 3</v>
      </c>
      <c r="Q1615">
        <v>1</v>
      </c>
      <c r="R1615" t="str">
        <f t="shared" si="660"/>
        <v>A veces</v>
      </c>
      <c r="S1615">
        <v>0</v>
      </c>
      <c r="T1615" t="str">
        <f t="shared" si="661"/>
        <v>No fuma</v>
      </c>
      <c r="U1615">
        <v>2318134</v>
      </c>
      <c r="V1615">
        <f t="shared" si="662"/>
        <v>2</v>
      </c>
      <c r="W1615" t="str">
        <f t="shared" si="663"/>
        <v>Siempre</v>
      </c>
      <c r="X1615">
        <v>0</v>
      </c>
      <c r="Y1615" t="str">
        <f t="shared" si="664"/>
        <v>No controla</v>
      </c>
      <c r="Z1615">
        <v>0.58268600000000004</v>
      </c>
      <c r="AA1615">
        <f t="shared" si="665"/>
        <v>0</v>
      </c>
      <c r="AB1615" t="str">
        <f t="shared" si="666"/>
        <v>Nunca</v>
      </c>
      <c r="AC1615">
        <v>1588046</v>
      </c>
      <c r="AD1615">
        <f t="shared" si="667"/>
        <v>2</v>
      </c>
      <c r="AE1615" t="str">
        <f t="shared" si="668"/>
        <v>Siempre</v>
      </c>
      <c r="AF1615">
        <v>1</v>
      </c>
      <c r="AG1615" t="str">
        <f t="shared" si="669"/>
        <v>A veces</v>
      </c>
      <c r="AH1615">
        <v>1</v>
      </c>
      <c r="AI1615" t="str">
        <f t="shared" si="670"/>
        <v>Usa auto</v>
      </c>
      <c r="AJ1615">
        <v>0</v>
      </c>
      <c r="AK1615" t="str">
        <f t="shared" si="671"/>
        <v>No usa</v>
      </c>
      <c r="AL1615">
        <v>0</v>
      </c>
      <c r="AM1615" t="str">
        <f t="shared" si="672"/>
        <v>No usa</v>
      </c>
      <c r="AN1615">
        <v>0</v>
      </c>
      <c r="AO1615" t="str">
        <f t="shared" si="673"/>
        <v>No usa</v>
      </c>
      <c r="AP1615">
        <v>0</v>
      </c>
      <c r="AQ1615" t="str">
        <f t="shared" si="674"/>
        <v>No camina</v>
      </c>
      <c r="AR1615">
        <v>1</v>
      </c>
      <c r="AS1615" t="str">
        <f t="shared" si="675"/>
        <v>Es Obeso</v>
      </c>
    </row>
    <row r="1616" spans="1:45" x14ac:dyDescent="0.25">
      <c r="A1616">
        <v>1</v>
      </c>
      <c r="B1616" t="str">
        <f t="shared" si="650"/>
        <v>M</v>
      </c>
      <c r="C1616">
        <v>31627962</v>
      </c>
      <c r="D1616">
        <f t="shared" si="651"/>
        <v>86</v>
      </c>
      <c r="E1616">
        <f t="shared" si="652"/>
        <v>86</v>
      </c>
      <c r="F1616" t="str">
        <f t="shared" si="653"/>
        <v>75-100</v>
      </c>
      <c r="G1616">
        <v>1</v>
      </c>
      <c r="H1616" t="str">
        <f t="shared" si="654"/>
        <v>Pariente gordo</v>
      </c>
      <c r="I1616">
        <v>1</v>
      </c>
      <c r="J1616" t="str">
        <f t="shared" si="655"/>
        <v>Hipercaloricos</v>
      </c>
      <c r="K1616">
        <v>2998441</v>
      </c>
      <c r="L1616">
        <f t="shared" si="656"/>
        <v>1</v>
      </c>
      <c r="M1616" t="str">
        <f t="shared" si="657"/>
        <v>Suele comer</v>
      </c>
      <c r="N1616">
        <v>3</v>
      </c>
      <c r="O1616">
        <f t="shared" si="658"/>
        <v>2</v>
      </c>
      <c r="P1616" t="str">
        <f t="shared" si="659"/>
        <v>Mas de 3</v>
      </c>
      <c r="Q1616">
        <v>1</v>
      </c>
      <c r="R1616" t="str">
        <f t="shared" si="660"/>
        <v>A veces</v>
      </c>
      <c r="S1616">
        <v>0</v>
      </c>
      <c r="T1616" t="str">
        <f t="shared" si="661"/>
        <v>No fuma</v>
      </c>
      <c r="U1616">
        <v>2462916</v>
      </c>
      <c r="V1616">
        <f t="shared" si="662"/>
        <v>2</v>
      </c>
      <c r="W1616" t="str">
        <f t="shared" si="663"/>
        <v>Siempre</v>
      </c>
      <c r="X1616">
        <v>0</v>
      </c>
      <c r="Y1616" t="str">
        <f t="shared" si="664"/>
        <v>No controla</v>
      </c>
      <c r="Z1616">
        <v>0.55464599999999997</v>
      </c>
      <c r="AA1616">
        <f t="shared" si="665"/>
        <v>0</v>
      </c>
      <c r="AB1616" t="str">
        <f t="shared" si="666"/>
        <v>Nunca</v>
      </c>
      <c r="AC1616">
        <v>199219</v>
      </c>
      <c r="AD1616">
        <f t="shared" si="667"/>
        <v>1</v>
      </c>
      <c r="AE1616" t="str">
        <f t="shared" si="668"/>
        <v>Usualmente</v>
      </c>
      <c r="AF1616">
        <v>1</v>
      </c>
      <c r="AG1616" t="str">
        <f t="shared" si="669"/>
        <v>A veces</v>
      </c>
      <c r="AH1616">
        <v>1</v>
      </c>
      <c r="AI1616" t="str">
        <f t="shared" si="670"/>
        <v>Usa auto</v>
      </c>
      <c r="AJ1616">
        <v>0</v>
      </c>
      <c r="AK1616" t="str">
        <f t="shared" si="671"/>
        <v>No usa</v>
      </c>
      <c r="AL1616">
        <v>0</v>
      </c>
      <c r="AM1616" t="str">
        <f t="shared" si="672"/>
        <v>No usa</v>
      </c>
      <c r="AN1616">
        <v>0</v>
      </c>
      <c r="AO1616" t="str">
        <f t="shared" si="673"/>
        <v>No usa</v>
      </c>
      <c r="AP1616">
        <v>0</v>
      </c>
      <c r="AQ1616" t="str">
        <f t="shared" si="674"/>
        <v>No camina</v>
      </c>
      <c r="AR1616">
        <v>1</v>
      </c>
      <c r="AS1616" t="str">
        <f t="shared" si="675"/>
        <v>Es Obeso</v>
      </c>
    </row>
    <row r="1617" spans="1:45" x14ac:dyDescent="0.25">
      <c r="A1617">
        <v>1</v>
      </c>
      <c r="B1617" t="str">
        <f t="shared" si="650"/>
        <v>M</v>
      </c>
      <c r="C1617">
        <v>22976188</v>
      </c>
      <c r="D1617">
        <f t="shared" si="651"/>
        <v>62</v>
      </c>
      <c r="E1617">
        <f t="shared" si="652"/>
        <v>62</v>
      </c>
      <c r="F1617" t="str">
        <f t="shared" si="653"/>
        <v>50-75</v>
      </c>
      <c r="G1617">
        <v>1</v>
      </c>
      <c r="H1617" t="str">
        <f t="shared" si="654"/>
        <v>Pariente gordo</v>
      </c>
      <c r="I1617">
        <v>1</v>
      </c>
      <c r="J1617" t="str">
        <f t="shared" si="655"/>
        <v>Hipercaloricos</v>
      </c>
      <c r="K1617">
        <v>2397284</v>
      </c>
      <c r="L1617">
        <f t="shared" si="656"/>
        <v>1</v>
      </c>
      <c r="M1617" t="str">
        <f t="shared" si="657"/>
        <v>Suele comer</v>
      </c>
      <c r="N1617">
        <v>289292</v>
      </c>
      <c r="O1617">
        <f t="shared" si="658"/>
        <v>2</v>
      </c>
      <c r="P1617" t="str">
        <f t="shared" si="659"/>
        <v>Mas de 3</v>
      </c>
      <c r="Q1617">
        <v>1</v>
      </c>
      <c r="R1617" t="str">
        <f t="shared" si="660"/>
        <v>A veces</v>
      </c>
      <c r="S1617">
        <v>0</v>
      </c>
      <c r="T1617" t="str">
        <f t="shared" si="661"/>
        <v>No fuma</v>
      </c>
      <c r="U1617">
        <v>1983973</v>
      </c>
      <c r="V1617">
        <f t="shared" si="662"/>
        <v>2</v>
      </c>
      <c r="W1617" t="str">
        <f t="shared" si="663"/>
        <v>Siempre</v>
      </c>
      <c r="X1617">
        <v>0</v>
      </c>
      <c r="Y1617" t="str">
        <f t="shared" si="664"/>
        <v>No controla</v>
      </c>
      <c r="Z1617">
        <v>1859667</v>
      </c>
      <c r="AA1617">
        <f t="shared" si="665"/>
        <v>3</v>
      </c>
      <c r="AB1617" t="str">
        <f t="shared" si="666"/>
        <v>Siempre</v>
      </c>
      <c r="AC1617">
        <v>2.5999999999999999E-3</v>
      </c>
      <c r="AD1617">
        <f t="shared" si="667"/>
        <v>0</v>
      </c>
      <c r="AE1617" t="str">
        <f t="shared" si="668"/>
        <v>Nunca</v>
      </c>
      <c r="AF1617">
        <v>1</v>
      </c>
      <c r="AG1617" t="str">
        <f t="shared" si="669"/>
        <v>A veces</v>
      </c>
      <c r="AH1617">
        <v>0</v>
      </c>
      <c r="AI1617" t="str">
        <f t="shared" si="670"/>
        <v>No usa</v>
      </c>
      <c r="AJ1617">
        <v>0</v>
      </c>
      <c r="AK1617" t="str">
        <f t="shared" si="671"/>
        <v>No usa</v>
      </c>
      <c r="AL1617">
        <v>0</v>
      </c>
      <c r="AM1617" t="str">
        <f t="shared" si="672"/>
        <v>No usa</v>
      </c>
      <c r="AN1617">
        <v>1</v>
      </c>
      <c r="AO1617" t="str">
        <f t="shared" si="673"/>
        <v>Usa Transporte</v>
      </c>
      <c r="AP1617">
        <v>0</v>
      </c>
      <c r="AQ1617" t="str">
        <f t="shared" si="674"/>
        <v>No camina</v>
      </c>
      <c r="AR1617">
        <v>1</v>
      </c>
      <c r="AS1617" t="str">
        <f t="shared" si="675"/>
        <v>Es Obeso</v>
      </c>
    </row>
    <row r="1618" spans="1:45" x14ac:dyDescent="0.25">
      <c r="A1618">
        <v>1</v>
      </c>
      <c r="B1618" t="str">
        <f t="shared" si="650"/>
        <v>M</v>
      </c>
      <c r="C1618">
        <v>22977357</v>
      </c>
      <c r="D1618">
        <f t="shared" si="651"/>
        <v>62</v>
      </c>
      <c r="E1618">
        <f t="shared" si="652"/>
        <v>62</v>
      </c>
      <c r="F1618" t="str">
        <f t="shared" si="653"/>
        <v>50-75</v>
      </c>
      <c r="G1618">
        <v>1</v>
      </c>
      <c r="H1618" t="str">
        <f t="shared" si="654"/>
        <v>Pariente gordo</v>
      </c>
      <c r="I1618">
        <v>1</v>
      </c>
      <c r="J1618" t="str">
        <f t="shared" si="655"/>
        <v>Hipercaloricos</v>
      </c>
      <c r="K1618">
        <v>2382705</v>
      </c>
      <c r="L1618">
        <f t="shared" si="656"/>
        <v>1</v>
      </c>
      <c r="M1618" t="str">
        <f t="shared" si="657"/>
        <v>Suele comer</v>
      </c>
      <c r="N1618">
        <v>2938902</v>
      </c>
      <c r="O1618">
        <f t="shared" si="658"/>
        <v>2</v>
      </c>
      <c r="P1618" t="str">
        <f t="shared" si="659"/>
        <v>Mas de 3</v>
      </c>
      <c r="Q1618">
        <v>1</v>
      </c>
      <c r="R1618" t="str">
        <f t="shared" si="660"/>
        <v>A veces</v>
      </c>
      <c r="S1618">
        <v>0</v>
      </c>
      <c r="T1618" t="str">
        <f t="shared" si="661"/>
        <v>No fuma</v>
      </c>
      <c r="U1618">
        <v>1999278</v>
      </c>
      <c r="V1618">
        <f t="shared" si="662"/>
        <v>2</v>
      </c>
      <c r="W1618" t="str">
        <f t="shared" si="663"/>
        <v>Siempre</v>
      </c>
      <c r="X1618">
        <v>0</v>
      </c>
      <c r="Y1618" t="str">
        <f t="shared" si="664"/>
        <v>No controla</v>
      </c>
      <c r="Z1618">
        <v>1686229</v>
      </c>
      <c r="AA1618">
        <f t="shared" si="665"/>
        <v>3</v>
      </c>
      <c r="AB1618" t="str">
        <f t="shared" si="666"/>
        <v>Siempre</v>
      </c>
      <c r="AC1618">
        <v>0.63086600000000004</v>
      </c>
      <c r="AD1618">
        <f t="shared" si="667"/>
        <v>0</v>
      </c>
      <c r="AE1618" t="str">
        <f t="shared" si="668"/>
        <v>Nunca</v>
      </c>
      <c r="AF1618">
        <v>1</v>
      </c>
      <c r="AG1618" t="str">
        <f t="shared" si="669"/>
        <v>A veces</v>
      </c>
      <c r="AH1618">
        <v>0</v>
      </c>
      <c r="AI1618" t="str">
        <f t="shared" si="670"/>
        <v>No usa</v>
      </c>
      <c r="AJ1618">
        <v>0</v>
      </c>
      <c r="AK1618" t="str">
        <f t="shared" si="671"/>
        <v>No usa</v>
      </c>
      <c r="AL1618">
        <v>0</v>
      </c>
      <c r="AM1618" t="str">
        <f t="shared" si="672"/>
        <v>No usa</v>
      </c>
      <c r="AN1618">
        <v>1</v>
      </c>
      <c r="AO1618" t="str">
        <f t="shared" si="673"/>
        <v>Usa Transporte</v>
      </c>
      <c r="AP1618">
        <v>0</v>
      </c>
      <c r="AQ1618" t="str">
        <f t="shared" si="674"/>
        <v>No camina</v>
      </c>
      <c r="AR1618">
        <v>1</v>
      </c>
      <c r="AS1618" t="str">
        <f t="shared" si="675"/>
        <v>Es Obeso</v>
      </c>
    </row>
    <row r="1619" spans="1:45" x14ac:dyDescent="0.25">
      <c r="A1619">
        <v>1</v>
      </c>
      <c r="B1619" t="str">
        <f t="shared" si="650"/>
        <v>M</v>
      </c>
      <c r="C1619">
        <v>40973007</v>
      </c>
      <c r="D1619">
        <f t="shared" si="651"/>
        <v>112</v>
      </c>
      <c r="E1619">
        <f t="shared" si="652"/>
        <v>100</v>
      </c>
      <c r="F1619" t="str">
        <f t="shared" si="653"/>
        <v>75-100</v>
      </c>
      <c r="G1619">
        <v>1</v>
      </c>
      <c r="H1619" t="str">
        <f t="shared" si="654"/>
        <v>Pariente gordo</v>
      </c>
      <c r="I1619">
        <v>1</v>
      </c>
      <c r="J1619" t="str">
        <f t="shared" si="655"/>
        <v>Hipercaloricos</v>
      </c>
      <c r="K1619">
        <v>2176317</v>
      </c>
      <c r="L1619">
        <f t="shared" si="656"/>
        <v>1</v>
      </c>
      <c r="M1619" t="str">
        <f t="shared" si="657"/>
        <v>Suele comer</v>
      </c>
      <c r="N1619">
        <v>2986637</v>
      </c>
      <c r="O1619">
        <f t="shared" si="658"/>
        <v>2</v>
      </c>
      <c r="P1619" t="str">
        <f t="shared" si="659"/>
        <v>Mas de 3</v>
      </c>
      <c r="Q1619">
        <v>1</v>
      </c>
      <c r="R1619" t="str">
        <f t="shared" si="660"/>
        <v>A veces</v>
      </c>
      <c r="S1619">
        <v>0</v>
      </c>
      <c r="T1619" t="str">
        <f t="shared" si="661"/>
        <v>No fuma</v>
      </c>
      <c r="U1619">
        <v>1015672</v>
      </c>
      <c r="V1619">
        <f t="shared" si="662"/>
        <v>2</v>
      </c>
      <c r="W1619" t="str">
        <f t="shared" si="663"/>
        <v>Siempre</v>
      </c>
      <c r="X1619">
        <v>0</v>
      </c>
      <c r="Y1619" t="str">
        <f t="shared" si="664"/>
        <v>No controla</v>
      </c>
      <c r="Z1619">
        <v>0.94140999999999997</v>
      </c>
      <c r="AA1619">
        <f t="shared" si="665"/>
        <v>0</v>
      </c>
      <c r="AB1619" t="str">
        <f t="shared" si="666"/>
        <v>Nunca</v>
      </c>
      <c r="AC1619">
        <v>0</v>
      </c>
      <c r="AD1619">
        <f t="shared" si="667"/>
        <v>0</v>
      </c>
      <c r="AE1619" t="str">
        <f t="shared" si="668"/>
        <v>Nunca</v>
      </c>
      <c r="AF1619">
        <v>0</v>
      </c>
      <c r="AG1619" t="str">
        <f t="shared" si="669"/>
        <v>Nunca</v>
      </c>
      <c r="AH1619">
        <v>1</v>
      </c>
      <c r="AI1619" t="str">
        <f t="shared" si="670"/>
        <v>Usa auto</v>
      </c>
      <c r="AJ1619">
        <v>0</v>
      </c>
      <c r="AK1619" t="str">
        <f t="shared" si="671"/>
        <v>No usa</v>
      </c>
      <c r="AL1619">
        <v>0</v>
      </c>
      <c r="AM1619" t="str">
        <f t="shared" si="672"/>
        <v>No usa</v>
      </c>
      <c r="AN1619">
        <v>0</v>
      </c>
      <c r="AO1619" t="str">
        <f t="shared" si="673"/>
        <v>No usa</v>
      </c>
      <c r="AP1619">
        <v>0</v>
      </c>
      <c r="AQ1619" t="str">
        <f t="shared" si="674"/>
        <v>No camina</v>
      </c>
      <c r="AR1619">
        <v>1</v>
      </c>
      <c r="AS1619" t="str">
        <f t="shared" si="675"/>
        <v>Es Obeso</v>
      </c>
    </row>
    <row r="1620" spans="1:45" x14ac:dyDescent="0.25">
      <c r="A1620">
        <v>1</v>
      </c>
      <c r="B1620" t="str">
        <f t="shared" si="650"/>
        <v>M</v>
      </c>
      <c r="C1620">
        <v>41</v>
      </c>
      <c r="D1620">
        <f t="shared" si="651"/>
        <v>41</v>
      </c>
      <c r="E1620">
        <f t="shared" si="652"/>
        <v>41</v>
      </c>
      <c r="F1620" t="str">
        <f t="shared" si="653"/>
        <v>25-50</v>
      </c>
      <c r="G1620">
        <v>1</v>
      </c>
      <c r="H1620" t="str">
        <f t="shared" si="654"/>
        <v>Pariente gordo</v>
      </c>
      <c r="I1620">
        <v>1</v>
      </c>
      <c r="J1620" t="str">
        <f t="shared" si="655"/>
        <v>Hipercaloricos</v>
      </c>
      <c r="K1620">
        <v>2</v>
      </c>
      <c r="L1620">
        <f t="shared" si="656"/>
        <v>1</v>
      </c>
      <c r="M1620" t="str">
        <f t="shared" si="657"/>
        <v>Suele comer</v>
      </c>
      <c r="N1620">
        <v>2701521</v>
      </c>
      <c r="O1620">
        <f t="shared" si="658"/>
        <v>2</v>
      </c>
      <c r="P1620" t="str">
        <f t="shared" si="659"/>
        <v>Mas de 3</v>
      </c>
      <c r="Q1620">
        <v>1</v>
      </c>
      <c r="R1620" t="str">
        <f t="shared" si="660"/>
        <v>A veces</v>
      </c>
      <c r="S1620">
        <v>0</v>
      </c>
      <c r="T1620" t="str">
        <f t="shared" si="661"/>
        <v>No fuma</v>
      </c>
      <c r="U1620">
        <v>1142644</v>
      </c>
      <c r="V1620">
        <f t="shared" si="662"/>
        <v>2</v>
      </c>
      <c r="W1620" t="str">
        <f t="shared" si="663"/>
        <v>Siempre</v>
      </c>
      <c r="X1620">
        <v>0</v>
      </c>
      <c r="Y1620" t="str">
        <f t="shared" si="664"/>
        <v>No controla</v>
      </c>
      <c r="Z1620">
        <v>0.51422500000000004</v>
      </c>
      <c r="AA1620">
        <f t="shared" si="665"/>
        <v>0</v>
      </c>
      <c r="AB1620" t="str">
        <f t="shared" si="666"/>
        <v>Nunca</v>
      </c>
      <c r="AC1620">
        <v>0</v>
      </c>
      <c r="AD1620">
        <f t="shared" si="667"/>
        <v>0</v>
      </c>
      <c r="AE1620" t="str">
        <f t="shared" si="668"/>
        <v>Nunca</v>
      </c>
      <c r="AF1620">
        <v>0</v>
      </c>
      <c r="AG1620" t="str">
        <f t="shared" si="669"/>
        <v>Nunca</v>
      </c>
      <c r="AH1620">
        <v>1</v>
      </c>
      <c r="AI1620" t="str">
        <f t="shared" si="670"/>
        <v>Usa auto</v>
      </c>
      <c r="AJ1620">
        <v>0</v>
      </c>
      <c r="AK1620" t="str">
        <f t="shared" si="671"/>
        <v>No usa</v>
      </c>
      <c r="AL1620">
        <v>0</v>
      </c>
      <c r="AM1620" t="str">
        <f t="shared" si="672"/>
        <v>No usa</v>
      </c>
      <c r="AN1620">
        <v>0</v>
      </c>
      <c r="AO1620" t="str">
        <f t="shared" si="673"/>
        <v>No usa</v>
      </c>
      <c r="AP1620">
        <v>0</v>
      </c>
      <c r="AQ1620" t="str">
        <f t="shared" si="674"/>
        <v>No camina</v>
      </c>
      <c r="AR1620">
        <v>1</v>
      </c>
      <c r="AS1620" t="str">
        <f t="shared" si="675"/>
        <v>Es Obeso</v>
      </c>
    </row>
    <row r="1621" spans="1:45" x14ac:dyDescent="0.25">
      <c r="A1621">
        <v>1</v>
      </c>
      <c r="B1621" t="str">
        <f t="shared" si="650"/>
        <v>M</v>
      </c>
      <c r="C1621">
        <v>21721507</v>
      </c>
      <c r="D1621">
        <f t="shared" si="651"/>
        <v>59</v>
      </c>
      <c r="E1621">
        <f t="shared" si="652"/>
        <v>59</v>
      </c>
      <c r="F1621" t="str">
        <f t="shared" si="653"/>
        <v>50-75</v>
      </c>
      <c r="G1621">
        <v>1</v>
      </c>
      <c r="H1621" t="str">
        <f t="shared" si="654"/>
        <v>Pariente gordo</v>
      </c>
      <c r="I1621">
        <v>1</v>
      </c>
      <c r="J1621" t="str">
        <f t="shared" si="655"/>
        <v>Hipercaloricos</v>
      </c>
      <c r="K1621">
        <v>3</v>
      </c>
      <c r="L1621">
        <f t="shared" si="656"/>
        <v>1</v>
      </c>
      <c r="M1621" t="str">
        <f t="shared" si="657"/>
        <v>Suele comer</v>
      </c>
      <c r="N1621">
        <v>2014671</v>
      </c>
      <c r="O1621">
        <f t="shared" si="658"/>
        <v>2</v>
      </c>
      <c r="P1621" t="str">
        <f t="shared" si="659"/>
        <v>Mas de 3</v>
      </c>
      <c r="Q1621">
        <v>1</v>
      </c>
      <c r="R1621" t="str">
        <f t="shared" si="660"/>
        <v>A veces</v>
      </c>
      <c r="S1621">
        <v>0</v>
      </c>
      <c r="T1621" t="str">
        <f t="shared" si="661"/>
        <v>No fuma</v>
      </c>
      <c r="U1621">
        <v>1292786</v>
      </c>
      <c r="V1621">
        <f t="shared" si="662"/>
        <v>2</v>
      </c>
      <c r="W1621" t="str">
        <f t="shared" si="663"/>
        <v>Siempre</v>
      </c>
      <c r="X1621">
        <v>0</v>
      </c>
      <c r="Y1621" t="str">
        <f t="shared" si="664"/>
        <v>No controla</v>
      </c>
      <c r="Z1621">
        <v>0.14568700000000001</v>
      </c>
      <c r="AA1621">
        <f t="shared" si="665"/>
        <v>0</v>
      </c>
      <c r="AB1621" t="str">
        <f t="shared" si="666"/>
        <v>Nunca</v>
      </c>
      <c r="AC1621">
        <v>0</v>
      </c>
      <c r="AD1621">
        <f t="shared" si="667"/>
        <v>0</v>
      </c>
      <c r="AE1621" t="str">
        <f t="shared" si="668"/>
        <v>Nunca</v>
      </c>
      <c r="AF1621">
        <v>1</v>
      </c>
      <c r="AG1621" t="str">
        <f t="shared" si="669"/>
        <v>A veces</v>
      </c>
      <c r="AH1621">
        <v>0</v>
      </c>
      <c r="AI1621" t="str">
        <f t="shared" si="670"/>
        <v>No usa</v>
      </c>
      <c r="AJ1621">
        <v>0</v>
      </c>
      <c r="AK1621" t="str">
        <f t="shared" si="671"/>
        <v>No usa</v>
      </c>
      <c r="AL1621">
        <v>0</v>
      </c>
      <c r="AM1621" t="str">
        <f t="shared" si="672"/>
        <v>No usa</v>
      </c>
      <c r="AN1621">
        <v>1</v>
      </c>
      <c r="AO1621" t="str">
        <f t="shared" si="673"/>
        <v>Usa Transporte</v>
      </c>
      <c r="AP1621">
        <v>0</v>
      </c>
      <c r="AQ1621" t="str">
        <f t="shared" si="674"/>
        <v>No camina</v>
      </c>
      <c r="AR1621">
        <v>1</v>
      </c>
      <c r="AS1621" t="str">
        <f t="shared" si="675"/>
        <v>Es Obeso</v>
      </c>
    </row>
    <row r="1622" spans="1:45" x14ac:dyDescent="0.25">
      <c r="A1622">
        <v>1</v>
      </c>
      <c r="B1622" t="str">
        <f t="shared" si="650"/>
        <v>M</v>
      </c>
      <c r="C1622">
        <v>21544554</v>
      </c>
      <c r="D1622">
        <f t="shared" si="651"/>
        <v>59</v>
      </c>
      <c r="E1622">
        <f t="shared" si="652"/>
        <v>59</v>
      </c>
      <c r="F1622" t="str">
        <f t="shared" si="653"/>
        <v>50-75</v>
      </c>
      <c r="G1622">
        <v>1</v>
      </c>
      <c r="H1622" t="str">
        <f t="shared" si="654"/>
        <v>Pariente gordo</v>
      </c>
      <c r="I1622">
        <v>1</v>
      </c>
      <c r="J1622" t="str">
        <f t="shared" si="655"/>
        <v>Hipercaloricos</v>
      </c>
      <c r="K1622">
        <v>3</v>
      </c>
      <c r="L1622">
        <f t="shared" si="656"/>
        <v>1</v>
      </c>
      <c r="M1622" t="str">
        <f t="shared" si="657"/>
        <v>Suele comer</v>
      </c>
      <c r="N1622">
        <v>1971659</v>
      </c>
      <c r="O1622">
        <f t="shared" si="658"/>
        <v>2</v>
      </c>
      <c r="P1622" t="str">
        <f t="shared" si="659"/>
        <v>Mas de 3</v>
      </c>
      <c r="Q1622">
        <v>1</v>
      </c>
      <c r="R1622" t="str">
        <f t="shared" si="660"/>
        <v>A veces</v>
      </c>
      <c r="S1622">
        <v>0</v>
      </c>
      <c r="T1622" t="str">
        <f t="shared" si="661"/>
        <v>No fuma</v>
      </c>
      <c r="U1622">
        <v>1179254</v>
      </c>
      <c r="V1622">
        <f t="shared" si="662"/>
        <v>2</v>
      </c>
      <c r="W1622" t="str">
        <f t="shared" si="663"/>
        <v>Siempre</v>
      </c>
      <c r="X1622">
        <v>0</v>
      </c>
      <c r="Y1622" t="str">
        <f t="shared" si="664"/>
        <v>No controla</v>
      </c>
      <c r="Z1622">
        <v>0.17885599999999999</v>
      </c>
      <c r="AA1622">
        <f t="shared" si="665"/>
        <v>0</v>
      </c>
      <c r="AB1622" t="str">
        <f t="shared" si="666"/>
        <v>Nunca</v>
      </c>
      <c r="AC1622">
        <v>0</v>
      </c>
      <c r="AD1622">
        <f t="shared" si="667"/>
        <v>0</v>
      </c>
      <c r="AE1622" t="str">
        <f t="shared" si="668"/>
        <v>Nunca</v>
      </c>
      <c r="AF1622">
        <v>1</v>
      </c>
      <c r="AG1622" t="str">
        <f t="shared" si="669"/>
        <v>A veces</v>
      </c>
      <c r="AH1622">
        <v>0</v>
      </c>
      <c r="AI1622" t="str">
        <f t="shared" si="670"/>
        <v>No usa</v>
      </c>
      <c r="AJ1622">
        <v>0</v>
      </c>
      <c r="AK1622" t="str">
        <f t="shared" si="671"/>
        <v>No usa</v>
      </c>
      <c r="AL1622">
        <v>0</v>
      </c>
      <c r="AM1622" t="str">
        <f t="shared" si="672"/>
        <v>No usa</v>
      </c>
      <c r="AN1622">
        <v>1</v>
      </c>
      <c r="AO1622" t="str">
        <f t="shared" si="673"/>
        <v>Usa Transporte</v>
      </c>
      <c r="AP1622">
        <v>0</v>
      </c>
      <c r="AQ1622" t="str">
        <f t="shared" si="674"/>
        <v>No camina</v>
      </c>
      <c r="AR1622">
        <v>1</v>
      </c>
      <c r="AS1622" t="str">
        <f t="shared" si="675"/>
        <v>Es Obeso</v>
      </c>
    </row>
    <row r="1623" spans="1:45" x14ac:dyDescent="0.25">
      <c r="A1623">
        <v>1</v>
      </c>
      <c r="B1623" t="str">
        <f t="shared" si="650"/>
        <v>M</v>
      </c>
      <c r="C1623">
        <v>24000307</v>
      </c>
      <c r="D1623">
        <f t="shared" si="651"/>
        <v>65</v>
      </c>
      <c r="E1623">
        <f t="shared" si="652"/>
        <v>65</v>
      </c>
      <c r="F1623" t="str">
        <f t="shared" si="653"/>
        <v>50-75</v>
      </c>
      <c r="G1623">
        <v>1</v>
      </c>
      <c r="H1623" t="str">
        <f t="shared" si="654"/>
        <v>Pariente gordo</v>
      </c>
      <c r="I1623">
        <v>1</v>
      </c>
      <c r="J1623" t="str">
        <f t="shared" si="655"/>
        <v>Hipercaloricos</v>
      </c>
      <c r="K1623">
        <v>2877743</v>
      </c>
      <c r="L1623">
        <f t="shared" si="656"/>
        <v>1</v>
      </c>
      <c r="M1623" t="str">
        <f t="shared" si="657"/>
        <v>Suele comer</v>
      </c>
      <c r="N1623">
        <v>1311797</v>
      </c>
      <c r="O1623">
        <f t="shared" si="658"/>
        <v>2</v>
      </c>
      <c r="P1623" t="str">
        <f t="shared" si="659"/>
        <v>Mas de 3</v>
      </c>
      <c r="Q1623">
        <v>1</v>
      </c>
      <c r="R1623" t="str">
        <f t="shared" si="660"/>
        <v>A veces</v>
      </c>
      <c r="S1623">
        <v>0</v>
      </c>
      <c r="T1623" t="str">
        <f t="shared" si="661"/>
        <v>No fuma</v>
      </c>
      <c r="U1623">
        <v>1000463</v>
      </c>
      <c r="V1623">
        <f t="shared" si="662"/>
        <v>2</v>
      </c>
      <c r="W1623" t="str">
        <f t="shared" si="663"/>
        <v>Siempre</v>
      </c>
      <c r="X1623">
        <v>0</v>
      </c>
      <c r="Y1623" t="str">
        <f t="shared" si="664"/>
        <v>No controla</v>
      </c>
      <c r="Z1623">
        <v>0.18224899999999999</v>
      </c>
      <c r="AA1623">
        <f t="shared" si="665"/>
        <v>0</v>
      </c>
      <c r="AB1623" t="str">
        <f t="shared" si="666"/>
        <v>Nunca</v>
      </c>
      <c r="AC1623">
        <v>14312</v>
      </c>
      <c r="AD1623">
        <f t="shared" si="667"/>
        <v>1</v>
      </c>
      <c r="AE1623" t="str">
        <f t="shared" si="668"/>
        <v>Usualmente</v>
      </c>
      <c r="AF1623">
        <v>0</v>
      </c>
      <c r="AG1623" t="str">
        <f t="shared" si="669"/>
        <v>Nunca</v>
      </c>
      <c r="AH1623">
        <v>0</v>
      </c>
      <c r="AI1623" t="str">
        <f t="shared" si="670"/>
        <v>No usa</v>
      </c>
      <c r="AJ1623">
        <v>0</v>
      </c>
      <c r="AK1623" t="str">
        <f t="shared" si="671"/>
        <v>No usa</v>
      </c>
      <c r="AL1623">
        <v>0</v>
      </c>
      <c r="AM1623" t="str">
        <f t="shared" si="672"/>
        <v>No usa</v>
      </c>
      <c r="AN1623">
        <v>1</v>
      </c>
      <c r="AO1623" t="str">
        <f t="shared" si="673"/>
        <v>Usa Transporte</v>
      </c>
      <c r="AP1623">
        <v>0</v>
      </c>
      <c r="AQ1623" t="str">
        <f t="shared" si="674"/>
        <v>No camina</v>
      </c>
      <c r="AR1623">
        <v>1</v>
      </c>
      <c r="AS1623" t="str">
        <f t="shared" si="675"/>
        <v>Es Obeso</v>
      </c>
    </row>
    <row r="1624" spans="1:45" x14ac:dyDescent="0.25">
      <c r="A1624">
        <v>1</v>
      </c>
      <c r="B1624" t="str">
        <f t="shared" si="650"/>
        <v>M</v>
      </c>
      <c r="C1624">
        <v>240409</v>
      </c>
      <c r="D1624">
        <f t="shared" si="651"/>
        <v>0</v>
      </c>
      <c r="E1624">
        <f t="shared" si="652"/>
        <v>5</v>
      </c>
      <c r="F1624" t="str">
        <f t="shared" si="653"/>
        <v>1-25</v>
      </c>
      <c r="G1624">
        <v>1</v>
      </c>
      <c r="H1624" t="str">
        <f t="shared" si="654"/>
        <v>Pariente gordo</v>
      </c>
      <c r="I1624">
        <v>1</v>
      </c>
      <c r="J1624" t="str">
        <f t="shared" si="655"/>
        <v>Hipercaloricos</v>
      </c>
      <c r="K1624">
        <v>3</v>
      </c>
      <c r="L1624">
        <f t="shared" si="656"/>
        <v>1</v>
      </c>
      <c r="M1624" t="str">
        <f t="shared" si="657"/>
        <v>Suele comer</v>
      </c>
      <c r="N1624">
        <v>1262831</v>
      </c>
      <c r="O1624">
        <f t="shared" si="658"/>
        <v>2</v>
      </c>
      <c r="P1624" t="str">
        <f t="shared" si="659"/>
        <v>Mas de 3</v>
      </c>
      <c r="Q1624">
        <v>1</v>
      </c>
      <c r="R1624" t="str">
        <f t="shared" si="660"/>
        <v>A veces</v>
      </c>
      <c r="S1624">
        <v>0</v>
      </c>
      <c r="T1624" t="str">
        <f t="shared" si="661"/>
        <v>No fuma</v>
      </c>
      <c r="U1624">
        <v>1</v>
      </c>
      <c r="V1624">
        <f t="shared" si="662"/>
        <v>1</v>
      </c>
      <c r="W1624" t="str">
        <f t="shared" si="663"/>
        <v>Usualmente</v>
      </c>
      <c r="X1624">
        <v>0</v>
      </c>
      <c r="Y1624" t="str">
        <f t="shared" si="664"/>
        <v>No controla</v>
      </c>
      <c r="Z1624">
        <v>0.88317100000000004</v>
      </c>
      <c r="AA1624">
        <f t="shared" si="665"/>
        <v>0</v>
      </c>
      <c r="AB1624" t="str">
        <f t="shared" si="666"/>
        <v>Nunca</v>
      </c>
      <c r="AC1624">
        <v>1382995</v>
      </c>
      <c r="AD1624">
        <f t="shared" si="667"/>
        <v>2</v>
      </c>
      <c r="AE1624" t="str">
        <f t="shared" si="668"/>
        <v>Siempre</v>
      </c>
      <c r="AF1624">
        <v>0</v>
      </c>
      <c r="AG1624" t="str">
        <f t="shared" si="669"/>
        <v>Nunca</v>
      </c>
      <c r="AH1624">
        <v>0</v>
      </c>
      <c r="AI1624" t="str">
        <f t="shared" si="670"/>
        <v>No usa</v>
      </c>
      <c r="AJ1624">
        <v>0</v>
      </c>
      <c r="AK1624" t="str">
        <f t="shared" si="671"/>
        <v>No usa</v>
      </c>
      <c r="AL1624">
        <v>0</v>
      </c>
      <c r="AM1624" t="str">
        <f t="shared" si="672"/>
        <v>No usa</v>
      </c>
      <c r="AN1624">
        <v>1</v>
      </c>
      <c r="AO1624" t="str">
        <f t="shared" si="673"/>
        <v>Usa Transporte</v>
      </c>
      <c r="AP1624">
        <v>0</v>
      </c>
      <c r="AQ1624" t="str">
        <f t="shared" si="674"/>
        <v>No camina</v>
      </c>
      <c r="AR1624">
        <v>1</v>
      </c>
      <c r="AS1624" t="str">
        <f t="shared" si="675"/>
        <v>Es Obeso</v>
      </c>
    </row>
    <row r="1625" spans="1:45" x14ac:dyDescent="0.25">
      <c r="A1625">
        <v>1</v>
      </c>
      <c r="B1625" t="str">
        <f t="shared" si="650"/>
        <v>M</v>
      </c>
      <c r="C1625">
        <v>29509151</v>
      </c>
      <c r="D1625">
        <f t="shared" si="651"/>
        <v>80</v>
      </c>
      <c r="E1625">
        <f t="shared" si="652"/>
        <v>80</v>
      </c>
      <c r="F1625" t="str">
        <f t="shared" si="653"/>
        <v>75-100</v>
      </c>
      <c r="G1625">
        <v>1</v>
      </c>
      <c r="H1625" t="str">
        <f t="shared" si="654"/>
        <v>Pariente gordo</v>
      </c>
      <c r="I1625">
        <v>1</v>
      </c>
      <c r="J1625" t="str">
        <f t="shared" si="655"/>
        <v>Hipercaloricos</v>
      </c>
      <c r="K1625">
        <v>2303041</v>
      </c>
      <c r="L1625">
        <f t="shared" si="656"/>
        <v>1</v>
      </c>
      <c r="M1625" t="str">
        <f t="shared" si="657"/>
        <v>Suele comer</v>
      </c>
      <c r="N1625">
        <v>3</v>
      </c>
      <c r="O1625">
        <f t="shared" si="658"/>
        <v>2</v>
      </c>
      <c r="P1625" t="str">
        <f t="shared" si="659"/>
        <v>Mas de 3</v>
      </c>
      <c r="Q1625">
        <v>1</v>
      </c>
      <c r="R1625" t="str">
        <f t="shared" si="660"/>
        <v>A veces</v>
      </c>
      <c r="S1625">
        <v>0</v>
      </c>
      <c r="T1625" t="str">
        <f t="shared" si="661"/>
        <v>No fuma</v>
      </c>
      <c r="U1625">
        <v>2065817</v>
      </c>
      <c r="V1625">
        <f t="shared" si="662"/>
        <v>2</v>
      </c>
      <c r="W1625" t="str">
        <f t="shared" si="663"/>
        <v>Siempre</v>
      </c>
      <c r="X1625">
        <v>0</v>
      </c>
      <c r="Y1625" t="str">
        <f t="shared" si="664"/>
        <v>No controla</v>
      </c>
      <c r="Z1625">
        <v>0</v>
      </c>
      <c r="AA1625">
        <f t="shared" si="665"/>
        <v>0</v>
      </c>
      <c r="AB1625" t="str">
        <f t="shared" si="666"/>
        <v>Nunca</v>
      </c>
      <c r="AC1625">
        <v>0.72522200000000003</v>
      </c>
      <c r="AD1625">
        <f t="shared" si="667"/>
        <v>0</v>
      </c>
      <c r="AE1625" t="str">
        <f t="shared" si="668"/>
        <v>Nunca</v>
      </c>
      <c r="AF1625">
        <v>1</v>
      </c>
      <c r="AG1625" t="str">
        <f t="shared" si="669"/>
        <v>A veces</v>
      </c>
      <c r="AH1625">
        <v>1</v>
      </c>
      <c r="AI1625" t="str">
        <f t="shared" si="670"/>
        <v>Usa auto</v>
      </c>
      <c r="AJ1625">
        <v>0</v>
      </c>
      <c r="AK1625" t="str">
        <f t="shared" si="671"/>
        <v>No usa</v>
      </c>
      <c r="AL1625">
        <v>0</v>
      </c>
      <c r="AM1625" t="str">
        <f t="shared" si="672"/>
        <v>No usa</v>
      </c>
      <c r="AN1625">
        <v>0</v>
      </c>
      <c r="AO1625" t="str">
        <f t="shared" si="673"/>
        <v>No usa</v>
      </c>
      <c r="AP1625">
        <v>0</v>
      </c>
      <c r="AQ1625" t="str">
        <f t="shared" si="674"/>
        <v>No camina</v>
      </c>
      <c r="AR1625">
        <v>1</v>
      </c>
      <c r="AS1625" t="str">
        <f t="shared" si="675"/>
        <v>Es Obeso</v>
      </c>
    </row>
    <row r="1626" spans="1:45" x14ac:dyDescent="0.25">
      <c r="A1626">
        <v>1</v>
      </c>
      <c r="B1626" t="str">
        <f t="shared" si="650"/>
        <v>M</v>
      </c>
      <c r="C1626">
        <v>29246269</v>
      </c>
      <c r="D1626">
        <f t="shared" si="651"/>
        <v>80</v>
      </c>
      <c r="E1626">
        <f t="shared" si="652"/>
        <v>80</v>
      </c>
      <c r="F1626" t="str">
        <f t="shared" si="653"/>
        <v>75-100</v>
      </c>
      <c r="G1626">
        <v>1</v>
      </c>
      <c r="H1626" t="str">
        <f t="shared" si="654"/>
        <v>Pariente gordo</v>
      </c>
      <c r="I1626">
        <v>1</v>
      </c>
      <c r="J1626" t="str">
        <f t="shared" si="655"/>
        <v>Hipercaloricos</v>
      </c>
      <c r="K1626">
        <v>2323003</v>
      </c>
      <c r="L1626">
        <f t="shared" si="656"/>
        <v>1</v>
      </c>
      <c r="M1626" t="str">
        <f t="shared" si="657"/>
        <v>Suele comer</v>
      </c>
      <c r="N1626">
        <v>3</v>
      </c>
      <c r="O1626">
        <f t="shared" si="658"/>
        <v>2</v>
      </c>
      <c r="P1626" t="str">
        <f t="shared" si="659"/>
        <v>Mas de 3</v>
      </c>
      <c r="Q1626">
        <v>1</v>
      </c>
      <c r="R1626" t="str">
        <f t="shared" si="660"/>
        <v>A veces</v>
      </c>
      <c r="S1626">
        <v>0</v>
      </c>
      <c r="T1626" t="str">
        <f t="shared" si="661"/>
        <v>No fuma</v>
      </c>
      <c r="U1626">
        <v>2155558</v>
      </c>
      <c r="V1626">
        <f t="shared" si="662"/>
        <v>2</v>
      </c>
      <c r="W1626" t="str">
        <f t="shared" si="663"/>
        <v>Siempre</v>
      </c>
      <c r="X1626">
        <v>0</v>
      </c>
      <c r="Y1626" t="str">
        <f t="shared" si="664"/>
        <v>No controla</v>
      </c>
      <c r="Z1626">
        <v>0</v>
      </c>
      <c r="AA1626">
        <f t="shared" si="665"/>
        <v>0</v>
      </c>
      <c r="AB1626" t="str">
        <f t="shared" si="666"/>
        <v>Nunca</v>
      </c>
      <c r="AC1626">
        <v>1251554</v>
      </c>
      <c r="AD1626">
        <f t="shared" si="667"/>
        <v>2</v>
      </c>
      <c r="AE1626" t="str">
        <f t="shared" si="668"/>
        <v>Siempre</v>
      </c>
      <c r="AF1626">
        <v>1</v>
      </c>
      <c r="AG1626" t="str">
        <f t="shared" si="669"/>
        <v>A veces</v>
      </c>
      <c r="AH1626">
        <v>1</v>
      </c>
      <c r="AI1626" t="str">
        <f t="shared" si="670"/>
        <v>Usa auto</v>
      </c>
      <c r="AJ1626">
        <v>0</v>
      </c>
      <c r="AK1626" t="str">
        <f t="shared" si="671"/>
        <v>No usa</v>
      </c>
      <c r="AL1626">
        <v>0</v>
      </c>
      <c r="AM1626" t="str">
        <f t="shared" si="672"/>
        <v>No usa</v>
      </c>
      <c r="AN1626">
        <v>0</v>
      </c>
      <c r="AO1626" t="str">
        <f t="shared" si="673"/>
        <v>No usa</v>
      </c>
      <c r="AP1626">
        <v>0</v>
      </c>
      <c r="AQ1626" t="str">
        <f t="shared" si="674"/>
        <v>No camina</v>
      </c>
      <c r="AR1626">
        <v>1</v>
      </c>
      <c r="AS1626" t="str">
        <f t="shared" si="675"/>
        <v>Es Obeso</v>
      </c>
    </row>
    <row r="1627" spans="1:45" x14ac:dyDescent="0.25">
      <c r="A1627">
        <v>1</v>
      </c>
      <c r="B1627" t="str">
        <f t="shared" si="650"/>
        <v>M</v>
      </c>
      <c r="C1627">
        <v>25341399</v>
      </c>
      <c r="D1627">
        <f t="shared" si="651"/>
        <v>69</v>
      </c>
      <c r="E1627">
        <f t="shared" si="652"/>
        <v>69</v>
      </c>
      <c r="F1627" t="str">
        <f t="shared" si="653"/>
        <v>50-75</v>
      </c>
      <c r="G1627">
        <v>1</v>
      </c>
      <c r="H1627" t="str">
        <f t="shared" si="654"/>
        <v>Pariente gordo</v>
      </c>
      <c r="I1627">
        <v>1</v>
      </c>
      <c r="J1627" t="str">
        <f t="shared" si="655"/>
        <v>Hipercaloricos</v>
      </c>
      <c r="K1627">
        <v>199953</v>
      </c>
      <c r="L1627">
        <f t="shared" si="656"/>
        <v>1</v>
      </c>
      <c r="M1627" t="str">
        <f t="shared" si="657"/>
        <v>Suele comer</v>
      </c>
      <c r="N1627">
        <v>3</v>
      </c>
      <c r="O1627">
        <f t="shared" si="658"/>
        <v>2</v>
      </c>
      <c r="P1627" t="str">
        <f t="shared" si="659"/>
        <v>Mas de 3</v>
      </c>
      <c r="Q1627">
        <v>1</v>
      </c>
      <c r="R1627" t="str">
        <f t="shared" si="660"/>
        <v>A veces</v>
      </c>
      <c r="S1627">
        <v>0</v>
      </c>
      <c r="T1627" t="str">
        <f t="shared" si="661"/>
        <v>No fuma</v>
      </c>
      <c r="U1627">
        <v>2111908</v>
      </c>
      <c r="V1627">
        <f t="shared" si="662"/>
        <v>2</v>
      </c>
      <c r="W1627" t="str">
        <f t="shared" si="663"/>
        <v>Siempre</v>
      </c>
      <c r="X1627">
        <v>0</v>
      </c>
      <c r="Y1627" t="str">
        <f t="shared" si="664"/>
        <v>No controla</v>
      </c>
      <c r="Z1627">
        <v>1453042</v>
      </c>
      <c r="AA1627">
        <f t="shared" si="665"/>
        <v>3</v>
      </c>
      <c r="AB1627" t="str">
        <f t="shared" si="666"/>
        <v>Siempre</v>
      </c>
      <c r="AC1627">
        <v>0.84950300000000001</v>
      </c>
      <c r="AD1627">
        <f t="shared" si="667"/>
        <v>0</v>
      </c>
      <c r="AE1627" t="str">
        <f t="shared" si="668"/>
        <v>Nunca</v>
      </c>
      <c r="AF1627">
        <v>1</v>
      </c>
      <c r="AG1627" t="str">
        <f t="shared" si="669"/>
        <v>A veces</v>
      </c>
      <c r="AH1627">
        <v>0</v>
      </c>
      <c r="AI1627" t="str">
        <f t="shared" si="670"/>
        <v>No usa</v>
      </c>
      <c r="AJ1627">
        <v>0</v>
      </c>
      <c r="AK1627" t="str">
        <f t="shared" si="671"/>
        <v>No usa</v>
      </c>
      <c r="AL1627">
        <v>0</v>
      </c>
      <c r="AM1627" t="str">
        <f t="shared" si="672"/>
        <v>No usa</v>
      </c>
      <c r="AN1627">
        <v>1</v>
      </c>
      <c r="AO1627" t="str">
        <f t="shared" si="673"/>
        <v>Usa Transporte</v>
      </c>
      <c r="AP1627">
        <v>0</v>
      </c>
      <c r="AQ1627" t="str">
        <f t="shared" si="674"/>
        <v>No camina</v>
      </c>
      <c r="AR1627">
        <v>1</v>
      </c>
      <c r="AS1627" t="str">
        <f t="shared" si="675"/>
        <v>Es Obeso</v>
      </c>
    </row>
    <row r="1628" spans="1:45" x14ac:dyDescent="0.25">
      <c r="A1628">
        <v>1</v>
      </c>
      <c r="B1628" t="str">
        <f t="shared" si="650"/>
        <v>M</v>
      </c>
      <c r="C1628">
        <v>25314163</v>
      </c>
      <c r="D1628">
        <f t="shared" si="651"/>
        <v>69</v>
      </c>
      <c r="E1628">
        <f t="shared" si="652"/>
        <v>69</v>
      </c>
      <c r="F1628" t="str">
        <f t="shared" si="653"/>
        <v>50-75</v>
      </c>
      <c r="G1628">
        <v>1</v>
      </c>
      <c r="H1628" t="str">
        <f t="shared" si="654"/>
        <v>Pariente gordo</v>
      </c>
      <c r="I1628">
        <v>1</v>
      </c>
      <c r="J1628" t="str">
        <f t="shared" si="655"/>
        <v>Hipercaloricos</v>
      </c>
      <c r="K1628">
        <v>1585183</v>
      </c>
      <c r="L1628">
        <f t="shared" si="656"/>
        <v>1</v>
      </c>
      <c r="M1628" t="str">
        <f t="shared" si="657"/>
        <v>Suele comer</v>
      </c>
      <c r="N1628">
        <v>3</v>
      </c>
      <c r="O1628">
        <f t="shared" si="658"/>
        <v>2</v>
      </c>
      <c r="P1628" t="str">
        <f t="shared" si="659"/>
        <v>Mas de 3</v>
      </c>
      <c r="Q1628">
        <v>1</v>
      </c>
      <c r="R1628" t="str">
        <f t="shared" si="660"/>
        <v>A veces</v>
      </c>
      <c r="S1628">
        <v>0</v>
      </c>
      <c r="T1628" t="str">
        <f t="shared" si="661"/>
        <v>No fuma</v>
      </c>
      <c r="U1628">
        <v>2101841</v>
      </c>
      <c r="V1628">
        <f t="shared" si="662"/>
        <v>2</v>
      </c>
      <c r="W1628" t="str">
        <f t="shared" si="663"/>
        <v>Siempre</v>
      </c>
      <c r="X1628">
        <v>0</v>
      </c>
      <c r="Y1628" t="str">
        <f t="shared" si="664"/>
        <v>No controla</v>
      </c>
      <c r="Z1628">
        <v>1543961</v>
      </c>
      <c r="AA1628">
        <f t="shared" si="665"/>
        <v>3</v>
      </c>
      <c r="AB1628" t="str">
        <f t="shared" si="666"/>
        <v>Siempre</v>
      </c>
      <c r="AC1628">
        <v>7.2999999999999999E-5</v>
      </c>
      <c r="AD1628">
        <f t="shared" si="667"/>
        <v>0</v>
      </c>
      <c r="AE1628" t="str">
        <f t="shared" si="668"/>
        <v>Nunca</v>
      </c>
      <c r="AF1628">
        <v>1</v>
      </c>
      <c r="AG1628" t="str">
        <f t="shared" si="669"/>
        <v>A veces</v>
      </c>
      <c r="AH1628">
        <v>0</v>
      </c>
      <c r="AI1628" t="str">
        <f t="shared" si="670"/>
        <v>No usa</v>
      </c>
      <c r="AJ1628">
        <v>0</v>
      </c>
      <c r="AK1628" t="str">
        <f t="shared" si="671"/>
        <v>No usa</v>
      </c>
      <c r="AL1628">
        <v>0</v>
      </c>
      <c r="AM1628" t="str">
        <f t="shared" si="672"/>
        <v>No usa</v>
      </c>
      <c r="AN1628">
        <v>1</v>
      </c>
      <c r="AO1628" t="str">
        <f t="shared" si="673"/>
        <v>Usa Transporte</v>
      </c>
      <c r="AP1628">
        <v>0</v>
      </c>
      <c r="AQ1628" t="str">
        <f t="shared" si="674"/>
        <v>No camina</v>
      </c>
      <c r="AR1628">
        <v>1</v>
      </c>
      <c r="AS1628" t="str">
        <f t="shared" si="675"/>
        <v>Es Obeso</v>
      </c>
    </row>
    <row r="1629" spans="1:45" x14ac:dyDescent="0.25">
      <c r="A1629">
        <v>1</v>
      </c>
      <c r="B1629" t="str">
        <f t="shared" si="650"/>
        <v>M</v>
      </c>
      <c r="C1629">
        <v>40366238</v>
      </c>
      <c r="D1629">
        <f t="shared" si="651"/>
        <v>110</v>
      </c>
      <c r="E1629">
        <f t="shared" si="652"/>
        <v>100</v>
      </c>
      <c r="F1629" t="str">
        <f t="shared" si="653"/>
        <v>75-100</v>
      </c>
      <c r="G1629">
        <v>1</v>
      </c>
      <c r="H1629" t="str">
        <f t="shared" si="654"/>
        <v>Pariente gordo</v>
      </c>
      <c r="I1629">
        <v>1</v>
      </c>
      <c r="J1629" t="str">
        <f t="shared" si="655"/>
        <v>Hipercaloricos</v>
      </c>
      <c r="K1629">
        <v>2281963</v>
      </c>
      <c r="L1629">
        <f t="shared" si="656"/>
        <v>1</v>
      </c>
      <c r="M1629" t="str">
        <f t="shared" si="657"/>
        <v>Suele comer</v>
      </c>
      <c r="N1629">
        <v>3770379</v>
      </c>
      <c r="O1629">
        <f t="shared" si="658"/>
        <v>2</v>
      </c>
      <c r="P1629" t="str">
        <f t="shared" si="659"/>
        <v>Mas de 3</v>
      </c>
      <c r="Q1629">
        <v>1</v>
      </c>
      <c r="R1629" t="str">
        <f t="shared" si="660"/>
        <v>A veces</v>
      </c>
      <c r="S1629">
        <v>0</v>
      </c>
      <c r="T1629" t="str">
        <f t="shared" si="661"/>
        <v>No fuma</v>
      </c>
      <c r="U1629">
        <v>1</v>
      </c>
      <c r="V1629">
        <f t="shared" si="662"/>
        <v>1</v>
      </c>
      <c r="W1629" t="str">
        <f t="shared" si="663"/>
        <v>Usualmente</v>
      </c>
      <c r="X1629">
        <v>0</v>
      </c>
      <c r="Y1629" t="str">
        <f t="shared" si="664"/>
        <v>No controla</v>
      </c>
      <c r="Z1629">
        <v>1330519</v>
      </c>
      <c r="AA1629">
        <f t="shared" si="665"/>
        <v>3</v>
      </c>
      <c r="AB1629" t="str">
        <f t="shared" si="666"/>
        <v>Siempre</v>
      </c>
      <c r="AC1629">
        <v>0</v>
      </c>
      <c r="AD1629">
        <f t="shared" si="667"/>
        <v>0</v>
      </c>
      <c r="AE1629" t="str">
        <f t="shared" si="668"/>
        <v>Nunca</v>
      </c>
      <c r="AF1629">
        <v>0</v>
      </c>
      <c r="AG1629" t="str">
        <f t="shared" si="669"/>
        <v>Nunca</v>
      </c>
      <c r="AH1629">
        <v>1</v>
      </c>
      <c r="AI1629" t="str">
        <f t="shared" si="670"/>
        <v>Usa auto</v>
      </c>
      <c r="AJ1629">
        <v>0</v>
      </c>
      <c r="AK1629" t="str">
        <f t="shared" si="671"/>
        <v>No usa</v>
      </c>
      <c r="AL1629">
        <v>0</v>
      </c>
      <c r="AM1629" t="str">
        <f t="shared" si="672"/>
        <v>No usa</v>
      </c>
      <c r="AN1629">
        <v>0</v>
      </c>
      <c r="AO1629" t="str">
        <f t="shared" si="673"/>
        <v>No usa</v>
      </c>
      <c r="AP1629">
        <v>0</v>
      </c>
      <c r="AQ1629" t="str">
        <f t="shared" si="674"/>
        <v>No camina</v>
      </c>
      <c r="AR1629">
        <v>1</v>
      </c>
      <c r="AS1629" t="str">
        <f t="shared" si="675"/>
        <v>Es Obeso</v>
      </c>
    </row>
    <row r="1630" spans="1:45" x14ac:dyDescent="0.25">
      <c r="A1630">
        <v>1</v>
      </c>
      <c r="B1630" t="str">
        <f t="shared" si="650"/>
        <v>M</v>
      </c>
      <c r="C1630">
        <v>33749594</v>
      </c>
      <c r="D1630">
        <f t="shared" si="651"/>
        <v>92</v>
      </c>
      <c r="E1630">
        <f t="shared" si="652"/>
        <v>92</v>
      </c>
      <c r="F1630" t="str">
        <f t="shared" si="653"/>
        <v>75-100</v>
      </c>
      <c r="G1630">
        <v>1</v>
      </c>
      <c r="H1630" t="str">
        <f t="shared" si="654"/>
        <v>Pariente gordo</v>
      </c>
      <c r="I1630">
        <v>1</v>
      </c>
      <c r="J1630" t="str">
        <f t="shared" si="655"/>
        <v>Hipercaloricos</v>
      </c>
      <c r="K1630">
        <v>2561638</v>
      </c>
      <c r="L1630">
        <f t="shared" si="656"/>
        <v>1</v>
      </c>
      <c r="M1630" t="str">
        <f t="shared" si="657"/>
        <v>Suele comer</v>
      </c>
      <c r="N1630">
        <v>287747</v>
      </c>
      <c r="O1630">
        <f t="shared" si="658"/>
        <v>2</v>
      </c>
      <c r="P1630" t="str">
        <f t="shared" si="659"/>
        <v>Mas de 3</v>
      </c>
      <c r="Q1630">
        <v>1</v>
      </c>
      <c r="R1630" t="str">
        <f t="shared" si="660"/>
        <v>A veces</v>
      </c>
      <c r="S1630">
        <v>0</v>
      </c>
      <c r="T1630" t="str">
        <f t="shared" si="661"/>
        <v>No fuma</v>
      </c>
      <c r="U1630">
        <v>1</v>
      </c>
      <c r="V1630">
        <f t="shared" si="662"/>
        <v>1</v>
      </c>
      <c r="W1630" t="str">
        <f t="shared" si="663"/>
        <v>Usualmente</v>
      </c>
      <c r="X1630">
        <v>0</v>
      </c>
      <c r="Y1630" t="str">
        <f t="shared" si="664"/>
        <v>No controla</v>
      </c>
      <c r="Z1630">
        <v>1980401</v>
      </c>
      <c r="AA1630">
        <f t="shared" si="665"/>
        <v>3</v>
      </c>
      <c r="AB1630" t="str">
        <f t="shared" si="666"/>
        <v>Siempre</v>
      </c>
      <c r="AC1630">
        <v>0</v>
      </c>
      <c r="AD1630">
        <f t="shared" si="667"/>
        <v>0</v>
      </c>
      <c r="AE1630" t="str">
        <f t="shared" si="668"/>
        <v>Nunca</v>
      </c>
      <c r="AF1630">
        <v>0</v>
      </c>
      <c r="AG1630" t="str">
        <f t="shared" si="669"/>
        <v>Nunca</v>
      </c>
      <c r="AH1630">
        <v>1</v>
      </c>
      <c r="AI1630" t="str">
        <f t="shared" si="670"/>
        <v>Usa auto</v>
      </c>
      <c r="AJ1630">
        <v>0</v>
      </c>
      <c r="AK1630" t="str">
        <f t="shared" si="671"/>
        <v>No usa</v>
      </c>
      <c r="AL1630">
        <v>0</v>
      </c>
      <c r="AM1630" t="str">
        <f t="shared" si="672"/>
        <v>No usa</v>
      </c>
      <c r="AN1630">
        <v>0</v>
      </c>
      <c r="AO1630" t="str">
        <f t="shared" si="673"/>
        <v>No usa</v>
      </c>
      <c r="AP1630">
        <v>0</v>
      </c>
      <c r="AQ1630" t="str">
        <f t="shared" si="674"/>
        <v>No camina</v>
      </c>
      <c r="AR1630">
        <v>1</v>
      </c>
      <c r="AS1630" t="str">
        <f t="shared" si="675"/>
        <v>Es Obeso</v>
      </c>
    </row>
    <row r="1631" spans="1:45" x14ac:dyDescent="0.25">
      <c r="A1631">
        <v>1</v>
      </c>
      <c r="B1631" t="str">
        <f t="shared" si="650"/>
        <v>M</v>
      </c>
      <c r="C1631">
        <v>32867331</v>
      </c>
      <c r="D1631">
        <f t="shared" si="651"/>
        <v>90</v>
      </c>
      <c r="E1631">
        <f t="shared" si="652"/>
        <v>90</v>
      </c>
      <c r="F1631" t="str">
        <f t="shared" si="653"/>
        <v>75-100</v>
      </c>
      <c r="G1631">
        <v>1</v>
      </c>
      <c r="H1631" t="str">
        <f t="shared" si="654"/>
        <v>Pariente gordo</v>
      </c>
      <c r="I1631">
        <v>1</v>
      </c>
      <c r="J1631" t="str">
        <f t="shared" si="655"/>
        <v>Hipercaloricos</v>
      </c>
      <c r="K1631">
        <v>2600217</v>
      </c>
      <c r="L1631">
        <f t="shared" si="656"/>
        <v>1</v>
      </c>
      <c r="M1631" t="str">
        <f t="shared" si="657"/>
        <v>Suele comer</v>
      </c>
      <c r="N1631">
        <v>2175153</v>
      </c>
      <c r="O1631">
        <f t="shared" si="658"/>
        <v>2</v>
      </c>
      <c r="P1631" t="str">
        <f t="shared" si="659"/>
        <v>Mas de 3</v>
      </c>
      <c r="Q1631">
        <v>1</v>
      </c>
      <c r="R1631" t="str">
        <f t="shared" si="660"/>
        <v>A veces</v>
      </c>
      <c r="S1631">
        <v>0</v>
      </c>
      <c r="T1631" t="str">
        <f t="shared" si="661"/>
        <v>No fuma</v>
      </c>
      <c r="U1631">
        <v>1</v>
      </c>
      <c r="V1631">
        <f t="shared" si="662"/>
        <v>1</v>
      </c>
      <c r="W1631" t="str">
        <f t="shared" si="663"/>
        <v>Usualmente</v>
      </c>
      <c r="X1631">
        <v>0</v>
      </c>
      <c r="Y1631" t="str">
        <f t="shared" si="664"/>
        <v>No controla</v>
      </c>
      <c r="Z1631">
        <v>1985536</v>
      </c>
      <c r="AA1631">
        <f t="shared" si="665"/>
        <v>3</v>
      </c>
      <c r="AB1631" t="str">
        <f t="shared" si="666"/>
        <v>Siempre</v>
      </c>
      <c r="AC1631">
        <v>0</v>
      </c>
      <c r="AD1631">
        <f t="shared" si="667"/>
        <v>0</v>
      </c>
      <c r="AE1631" t="str">
        <f t="shared" si="668"/>
        <v>Nunca</v>
      </c>
      <c r="AF1631">
        <v>0</v>
      </c>
      <c r="AG1631" t="str">
        <f t="shared" si="669"/>
        <v>Nunca</v>
      </c>
      <c r="AH1631">
        <v>0</v>
      </c>
      <c r="AI1631" t="str">
        <f t="shared" si="670"/>
        <v>No usa</v>
      </c>
      <c r="AJ1631">
        <v>0</v>
      </c>
      <c r="AK1631" t="str">
        <f t="shared" si="671"/>
        <v>No usa</v>
      </c>
      <c r="AL1631">
        <v>0</v>
      </c>
      <c r="AM1631" t="str">
        <f t="shared" si="672"/>
        <v>No usa</v>
      </c>
      <c r="AN1631">
        <v>1</v>
      </c>
      <c r="AO1631" t="str">
        <f t="shared" si="673"/>
        <v>Usa Transporte</v>
      </c>
      <c r="AP1631">
        <v>0</v>
      </c>
      <c r="AQ1631" t="str">
        <f t="shared" si="674"/>
        <v>No camina</v>
      </c>
      <c r="AR1631">
        <v>1</v>
      </c>
      <c r="AS1631" t="str">
        <f t="shared" si="675"/>
        <v>Es Obeso</v>
      </c>
    </row>
    <row r="1632" spans="1:45" x14ac:dyDescent="0.25">
      <c r="A1632">
        <v>1</v>
      </c>
      <c r="B1632" t="str">
        <f t="shared" si="650"/>
        <v>M</v>
      </c>
      <c r="C1632">
        <v>30403205</v>
      </c>
      <c r="D1632">
        <f t="shared" si="651"/>
        <v>83</v>
      </c>
      <c r="E1632">
        <f t="shared" si="652"/>
        <v>83</v>
      </c>
      <c r="F1632" t="str">
        <f t="shared" si="653"/>
        <v>75-100</v>
      </c>
      <c r="G1632">
        <v>1</v>
      </c>
      <c r="H1632" t="str">
        <f t="shared" si="654"/>
        <v>Pariente gordo</v>
      </c>
      <c r="I1632">
        <v>1</v>
      </c>
      <c r="J1632" t="str">
        <f t="shared" si="655"/>
        <v>Hipercaloricos</v>
      </c>
      <c r="K1632">
        <v>279166</v>
      </c>
      <c r="L1632">
        <f t="shared" si="656"/>
        <v>1</v>
      </c>
      <c r="M1632" t="str">
        <f t="shared" si="657"/>
        <v>Suele comer</v>
      </c>
      <c r="N1632">
        <v>213229</v>
      </c>
      <c r="O1632">
        <f t="shared" si="658"/>
        <v>2</v>
      </c>
      <c r="P1632" t="str">
        <f t="shared" si="659"/>
        <v>Mas de 3</v>
      </c>
      <c r="Q1632">
        <v>1</v>
      </c>
      <c r="R1632" t="str">
        <f t="shared" si="660"/>
        <v>A veces</v>
      </c>
      <c r="S1632">
        <v>0</v>
      </c>
      <c r="T1632" t="str">
        <f t="shared" si="661"/>
        <v>No fuma</v>
      </c>
      <c r="U1632">
        <v>1254589</v>
      </c>
      <c r="V1632">
        <f t="shared" si="662"/>
        <v>2</v>
      </c>
      <c r="W1632" t="str">
        <f t="shared" si="663"/>
        <v>Siempre</v>
      </c>
      <c r="X1632">
        <v>0</v>
      </c>
      <c r="Y1632" t="str">
        <f t="shared" si="664"/>
        <v>No controla</v>
      </c>
      <c r="Z1632">
        <v>0.65273599999999998</v>
      </c>
      <c r="AA1632">
        <f t="shared" si="665"/>
        <v>0</v>
      </c>
      <c r="AB1632" t="str">
        <f t="shared" si="666"/>
        <v>Nunca</v>
      </c>
      <c r="AC1632">
        <v>1040713</v>
      </c>
      <c r="AD1632">
        <f t="shared" si="667"/>
        <v>2</v>
      </c>
      <c r="AE1632" t="str">
        <f t="shared" si="668"/>
        <v>Siempre</v>
      </c>
      <c r="AF1632">
        <v>0</v>
      </c>
      <c r="AG1632" t="str">
        <f t="shared" si="669"/>
        <v>Nunca</v>
      </c>
      <c r="AH1632">
        <v>0</v>
      </c>
      <c r="AI1632" t="str">
        <f t="shared" si="670"/>
        <v>No usa</v>
      </c>
      <c r="AJ1632">
        <v>0</v>
      </c>
      <c r="AK1632" t="str">
        <f t="shared" si="671"/>
        <v>No usa</v>
      </c>
      <c r="AL1632">
        <v>0</v>
      </c>
      <c r="AM1632" t="str">
        <f t="shared" si="672"/>
        <v>No usa</v>
      </c>
      <c r="AN1632">
        <v>1</v>
      </c>
      <c r="AO1632" t="str">
        <f t="shared" si="673"/>
        <v>Usa Transporte</v>
      </c>
      <c r="AP1632">
        <v>0</v>
      </c>
      <c r="AQ1632" t="str">
        <f t="shared" si="674"/>
        <v>No camina</v>
      </c>
      <c r="AR1632">
        <v>1</v>
      </c>
      <c r="AS1632" t="str">
        <f t="shared" si="675"/>
        <v>Es Obeso</v>
      </c>
    </row>
    <row r="1633" spans="1:45" x14ac:dyDescent="0.25">
      <c r="A1633">
        <v>1</v>
      </c>
      <c r="B1633" t="str">
        <f t="shared" si="650"/>
        <v>M</v>
      </c>
      <c r="C1633">
        <v>29687488</v>
      </c>
      <c r="D1633">
        <f t="shared" si="651"/>
        <v>81</v>
      </c>
      <c r="E1633">
        <f t="shared" si="652"/>
        <v>81</v>
      </c>
      <c r="F1633" t="str">
        <f t="shared" si="653"/>
        <v>75-100</v>
      </c>
      <c r="G1633">
        <v>1</v>
      </c>
      <c r="H1633" t="str">
        <f t="shared" si="654"/>
        <v>Pariente gordo</v>
      </c>
      <c r="I1633">
        <v>1</v>
      </c>
      <c r="J1633" t="str">
        <f t="shared" si="655"/>
        <v>Hipercaloricos</v>
      </c>
      <c r="K1633">
        <v>208868</v>
      </c>
      <c r="L1633">
        <f t="shared" si="656"/>
        <v>1</v>
      </c>
      <c r="M1633" t="str">
        <f t="shared" si="657"/>
        <v>Suele comer</v>
      </c>
      <c r="N1633">
        <v>3</v>
      </c>
      <c r="O1633">
        <f t="shared" si="658"/>
        <v>2</v>
      </c>
      <c r="P1633" t="str">
        <f t="shared" si="659"/>
        <v>Mas de 3</v>
      </c>
      <c r="Q1633">
        <v>1</v>
      </c>
      <c r="R1633" t="str">
        <f t="shared" si="660"/>
        <v>A veces</v>
      </c>
      <c r="S1633">
        <v>0</v>
      </c>
      <c r="T1633" t="str">
        <f t="shared" si="661"/>
        <v>No fuma</v>
      </c>
      <c r="U1633">
        <v>1520215</v>
      </c>
      <c r="V1633">
        <f t="shared" si="662"/>
        <v>2</v>
      </c>
      <c r="W1633" t="str">
        <f t="shared" si="663"/>
        <v>Siempre</v>
      </c>
      <c r="X1633">
        <v>0</v>
      </c>
      <c r="Y1633" t="str">
        <f t="shared" si="664"/>
        <v>No controla</v>
      </c>
      <c r="Z1633">
        <v>1857351</v>
      </c>
      <c r="AA1633">
        <f t="shared" si="665"/>
        <v>3</v>
      </c>
      <c r="AB1633" t="str">
        <f t="shared" si="666"/>
        <v>Siempre</v>
      </c>
      <c r="AC1633">
        <v>0</v>
      </c>
      <c r="AD1633">
        <f t="shared" si="667"/>
        <v>0</v>
      </c>
      <c r="AE1633" t="str">
        <f t="shared" si="668"/>
        <v>Nunca</v>
      </c>
      <c r="AF1633">
        <v>1</v>
      </c>
      <c r="AG1633" t="str">
        <f t="shared" si="669"/>
        <v>A veces</v>
      </c>
      <c r="AH1633">
        <v>0</v>
      </c>
      <c r="AI1633" t="str">
        <f t="shared" si="670"/>
        <v>No usa</v>
      </c>
      <c r="AJ1633">
        <v>0</v>
      </c>
      <c r="AK1633" t="str">
        <f t="shared" si="671"/>
        <v>No usa</v>
      </c>
      <c r="AL1633">
        <v>0</v>
      </c>
      <c r="AM1633" t="str">
        <f t="shared" si="672"/>
        <v>No usa</v>
      </c>
      <c r="AN1633">
        <v>1</v>
      </c>
      <c r="AO1633" t="str">
        <f t="shared" si="673"/>
        <v>Usa Transporte</v>
      </c>
      <c r="AP1633">
        <v>0</v>
      </c>
      <c r="AQ1633" t="str">
        <f t="shared" si="674"/>
        <v>No camina</v>
      </c>
      <c r="AR1633">
        <v>1</v>
      </c>
      <c r="AS1633" t="str">
        <f t="shared" si="675"/>
        <v>Es Obeso</v>
      </c>
    </row>
    <row r="1634" spans="1:45" x14ac:dyDescent="0.25">
      <c r="A1634">
        <v>1</v>
      </c>
      <c r="B1634" t="str">
        <f t="shared" si="650"/>
        <v>M</v>
      </c>
      <c r="C1634">
        <v>28992809</v>
      </c>
      <c r="D1634">
        <f t="shared" si="651"/>
        <v>79</v>
      </c>
      <c r="E1634">
        <f t="shared" si="652"/>
        <v>79</v>
      </c>
      <c r="F1634" t="str">
        <f t="shared" si="653"/>
        <v>75-100</v>
      </c>
      <c r="G1634">
        <v>1</v>
      </c>
      <c r="H1634" t="str">
        <f t="shared" si="654"/>
        <v>Pariente gordo</v>
      </c>
      <c r="I1634">
        <v>1</v>
      </c>
      <c r="J1634" t="str">
        <f t="shared" si="655"/>
        <v>Hipercaloricos</v>
      </c>
      <c r="K1634">
        <v>2206119</v>
      </c>
      <c r="L1634">
        <f t="shared" si="656"/>
        <v>1</v>
      </c>
      <c r="M1634" t="str">
        <f t="shared" si="657"/>
        <v>Suele comer</v>
      </c>
      <c r="N1634">
        <v>3</v>
      </c>
      <c r="O1634">
        <f t="shared" si="658"/>
        <v>2</v>
      </c>
      <c r="P1634" t="str">
        <f t="shared" si="659"/>
        <v>Mas de 3</v>
      </c>
      <c r="Q1634">
        <v>1</v>
      </c>
      <c r="R1634" t="str">
        <f t="shared" si="660"/>
        <v>A veces</v>
      </c>
      <c r="S1634">
        <v>0</v>
      </c>
      <c r="T1634" t="str">
        <f t="shared" si="661"/>
        <v>No fuma</v>
      </c>
      <c r="U1634">
        <v>1483856</v>
      </c>
      <c r="V1634">
        <f t="shared" si="662"/>
        <v>2</v>
      </c>
      <c r="W1634" t="str">
        <f t="shared" si="663"/>
        <v>Siempre</v>
      </c>
      <c r="X1634">
        <v>0</v>
      </c>
      <c r="Y1634" t="str">
        <f t="shared" si="664"/>
        <v>No controla</v>
      </c>
      <c r="Z1634">
        <v>1113169</v>
      </c>
      <c r="AA1634">
        <f t="shared" si="665"/>
        <v>3</v>
      </c>
      <c r="AB1634" t="str">
        <f t="shared" si="666"/>
        <v>Siempre</v>
      </c>
      <c r="AC1634">
        <v>0</v>
      </c>
      <c r="AD1634">
        <f t="shared" si="667"/>
        <v>0</v>
      </c>
      <c r="AE1634" t="str">
        <f t="shared" si="668"/>
        <v>Nunca</v>
      </c>
      <c r="AF1634">
        <v>1</v>
      </c>
      <c r="AG1634" t="str">
        <f t="shared" si="669"/>
        <v>A veces</v>
      </c>
      <c r="AH1634">
        <v>0</v>
      </c>
      <c r="AI1634" t="str">
        <f t="shared" si="670"/>
        <v>No usa</v>
      </c>
      <c r="AJ1634">
        <v>0</v>
      </c>
      <c r="AK1634" t="str">
        <f t="shared" si="671"/>
        <v>No usa</v>
      </c>
      <c r="AL1634">
        <v>0</v>
      </c>
      <c r="AM1634" t="str">
        <f t="shared" si="672"/>
        <v>No usa</v>
      </c>
      <c r="AN1634">
        <v>1</v>
      </c>
      <c r="AO1634" t="str">
        <f t="shared" si="673"/>
        <v>Usa Transporte</v>
      </c>
      <c r="AP1634">
        <v>0</v>
      </c>
      <c r="AQ1634" t="str">
        <f t="shared" si="674"/>
        <v>No camina</v>
      </c>
      <c r="AR1634">
        <v>1</v>
      </c>
      <c r="AS1634" t="str">
        <f t="shared" si="675"/>
        <v>Es Obeso</v>
      </c>
    </row>
    <row r="1635" spans="1:45" x14ac:dyDescent="0.25">
      <c r="A1635">
        <v>1</v>
      </c>
      <c r="B1635" t="str">
        <f t="shared" si="650"/>
        <v>M</v>
      </c>
      <c r="C1635">
        <v>30475248</v>
      </c>
      <c r="D1635">
        <f t="shared" si="651"/>
        <v>83</v>
      </c>
      <c r="E1635">
        <f t="shared" si="652"/>
        <v>83</v>
      </c>
      <c r="F1635" t="str">
        <f t="shared" si="653"/>
        <v>75-100</v>
      </c>
      <c r="G1635">
        <v>1</v>
      </c>
      <c r="H1635" t="str">
        <f t="shared" si="654"/>
        <v>Pariente gordo</v>
      </c>
      <c r="I1635">
        <v>1</v>
      </c>
      <c r="J1635" t="str">
        <f t="shared" si="655"/>
        <v>Hipercaloricos</v>
      </c>
      <c r="K1635">
        <v>2328469</v>
      </c>
      <c r="L1635">
        <f t="shared" si="656"/>
        <v>1</v>
      </c>
      <c r="M1635" t="str">
        <f t="shared" si="657"/>
        <v>Suele comer</v>
      </c>
      <c r="N1635">
        <v>3</v>
      </c>
      <c r="O1635">
        <f t="shared" si="658"/>
        <v>2</v>
      </c>
      <c r="P1635" t="str">
        <f t="shared" si="659"/>
        <v>Mas de 3</v>
      </c>
      <c r="Q1635">
        <v>1</v>
      </c>
      <c r="R1635" t="str">
        <f t="shared" si="660"/>
        <v>A veces</v>
      </c>
      <c r="S1635">
        <v>0</v>
      </c>
      <c r="T1635" t="str">
        <f t="shared" si="661"/>
        <v>No fuma</v>
      </c>
      <c r="U1635">
        <v>2001208</v>
      </c>
      <c r="V1635">
        <f t="shared" si="662"/>
        <v>2</v>
      </c>
      <c r="W1635" t="str">
        <f t="shared" si="663"/>
        <v>Siempre</v>
      </c>
      <c r="X1635">
        <v>0</v>
      </c>
      <c r="Y1635" t="str">
        <f t="shared" si="664"/>
        <v>No controla</v>
      </c>
      <c r="Z1635">
        <v>0.80048699999999995</v>
      </c>
      <c r="AA1635">
        <f t="shared" si="665"/>
        <v>0</v>
      </c>
      <c r="AB1635" t="str">
        <f t="shared" si="666"/>
        <v>Nunca</v>
      </c>
      <c r="AC1635">
        <v>0.176678</v>
      </c>
      <c r="AD1635">
        <f t="shared" si="667"/>
        <v>0</v>
      </c>
      <c r="AE1635" t="str">
        <f t="shared" si="668"/>
        <v>Nunca</v>
      </c>
      <c r="AF1635">
        <v>1</v>
      </c>
      <c r="AG1635" t="str">
        <f t="shared" si="669"/>
        <v>A veces</v>
      </c>
      <c r="AH1635">
        <v>1</v>
      </c>
      <c r="AI1635" t="str">
        <f t="shared" si="670"/>
        <v>Usa auto</v>
      </c>
      <c r="AJ1635">
        <v>0</v>
      </c>
      <c r="AK1635" t="str">
        <f t="shared" si="671"/>
        <v>No usa</v>
      </c>
      <c r="AL1635">
        <v>0</v>
      </c>
      <c r="AM1635" t="str">
        <f t="shared" si="672"/>
        <v>No usa</v>
      </c>
      <c r="AN1635">
        <v>0</v>
      </c>
      <c r="AO1635" t="str">
        <f t="shared" si="673"/>
        <v>No usa</v>
      </c>
      <c r="AP1635">
        <v>0</v>
      </c>
      <c r="AQ1635" t="str">
        <f t="shared" si="674"/>
        <v>No camina</v>
      </c>
      <c r="AR1635">
        <v>1</v>
      </c>
      <c r="AS1635" t="str">
        <f t="shared" si="675"/>
        <v>Es Obeso</v>
      </c>
    </row>
    <row r="1636" spans="1:45" x14ac:dyDescent="0.25">
      <c r="A1636">
        <v>1</v>
      </c>
      <c r="B1636" t="str">
        <f t="shared" si="650"/>
        <v>M</v>
      </c>
      <c r="C1636">
        <v>30350516</v>
      </c>
      <c r="D1636">
        <f t="shared" si="651"/>
        <v>83</v>
      </c>
      <c r="E1636">
        <f t="shared" si="652"/>
        <v>83</v>
      </c>
      <c r="F1636" t="str">
        <f t="shared" si="653"/>
        <v>75-100</v>
      </c>
      <c r="G1636">
        <v>1</v>
      </c>
      <c r="H1636" t="str">
        <f t="shared" si="654"/>
        <v>Pariente gordo</v>
      </c>
      <c r="I1636">
        <v>1</v>
      </c>
      <c r="J1636" t="str">
        <f t="shared" si="655"/>
        <v>Hipercaloricos</v>
      </c>
      <c r="K1636">
        <v>2002784</v>
      </c>
      <c r="L1636">
        <f t="shared" si="656"/>
        <v>1</v>
      </c>
      <c r="M1636" t="str">
        <f t="shared" si="657"/>
        <v>Suele comer</v>
      </c>
      <c r="N1636">
        <v>3</v>
      </c>
      <c r="O1636">
        <f t="shared" si="658"/>
        <v>2</v>
      </c>
      <c r="P1636" t="str">
        <f t="shared" si="659"/>
        <v>Mas de 3</v>
      </c>
      <c r="Q1636">
        <v>1</v>
      </c>
      <c r="R1636" t="str">
        <f t="shared" si="660"/>
        <v>A veces</v>
      </c>
      <c r="S1636">
        <v>0</v>
      </c>
      <c r="T1636" t="str">
        <f t="shared" si="661"/>
        <v>No fuma</v>
      </c>
      <c r="U1636">
        <v>2292906</v>
      </c>
      <c r="V1636">
        <f t="shared" si="662"/>
        <v>2</v>
      </c>
      <c r="W1636" t="str">
        <f t="shared" si="663"/>
        <v>Siempre</v>
      </c>
      <c r="X1636">
        <v>0</v>
      </c>
      <c r="Y1636" t="str">
        <f t="shared" si="664"/>
        <v>No controla</v>
      </c>
      <c r="Z1636">
        <v>1034031</v>
      </c>
      <c r="AA1636">
        <f t="shared" si="665"/>
        <v>3</v>
      </c>
      <c r="AB1636" t="str">
        <f t="shared" si="666"/>
        <v>Siempre</v>
      </c>
      <c r="AC1636">
        <v>0</v>
      </c>
      <c r="AD1636">
        <f t="shared" si="667"/>
        <v>0</v>
      </c>
      <c r="AE1636" t="str">
        <f t="shared" si="668"/>
        <v>Nunca</v>
      </c>
      <c r="AF1636">
        <v>1</v>
      </c>
      <c r="AG1636" t="str">
        <f t="shared" si="669"/>
        <v>A veces</v>
      </c>
      <c r="AH1636">
        <v>1</v>
      </c>
      <c r="AI1636" t="str">
        <f t="shared" si="670"/>
        <v>Usa auto</v>
      </c>
      <c r="AJ1636">
        <v>0</v>
      </c>
      <c r="AK1636" t="str">
        <f t="shared" si="671"/>
        <v>No usa</v>
      </c>
      <c r="AL1636">
        <v>0</v>
      </c>
      <c r="AM1636" t="str">
        <f t="shared" si="672"/>
        <v>No usa</v>
      </c>
      <c r="AN1636">
        <v>0</v>
      </c>
      <c r="AO1636" t="str">
        <f t="shared" si="673"/>
        <v>No usa</v>
      </c>
      <c r="AP1636">
        <v>0</v>
      </c>
      <c r="AQ1636" t="str">
        <f t="shared" si="674"/>
        <v>No camina</v>
      </c>
      <c r="AR1636">
        <v>1</v>
      </c>
      <c r="AS1636" t="str">
        <f t="shared" si="675"/>
        <v>Es Obeso</v>
      </c>
    </row>
    <row r="1637" spans="1:45" x14ac:dyDescent="0.25">
      <c r="A1637">
        <v>1</v>
      </c>
      <c r="B1637" t="str">
        <f t="shared" si="650"/>
        <v>M</v>
      </c>
      <c r="C1637">
        <v>26684354</v>
      </c>
      <c r="D1637">
        <f t="shared" si="651"/>
        <v>73</v>
      </c>
      <c r="E1637">
        <f t="shared" si="652"/>
        <v>73</v>
      </c>
      <c r="F1637" t="str">
        <f t="shared" si="653"/>
        <v>50-75</v>
      </c>
      <c r="G1637">
        <v>1</v>
      </c>
      <c r="H1637" t="str">
        <f t="shared" si="654"/>
        <v>Pariente gordo</v>
      </c>
      <c r="I1637">
        <v>1</v>
      </c>
      <c r="J1637" t="str">
        <f t="shared" si="655"/>
        <v>Hipercaloricos</v>
      </c>
      <c r="K1637">
        <v>1975675</v>
      </c>
      <c r="L1637">
        <f t="shared" si="656"/>
        <v>1</v>
      </c>
      <c r="M1637" t="str">
        <f t="shared" si="657"/>
        <v>Suele comer</v>
      </c>
      <c r="N1637">
        <v>3</v>
      </c>
      <c r="O1637">
        <f t="shared" si="658"/>
        <v>2</v>
      </c>
      <c r="P1637" t="str">
        <f t="shared" si="659"/>
        <v>Mas de 3</v>
      </c>
      <c r="Q1637">
        <v>1</v>
      </c>
      <c r="R1637" t="str">
        <f t="shared" si="660"/>
        <v>A veces</v>
      </c>
      <c r="S1637">
        <v>0</v>
      </c>
      <c r="T1637" t="str">
        <f t="shared" si="661"/>
        <v>No fuma</v>
      </c>
      <c r="U1637">
        <v>2357969</v>
      </c>
      <c r="V1637">
        <f t="shared" si="662"/>
        <v>2</v>
      </c>
      <c r="W1637" t="str">
        <f t="shared" si="663"/>
        <v>Siempre</v>
      </c>
      <c r="X1637">
        <v>0</v>
      </c>
      <c r="Y1637" t="str">
        <f t="shared" si="664"/>
        <v>No controla</v>
      </c>
      <c r="Z1637">
        <v>0.70423599999999997</v>
      </c>
      <c r="AA1637">
        <f t="shared" si="665"/>
        <v>0</v>
      </c>
      <c r="AB1637" t="str">
        <f t="shared" si="666"/>
        <v>Nunca</v>
      </c>
      <c r="AC1637">
        <v>1.0721E-2</v>
      </c>
      <c r="AD1637">
        <f t="shared" si="667"/>
        <v>0</v>
      </c>
      <c r="AE1637" t="str">
        <f t="shared" si="668"/>
        <v>Nunca</v>
      </c>
      <c r="AF1637">
        <v>1</v>
      </c>
      <c r="AG1637" t="str">
        <f t="shared" si="669"/>
        <v>A veces</v>
      </c>
      <c r="AH1637">
        <v>0</v>
      </c>
      <c r="AI1637" t="str">
        <f t="shared" si="670"/>
        <v>No usa</v>
      </c>
      <c r="AJ1637">
        <v>0</v>
      </c>
      <c r="AK1637" t="str">
        <f t="shared" si="671"/>
        <v>No usa</v>
      </c>
      <c r="AL1637">
        <v>0</v>
      </c>
      <c r="AM1637" t="str">
        <f t="shared" si="672"/>
        <v>No usa</v>
      </c>
      <c r="AN1637">
        <v>1</v>
      </c>
      <c r="AO1637" t="str">
        <f t="shared" si="673"/>
        <v>Usa Transporte</v>
      </c>
      <c r="AP1637">
        <v>0</v>
      </c>
      <c r="AQ1637" t="str">
        <f t="shared" si="674"/>
        <v>No camina</v>
      </c>
      <c r="AR1637">
        <v>1</v>
      </c>
      <c r="AS1637" t="str">
        <f t="shared" si="675"/>
        <v>Es Obeso</v>
      </c>
    </row>
    <row r="1638" spans="1:45" x14ac:dyDescent="0.25">
      <c r="A1638">
        <v>1</v>
      </c>
      <c r="B1638" t="str">
        <f t="shared" si="650"/>
        <v>M</v>
      </c>
      <c r="C1638">
        <v>26607478</v>
      </c>
      <c r="D1638">
        <f t="shared" si="651"/>
        <v>72</v>
      </c>
      <c r="E1638">
        <f t="shared" si="652"/>
        <v>72</v>
      </c>
      <c r="F1638" t="str">
        <f t="shared" si="653"/>
        <v>50-75</v>
      </c>
      <c r="G1638">
        <v>1</v>
      </c>
      <c r="H1638" t="str">
        <f t="shared" si="654"/>
        <v>Pariente gordo</v>
      </c>
      <c r="I1638">
        <v>1</v>
      </c>
      <c r="J1638" t="str">
        <f t="shared" si="655"/>
        <v>Hipercaloricos</v>
      </c>
      <c r="K1638">
        <v>2002076</v>
      </c>
      <c r="L1638">
        <f t="shared" si="656"/>
        <v>1</v>
      </c>
      <c r="M1638" t="str">
        <f t="shared" si="657"/>
        <v>Suele comer</v>
      </c>
      <c r="N1638">
        <v>3</v>
      </c>
      <c r="O1638">
        <f t="shared" si="658"/>
        <v>2</v>
      </c>
      <c r="P1638" t="str">
        <f t="shared" si="659"/>
        <v>Mas de 3</v>
      </c>
      <c r="Q1638">
        <v>1</v>
      </c>
      <c r="R1638" t="str">
        <f t="shared" si="660"/>
        <v>A veces</v>
      </c>
      <c r="S1638">
        <v>0</v>
      </c>
      <c r="T1638" t="str">
        <f t="shared" si="661"/>
        <v>No fuma</v>
      </c>
      <c r="U1638">
        <v>2338373</v>
      </c>
      <c r="V1638">
        <f t="shared" si="662"/>
        <v>2</v>
      </c>
      <c r="W1638" t="str">
        <f t="shared" si="663"/>
        <v>Siempre</v>
      </c>
      <c r="X1638">
        <v>0</v>
      </c>
      <c r="Y1638" t="str">
        <f t="shared" si="664"/>
        <v>No controla</v>
      </c>
      <c r="Z1638">
        <v>0.89756199999999997</v>
      </c>
      <c r="AA1638">
        <f t="shared" si="665"/>
        <v>0</v>
      </c>
      <c r="AB1638" t="str">
        <f t="shared" si="666"/>
        <v>Nunca</v>
      </c>
      <c r="AC1638">
        <v>8.1156000000000006E-2</v>
      </c>
      <c r="AD1638">
        <f t="shared" si="667"/>
        <v>0</v>
      </c>
      <c r="AE1638" t="str">
        <f t="shared" si="668"/>
        <v>Nunca</v>
      </c>
      <c r="AF1638">
        <v>1</v>
      </c>
      <c r="AG1638" t="str">
        <f t="shared" si="669"/>
        <v>A veces</v>
      </c>
      <c r="AH1638">
        <v>0</v>
      </c>
      <c r="AI1638" t="str">
        <f t="shared" si="670"/>
        <v>No usa</v>
      </c>
      <c r="AJ1638">
        <v>0</v>
      </c>
      <c r="AK1638" t="str">
        <f t="shared" si="671"/>
        <v>No usa</v>
      </c>
      <c r="AL1638">
        <v>0</v>
      </c>
      <c r="AM1638" t="str">
        <f t="shared" si="672"/>
        <v>No usa</v>
      </c>
      <c r="AN1638">
        <v>1</v>
      </c>
      <c r="AO1638" t="str">
        <f t="shared" si="673"/>
        <v>Usa Transporte</v>
      </c>
      <c r="AP1638">
        <v>0</v>
      </c>
      <c r="AQ1638" t="str">
        <f t="shared" si="674"/>
        <v>No camina</v>
      </c>
      <c r="AR1638">
        <v>1</v>
      </c>
      <c r="AS1638" t="str">
        <f t="shared" si="675"/>
        <v>Es Obeso</v>
      </c>
    </row>
    <row r="1639" spans="1:45" x14ac:dyDescent="0.25">
      <c r="A1639">
        <v>1</v>
      </c>
      <c r="B1639" t="str">
        <f t="shared" si="650"/>
        <v>M</v>
      </c>
      <c r="C1639">
        <v>33174147</v>
      </c>
      <c r="D1639">
        <f t="shared" si="651"/>
        <v>90</v>
      </c>
      <c r="E1639">
        <f t="shared" si="652"/>
        <v>90</v>
      </c>
      <c r="F1639" t="str">
        <f t="shared" si="653"/>
        <v>75-100</v>
      </c>
      <c r="G1639">
        <v>1</v>
      </c>
      <c r="H1639" t="str">
        <f t="shared" si="654"/>
        <v>Pariente gordo</v>
      </c>
      <c r="I1639">
        <v>1</v>
      </c>
      <c r="J1639" t="str">
        <f t="shared" si="655"/>
        <v>Hipercaloricos</v>
      </c>
      <c r="K1639">
        <v>2218599</v>
      </c>
      <c r="L1639">
        <f t="shared" si="656"/>
        <v>1</v>
      </c>
      <c r="M1639" t="str">
        <f t="shared" si="657"/>
        <v>Suele comer</v>
      </c>
      <c r="N1639">
        <v>3</v>
      </c>
      <c r="O1639">
        <f t="shared" si="658"/>
        <v>2</v>
      </c>
      <c r="P1639" t="str">
        <f t="shared" si="659"/>
        <v>Mas de 3</v>
      </c>
      <c r="Q1639">
        <v>1</v>
      </c>
      <c r="R1639" t="str">
        <f t="shared" si="660"/>
        <v>A veces</v>
      </c>
      <c r="S1639">
        <v>0</v>
      </c>
      <c r="T1639" t="str">
        <f t="shared" si="661"/>
        <v>No fuma</v>
      </c>
      <c r="U1639">
        <v>2104337</v>
      </c>
      <c r="V1639">
        <f t="shared" si="662"/>
        <v>2</v>
      </c>
      <c r="W1639" t="str">
        <f t="shared" si="663"/>
        <v>Siempre</v>
      </c>
      <c r="X1639">
        <v>0</v>
      </c>
      <c r="Y1639" t="str">
        <f t="shared" si="664"/>
        <v>No controla</v>
      </c>
      <c r="Z1639">
        <v>0.76600699999999999</v>
      </c>
      <c r="AA1639">
        <f t="shared" si="665"/>
        <v>0</v>
      </c>
      <c r="AB1639" t="str">
        <f t="shared" si="666"/>
        <v>Nunca</v>
      </c>
      <c r="AC1639">
        <v>0.26211800000000002</v>
      </c>
      <c r="AD1639">
        <f t="shared" si="667"/>
        <v>0</v>
      </c>
      <c r="AE1639" t="str">
        <f t="shared" si="668"/>
        <v>Nunca</v>
      </c>
      <c r="AF1639">
        <v>1</v>
      </c>
      <c r="AG1639" t="str">
        <f t="shared" si="669"/>
        <v>A veces</v>
      </c>
      <c r="AH1639">
        <v>1</v>
      </c>
      <c r="AI1639" t="str">
        <f t="shared" si="670"/>
        <v>Usa auto</v>
      </c>
      <c r="AJ1639">
        <v>0</v>
      </c>
      <c r="AK1639" t="str">
        <f t="shared" si="671"/>
        <v>No usa</v>
      </c>
      <c r="AL1639">
        <v>0</v>
      </c>
      <c r="AM1639" t="str">
        <f t="shared" si="672"/>
        <v>No usa</v>
      </c>
      <c r="AN1639">
        <v>0</v>
      </c>
      <c r="AO1639" t="str">
        <f t="shared" si="673"/>
        <v>No usa</v>
      </c>
      <c r="AP1639">
        <v>0</v>
      </c>
      <c r="AQ1639" t="str">
        <f t="shared" si="674"/>
        <v>No camina</v>
      </c>
      <c r="AR1639">
        <v>1</v>
      </c>
      <c r="AS1639" t="str">
        <f t="shared" si="675"/>
        <v>Es Obeso</v>
      </c>
    </row>
    <row r="1640" spans="1:45" x14ac:dyDescent="0.25">
      <c r="A1640">
        <v>1</v>
      </c>
      <c r="B1640" t="str">
        <f t="shared" si="650"/>
        <v>M</v>
      </c>
      <c r="C1640">
        <v>3229016</v>
      </c>
      <c r="D1640">
        <f t="shared" si="651"/>
        <v>8</v>
      </c>
      <c r="E1640">
        <f t="shared" si="652"/>
        <v>8</v>
      </c>
      <c r="F1640" t="str">
        <f t="shared" si="653"/>
        <v>1-25</v>
      </c>
      <c r="G1640">
        <v>1</v>
      </c>
      <c r="H1640" t="str">
        <f t="shared" si="654"/>
        <v>Pariente gordo</v>
      </c>
      <c r="I1640">
        <v>1</v>
      </c>
      <c r="J1640" t="str">
        <f t="shared" si="655"/>
        <v>Hipercaloricos</v>
      </c>
      <c r="K1640">
        <v>29673</v>
      </c>
      <c r="L1640">
        <f t="shared" si="656"/>
        <v>1</v>
      </c>
      <c r="M1640" t="str">
        <f t="shared" si="657"/>
        <v>Suele comer</v>
      </c>
      <c r="N1640">
        <v>3</v>
      </c>
      <c r="O1640">
        <f t="shared" si="658"/>
        <v>2</v>
      </c>
      <c r="P1640" t="str">
        <f t="shared" si="659"/>
        <v>Mas de 3</v>
      </c>
      <c r="Q1640">
        <v>1</v>
      </c>
      <c r="R1640" t="str">
        <f t="shared" si="660"/>
        <v>A veces</v>
      </c>
      <c r="S1640">
        <v>0</v>
      </c>
      <c r="T1640" t="str">
        <f t="shared" si="661"/>
        <v>No fuma</v>
      </c>
      <c r="U1640">
        <v>2530035</v>
      </c>
      <c r="V1640">
        <f t="shared" si="662"/>
        <v>2</v>
      </c>
      <c r="W1640" t="str">
        <f t="shared" si="663"/>
        <v>Siempre</v>
      </c>
      <c r="X1640">
        <v>0</v>
      </c>
      <c r="Y1640" t="str">
        <f t="shared" si="664"/>
        <v>No controla</v>
      </c>
      <c r="Z1640">
        <v>0.95531699999999997</v>
      </c>
      <c r="AA1640">
        <f t="shared" si="665"/>
        <v>0</v>
      </c>
      <c r="AB1640" t="str">
        <f t="shared" si="666"/>
        <v>Nunca</v>
      </c>
      <c r="AC1640">
        <v>1339232</v>
      </c>
      <c r="AD1640">
        <f t="shared" si="667"/>
        <v>2</v>
      </c>
      <c r="AE1640" t="str">
        <f t="shared" si="668"/>
        <v>Siempre</v>
      </c>
      <c r="AF1640">
        <v>1</v>
      </c>
      <c r="AG1640" t="str">
        <f t="shared" si="669"/>
        <v>A veces</v>
      </c>
      <c r="AH1640">
        <v>1</v>
      </c>
      <c r="AI1640" t="str">
        <f t="shared" si="670"/>
        <v>Usa auto</v>
      </c>
      <c r="AJ1640">
        <v>0</v>
      </c>
      <c r="AK1640" t="str">
        <f t="shared" si="671"/>
        <v>No usa</v>
      </c>
      <c r="AL1640">
        <v>0</v>
      </c>
      <c r="AM1640" t="str">
        <f t="shared" si="672"/>
        <v>No usa</v>
      </c>
      <c r="AN1640">
        <v>0</v>
      </c>
      <c r="AO1640" t="str">
        <f t="shared" si="673"/>
        <v>No usa</v>
      </c>
      <c r="AP1640">
        <v>0</v>
      </c>
      <c r="AQ1640" t="str">
        <f t="shared" si="674"/>
        <v>No camina</v>
      </c>
      <c r="AR1640">
        <v>1</v>
      </c>
      <c r="AS1640" t="str">
        <f t="shared" si="675"/>
        <v>Es Obeso</v>
      </c>
    </row>
    <row r="1641" spans="1:45" x14ac:dyDescent="0.25">
      <c r="A1641">
        <v>1</v>
      </c>
      <c r="B1641" t="str">
        <f t="shared" si="650"/>
        <v>M</v>
      </c>
      <c r="C1641">
        <v>26050109</v>
      </c>
      <c r="D1641">
        <f t="shared" si="651"/>
        <v>71</v>
      </c>
      <c r="E1641">
        <f t="shared" si="652"/>
        <v>71</v>
      </c>
      <c r="F1641" t="str">
        <f t="shared" si="653"/>
        <v>50-75</v>
      </c>
      <c r="G1641">
        <v>1</v>
      </c>
      <c r="H1641" t="str">
        <f t="shared" si="654"/>
        <v>Pariente gordo</v>
      </c>
      <c r="I1641">
        <v>1</v>
      </c>
      <c r="J1641" t="str">
        <f t="shared" si="655"/>
        <v>Hipercaloricos</v>
      </c>
      <c r="K1641">
        <v>2392179</v>
      </c>
      <c r="L1641">
        <f t="shared" si="656"/>
        <v>1</v>
      </c>
      <c r="M1641" t="str">
        <f t="shared" si="657"/>
        <v>Suele comer</v>
      </c>
      <c r="N1641">
        <v>3</v>
      </c>
      <c r="O1641">
        <f t="shared" si="658"/>
        <v>2</v>
      </c>
      <c r="P1641" t="str">
        <f t="shared" si="659"/>
        <v>Mas de 3</v>
      </c>
      <c r="Q1641">
        <v>1</v>
      </c>
      <c r="R1641" t="str">
        <f t="shared" si="660"/>
        <v>A veces</v>
      </c>
      <c r="S1641">
        <v>0</v>
      </c>
      <c r="T1641" t="str">
        <f t="shared" si="661"/>
        <v>No fuma</v>
      </c>
      <c r="U1641">
        <v>216467</v>
      </c>
      <c r="V1641">
        <f t="shared" si="662"/>
        <v>2</v>
      </c>
      <c r="W1641" t="str">
        <f t="shared" si="663"/>
        <v>Siempre</v>
      </c>
      <c r="X1641">
        <v>0</v>
      </c>
      <c r="Y1641" t="str">
        <f t="shared" si="664"/>
        <v>No controla</v>
      </c>
      <c r="Z1641">
        <v>1079934</v>
      </c>
      <c r="AA1641">
        <f t="shared" si="665"/>
        <v>3</v>
      </c>
      <c r="AB1641" t="str">
        <f t="shared" si="666"/>
        <v>Siempre</v>
      </c>
      <c r="AC1641">
        <v>1073026</v>
      </c>
      <c r="AD1641">
        <f t="shared" si="667"/>
        <v>2</v>
      </c>
      <c r="AE1641" t="str">
        <f t="shared" si="668"/>
        <v>Siempre</v>
      </c>
      <c r="AF1641">
        <v>1</v>
      </c>
      <c r="AG1641" t="str">
        <f t="shared" si="669"/>
        <v>A veces</v>
      </c>
      <c r="AH1641">
        <v>0</v>
      </c>
      <c r="AI1641" t="str">
        <f t="shared" si="670"/>
        <v>No usa</v>
      </c>
      <c r="AJ1641">
        <v>0</v>
      </c>
      <c r="AK1641" t="str">
        <f t="shared" si="671"/>
        <v>No usa</v>
      </c>
      <c r="AL1641">
        <v>0</v>
      </c>
      <c r="AM1641" t="str">
        <f t="shared" si="672"/>
        <v>No usa</v>
      </c>
      <c r="AN1641">
        <v>1</v>
      </c>
      <c r="AO1641" t="str">
        <f t="shared" si="673"/>
        <v>Usa Transporte</v>
      </c>
      <c r="AP1641">
        <v>0</v>
      </c>
      <c r="AQ1641" t="str">
        <f t="shared" si="674"/>
        <v>No camina</v>
      </c>
      <c r="AR1641">
        <v>1</v>
      </c>
      <c r="AS1641" t="str">
        <f t="shared" si="675"/>
        <v>Es Obeso</v>
      </c>
    </row>
    <row r="1642" spans="1:45" x14ac:dyDescent="0.25">
      <c r="A1642">
        <v>1</v>
      </c>
      <c r="B1642" t="str">
        <f t="shared" si="650"/>
        <v>M</v>
      </c>
      <c r="C1642">
        <v>25846279</v>
      </c>
      <c r="D1642">
        <f t="shared" si="651"/>
        <v>70</v>
      </c>
      <c r="E1642">
        <f t="shared" si="652"/>
        <v>70</v>
      </c>
      <c r="F1642" t="str">
        <f t="shared" si="653"/>
        <v>50-75</v>
      </c>
      <c r="G1642">
        <v>1</v>
      </c>
      <c r="H1642" t="str">
        <f t="shared" si="654"/>
        <v>Pariente gordo</v>
      </c>
      <c r="I1642">
        <v>1</v>
      </c>
      <c r="J1642" t="str">
        <f t="shared" si="655"/>
        <v>Hipercaloricos</v>
      </c>
      <c r="K1642">
        <v>2381164</v>
      </c>
      <c r="L1642">
        <f t="shared" si="656"/>
        <v>1</v>
      </c>
      <c r="M1642" t="str">
        <f t="shared" si="657"/>
        <v>Suele comer</v>
      </c>
      <c r="N1642">
        <v>3</v>
      </c>
      <c r="O1642">
        <f t="shared" si="658"/>
        <v>2</v>
      </c>
      <c r="P1642" t="str">
        <f t="shared" si="659"/>
        <v>Mas de 3</v>
      </c>
      <c r="Q1642">
        <v>1</v>
      </c>
      <c r="R1642" t="str">
        <f t="shared" si="660"/>
        <v>A veces</v>
      </c>
      <c r="S1642">
        <v>0</v>
      </c>
      <c r="T1642" t="str">
        <f t="shared" si="661"/>
        <v>No fuma</v>
      </c>
      <c r="U1642">
        <v>2170225</v>
      </c>
      <c r="V1642">
        <f t="shared" si="662"/>
        <v>2</v>
      </c>
      <c r="W1642" t="str">
        <f t="shared" si="663"/>
        <v>Siempre</v>
      </c>
      <c r="X1642">
        <v>0</v>
      </c>
      <c r="Y1642" t="str">
        <f t="shared" si="664"/>
        <v>No controla</v>
      </c>
      <c r="Z1642">
        <v>1211048</v>
      </c>
      <c r="AA1642">
        <f t="shared" si="665"/>
        <v>3</v>
      </c>
      <c r="AB1642" t="str">
        <f t="shared" si="666"/>
        <v>Siempre</v>
      </c>
      <c r="AC1642">
        <v>189933</v>
      </c>
      <c r="AD1642">
        <f t="shared" si="667"/>
        <v>1</v>
      </c>
      <c r="AE1642" t="str">
        <f t="shared" si="668"/>
        <v>Usualmente</v>
      </c>
      <c r="AF1642">
        <v>1</v>
      </c>
      <c r="AG1642" t="str">
        <f t="shared" si="669"/>
        <v>A veces</v>
      </c>
      <c r="AH1642">
        <v>0</v>
      </c>
      <c r="AI1642" t="str">
        <f t="shared" si="670"/>
        <v>No usa</v>
      </c>
      <c r="AJ1642">
        <v>0</v>
      </c>
      <c r="AK1642" t="str">
        <f t="shared" si="671"/>
        <v>No usa</v>
      </c>
      <c r="AL1642">
        <v>0</v>
      </c>
      <c r="AM1642" t="str">
        <f t="shared" si="672"/>
        <v>No usa</v>
      </c>
      <c r="AN1642">
        <v>1</v>
      </c>
      <c r="AO1642" t="str">
        <f t="shared" si="673"/>
        <v>Usa Transporte</v>
      </c>
      <c r="AP1642">
        <v>0</v>
      </c>
      <c r="AQ1642" t="str">
        <f t="shared" si="674"/>
        <v>No camina</v>
      </c>
      <c r="AR1642">
        <v>1</v>
      </c>
      <c r="AS1642" t="str">
        <f t="shared" si="675"/>
        <v>Es Obeso</v>
      </c>
    </row>
    <row r="1643" spans="1:45" x14ac:dyDescent="0.25">
      <c r="A1643">
        <v>1</v>
      </c>
      <c r="B1643" t="str">
        <f t="shared" si="650"/>
        <v>M</v>
      </c>
      <c r="C1643">
        <v>29620095</v>
      </c>
      <c r="D1643">
        <f t="shared" si="651"/>
        <v>81</v>
      </c>
      <c r="E1643">
        <f t="shared" si="652"/>
        <v>81</v>
      </c>
      <c r="F1643" t="str">
        <f t="shared" si="653"/>
        <v>75-100</v>
      </c>
      <c r="G1643">
        <v>1</v>
      </c>
      <c r="H1643" t="str">
        <f t="shared" si="654"/>
        <v>Pariente gordo</v>
      </c>
      <c r="I1643">
        <v>1</v>
      </c>
      <c r="J1643" t="str">
        <f t="shared" si="655"/>
        <v>Hipercaloricos</v>
      </c>
      <c r="K1643">
        <v>2008245</v>
      </c>
      <c r="L1643">
        <f t="shared" si="656"/>
        <v>1</v>
      </c>
      <c r="M1643" t="str">
        <f t="shared" si="657"/>
        <v>Suele comer</v>
      </c>
      <c r="N1643">
        <v>3</v>
      </c>
      <c r="O1643">
        <f t="shared" si="658"/>
        <v>2</v>
      </c>
      <c r="P1643" t="str">
        <f t="shared" si="659"/>
        <v>Mas de 3</v>
      </c>
      <c r="Q1643">
        <v>1</v>
      </c>
      <c r="R1643" t="str">
        <f t="shared" si="660"/>
        <v>A veces</v>
      </c>
      <c r="S1643">
        <v>0</v>
      </c>
      <c r="T1643" t="str">
        <f t="shared" si="661"/>
        <v>No fuma</v>
      </c>
      <c r="U1643">
        <v>2040137</v>
      </c>
      <c r="V1643">
        <f t="shared" si="662"/>
        <v>2</v>
      </c>
      <c r="W1643" t="str">
        <f t="shared" si="663"/>
        <v>Siempre</v>
      </c>
      <c r="X1643">
        <v>0</v>
      </c>
      <c r="Y1643" t="str">
        <f t="shared" si="664"/>
        <v>No controla</v>
      </c>
      <c r="Z1643">
        <v>0</v>
      </c>
      <c r="AA1643">
        <f t="shared" si="665"/>
        <v>0</v>
      </c>
      <c r="AB1643" t="str">
        <f t="shared" si="666"/>
        <v>Nunca</v>
      </c>
      <c r="AC1643">
        <v>0.47421600000000003</v>
      </c>
      <c r="AD1643">
        <f t="shared" si="667"/>
        <v>0</v>
      </c>
      <c r="AE1643" t="str">
        <f t="shared" si="668"/>
        <v>Nunca</v>
      </c>
      <c r="AF1643">
        <v>1</v>
      </c>
      <c r="AG1643" t="str">
        <f t="shared" si="669"/>
        <v>A veces</v>
      </c>
      <c r="AH1643">
        <v>1</v>
      </c>
      <c r="AI1643" t="str">
        <f t="shared" si="670"/>
        <v>Usa auto</v>
      </c>
      <c r="AJ1643">
        <v>0</v>
      </c>
      <c r="AK1643" t="str">
        <f t="shared" si="671"/>
        <v>No usa</v>
      </c>
      <c r="AL1643">
        <v>0</v>
      </c>
      <c r="AM1643" t="str">
        <f t="shared" si="672"/>
        <v>No usa</v>
      </c>
      <c r="AN1643">
        <v>0</v>
      </c>
      <c r="AO1643" t="str">
        <f t="shared" si="673"/>
        <v>No usa</v>
      </c>
      <c r="AP1643">
        <v>0</v>
      </c>
      <c r="AQ1643" t="str">
        <f t="shared" si="674"/>
        <v>No camina</v>
      </c>
      <c r="AR1643">
        <v>1</v>
      </c>
      <c r="AS1643" t="str">
        <f t="shared" si="675"/>
        <v>Es Obeso</v>
      </c>
    </row>
    <row r="1644" spans="1:45" x14ac:dyDescent="0.25">
      <c r="A1644">
        <v>1</v>
      </c>
      <c r="B1644" t="str">
        <f t="shared" si="650"/>
        <v>M</v>
      </c>
      <c r="C1644">
        <v>27439056</v>
      </c>
      <c r="D1644">
        <f t="shared" si="651"/>
        <v>75</v>
      </c>
      <c r="E1644">
        <f t="shared" si="652"/>
        <v>75</v>
      </c>
      <c r="F1644" t="str">
        <f t="shared" si="653"/>
        <v>50-75</v>
      </c>
      <c r="G1644">
        <v>1</v>
      </c>
      <c r="H1644" t="str">
        <f t="shared" si="654"/>
        <v>Pariente gordo</v>
      </c>
      <c r="I1644">
        <v>1</v>
      </c>
      <c r="J1644" t="str">
        <f t="shared" si="655"/>
        <v>Hipercaloricos</v>
      </c>
      <c r="K1644">
        <v>2155182</v>
      </c>
      <c r="L1644">
        <f t="shared" si="656"/>
        <v>1</v>
      </c>
      <c r="M1644" t="str">
        <f t="shared" si="657"/>
        <v>Suele comer</v>
      </c>
      <c r="N1644">
        <v>3</v>
      </c>
      <c r="O1644">
        <f t="shared" si="658"/>
        <v>2</v>
      </c>
      <c r="P1644" t="str">
        <f t="shared" si="659"/>
        <v>Mas de 3</v>
      </c>
      <c r="Q1644">
        <v>1</v>
      </c>
      <c r="R1644" t="str">
        <f t="shared" si="660"/>
        <v>A veces</v>
      </c>
      <c r="S1644">
        <v>0</v>
      </c>
      <c r="T1644" t="str">
        <f t="shared" si="661"/>
        <v>No fuma</v>
      </c>
      <c r="U1644">
        <v>2049079</v>
      </c>
      <c r="V1644">
        <f t="shared" si="662"/>
        <v>2</v>
      </c>
      <c r="W1644" t="str">
        <f t="shared" si="663"/>
        <v>Siempre</v>
      </c>
      <c r="X1644">
        <v>0</v>
      </c>
      <c r="Y1644" t="str">
        <f t="shared" si="664"/>
        <v>No controla</v>
      </c>
      <c r="Z1644">
        <v>0</v>
      </c>
      <c r="AA1644">
        <f t="shared" si="665"/>
        <v>0</v>
      </c>
      <c r="AB1644" t="str">
        <f t="shared" si="666"/>
        <v>Nunca</v>
      </c>
      <c r="AC1644">
        <v>174992</v>
      </c>
      <c r="AD1644">
        <f t="shared" si="667"/>
        <v>1</v>
      </c>
      <c r="AE1644" t="str">
        <f t="shared" si="668"/>
        <v>Usualmente</v>
      </c>
      <c r="AF1644">
        <v>1</v>
      </c>
      <c r="AG1644" t="str">
        <f t="shared" si="669"/>
        <v>A veces</v>
      </c>
      <c r="AH1644">
        <v>1</v>
      </c>
      <c r="AI1644" t="str">
        <f t="shared" si="670"/>
        <v>Usa auto</v>
      </c>
      <c r="AJ1644">
        <v>0</v>
      </c>
      <c r="AK1644" t="str">
        <f t="shared" si="671"/>
        <v>No usa</v>
      </c>
      <c r="AL1644">
        <v>0</v>
      </c>
      <c r="AM1644" t="str">
        <f t="shared" si="672"/>
        <v>No usa</v>
      </c>
      <c r="AN1644">
        <v>0</v>
      </c>
      <c r="AO1644" t="str">
        <f t="shared" si="673"/>
        <v>No usa</v>
      </c>
      <c r="AP1644">
        <v>0</v>
      </c>
      <c r="AQ1644" t="str">
        <f t="shared" si="674"/>
        <v>No camina</v>
      </c>
      <c r="AR1644">
        <v>1</v>
      </c>
      <c r="AS1644" t="str">
        <f t="shared" si="675"/>
        <v>Es Obeso</v>
      </c>
    </row>
    <row r="1645" spans="1:45" x14ac:dyDescent="0.25">
      <c r="A1645">
        <v>1</v>
      </c>
      <c r="B1645" t="str">
        <f t="shared" si="650"/>
        <v>M</v>
      </c>
      <c r="C1645">
        <v>28493397</v>
      </c>
      <c r="D1645">
        <f t="shared" si="651"/>
        <v>78</v>
      </c>
      <c r="E1645">
        <f t="shared" si="652"/>
        <v>78</v>
      </c>
      <c r="F1645" t="str">
        <f t="shared" si="653"/>
        <v>75-100</v>
      </c>
      <c r="G1645">
        <v>1</v>
      </c>
      <c r="H1645" t="str">
        <f t="shared" si="654"/>
        <v>Pariente gordo</v>
      </c>
      <c r="I1645">
        <v>1</v>
      </c>
      <c r="J1645" t="str">
        <f t="shared" si="655"/>
        <v>Hipercaloricos</v>
      </c>
      <c r="K1645">
        <v>2969233</v>
      </c>
      <c r="L1645">
        <f t="shared" si="656"/>
        <v>1</v>
      </c>
      <c r="M1645" t="str">
        <f t="shared" si="657"/>
        <v>Suele comer</v>
      </c>
      <c r="N1645">
        <v>3</v>
      </c>
      <c r="O1645">
        <f t="shared" si="658"/>
        <v>2</v>
      </c>
      <c r="P1645" t="str">
        <f t="shared" si="659"/>
        <v>Mas de 3</v>
      </c>
      <c r="Q1645">
        <v>1</v>
      </c>
      <c r="R1645" t="str">
        <f t="shared" si="660"/>
        <v>A veces</v>
      </c>
      <c r="S1645">
        <v>0</v>
      </c>
      <c r="T1645" t="str">
        <f t="shared" si="661"/>
        <v>No fuma</v>
      </c>
      <c r="U1645">
        <v>2807984</v>
      </c>
      <c r="V1645">
        <f t="shared" si="662"/>
        <v>2</v>
      </c>
      <c r="W1645" t="str">
        <f t="shared" si="663"/>
        <v>Siempre</v>
      </c>
      <c r="X1645">
        <v>0</v>
      </c>
      <c r="Y1645" t="str">
        <f t="shared" si="664"/>
        <v>No controla</v>
      </c>
      <c r="Z1645">
        <v>0.98213399999999995</v>
      </c>
      <c r="AA1645">
        <f t="shared" si="665"/>
        <v>0</v>
      </c>
      <c r="AB1645" t="str">
        <f t="shared" si="666"/>
        <v>Nunca</v>
      </c>
      <c r="AC1645">
        <v>1191998</v>
      </c>
      <c r="AD1645">
        <f t="shared" si="667"/>
        <v>2</v>
      </c>
      <c r="AE1645" t="str">
        <f t="shared" si="668"/>
        <v>Siempre</v>
      </c>
      <c r="AF1645">
        <v>1</v>
      </c>
      <c r="AG1645" t="str">
        <f t="shared" si="669"/>
        <v>A veces</v>
      </c>
      <c r="AH1645">
        <v>0</v>
      </c>
      <c r="AI1645" t="str">
        <f t="shared" si="670"/>
        <v>No usa</v>
      </c>
      <c r="AJ1645">
        <v>0</v>
      </c>
      <c r="AK1645" t="str">
        <f t="shared" si="671"/>
        <v>No usa</v>
      </c>
      <c r="AL1645">
        <v>0</v>
      </c>
      <c r="AM1645" t="str">
        <f t="shared" si="672"/>
        <v>No usa</v>
      </c>
      <c r="AN1645">
        <v>1</v>
      </c>
      <c r="AO1645" t="str">
        <f t="shared" si="673"/>
        <v>Usa Transporte</v>
      </c>
      <c r="AP1645">
        <v>0</v>
      </c>
      <c r="AQ1645" t="str">
        <f t="shared" si="674"/>
        <v>No camina</v>
      </c>
      <c r="AR1645">
        <v>1</v>
      </c>
      <c r="AS1645" t="str">
        <f t="shared" si="675"/>
        <v>Es Obeso</v>
      </c>
    </row>
    <row r="1646" spans="1:45" x14ac:dyDescent="0.25">
      <c r="A1646">
        <v>1</v>
      </c>
      <c r="B1646" t="str">
        <f t="shared" si="650"/>
        <v>M</v>
      </c>
      <c r="C1646">
        <v>27474245</v>
      </c>
      <c r="D1646">
        <f t="shared" si="651"/>
        <v>75</v>
      </c>
      <c r="E1646">
        <f t="shared" si="652"/>
        <v>75</v>
      </c>
      <c r="F1646" t="str">
        <f t="shared" si="653"/>
        <v>50-75</v>
      </c>
      <c r="G1646">
        <v>1</v>
      </c>
      <c r="H1646" t="str">
        <f t="shared" si="654"/>
        <v>Pariente gordo</v>
      </c>
      <c r="I1646">
        <v>1</v>
      </c>
      <c r="J1646" t="str">
        <f t="shared" si="655"/>
        <v>Hipercaloricos</v>
      </c>
      <c r="K1646">
        <v>2765063</v>
      </c>
      <c r="L1646">
        <f t="shared" si="656"/>
        <v>1</v>
      </c>
      <c r="M1646" t="str">
        <f t="shared" si="657"/>
        <v>Suele comer</v>
      </c>
      <c r="N1646">
        <v>3</v>
      </c>
      <c r="O1646">
        <f t="shared" si="658"/>
        <v>2</v>
      </c>
      <c r="P1646" t="str">
        <f t="shared" si="659"/>
        <v>Mas de 3</v>
      </c>
      <c r="Q1646">
        <v>1</v>
      </c>
      <c r="R1646" t="str">
        <f t="shared" si="660"/>
        <v>A veces</v>
      </c>
      <c r="S1646">
        <v>0</v>
      </c>
      <c r="T1646" t="str">
        <f t="shared" si="661"/>
        <v>No fuma</v>
      </c>
      <c r="U1646">
        <v>2867206</v>
      </c>
      <c r="V1646">
        <f t="shared" si="662"/>
        <v>2</v>
      </c>
      <c r="W1646" t="str">
        <f t="shared" si="663"/>
        <v>Siempre</v>
      </c>
      <c r="X1646">
        <v>0</v>
      </c>
      <c r="Y1646" t="str">
        <f t="shared" si="664"/>
        <v>No controla</v>
      </c>
      <c r="Z1646">
        <v>0.70677699999999999</v>
      </c>
      <c r="AA1646">
        <f t="shared" si="665"/>
        <v>0</v>
      </c>
      <c r="AB1646" t="str">
        <f t="shared" si="666"/>
        <v>Nunca</v>
      </c>
      <c r="AC1646">
        <v>0.67790899999999998</v>
      </c>
      <c r="AD1646">
        <f t="shared" si="667"/>
        <v>0</v>
      </c>
      <c r="AE1646" t="str">
        <f t="shared" si="668"/>
        <v>Nunca</v>
      </c>
      <c r="AF1646">
        <v>1</v>
      </c>
      <c r="AG1646" t="str">
        <f t="shared" si="669"/>
        <v>A veces</v>
      </c>
      <c r="AH1646">
        <v>0</v>
      </c>
      <c r="AI1646" t="str">
        <f t="shared" si="670"/>
        <v>No usa</v>
      </c>
      <c r="AJ1646">
        <v>0</v>
      </c>
      <c r="AK1646" t="str">
        <f t="shared" si="671"/>
        <v>No usa</v>
      </c>
      <c r="AL1646">
        <v>0</v>
      </c>
      <c r="AM1646" t="str">
        <f t="shared" si="672"/>
        <v>No usa</v>
      </c>
      <c r="AN1646">
        <v>1</v>
      </c>
      <c r="AO1646" t="str">
        <f t="shared" si="673"/>
        <v>Usa Transporte</v>
      </c>
      <c r="AP1646">
        <v>0</v>
      </c>
      <c r="AQ1646" t="str">
        <f t="shared" si="674"/>
        <v>No camina</v>
      </c>
      <c r="AR1646">
        <v>1</v>
      </c>
      <c r="AS1646" t="str">
        <f t="shared" si="675"/>
        <v>Es Obeso</v>
      </c>
    </row>
    <row r="1647" spans="1:45" x14ac:dyDescent="0.25">
      <c r="A1647">
        <v>1</v>
      </c>
      <c r="B1647" t="str">
        <f t="shared" si="650"/>
        <v>M</v>
      </c>
      <c r="C1647">
        <v>25036269</v>
      </c>
      <c r="D1647">
        <f t="shared" si="651"/>
        <v>68</v>
      </c>
      <c r="E1647">
        <f t="shared" si="652"/>
        <v>68</v>
      </c>
      <c r="F1647" t="str">
        <f t="shared" si="653"/>
        <v>50-75</v>
      </c>
      <c r="G1647">
        <v>1</v>
      </c>
      <c r="H1647" t="str">
        <f t="shared" si="654"/>
        <v>Pariente gordo</v>
      </c>
      <c r="I1647">
        <v>1</v>
      </c>
      <c r="J1647" t="str">
        <f t="shared" si="655"/>
        <v>Hipercaloricos</v>
      </c>
      <c r="K1647">
        <v>2630137</v>
      </c>
      <c r="L1647">
        <f t="shared" si="656"/>
        <v>1</v>
      </c>
      <c r="M1647" t="str">
        <f t="shared" si="657"/>
        <v>Suele comer</v>
      </c>
      <c r="N1647">
        <v>3</v>
      </c>
      <c r="O1647">
        <f t="shared" si="658"/>
        <v>2</v>
      </c>
      <c r="P1647" t="str">
        <f t="shared" si="659"/>
        <v>Mas de 3</v>
      </c>
      <c r="Q1647">
        <v>1</v>
      </c>
      <c r="R1647" t="str">
        <f t="shared" si="660"/>
        <v>A veces</v>
      </c>
      <c r="S1647">
        <v>0</v>
      </c>
      <c r="T1647" t="str">
        <f t="shared" si="661"/>
        <v>No fuma</v>
      </c>
      <c r="U1647">
        <v>2960088</v>
      </c>
      <c r="V1647">
        <f t="shared" si="662"/>
        <v>2</v>
      </c>
      <c r="W1647" t="str">
        <f t="shared" si="663"/>
        <v>Siempre</v>
      </c>
      <c r="X1647">
        <v>0</v>
      </c>
      <c r="Y1647" t="str">
        <f t="shared" si="664"/>
        <v>No controla</v>
      </c>
      <c r="Z1647">
        <v>1356468</v>
      </c>
      <c r="AA1647">
        <f t="shared" si="665"/>
        <v>3</v>
      </c>
      <c r="AB1647" t="str">
        <f t="shared" si="666"/>
        <v>Siempre</v>
      </c>
      <c r="AC1647">
        <v>0</v>
      </c>
      <c r="AD1647">
        <f t="shared" si="667"/>
        <v>0</v>
      </c>
      <c r="AE1647" t="str">
        <f t="shared" si="668"/>
        <v>Nunca</v>
      </c>
      <c r="AF1647">
        <v>1</v>
      </c>
      <c r="AG1647" t="str">
        <f t="shared" si="669"/>
        <v>A veces</v>
      </c>
      <c r="AH1647">
        <v>0</v>
      </c>
      <c r="AI1647" t="str">
        <f t="shared" si="670"/>
        <v>No usa</v>
      </c>
      <c r="AJ1647">
        <v>0</v>
      </c>
      <c r="AK1647" t="str">
        <f t="shared" si="671"/>
        <v>No usa</v>
      </c>
      <c r="AL1647">
        <v>0</v>
      </c>
      <c r="AM1647" t="str">
        <f t="shared" si="672"/>
        <v>No usa</v>
      </c>
      <c r="AN1647">
        <v>1</v>
      </c>
      <c r="AO1647" t="str">
        <f t="shared" si="673"/>
        <v>Usa Transporte</v>
      </c>
      <c r="AP1647">
        <v>0</v>
      </c>
      <c r="AQ1647" t="str">
        <f t="shared" si="674"/>
        <v>No camina</v>
      </c>
      <c r="AR1647">
        <v>1</v>
      </c>
      <c r="AS1647" t="str">
        <f t="shared" si="675"/>
        <v>Es Obeso</v>
      </c>
    </row>
    <row r="1648" spans="1:45" x14ac:dyDescent="0.25">
      <c r="A1648">
        <v>1</v>
      </c>
      <c r="B1648" t="str">
        <f t="shared" si="650"/>
        <v>M</v>
      </c>
      <c r="C1648">
        <v>24825398</v>
      </c>
      <c r="D1648">
        <f t="shared" si="651"/>
        <v>68</v>
      </c>
      <c r="E1648">
        <f t="shared" si="652"/>
        <v>68</v>
      </c>
      <c r="F1648" t="str">
        <f t="shared" si="653"/>
        <v>50-75</v>
      </c>
      <c r="G1648">
        <v>1</v>
      </c>
      <c r="H1648" t="str">
        <f t="shared" si="654"/>
        <v>Pariente gordo</v>
      </c>
      <c r="I1648">
        <v>1</v>
      </c>
      <c r="J1648" t="str">
        <f t="shared" si="655"/>
        <v>Hipercaloricos</v>
      </c>
      <c r="K1648">
        <v>2195964</v>
      </c>
      <c r="L1648">
        <f t="shared" si="656"/>
        <v>1</v>
      </c>
      <c r="M1648" t="str">
        <f t="shared" si="657"/>
        <v>Suele comer</v>
      </c>
      <c r="N1648">
        <v>3</v>
      </c>
      <c r="O1648">
        <f t="shared" si="658"/>
        <v>2</v>
      </c>
      <c r="P1648" t="str">
        <f t="shared" si="659"/>
        <v>Mas de 3</v>
      </c>
      <c r="Q1648">
        <v>1</v>
      </c>
      <c r="R1648" t="str">
        <f t="shared" si="660"/>
        <v>A veces</v>
      </c>
      <c r="S1648">
        <v>0</v>
      </c>
      <c r="T1648" t="str">
        <f t="shared" si="661"/>
        <v>No fuma</v>
      </c>
      <c r="U1648">
        <v>2514872</v>
      </c>
      <c r="V1648">
        <f t="shared" si="662"/>
        <v>2</v>
      </c>
      <c r="W1648" t="str">
        <f t="shared" si="663"/>
        <v>Siempre</v>
      </c>
      <c r="X1648">
        <v>0</v>
      </c>
      <c r="Y1648" t="str">
        <f t="shared" si="664"/>
        <v>No controla</v>
      </c>
      <c r="Z1648">
        <v>1664722</v>
      </c>
      <c r="AA1648">
        <f t="shared" si="665"/>
        <v>3</v>
      </c>
      <c r="AB1648" t="str">
        <f t="shared" si="666"/>
        <v>Siempre</v>
      </c>
      <c r="AC1648">
        <v>0.12767300000000001</v>
      </c>
      <c r="AD1648">
        <f t="shared" si="667"/>
        <v>0</v>
      </c>
      <c r="AE1648" t="str">
        <f t="shared" si="668"/>
        <v>Nunca</v>
      </c>
      <c r="AF1648">
        <v>1</v>
      </c>
      <c r="AG1648" t="str">
        <f t="shared" si="669"/>
        <v>A veces</v>
      </c>
      <c r="AH1648">
        <v>0</v>
      </c>
      <c r="AI1648" t="str">
        <f t="shared" si="670"/>
        <v>No usa</v>
      </c>
      <c r="AJ1648">
        <v>0</v>
      </c>
      <c r="AK1648" t="str">
        <f t="shared" si="671"/>
        <v>No usa</v>
      </c>
      <c r="AL1648">
        <v>0</v>
      </c>
      <c r="AM1648" t="str">
        <f t="shared" si="672"/>
        <v>No usa</v>
      </c>
      <c r="AN1648">
        <v>1</v>
      </c>
      <c r="AO1648" t="str">
        <f t="shared" si="673"/>
        <v>Usa Transporte</v>
      </c>
      <c r="AP1648">
        <v>0</v>
      </c>
      <c r="AQ1648" t="str">
        <f t="shared" si="674"/>
        <v>No camina</v>
      </c>
      <c r="AR1648">
        <v>1</v>
      </c>
      <c r="AS1648" t="str">
        <f t="shared" si="675"/>
        <v>Es Obeso</v>
      </c>
    </row>
    <row r="1649" spans="1:45" x14ac:dyDescent="0.25">
      <c r="A1649">
        <v>1</v>
      </c>
      <c r="B1649" t="str">
        <f t="shared" si="650"/>
        <v>M</v>
      </c>
      <c r="C1649">
        <v>30493946</v>
      </c>
      <c r="D1649">
        <f t="shared" si="651"/>
        <v>83</v>
      </c>
      <c r="E1649">
        <f t="shared" si="652"/>
        <v>83</v>
      </c>
      <c r="F1649" t="str">
        <f t="shared" si="653"/>
        <v>75-100</v>
      </c>
      <c r="G1649">
        <v>1</v>
      </c>
      <c r="H1649" t="str">
        <f t="shared" si="654"/>
        <v>Pariente gordo</v>
      </c>
      <c r="I1649">
        <v>1</v>
      </c>
      <c r="J1649" t="str">
        <f t="shared" si="655"/>
        <v>Hipercaloricos</v>
      </c>
      <c r="K1649">
        <v>2619987</v>
      </c>
      <c r="L1649">
        <f t="shared" si="656"/>
        <v>1</v>
      </c>
      <c r="M1649" t="str">
        <f t="shared" si="657"/>
        <v>Suele comer</v>
      </c>
      <c r="N1649">
        <v>3</v>
      </c>
      <c r="O1649">
        <f t="shared" si="658"/>
        <v>2</v>
      </c>
      <c r="P1649" t="str">
        <f t="shared" si="659"/>
        <v>Mas de 3</v>
      </c>
      <c r="Q1649">
        <v>1</v>
      </c>
      <c r="R1649" t="str">
        <f t="shared" si="660"/>
        <v>A veces</v>
      </c>
      <c r="S1649">
        <v>0</v>
      </c>
      <c r="T1649" t="str">
        <f t="shared" si="661"/>
        <v>No fuma</v>
      </c>
      <c r="U1649">
        <v>2194746</v>
      </c>
      <c r="V1649">
        <f t="shared" si="662"/>
        <v>2</v>
      </c>
      <c r="W1649" t="str">
        <f t="shared" si="663"/>
        <v>Siempre</v>
      </c>
      <c r="X1649">
        <v>0</v>
      </c>
      <c r="Y1649" t="str">
        <f t="shared" si="664"/>
        <v>No controla</v>
      </c>
      <c r="Z1649">
        <v>1076926</v>
      </c>
      <c r="AA1649">
        <f t="shared" si="665"/>
        <v>3</v>
      </c>
      <c r="AB1649" t="str">
        <f t="shared" si="666"/>
        <v>Siempre</v>
      </c>
      <c r="AC1649">
        <v>1090995</v>
      </c>
      <c r="AD1649">
        <f t="shared" si="667"/>
        <v>2</v>
      </c>
      <c r="AE1649" t="str">
        <f t="shared" si="668"/>
        <v>Siempre</v>
      </c>
      <c r="AF1649">
        <v>1</v>
      </c>
      <c r="AG1649" t="str">
        <f t="shared" si="669"/>
        <v>A veces</v>
      </c>
      <c r="AH1649">
        <v>1</v>
      </c>
      <c r="AI1649" t="str">
        <f t="shared" si="670"/>
        <v>Usa auto</v>
      </c>
      <c r="AJ1649">
        <v>0</v>
      </c>
      <c r="AK1649" t="str">
        <f t="shared" si="671"/>
        <v>No usa</v>
      </c>
      <c r="AL1649">
        <v>0</v>
      </c>
      <c r="AM1649" t="str">
        <f t="shared" si="672"/>
        <v>No usa</v>
      </c>
      <c r="AN1649">
        <v>0</v>
      </c>
      <c r="AO1649" t="str">
        <f t="shared" si="673"/>
        <v>No usa</v>
      </c>
      <c r="AP1649">
        <v>0</v>
      </c>
      <c r="AQ1649" t="str">
        <f t="shared" si="674"/>
        <v>No camina</v>
      </c>
      <c r="AR1649">
        <v>1</v>
      </c>
      <c r="AS1649" t="str">
        <f t="shared" si="675"/>
        <v>Es Obeso</v>
      </c>
    </row>
    <row r="1650" spans="1:45" x14ac:dyDescent="0.25">
      <c r="A1650">
        <v>1</v>
      </c>
      <c r="B1650" t="str">
        <f t="shared" si="650"/>
        <v>M</v>
      </c>
      <c r="C1650">
        <v>30607546</v>
      </c>
      <c r="D1650">
        <f t="shared" si="651"/>
        <v>83</v>
      </c>
      <c r="E1650">
        <f t="shared" si="652"/>
        <v>83</v>
      </c>
      <c r="F1650" t="str">
        <f t="shared" si="653"/>
        <v>75-100</v>
      </c>
      <c r="G1650">
        <v>1</v>
      </c>
      <c r="H1650" t="str">
        <f t="shared" si="654"/>
        <v>Pariente gordo</v>
      </c>
      <c r="I1650">
        <v>1</v>
      </c>
      <c r="J1650" t="str">
        <f t="shared" si="655"/>
        <v>Hipercaloricos</v>
      </c>
      <c r="K1650">
        <v>2918113</v>
      </c>
      <c r="L1650">
        <f t="shared" si="656"/>
        <v>1</v>
      </c>
      <c r="M1650" t="str">
        <f t="shared" si="657"/>
        <v>Suele comer</v>
      </c>
      <c r="N1650">
        <v>3</v>
      </c>
      <c r="O1650">
        <f t="shared" si="658"/>
        <v>2</v>
      </c>
      <c r="P1650" t="str">
        <f t="shared" si="659"/>
        <v>Mas de 3</v>
      </c>
      <c r="Q1650">
        <v>1</v>
      </c>
      <c r="R1650" t="str">
        <f t="shared" si="660"/>
        <v>A veces</v>
      </c>
      <c r="S1650">
        <v>0</v>
      </c>
      <c r="T1650" t="str">
        <f t="shared" si="661"/>
        <v>No fuma</v>
      </c>
      <c r="U1650">
        <v>2240463</v>
      </c>
      <c r="V1650">
        <f t="shared" si="662"/>
        <v>2</v>
      </c>
      <c r="W1650" t="str">
        <f t="shared" si="663"/>
        <v>Siempre</v>
      </c>
      <c r="X1650">
        <v>0</v>
      </c>
      <c r="Y1650" t="str">
        <f t="shared" si="664"/>
        <v>No controla</v>
      </c>
      <c r="Z1650">
        <v>1076248</v>
      </c>
      <c r="AA1650">
        <f t="shared" si="665"/>
        <v>3</v>
      </c>
      <c r="AB1650" t="str">
        <f t="shared" si="666"/>
        <v>Siempre</v>
      </c>
      <c r="AC1650">
        <v>1480875</v>
      </c>
      <c r="AD1650">
        <f t="shared" si="667"/>
        <v>2</v>
      </c>
      <c r="AE1650" t="str">
        <f t="shared" si="668"/>
        <v>Siempre</v>
      </c>
      <c r="AF1650">
        <v>1</v>
      </c>
      <c r="AG1650" t="str">
        <f t="shared" si="669"/>
        <v>A veces</v>
      </c>
      <c r="AH1650">
        <v>1</v>
      </c>
      <c r="AI1650" t="str">
        <f t="shared" si="670"/>
        <v>Usa auto</v>
      </c>
      <c r="AJ1650">
        <v>0</v>
      </c>
      <c r="AK1650" t="str">
        <f t="shared" si="671"/>
        <v>No usa</v>
      </c>
      <c r="AL1650">
        <v>0</v>
      </c>
      <c r="AM1650" t="str">
        <f t="shared" si="672"/>
        <v>No usa</v>
      </c>
      <c r="AN1650">
        <v>0</v>
      </c>
      <c r="AO1650" t="str">
        <f t="shared" si="673"/>
        <v>No usa</v>
      </c>
      <c r="AP1650">
        <v>0</v>
      </c>
      <c r="AQ1650" t="str">
        <f t="shared" si="674"/>
        <v>No camina</v>
      </c>
      <c r="AR1650">
        <v>1</v>
      </c>
      <c r="AS1650" t="str">
        <f t="shared" si="675"/>
        <v>Es Obeso</v>
      </c>
    </row>
    <row r="1651" spans="1:45" x14ac:dyDescent="0.25">
      <c r="A1651">
        <v>1</v>
      </c>
      <c r="B1651" t="str">
        <f t="shared" si="650"/>
        <v>M</v>
      </c>
      <c r="C1651">
        <v>31194323</v>
      </c>
      <c r="D1651">
        <f t="shared" si="651"/>
        <v>85</v>
      </c>
      <c r="E1651">
        <f t="shared" si="652"/>
        <v>85</v>
      </c>
      <c r="F1651" t="str">
        <f t="shared" si="653"/>
        <v>75-100</v>
      </c>
      <c r="G1651">
        <v>1</v>
      </c>
      <c r="H1651" t="str">
        <f t="shared" si="654"/>
        <v>Pariente gordo</v>
      </c>
      <c r="I1651">
        <v>1</v>
      </c>
      <c r="J1651" t="str">
        <f t="shared" si="655"/>
        <v>Hipercaloricos</v>
      </c>
      <c r="K1651">
        <v>2889485</v>
      </c>
      <c r="L1651">
        <f t="shared" si="656"/>
        <v>1</v>
      </c>
      <c r="M1651" t="str">
        <f t="shared" si="657"/>
        <v>Suele comer</v>
      </c>
      <c r="N1651">
        <v>3</v>
      </c>
      <c r="O1651">
        <f t="shared" si="658"/>
        <v>2</v>
      </c>
      <c r="P1651" t="str">
        <f t="shared" si="659"/>
        <v>Mas de 3</v>
      </c>
      <c r="Q1651">
        <v>1</v>
      </c>
      <c r="R1651" t="str">
        <f t="shared" si="660"/>
        <v>A veces</v>
      </c>
      <c r="S1651">
        <v>1</v>
      </c>
      <c r="T1651" t="str">
        <f t="shared" si="661"/>
        <v>Fuma</v>
      </c>
      <c r="U1651">
        <v>1279771</v>
      </c>
      <c r="V1651">
        <f t="shared" si="662"/>
        <v>2</v>
      </c>
      <c r="W1651" t="str">
        <f t="shared" si="663"/>
        <v>Siempre</v>
      </c>
      <c r="X1651">
        <v>0</v>
      </c>
      <c r="Y1651" t="str">
        <f t="shared" si="664"/>
        <v>No controla</v>
      </c>
      <c r="Z1651">
        <v>0.94142400000000004</v>
      </c>
      <c r="AA1651">
        <f t="shared" si="665"/>
        <v>0</v>
      </c>
      <c r="AB1651" t="str">
        <f t="shared" si="666"/>
        <v>Nunca</v>
      </c>
      <c r="AC1651">
        <v>8.3429999999999997E-3</v>
      </c>
      <c r="AD1651">
        <f t="shared" si="667"/>
        <v>0</v>
      </c>
      <c r="AE1651" t="str">
        <f t="shared" si="668"/>
        <v>Nunca</v>
      </c>
      <c r="AF1651">
        <v>1</v>
      </c>
      <c r="AG1651" t="str">
        <f t="shared" si="669"/>
        <v>A veces</v>
      </c>
      <c r="AH1651">
        <v>0</v>
      </c>
      <c r="AI1651" t="str">
        <f t="shared" si="670"/>
        <v>No usa</v>
      </c>
      <c r="AJ1651">
        <v>0</v>
      </c>
      <c r="AK1651" t="str">
        <f t="shared" si="671"/>
        <v>No usa</v>
      </c>
      <c r="AL1651">
        <v>0</v>
      </c>
      <c r="AM1651" t="str">
        <f t="shared" si="672"/>
        <v>No usa</v>
      </c>
      <c r="AN1651">
        <v>1</v>
      </c>
      <c r="AO1651" t="str">
        <f t="shared" si="673"/>
        <v>Usa Transporte</v>
      </c>
      <c r="AP1651">
        <v>0</v>
      </c>
      <c r="AQ1651" t="str">
        <f t="shared" si="674"/>
        <v>No camina</v>
      </c>
      <c r="AR1651">
        <v>1</v>
      </c>
      <c r="AS1651" t="str">
        <f t="shared" si="675"/>
        <v>Es Obeso</v>
      </c>
    </row>
    <row r="1652" spans="1:45" x14ac:dyDescent="0.25">
      <c r="A1652">
        <v>1</v>
      </c>
      <c r="B1652" t="str">
        <f t="shared" si="650"/>
        <v>M</v>
      </c>
      <c r="C1652">
        <v>3136347</v>
      </c>
      <c r="D1652">
        <f t="shared" si="651"/>
        <v>8</v>
      </c>
      <c r="E1652">
        <f t="shared" si="652"/>
        <v>8</v>
      </c>
      <c r="F1652" t="str">
        <f t="shared" si="653"/>
        <v>1-25</v>
      </c>
      <c r="G1652">
        <v>1</v>
      </c>
      <c r="H1652" t="str">
        <f t="shared" si="654"/>
        <v>Pariente gordo</v>
      </c>
      <c r="I1652">
        <v>1</v>
      </c>
      <c r="J1652" t="str">
        <f t="shared" si="655"/>
        <v>Hipercaloricos</v>
      </c>
      <c r="K1652">
        <v>2939727</v>
      </c>
      <c r="L1652">
        <f t="shared" si="656"/>
        <v>1</v>
      </c>
      <c r="M1652" t="str">
        <f t="shared" si="657"/>
        <v>Suele comer</v>
      </c>
      <c r="N1652">
        <v>3</v>
      </c>
      <c r="O1652">
        <f t="shared" si="658"/>
        <v>2</v>
      </c>
      <c r="P1652" t="str">
        <f t="shared" si="659"/>
        <v>Mas de 3</v>
      </c>
      <c r="Q1652">
        <v>1</v>
      </c>
      <c r="R1652" t="str">
        <f t="shared" si="660"/>
        <v>A veces</v>
      </c>
      <c r="S1652">
        <v>1</v>
      </c>
      <c r="T1652" t="str">
        <f t="shared" si="661"/>
        <v>Fuma</v>
      </c>
      <c r="U1652">
        <v>1344122</v>
      </c>
      <c r="V1652">
        <f t="shared" si="662"/>
        <v>2</v>
      </c>
      <c r="W1652" t="str">
        <f t="shared" si="663"/>
        <v>Siempre</v>
      </c>
      <c r="X1652">
        <v>0</v>
      </c>
      <c r="Y1652" t="str">
        <f t="shared" si="664"/>
        <v>No controla</v>
      </c>
      <c r="Z1652">
        <v>0.92342800000000003</v>
      </c>
      <c r="AA1652">
        <f t="shared" si="665"/>
        <v>0</v>
      </c>
      <c r="AB1652" t="str">
        <f t="shared" si="666"/>
        <v>Nunca</v>
      </c>
      <c r="AC1652">
        <v>1432336</v>
      </c>
      <c r="AD1652">
        <f t="shared" si="667"/>
        <v>2</v>
      </c>
      <c r="AE1652" t="str">
        <f t="shared" si="668"/>
        <v>Siempre</v>
      </c>
      <c r="AF1652">
        <v>1</v>
      </c>
      <c r="AG1652" t="str">
        <f t="shared" si="669"/>
        <v>A veces</v>
      </c>
      <c r="AH1652">
        <v>0</v>
      </c>
      <c r="AI1652" t="str">
        <f t="shared" si="670"/>
        <v>No usa</v>
      </c>
      <c r="AJ1652">
        <v>0</v>
      </c>
      <c r="AK1652" t="str">
        <f t="shared" si="671"/>
        <v>No usa</v>
      </c>
      <c r="AL1652">
        <v>0</v>
      </c>
      <c r="AM1652" t="str">
        <f t="shared" si="672"/>
        <v>No usa</v>
      </c>
      <c r="AN1652">
        <v>1</v>
      </c>
      <c r="AO1652" t="str">
        <f t="shared" si="673"/>
        <v>Usa Transporte</v>
      </c>
      <c r="AP1652">
        <v>0</v>
      </c>
      <c r="AQ1652" t="str">
        <f t="shared" si="674"/>
        <v>No camina</v>
      </c>
      <c r="AR1652">
        <v>1</v>
      </c>
      <c r="AS1652" t="str">
        <f t="shared" si="675"/>
        <v>Es Obeso</v>
      </c>
    </row>
    <row r="1653" spans="1:45" x14ac:dyDescent="0.25">
      <c r="A1653">
        <v>1</v>
      </c>
      <c r="B1653" t="str">
        <f t="shared" si="650"/>
        <v>M</v>
      </c>
      <c r="C1653">
        <v>25027254</v>
      </c>
      <c r="D1653">
        <f t="shared" si="651"/>
        <v>68</v>
      </c>
      <c r="E1653">
        <f t="shared" si="652"/>
        <v>68</v>
      </c>
      <c r="F1653" t="str">
        <f t="shared" si="653"/>
        <v>50-75</v>
      </c>
      <c r="G1653">
        <v>1</v>
      </c>
      <c r="H1653" t="str">
        <f t="shared" si="654"/>
        <v>Pariente gordo</v>
      </c>
      <c r="I1653">
        <v>1</v>
      </c>
      <c r="J1653" t="str">
        <f t="shared" si="655"/>
        <v>Hipercaloricos</v>
      </c>
      <c r="K1653">
        <v>1264234</v>
      </c>
      <c r="L1653">
        <f t="shared" si="656"/>
        <v>1</v>
      </c>
      <c r="M1653" t="str">
        <f t="shared" si="657"/>
        <v>Suele comer</v>
      </c>
      <c r="N1653">
        <v>3</v>
      </c>
      <c r="O1653">
        <f t="shared" si="658"/>
        <v>2</v>
      </c>
      <c r="P1653" t="str">
        <f t="shared" si="659"/>
        <v>Mas de 3</v>
      </c>
      <c r="Q1653">
        <v>1</v>
      </c>
      <c r="R1653" t="str">
        <f t="shared" si="660"/>
        <v>A veces</v>
      </c>
      <c r="S1653">
        <v>0</v>
      </c>
      <c r="T1653" t="str">
        <f t="shared" si="661"/>
        <v>No fuma</v>
      </c>
      <c r="U1653">
        <v>2</v>
      </c>
      <c r="V1653">
        <f t="shared" si="662"/>
        <v>2</v>
      </c>
      <c r="W1653" t="str">
        <f t="shared" si="663"/>
        <v>Siempre</v>
      </c>
      <c r="X1653">
        <v>0</v>
      </c>
      <c r="Y1653" t="str">
        <f t="shared" si="664"/>
        <v>No controla</v>
      </c>
      <c r="Z1653">
        <v>1333435</v>
      </c>
      <c r="AA1653">
        <f t="shared" si="665"/>
        <v>3</v>
      </c>
      <c r="AB1653" t="str">
        <f t="shared" si="666"/>
        <v>Siempre</v>
      </c>
      <c r="AC1653">
        <v>2.1679999999999998E-3</v>
      </c>
      <c r="AD1653">
        <f t="shared" si="667"/>
        <v>0</v>
      </c>
      <c r="AE1653" t="str">
        <f t="shared" si="668"/>
        <v>Nunca</v>
      </c>
      <c r="AF1653">
        <v>1</v>
      </c>
      <c r="AG1653" t="str">
        <f t="shared" si="669"/>
        <v>A veces</v>
      </c>
      <c r="AH1653">
        <v>0</v>
      </c>
      <c r="AI1653" t="str">
        <f t="shared" si="670"/>
        <v>No usa</v>
      </c>
      <c r="AJ1653">
        <v>0</v>
      </c>
      <c r="AK1653" t="str">
        <f t="shared" si="671"/>
        <v>No usa</v>
      </c>
      <c r="AL1653">
        <v>0</v>
      </c>
      <c r="AM1653" t="str">
        <f t="shared" si="672"/>
        <v>No usa</v>
      </c>
      <c r="AN1653">
        <v>1</v>
      </c>
      <c r="AO1653" t="str">
        <f t="shared" si="673"/>
        <v>Usa Transporte</v>
      </c>
      <c r="AP1653">
        <v>0</v>
      </c>
      <c r="AQ1653" t="str">
        <f t="shared" si="674"/>
        <v>No camina</v>
      </c>
      <c r="AR1653">
        <v>1</v>
      </c>
      <c r="AS1653" t="str">
        <f t="shared" si="675"/>
        <v>Es Obeso</v>
      </c>
    </row>
    <row r="1654" spans="1:45" x14ac:dyDescent="0.25">
      <c r="A1654">
        <v>1</v>
      </c>
      <c r="B1654" t="str">
        <f t="shared" si="650"/>
        <v>M</v>
      </c>
      <c r="C1654">
        <v>25058566</v>
      </c>
      <c r="D1654">
        <f t="shared" si="651"/>
        <v>68</v>
      </c>
      <c r="E1654">
        <f t="shared" si="652"/>
        <v>68</v>
      </c>
      <c r="F1654" t="str">
        <f t="shared" si="653"/>
        <v>50-75</v>
      </c>
      <c r="G1654">
        <v>1</v>
      </c>
      <c r="H1654" t="str">
        <f t="shared" si="654"/>
        <v>Pariente gordo</v>
      </c>
      <c r="I1654">
        <v>1</v>
      </c>
      <c r="J1654" t="str">
        <f t="shared" si="655"/>
        <v>Hipercaloricos</v>
      </c>
      <c r="K1654">
        <v>1517912</v>
      </c>
      <c r="L1654">
        <f t="shared" si="656"/>
        <v>1</v>
      </c>
      <c r="M1654" t="str">
        <f t="shared" si="657"/>
        <v>Suele comer</v>
      </c>
      <c r="N1654">
        <v>3</v>
      </c>
      <c r="O1654">
        <f t="shared" si="658"/>
        <v>2</v>
      </c>
      <c r="P1654" t="str">
        <f t="shared" si="659"/>
        <v>Mas de 3</v>
      </c>
      <c r="Q1654">
        <v>1</v>
      </c>
      <c r="R1654" t="str">
        <f t="shared" si="660"/>
        <v>A veces</v>
      </c>
      <c r="S1654">
        <v>0</v>
      </c>
      <c r="T1654" t="str">
        <f t="shared" si="661"/>
        <v>No fuma</v>
      </c>
      <c r="U1654">
        <v>2038958</v>
      </c>
      <c r="V1654">
        <f t="shared" si="662"/>
        <v>2</v>
      </c>
      <c r="W1654" t="str">
        <f t="shared" si="663"/>
        <v>Siempre</v>
      </c>
      <c r="X1654">
        <v>0</v>
      </c>
      <c r="Y1654" t="str">
        <f t="shared" si="664"/>
        <v>No controla</v>
      </c>
      <c r="Z1654">
        <v>1590255</v>
      </c>
      <c r="AA1654">
        <f t="shared" si="665"/>
        <v>3</v>
      </c>
      <c r="AB1654" t="str">
        <f t="shared" si="666"/>
        <v>Siempre</v>
      </c>
      <c r="AC1654">
        <v>1.64E-3</v>
      </c>
      <c r="AD1654">
        <f t="shared" si="667"/>
        <v>0</v>
      </c>
      <c r="AE1654" t="str">
        <f t="shared" si="668"/>
        <v>Nunca</v>
      </c>
      <c r="AF1654">
        <v>1</v>
      </c>
      <c r="AG1654" t="str">
        <f t="shared" si="669"/>
        <v>A veces</v>
      </c>
      <c r="AH1654">
        <v>0</v>
      </c>
      <c r="AI1654" t="str">
        <f t="shared" si="670"/>
        <v>No usa</v>
      </c>
      <c r="AJ1654">
        <v>0</v>
      </c>
      <c r="AK1654" t="str">
        <f t="shared" si="671"/>
        <v>No usa</v>
      </c>
      <c r="AL1654">
        <v>0</v>
      </c>
      <c r="AM1654" t="str">
        <f t="shared" si="672"/>
        <v>No usa</v>
      </c>
      <c r="AN1654">
        <v>1</v>
      </c>
      <c r="AO1654" t="str">
        <f t="shared" si="673"/>
        <v>Usa Transporte</v>
      </c>
      <c r="AP1654">
        <v>0</v>
      </c>
      <c r="AQ1654" t="str">
        <f t="shared" si="674"/>
        <v>No camina</v>
      </c>
      <c r="AR1654">
        <v>1</v>
      </c>
      <c r="AS1654" t="str">
        <f t="shared" si="675"/>
        <v>Es Obeso</v>
      </c>
    </row>
    <row r="1655" spans="1:45" x14ac:dyDescent="0.25">
      <c r="A1655">
        <v>1</v>
      </c>
      <c r="B1655" t="str">
        <f t="shared" si="650"/>
        <v>M</v>
      </c>
      <c r="C1655">
        <v>24417552</v>
      </c>
      <c r="D1655">
        <f t="shared" si="651"/>
        <v>66</v>
      </c>
      <c r="E1655">
        <f t="shared" si="652"/>
        <v>66</v>
      </c>
      <c r="F1655" t="str">
        <f t="shared" si="653"/>
        <v>50-75</v>
      </c>
      <c r="G1655">
        <v>1</v>
      </c>
      <c r="H1655" t="str">
        <f t="shared" si="654"/>
        <v>Pariente gordo</v>
      </c>
      <c r="I1655">
        <v>1</v>
      </c>
      <c r="J1655" t="str">
        <f t="shared" si="655"/>
        <v>Hipercaloricos</v>
      </c>
      <c r="K1655">
        <v>223372</v>
      </c>
      <c r="L1655">
        <f t="shared" si="656"/>
        <v>1</v>
      </c>
      <c r="M1655" t="str">
        <f t="shared" si="657"/>
        <v>Suele comer</v>
      </c>
      <c r="N1655">
        <v>2993634</v>
      </c>
      <c r="O1655">
        <f t="shared" si="658"/>
        <v>2</v>
      </c>
      <c r="P1655" t="str">
        <f t="shared" si="659"/>
        <v>Mas de 3</v>
      </c>
      <c r="Q1655">
        <v>1</v>
      </c>
      <c r="R1655" t="str">
        <f t="shared" si="660"/>
        <v>A veces</v>
      </c>
      <c r="S1655">
        <v>0</v>
      </c>
      <c r="T1655" t="str">
        <f t="shared" si="661"/>
        <v>No fuma</v>
      </c>
      <c r="U1655">
        <v>2028368</v>
      </c>
      <c r="V1655">
        <f t="shared" si="662"/>
        <v>2</v>
      </c>
      <c r="W1655" t="str">
        <f t="shared" si="663"/>
        <v>Siempre</v>
      </c>
      <c r="X1655">
        <v>0</v>
      </c>
      <c r="Y1655" t="str">
        <f t="shared" si="664"/>
        <v>No controla</v>
      </c>
      <c r="Z1655">
        <v>0.86315799999999998</v>
      </c>
      <c r="AA1655">
        <f t="shared" si="665"/>
        <v>0</v>
      </c>
      <c r="AB1655" t="str">
        <f t="shared" si="666"/>
        <v>Nunca</v>
      </c>
      <c r="AC1655">
        <v>0.44988600000000001</v>
      </c>
      <c r="AD1655">
        <f t="shared" si="667"/>
        <v>0</v>
      </c>
      <c r="AE1655" t="str">
        <f t="shared" si="668"/>
        <v>Nunca</v>
      </c>
      <c r="AF1655">
        <v>1</v>
      </c>
      <c r="AG1655" t="str">
        <f t="shared" si="669"/>
        <v>A veces</v>
      </c>
      <c r="AH1655">
        <v>0</v>
      </c>
      <c r="AI1655" t="str">
        <f t="shared" si="670"/>
        <v>No usa</v>
      </c>
      <c r="AJ1655">
        <v>0</v>
      </c>
      <c r="AK1655" t="str">
        <f t="shared" si="671"/>
        <v>No usa</v>
      </c>
      <c r="AL1655">
        <v>0</v>
      </c>
      <c r="AM1655" t="str">
        <f t="shared" si="672"/>
        <v>No usa</v>
      </c>
      <c r="AN1655">
        <v>1</v>
      </c>
      <c r="AO1655" t="str">
        <f t="shared" si="673"/>
        <v>Usa Transporte</v>
      </c>
      <c r="AP1655">
        <v>0</v>
      </c>
      <c r="AQ1655" t="str">
        <f t="shared" si="674"/>
        <v>No camina</v>
      </c>
      <c r="AR1655">
        <v>1</v>
      </c>
      <c r="AS1655" t="str">
        <f t="shared" si="675"/>
        <v>Es Obeso</v>
      </c>
    </row>
    <row r="1656" spans="1:45" x14ac:dyDescent="0.25">
      <c r="A1656">
        <v>1</v>
      </c>
      <c r="B1656" t="str">
        <f t="shared" si="650"/>
        <v>M</v>
      </c>
      <c r="C1656">
        <v>245822</v>
      </c>
      <c r="D1656">
        <f t="shared" si="651"/>
        <v>0</v>
      </c>
      <c r="E1656">
        <f t="shared" si="652"/>
        <v>5</v>
      </c>
      <c r="F1656" t="str">
        <f t="shared" si="653"/>
        <v>1-25</v>
      </c>
      <c r="G1656">
        <v>1</v>
      </c>
      <c r="H1656" t="str">
        <f t="shared" si="654"/>
        <v>Pariente gordo</v>
      </c>
      <c r="I1656">
        <v>1</v>
      </c>
      <c r="J1656" t="str">
        <f t="shared" si="655"/>
        <v>Hipercaloricos</v>
      </c>
      <c r="K1656">
        <v>1475906</v>
      </c>
      <c r="L1656">
        <f t="shared" si="656"/>
        <v>1</v>
      </c>
      <c r="M1656" t="str">
        <f t="shared" si="657"/>
        <v>Suele comer</v>
      </c>
      <c r="N1656">
        <v>2999346</v>
      </c>
      <c r="O1656">
        <f t="shared" si="658"/>
        <v>2</v>
      </c>
      <c r="P1656" t="str">
        <f t="shared" si="659"/>
        <v>Mas de 3</v>
      </c>
      <c r="Q1656">
        <v>1</v>
      </c>
      <c r="R1656" t="str">
        <f t="shared" si="660"/>
        <v>A veces</v>
      </c>
      <c r="S1656">
        <v>0</v>
      </c>
      <c r="T1656" t="str">
        <f t="shared" si="661"/>
        <v>No fuma</v>
      </c>
      <c r="U1656">
        <v>201943</v>
      </c>
      <c r="V1656">
        <f t="shared" si="662"/>
        <v>2</v>
      </c>
      <c r="W1656" t="str">
        <f t="shared" si="663"/>
        <v>Siempre</v>
      </c>
      <c r="X1656">
        <v>0</v>
      </c>
      <c r="Y1656" t="str">
        <f t="shared" si="664"/>
        <v>No controla</v>
      </c>
      <c r="Z1656">
        <v>1046878</v>
      </c>
      <c r="AA1656">
        <f t="shared" si="665"/>
        <v>3</v>
      </c>
      <c r="AB1656" t="str">
        <f t="shared" si="666"/>
        <v>Siempre</v>
      </c>
      <c r="AC1656">
        <v>0.460866</v>
      </c>
      <c r="AD1656">
        <f t="shared" si="667"/>
        <v>0</v>
      </c>
      <c r="AE1656" t="str">
        <f t="shared" si="668"/>
        <v>Nunca</v>
      </c>
      <c r="AF1656">
        <v>1</v>
      </c>
      <c r="AG1656" t="str">
        <f t="shared" si="669"/>
        <v>A veces</v>
      </c>
      <c r="AH1656">
        <v>0</v>
      </c>
      <c r="AI1656" t="str">
        <f t="shared" si="670"/>
        <v>No usa</v>
      </c>
      <c r="AJ1656">
        <v>0</v>
      </c>
      <c r="AK1656" t="str">
        <f t="shared" si="671"/>
        <v>No usa</v>
      </c>
      <c r="AL1656">
        <v>0</v>
      </c>
      <c r="AM1656" t="str">
        <f t="shared" si="672"/>
        <v>No usa</v>
      </c>
      <c r="AN1656">
        <v>1</v>
      </c>
      <c r="AO1656" t="str">
        <f t="shared" si="673"/>
        <v>Usa Transporte</v>
      </c>
      <c r="AP1656">
        <v>0</v>
      </c>
      <c r="AQ1656" t="str">
        <f t="shared" si="674"/>
        <v>No camina</v>
      </c>
      <c r="AR1656">
        <v>1</v>
      </c>
      <c r="AS1656" t="str">
        <f t="shared" si="675"/>
        <v>Es Obeso</v>
      </c>
    </row>
    <row r="1657" spans="1:45" x14ac:dyDescent="0.25">
      <c r="A1657">
        <v>1</v>
      </c>
      <c r="B1657" t="str">
        <f t="shared" si="650"/>
        <v>M</v>
      </c>
      <c r="C1657">
        <v>40106145</v>
      </c>
      <c r="D1657">
        <f t="shared" si="651"/>
        <v>109</v>
      </c>
      <c r="E1657">
        <f t="shared" si="652"/>
        <v>100</v>
      </c>
      <c r="F1657" t="str">
        <f t="shared" si="653"/>
        <v>75-100</v>
      </c>
      <c r="G1657">
        <v>1</v>
      </c>
      <c r="H1657" t="str">
        <f t="shared" si="654"/>
        <v>Pariente gordo</v>
      </c>
      <c r="I1657">
        <v>1</v>
      </c>
      <c r="J1657" t="str">
        <f t="shared" si="655"/>
        <v>Hipercaloricos</v>
      </c>
      <c r="K1657">
        <v>2032883</v>
      </c>
      <c r="L1657">
        <f t="shared" si="656"/>
        <v>1</v>
      </c>
      <c r="M1657" t="str">
        <f t="shared" si="657"/>
        <v>Suele comer</v>
      </c>
      <c r="N1657">
        <v>2976211</v>
      </c>
      <c r="O1657">
        <f t="shared" si="658"/>
        <v>2</v>
      </c>
      <c r="P1657" t="str">
        <f t="shared" si="659"/>
        <v>Mas de 3</v>
      </c>
      <c r="Q1657">
        <v>1</v>
      </c>
      <c r="R1657" t="str">
        <f t="shared" si="660"/>
        <v>A veces</v>
      </c>
      <c r="S1657">
        <v>0</v>
      </c>
      <c r="T1657" t="str">
        <f t="shared" si="661"/>
        <v>No fuma</v>
      </c>
      <c r="U1657">
        <v>1726109</v>
      </c>
      <c r="V1657">
        <f t="shared" si="662"/>
        <v>2</v>
      </c>
      <c r="W1657" t="str">
        <f t="shared" si="663"/>
        <v>Siempre</v>
      </c>
      <c r="X1657">
        <v>0</v>
      </c>
      <c r="Y1657" t="str">
        <f t="shared" si="664"/>
        <v>No controla</v>
      </c>
      <c r="Z1657">
        <v>0.47785499999999997</v>
      </c>
      <c r="AA1657">
        <f t="shared" si="665"/>
        <v>0</v>
      </c>
      <c r="AB1657" t="str">
        <f t="shared" si="666"/>
        <v>Nunca</v>
      </c>
      <c r="AC1657">
        <v>0</v>
      </c>
      <c r="AD1657">
        <f t="shared" si="667"/>
        <v>0</v>
      </c>
      <c r="AE1657" t="str">
        <f t="shared" si="668"/>
        <v>Nunca</v>
      </c>
      <c r="AF1657">
        <v>1</v>
      </c>
      <c r="AG1657" t="str">
        <f t="shared" si="669"/>
        <v>A veces</v>
      </c>
      <c r="AH1657">
        <v>1</v>
      </c>
      <c r="AI1657" t="str">
        <f t="shared" si="670"/>
        <v>Usa auto</v>
      </c>
      <c r="AJ1657">
        <v>0</v>
      </c>
      <c r="AK1657" t="str">
        <f t="shared" si="671"/>
        <v>No usa</v>
      </c>
      <c r="AL1657">
        <v>0</v>
      </c>
      <c r="AM1657" t="str">
        <f t="shared" si="672"/>
        <v>No usa</v>
      </c>
      <c r="AN1657">
        <v>0</v>
      </c>
      <c r="AO1657" t="str">
        <f t="shared" si="673"/>
        <v>No usa</v>
      </c>
      <c r="AP1657">
        <v>0</v>
      </c>
      <c r="AQ1657" t="str">
        <f t="shared" si="674"/>
        <v>No camina</v>
      </c>
      <c r="AR1657">
        <v>1</v>
      </c>
      <c r="AS1657" t="str">
        <f t="shared" si="675"/>
        <v>Es Obeso</v>
      </c>
    </row>
    <row r="1658" spans="1:45" x14ac:dyDescent="0.25">
      <c r="A1658">
        <v>1</v>
      </c>
      <c r="B1658" t="str">
        <f t="shared" si="650"/>
        <v>M</v>
      </c>
      <c r="C1658">
        <v>40174191</v>
      </c>
      <c r="D1658">
        <f t="shared" si="651"/>
        <v>110</v>
      </c>
      <c r="E1658">
        <f t="shared" si="652"/>
        <v>100</v>
      </c>
      <c r="F1658" t="str">
        <f t="shared" si="653"/>
        <v>75-100</v>
      </c>
      <c r="G1658">
        <v>1</v>
      </c>
      <c r="H1658" t="str">
        <f t="shared" si="654"/>
        <v>Pariente gordo</v>
      </c>
      <c r="I1658">
        <v>1</v>
      </c>
      <c r="J1658" t="str">
        <f t="shared" si="655"/>
        <v>Hipercaloricos</v>
      </c>
      <c r="K1658">
        <v>2046651</v>
      </c>
      <c r="L1658">
        <f t="shared" si="656"/>
        <v>1</v>
      </c>
      <c r="M1658" t="str">
        <f t="shared" si="657"/>
        <v>Suele comer</v>
      </c>
      <c r="N1658">
        <v>2842035</v>
      </c>
      <c r="O1658">
        <f t="shared" si="658"/>
        <v>2</v>
      </c>
      <c r="P1658" t="str">
        <f t="shared" si="659"/>
        <v>Mas de 3</v>
      </c>
      <c r="Q1658">
        <v>1</v>
      </c>
      <c r="R1658" t="str">
        <f t="shared" si="660"/>
        <v>A veces</v>
      </c>
      <c r="S1658">
        <v>0</v>
      </c>
      <c r="T1658" t="str">
        <f t="shared" si="661"/>
        <v>No fuma</v>
      </c>
      <c r="U1658">
        <v>1732072</v>
      </c>
      <c r="V1658">
        <f t="shared" si="662"/>
        <v>2</v>
      </c>
      <c r="W1658" t="str">
        <f t="shared" si="663"/>
        <v>Siempre</v>
      </c>
      <c r="X1658">
        <v>0</v>
      </c>
      <c r="Y1658" t="str">
        <f t="shared" si="664"/>
        <v>No controla</v>
      </c>
      <c r="Z1658">
        <v>0.58427200000000001</v>
      </c>
      <c r="AA1658">
        <f t="shared" si="665"/>
        <v>0</v>
      </c>
      <c r="AB1658" t="str">
        <f t="shared" si="666"/>
        <v>Nunca</v>
      </c>
      <c r="AC1658">
        <v>0</v>
      </c>
      <c r="AD1658">
        <f t="shared" si="667"/>
        <v>0</v>
      </c>
      <c r="AE1658" t="str">
        <f t="shared" si="668"/>
        <v>Nunca</v>
      </c>
      <c r="AF1658">
        <v>1</v>
      </c>
      <c r="AG1658" t="str">
        <f t="shared" si="669"/>
        <v>A veces</v>
      </c>
      <c r="AH1658">
        <v>1</v>
      </c>
      <c r="AI1658" t="str">
        <f t="shared" si="670"/>
        <v>Usa auto</v>
      </c>
      <c r="AJ1658">
        <v>0</v>
      </c>
      <c r="AK1658" t="str">
        <f t="shared" si="671"/>
        <v>No usa</v>
      </c>
      <c r="AL1658">
        <v>0</v>
      </c>
      <c r="AM1658" t="str">
        <f t="shared" si="672"/>
        <v>No usa</v>
      </c>
      <c r="AN1658">
        <v>0</v>
      </c>
      <c r="AO1658" t="str">
        <f t="shared" si="673"/>
        <v>No usa</v>
      </c>
      <c r="AP1658">
        <v>0</v>
      </c>
      <c r="AQ1658" t="str">
        <f t="shared" si="674"/>
        <v>No camina</v>
      </c>
      <c r="AR1658">
        <v>1</v>
      </c>
      <c r="AS1658" t="str">
        <f t="shared" si="675"/>
        <v>Es Obeso</v>
      </c>
    </row>
    <row r="1659" spans="1:45" x14ac:dyDescent="0.25">
      <c r="A1659">
        <v>1</v>
      </c>
      <c r="B1659" t="str">
        <f t="shared" si="650"/>
        <v>M</v>
      </c>
      <c r="C1659">
        <v>27186873</v>
      </c>
      <c r="D1659">
        <f t="shared" si="651"/>
        <v>74</v>
      </c>
      <c r="E1659">
        <f t="shared" si="652"/>
        <v>74</v>
      </c>
      <c r="F1659" t="str">
        <f t="shared" si="653"/>
        <v>50-75</v>
      </c>
      <c r="G1659">
        <v>1</v>
      </c>
      <c r="H1659" t="str">
        <f t="shared" si="654"/>
        <v>Pariente gordo</v>
      </c>
      <c r="I1659">
        <v>1</v>
      </c>
      <c r="J1659" t="str">
        <f t="shared" si="655"/>
        <v>Hipercaloricos</v>
      </c>
      <c r="K1659">
        <v>2667229</v>
      </c>
      <c r="L1659">
        <f t="shared" si="656"/>
        <v>1</v>
      </c>
      <c r="M1659" t="str">
        <f t="shared" si="657"/>
        <v>Suele comer</v>
      </c>
      <c r="N1659">
        <v>109749</v>
      </c>
      <c r="O1659">
        <f t="shared" si="658"/>
        <v>2</v>
      </c>
      <c r="P1659" t="str">
        <f t="shared" si="659"/>
        <v>Mas de 3</v>
      </c>
      <c r="Q1659">
        <v>1</v>
      </c>
      <c r="R1659" t="str">
        <f t="shared" si="660"/>
        <v>A veces</v>
      </c>
      <c r="S1659">
        <v>0</v>
      </c>
      <c r="T1659" t="str">
        <f t="shared" si="661"/>
        <v>No fuma</v>
      </c>
      <c r="U1659">
        <v>1225958</v>
      </c>
      <c r="V1659">
        <f t="shared" si="662"/>
        <v>2</v>
      </c>
      <c r="W1659" t="str">
        <f t="shared" si="663"/>
        <v>Siempre</v>
      </c>
      <c r="X1659">
        <v>0</v>
      </c>
      <c r="Y1659" t="str">
        <f t="shared" si="664"/>
        <v>No controla</v>
      </c>
      <c r="Z1659">
        <v>0.206954</v>
      </c>
      <c r="AA1659">
        <f t="shared" si="665"/>
        <v>0</v>
      </c>
      <c r="AB1659" t="str">
        <f t="shared" si="666"/>
        <v>Nunca</v>
      </c>
      <c r="AC1659">
        <v>1003011</v>
      </c>
      <c r="AD1659">
        <f t="shared" si="667"/>
        <v>2</v>
      </c>
      <c r="AE1659" t="str">
        <f t="shared" si="668"/>
        <v>Siempre</v>
      </c>
      <c r="AF1659">
        <v>0</v>
      </c>
      <c r="AG1659" t="str">
        <f t="shared" si="669"/>
        <v>Nunca</v>
      </c>
      <c r="AH1659">
        <v>0</v>
      </c>
      <c r="AI1659" t="str">
        <f t="shared" si="670"/>
        <v>No usa</v>
      </c>
      <c r="AJ1659">
        <v>0</v>
      </c>
      <c r="AK1659" t="str">
        <f t="shared" si="671"/>
        <v>No usa</v>
      </c>
      <c r="AL1659">
        <v>0</v>
      </c>
      <c r="AM1659" t="str">
        <f t="shared" si="672"/>
        <v>No usa</v>
      </c>
      <c r="AN1659">
        <v>1</v>
      </c>
      <c r="AO1659" t="str">
        <f t="shared" si="673"/>
        <v>Usa Transporte</v>
      </c>
      <c r="AP1659">
        <v>0</v>
      </c>
      <c r="AQ1659" t="str">
        <f t="shared" si="674"/>
        <v>No camina</v>
      </c>
      <c r="AR1659">
        <v>1</v>
      </c>
      <c r="AS1659" t="str">
        <f t="shared" si="675"/>
        <v>Es Obeso</v>
      </c>
    </row>
    <row r="1660" spans="1:45" x14ac:dyDescent="0.25">
      <c r="A1660">
        <v>1</v>
      </c>
      <c r="B1660" t="str">
        <f t="shared" si="650"/>
        <v>M</v>
      </c>
      <c r="C1660">
        <v>30424369</v>
      </c>
      <c r="D1660">
        <f t="shared" si="651"/>
        <v>83</v>
      </c>
      <c r="E1660">
        <f t="shared" si="652"/>
        <v>83</v>
      </c>
      <c r="F1660" t="str">
        <f t="shared" si="653"/>
        <v>75-100</v>
      </c>
      <c r="G1660">
        <v>1</v>
      </c>
      <c r="H1660" t="str">
        <f t="shared" si="654"/>
        <v>Pariente gordo</v>
      </c>
      <c r="I1660">
        <v>1</v>
      </c>
      <c r="J1660" t="str">
        <f t="shared" si="655"/>
        <v>Hipercaloricos</v>
      </c>
      <c r="K1660">
        <v>2819934</v>
      </c>
      <c r="L1660">
        <f t="shared" si="656"/>
        <v>1</v>
      </c>
      <c r="M1660" t="str">
        <f t="shared" si="657"/>
        <v>Suele comer</v>
      </c>
      <c r="N1660">
        <v>191863</v>
      </c>
      <c r="O1660">
        <f t="shared" si="658"/>
        <v>2</v>
      </c>
      <c r="P1660" t="str">
        <f t="shared" si="659"/>
        <v>Mas de 3</v>
      </c>
      <c r="Q1660">
        <v>1</v>
      </c>
      <c r="R1660" t="str">
        <f t="shared" si="660"/>
        <v>A veces</v>
      </c>
      <c r="S1660">
        <v>0</v>
      </c>
      <c r="T1660" t="str">
        <f t="shared" si="661"/>
        <v>No fuma</v>
      </c>
      <c r="U1660">
        <v>1</v>
      </c>
      <c r="V1660">
        <f t="shared" si="662"/>
        <v>1</v>
      </c>
      <c r="W1660" t="str">
        <f t="shared" si="663"/>
        <v>Usualmente</v>
      </c>
      <c r="X1660">
        <v>0</v>
      </c>
      <c r="Y1660" t="str">
        <f t="shared" si="664"/>
        <v>No controla</v>
      </c>
      <c r="Z1660">
        <v>139302</v>
      </c>
      <c r="AA1660">
        <f t="shared" si="665"/>
        <v>2</v>
      </c>
      <c r="AB1660" t="str">
        <f t="shared" si="666"/>
        <v>Usualmente</v>
      </c>
      <c r="AC1660">
        <v>0.553311</v>
      </c>
      <c r="AD1660">
        <f t="shared" si="667"/>
        <v>0</v>
      </c>
      <c r="AE1660" t="str">
        <f t="shared" si="668"/>
        <v>Nunca</v>
      </c>
      <c r="AF1660">
        <v>0</v>
      </c>
      <c r="AG1660" t="str">
        <f t="shared" si="669"/>
        <v>Nunca</v>
      </c>
      <c r="AH1660">
        <v>0</v>
      </c>
      <c r="AI1660" t="str">
        <f t="shared" si="670"/>
        <v>No usa</v>
      </c>
      <c r="AJ1660">
        <v>0</v>
      </c>
      <c r="AK1660" t="str">
        <f t="shared" si="671"/>
        <v>No usa</v>
      </c>
      <c r="AL1660">
        <v>0</v>
      </c>
      <c r="AM1660" t="str">
        <f t="shared" si="672"/>
        <v>No usa</v>
      </c>
      <c r="AN1660">
        <v>1</v>
      </c>
      <c r="AO1660" t="str">
        <f t="shared" si="673"/>
        <v>Usa Transporte</v>
      </c>
      <c r="AP1660">
        <v>0</v>
      </c>
      <c r="AQ1660" t="str">
        <f t="shared" si="674"/>
        <v>No camina</v>
      </c>
      <c r="AR1660">
        <v>1</v>
      </c>
      <c r="AS1660" t="str">
        <f t="shared" si="675"/>
        <v>Es Obeso</v>
      </c>
    </row>
    <row r="1661" spans="1:45" x14ac:dyDescent="0.25">
      <c r="A1661">
        <v>1</v>
      </c>
      <c r="B1661" t="str">
        <f t="shared" si="650"/>
        <v>M</v>
      </c>
      <c r="C1661">
        <v>23141402</v>
      </c>
      <c r="D1661">
        <f t="shared" si="651"/>
        <v>63</v>
      </c>
      <c r="E1661">
        <f t="shared" si="652"/>
        <v>63</v>
      </c>
      <c r="F1661" t="str">
        <f t="shared" si="653"/>
        <v>50-75</v>
      </c>
      <c r="G1661">
        <v>1</v>
      </c>
      <c r="H1661" t="str">
        <f t="shared" si="654"/>
        <v>Pariente gordo</v>
      </c>
      <c r="I1661">
        <v>1</v>
      </c>
      <c r="J1661" t="str">
        <f t="shared" si="655"/>
        <v>Hipercaloricos</v>
      </c>
      <c r="K1661">
        <v>3</v>
      </c>
      <c r="L1661">
        <f t="shared" si="656"/>
        <v>1</v>
      </c>
      <c r="M1661" t="str">
        <f t="shared" si="657"/>
        <v>Suele comer</v>
      </c>
      <c r="N1661">
        <v>2510135</v>
      </c>
      <c r="O1661">
        <f t="shared" si="658"/>
        <v>2</v>
      </c>
      <c r="P1661" t="str">
        <f t="shared" si="659"/>
        <v>Mas de 3</v>
      </c>
      <c r="Q1661">
        <v>1</v>
      </c>
      <c r="R1661" t="str">
        <f t="shared" si="660"/>
        <v>A veces</v>
      </c>
      <c r="S1661">
        <v>0</v>
      </c>
      <c r="T1661" t="str">
        <f t="shared" si="661"/>
        <v>No fuma</v>
      </c>
      <c r="U1661">
        <v>1693362</v>
      </c>
      <c r="V1661">
        <f t="shared" si="662"/>
        <v>2</v>
      </c>
      <c r="W1661" t="str">
        <f t="shared" si="663"/>
        <v>Siempre</v>
      </c>
      <c r="X1661">
        <v>0</v>
      </c>
      <c r="Y1661" t="str">
        <f t="shared" si="664"/>
        <v>No controla</v>
      </c>
      <c r="Z1661">
        <v>0.76970899999999998</v>
      </c>
      <c r="AA1661">
        <f t="shared" si="665"/>
        <v>0</v>
      </c>
      <c r="AB1661" t="str">
        <f t="shared" si="666"/>
        <v>Nunca</v>
      </c>
      <c r="AC1661">
        <v>0</v>
      </c>
      <c r="AD1661">
        <f t="shared" si="667"/>
        <v>0</v>
      </c>
      <c r="AE1661" t="str">
        <f t="shared" si="668"/>
        <v>Nunca</v>
      </c>
      <c r="AF1661">
        <v>1</v>
      </c>
      <c r="AG1661" t="str">
        <f t="shared" si="669"/>
        <v>A veces</v>
      </c>
      <c r="AH1661">
        <v>0</v>
      </c>
      <c r="AI1661" t="str">
        <f t="shared" si="670"/>
        <v>No usa</v>
      </c>
      <c r="AJ1661">
        <v>0</v>
      </c>
      <c r="AK1661" t="str">
        <f t="shared" si="671"/>
        <v>No usa</v>
      </c>
      <c r="AL1661">
        <v>0</v>
      </c>
      <c r="AM1661" t="str">
        <f t="shared" si="672"/>
        <v>No usa</v>
      </c>
      <c r="AN1661">
        <v>1</v>
      </c>
      <c r="AO1661" t="str">
        <f t="shared" si="673"/>
        <v>Usa Transporte</v>
      </c>
      <c r="AP1661">
        <v>0</v>
      </c>
      <c r="AQ1661" t="str">
        <f t="shared" si="674"/>
        <v>No camina</v>
      </c>
      <c r="AR1661">
        <v>1</v>
      </c>
      <c r="AS1661" t="str">
        <f t="shared" si="675"/>
        <v>Es Obeso</v>
      </c>
    </row>
    <row r="1662" spans="1:45" x14ac:dyDescent="0.25">
      <c r="A1662">
        <v>1</v>
      </c>
      <c r="B1662" t="str">
        <f t="shared" si="650"/>
        <v>M</v>
      </c>
      <c r="C1662">
        <v>24178638</v>
      </c>
      <c r="D1662">
        <f t="shared" si="651"/>
        <v>66</v>
      </c>
      <c r="E1662">
        <f t="shared" si="652"/>
        <v>66</v>
      </c>
      <c r="F1662" t="str">
        <f t="shared" si="653"/>
        <v>50-75</v>
      </c>
      <c r="G1662">
        <v>1</v>
      </c>
      <c r="H1662" t="str">
        <f t="shared" si="654"/>
        <v>Pariente gordo</v>
      </c>
      <c r="I1662">
        <v>1</v>
      </c>
      <c r="J1662" t="str">
        <f t="shared" si="655"/>
        <v>Hipercaloricos</v>
      </c>
      <c r="K1662">
        <v>2954417</v>
      </c>
      <c r="L1662">
        <f t="shared" si="656"/>
        <v>1</v>
      </c>
      <c r="M1662" t="str">
        <f t="shared" si="657"/>
        <v>Suele comer</v>
      </c>
      <c r="N1662">
        <v>265772</v>
      </c>
      <c r="O1662">
        <f t="shared" si="658"/>
        <v>2</v>
      </c>
      <c r="P1662" t="str">
        <f t="shared" si="659"/>
        <v>Mas de 3</v>
      </c>
      <c r="Q1662">
        <v>1</v>
      </c>
      <c r="R1662" t="str">
        <f t="shared" si="660"/>
        <v>A veces</v>
      </c>
      <c r="S1662">
        <v>0</v>
      </c>
      <c r="T1662" t="str">
        <f t="shared" si="661"/>
        <v>No fuma</v>
      </c>
      <c r="U1662">
        <v>2104696</v>
      </c>
      <c r="V1662">
        <f t="shared" si="662"/>
        <v>2</v>
      </c>
      <c r="W1662" t="str">
        <f t="shared" si="663"/>
        <v>Siempre</v>
      </c>
      <c r="X1662">
        <v>0</v>
      </c>
      <c r="Y1662" t="str">
        <f t="shared" si="664"/>
        <v>No controla</v>
      </c>
      <c r="Z1662">
        <v>0.87005600000000005</v>
      </c>
      <c r="AA1662">
        <f t="shared" si="665"/>
        <v>0</v>
      </c>
      <c r="AB1662" t="str">
        <f t="shared" si="666"/>
        <v>Nunca</v>
      </c>
      <c r="AC1662">
        <v>0</v>
      </c>
      <c r="AD1662">
        <f t="shared" si="667"/>
        <v>0</v>
      </c>
      <c r="AE1662" t="str">
        <f t="shared" si="668"/>
        <v>Nunca</v>
      </c>
      <c r="AF1662">
        <v>1</v>
      </c>
      <c r="AG1662" t="str">
        <f t="shared" si="669"/>
        <v>A veces</v>
      </c>
      <c r="AH1662">
        <v>0</v>
      </c>
      <c r="AI1662" t="str">
        <f t="shared" si="670"/>
        <v>No usa</v>
      </c>
      <c r="AJ1662">
        <v>0</v>
      </c>
      <c r="AK1662" t="str">
        <f t="shared" si="671"/>
        <v>No usa</v>
      </c>
      <c r="AL1662">
        <v>0</v>
      </c>
      <c r="AM1662" t="str">
        <f t="shared" si="672"/>
        <v>No usa</v>
      </c>
      <c r="AN1662">
        <v>1</v>
      </c>
      <c r="AO1662" t="str">
        <f t="shared" si="673"/>
        <v>Usa Transporte</v>
      </c>
      <c r="AP1662">
        <v>0</v>
      </c>
      <c r="AQ1662" t="str">
        <f t="shared" si="674"/>
        <v>No camina</v>
      </c>
      <c r="AR1662">
        <v>1</v>
      </c>
      <c r="AS1662" t="str">
        <f t="shared" si="675"/>
        <v>Es Obeso</v>
      </c>
    </row>
    <row r="1663" spans="1:45" x14ac:dyDescent="0.25">
      <c r="A1663">
        <v>1</v>
      </c>
      <c r="B1663" t="str">
        <f t="shared" si="650"/>
        <v>M</v>
      </c>
      <c r="C1663">
        <v>22832105</v>
      </c>
      <c r="D1663">
        <f t="shared" si="651"/>
        <v>62</v>
      </c>
      <c r="E1663">
        <f t="shared" si="652"/>
        <v>62</v>
      </c>
      <c r="F1663" t="str">
        <f t="shared" si="653"/>
        <v>50-75</v>
      </c>
      <c r="G1663">
        <v>1</v>
      </c>
      <c r="H1663" t="str">
        <f t="shared" si="654"/>
        <v>Pariente gordo</v>
      </c>
      <c r="I1663">
        <v>1</v>
      </c>
      <c r="J1663" t="str">
        <f t="shared" si="655"/>
        <v>Hipercaloricos</v>
      </c>
      <c r="K1663">
        <v>2826251</v>
      </c>
      <c r="L1663">
        <f t="shared" si="656"/>
        <v>1</v>
      </c>
      <c r="M1663" t="str">
        <f t="shared" si="657"/>
        <v>Suele comer</v>
      </c>
      <c r="N1663">
        <v>2604998</v>
      </c>
      <c r="O1663">
        <f t="shared" si="658"/>
        <v>2</v>
      </c>
      <c r="P1663" t="str">
        <f t="shared" si="659"/>
        <v>Mas de 3</v>
      </c>
      <c r="Q1663">
        <v>1</v>
      </c>
      <c r="R1663" t="str">
        <f t="shared" si="660"/>
        <v>A veces</v>
      </c>
      <c r="S1663">
        <v>0</v>
      </c>
      <c r="T1663" t="str">
        <f t="shared" si="661"/>
        <v>No fuma</v>
      </c>
      <c r="U1663">
        <v>1842173</v>
      </c>
      <c r="V1663">
        <f t="shared" si="662"/>
        <v>2</v>
      </c>
      <c r="W1663" t="str">
        <f t="shared" si="663"/>
        <v>Siempre</v>
      </c>
      <c r="X1663">
        <v>0</v>
      </c>
      <c r="Y1663" t="str">
        <f t="shared" si="664"/>
        <v>No controla</v>
      </c>
      <c r="Z1663">
        <v>1284798</v>
      </c>
      <c r="AA1663">
        <f t="shared" si="665"/>
        <v>3</v>
      </c>
      <c r="AB1663" t="str">
        <f t="shared" si="666"/>
        <v>Siempre</v>
      </c>
      <c r="AC1663">
        <v>0</v>
      </c>
      <c r="AD1663">
        <f t="shared" si="667"/>
        <v>0</v>
      </c>
      <c r="AE1663" t="str">
        <f t="shared" si="668"/>
        <v>Nunca</v>
      </c>
      <c r="AF1663">
        <v>1</v>
      </c>
      <c r="AG1663" t="str">
        <f t="shared" si="669"/>
        <v>A veces</v>
      </c>
      <c r="AH1663">
        <v>0</v>
      </c>
      <c r="AI1663" t="str">
        <f t="shared" si="670"/>
        <v>No usa</v>
      </c>
      <c r="AJ1663">
        <v>0</v>
      </c>
      <c r="AK1663" t="str">
        <f t="shared" si="671"/>
        <v>No usa</v>
      </c>
      <c r="AL1663">
        <v>0</v>
      </c>
      <c r="AM1663" t="str">
        <f t="shared" si="672"/>
        <v>No usa</v>
      </c>
      <c r="AN1663">
        <v>1</v>
      </c>
      <c r="AO1663" t="str">
        <f t="shared" si="673"/>
        <v>Usa Transporte</v>
      </c>
      <c r="AP1663">
        <v>0</v>
      </c>
      <c r="AQ1663" t="str">
        <f t="shared" si="674"/>
        <v>No camina</v>
      </c>
      <c r="AR1663">
        <v>1</v>
      </c>
      <c r="AS1663" t="str">
        <f t="shared" si="675"/>
        <v>Es Obeso</v>
      </c>
    </row>
    <row r="1664" spans="1:45" x14ac:dyDescent="0.25">
      <c r="A1664">
        <v>1</v>
      </c>
      <c r="B1664" t="str">
        <f t="shared" si="650"/>
        <v>M</v>
      </c>
      <c r="C1664">
        <v>23083621</v>
      </c>
      <c r="D1664">
        <f t="shared" si="651"/>
        <v>63</v>
      </c>
      <c r="E1664">
        <f t="shared" si="652"/>
        <v>63</v>
      </c>
      <c r="F1664" t="str">
        <f t="shared" si="653"/>
        <v>50-75</v>
      </c>
      <c r="G1664">
        <v>1</v>
      </c>
      <c r="H1664" t="str">
        <f t="shared" si="654"/>
        <v>Pariente gordo</v>
      </c>
      <c r="I1664">
        <v>1</v>
      </c>
      <c r="J1664" t="str">
        <f t="shared" si="655"/>
        <v>Hipercaloricos</v>
      </c>
      <c r="K1664">
        <v>3</v>
      </c>
      <c r="L1664">
        <f t="shared" si="656"/>
        <v>1</v>
      </c>
      <c r="M1664" t="str">
        <f t="shared" si="657"/>
        <v>Suele comer</v>
      </c>
      <c r="N1664">
        <v>2567567</v>
      </c>
      <c r="O1664">
        <f t="shared" si="658"/>
        <v>2</v>
      </c>
      <c r="P1664" t="str">
        <f t="shared" si="659"/>
        <v>Mas de 3</v>
      </c>
      <c r="Q1664">
        <v>1</v>
      </c>
      <c r="R1664" t="str">
        <f t="shared" si="660"/>
        <v>A veces</v>
      </c>
      <c r="S1664">
        <v>0</v>
      </c>
      <c r="T1664" t="str">
        <f t="shared" si="661"/>
        <v>No fuma</v>
      </c>
      <c r="U1664">
        <v>2011023</v>
      </c>
      <c r="V1664">
        <f t="shared" si="662"/>
        <v>2</v>
      </c>
      <c r="W1664" t="str">
        <f t="shared" si="663"/>
        <v>Siempre</v>
      </c>
      <c r="X1664">
        <v>0</v>
      </c>
      <c r="Y1664" t="str">
        <f t="shared" si="664"/>
        <v>No controla</v>
      </c>
      <c r="Z1664">
        <v>0.91647800000000001</v>
      </c>
      <c r="AA1664">
        <f t="shared" si="665"/>
        <v>0</v>
      </c>
      <c r="AB1664" t="str">
        <f t="shared" si="666"/>
        <v>Nunca</v>
      </c>
      <c r="AC1664">
        <v>0</v>
      </c>
      <c r="AD1664">
        <f t="shared" si="667"/>
        <v>0</v>
      </c>
      <c r="AE1664" t="str">
        <f t="shared" si="668"/>
        <v>Nunca</v>
      </c>
      <c r="AF1664">
        <v>1</v>
      </c>
      <c r="AG1664" t="str">
        <f t="shared" si="669"/>
        <v>A veces</v>
      </c>
      <c r="AH1664">
        <v>0</v>
      </c>
      <c r="AI1664" t="str">
        <f t="shared" si="670"/>
        <v>No usa</v>
      </c>
      <c r="AJ1664">
        <v>0</v>
      </c>
      <c r="AK1664" t="str">
        <f t="shared" si="671"/>
        <v>No usa</v>
      </c>
      <c r="AL1664">
        <v>0</v>
      </c>
      <c r="AM1664" t="str">
        <f t="shared" si="672"/>
        <v>No usa</v>
      </c>
      <c r="AN1664">
        <v>1</v>
      </c>
      <c r="AO1664" t="str">
        <f t="shared" si="673"/>
        <v>Usa Transporte</v>
      </c>
      <c r="AP1664">
        <v>0</v>
      </c>
      <c r="AQ1664" t="str">
        <f t="shared" si="674"/>
        <v>No camina</v>
      </c>
      <c r="AR1664">
        <v>1</v>
      </c>
      <c r="AS1664" t="str">
        <f t="shared" si="675"/>
        <v>Es Obeso</v>
      </c>
    </row>
    <row r="1665" spans="1:45" x14ac:dyDescent="0.25">
      <c r="A1665">
        <v>1</v>
      </c>
      <c r="B1665" t="str">
        <f t="shared" si="650"/>
        <v>M</v>
      </c>
      <c r="C1665">
        <v>24079971</v>
      </c>
      <c r="D1665">
        <f t="shared" si="651"/>
        <v>65</v>
      </c>
      <c r="E1665">
        <f t="shared" si="652"/>
        <v>65</v>
      </c>
      <c r="F1665" t="str">
        <f t="shared" si="653"/>
        <v>50-75</v>
      </c>
      <c r="G1665">
        <v>1</v>
      </c>
      <c r="H1665" t="str">
        <f t="shared" si="654"/>
        <v>Pariente gordo</v>
      </c>
      <c r="I1665">
        <v>1</v>
      </c>
      <c r="J1665" t="str">
        <f t="shared" si="655"/>
        <v>Hipercaloricos</v>
      </c>
      <c r="K1665">
        <v>295841</v>
      </c>
      <c r="L1665">
        <f t="shared" si="656"/>
        <v>1</v>
      </c>
      <c r="M1665" t="str">
        <f t="shared" si="657"/>
        <v>Suele comer</v>
      </c>
      <c r="N1665">
        <v>2434347</v>
      </c>
      <c r="O1665">
        <f t="shared" si="658"/>
        <v>2</v>
      </c>
      <c r="P1665" t="str">
        <f t="shared" si="659"/>
        <v>Mas de 3</v>
      </c>
      <c r="Q1665">
        <v>1</v>
      </c>
      <c r="R1665" t="str">
        <f t="shared" si="660"/>
        <v>A veces</v>
      </c>
      <c r="S1665">
        <v>0</v>
      </c>
      <c r="T1665" t="str">
        <f t="shared" si="661"/>
        <v>No fuma</v>
      </c>
      <c r="U1665">
        <v>1</v>
      </c>
      <c r="V1665">
        <f t="shared" si="662"/>
        <v>1</v>
      </c>
      <c r="W1665" t="str">
        <f t="shared" si="663"/>
        <v>Usualmente</v>
      </c>
      <c r="X1665">
        <v>0</v>
      </c>
      <c r="Y1665" t="str">
        <f t="shared" si="664"/>
        <v>No controla</v>
      </c>
      <c r="Z1665">
        <v>1930033</v>
      </c>
      <c r="AA1665">
        <f t="shared" si="665"/>
        <v>3</v>
      </c>
      <c r="AB1665" t="str">
        <f t="shared" si="666"/>
        <v>Siempre</v>
      </c>
      <c r="AC1665">
        <v>0.754023</v>
      </c>
      <c r="AD1665">
        <f t="shared" si="667"/>
        <v>0</v>
      </c>
      <c r="AE1665" t="str">
        <f t="shared" si="668"/>
        <v>Nunca</v>
      </c>
      <c r="AF1665">
        <v>0</v>
      </c>
      <c r="AG1665" t="str">
        <f t="shared" si="669"/>
        <v>Nunca</v>
      </c>
      <c r="AH1665">
        <v>0</v>
      </c>
      <c r="AI1665" t="str">
        <f t="shared" si="670"/>
        <v>No usa</v>
      </c>
      <c r="AJ1665">
        <v>0</v>
      </c>
      <c r="AK1665" t="str">
        <f t="shared" si="671"/>
        <v>No usa</v>
      </c>
      <c r="AL1665">
        <v>0</v>
      </c>
      <c r="AM1665" t="str">
        <f t="shared" si="672"/>
        <v>No usa</v>
      </c>
      <c r="AN1665">
        <v>1</v>
      </c>
      <c r="AO1665" t="str">
        <f t="shared" si="673"/>
        <v>Usa Transporte</v>
      </c>
      <c r="AP1665">
        <v>0</v>
      </c>
      <c r="AQ1665" t="str">
        <f t="shared" si="674"/>
        <v>No camina</v>
      </c>
      <c r="AR1665">
        <v>1</v>
      </c>
      <c r="AS1665" t="str">
        <f t="shared" si="675"/>
        <v>Es Obeso</v>
      </c>
    </row>
    <row r="1666" spans="1:45" x14ac:dyDescent="0.25">
      <c r="A1666">
        <v>1</v>
      </c>
      <c r="B1666" t="str">
        <f t="shared" si="650"/>
        <v>M</v>
      </c>
      <c r="C1666">
        <v>26947786</v>
      </c>
      <c r="D1666">
        <f t="shared" si="651"/>
        <v>73</v>
      </c>
      <c r="E1666">
        <f t="shared" si="652"/>
        <v>73</v>
      </c>
      <c r="F1666" t="str">
        <f t="shared" si="653"/>
        <v>50-75</v>
      </c>
      <c r="G1666">
        <v>1</v>
      </c>
      <c r="H1666" t="str">
        <f t="shared" si="654"/>
        <v>Pariente gordo</v>
      </c>
      <c r="I1666">
        <v>1</v>
      </c>
      <c r="J1666" t="str">
        <f t="shared" si="655"/>
        <v>Hipercaloricos</v>
      </c>
      <c r="K1666">
        <v>2935157</v>
      </c>
      <c r="L1666">
        <f t="shared" si="656"/>
        <v>1</v>
      </c>
      <c r="M1666" t="str">
        <f t="shared" si="657"/>
        <v>Suele comer</v>
      </c>
      <c r="N1666">
        <v>1845858</v>
      </c>
      <c r="O1666">
        <f t="shared" si="658"/>
        <v>2</v>
      </c>
      <c r="P1666" t="str">
        <f t="shared" si="659"/>
        <v>Mas de 3</v>
      </c>
      <c r="Q1666">
        <v>1</v>
      </c>
      <c r="R1666" t="str">
        <f t="shared" si="660"/>
        <v>A veces</v>
      </c>
      <c r="S1666">
        <v>0</v>
      </c>
      <c r="T1666" t="str">
        <f t="shared" si="661"/>
        <v>No fuma</v>
      </c>
      <c r="U1666">
        <v>1</v>
      </c>
      <c r="V1666">
        <f t="shared" si="662"/>
        <v>1</v>
      </c>
      <c r="W1666" t="str">
        <f t="shared" si="663"/>
        <v>Usualmente</v>
      </c>
      <c r="X1666">
        <v>0</v>
      </c>
      <c r="Y1666" t="str">
        <f t="shared" si="664"/>
        <v>No controla</v>
      </c>
      <c r="Z1666">
        <v>1089891</v>
      </c>
      <c r="AA1666">
        <f t="shared" si="665"/>
        <v>3</v>
      </c>
      <c r="AB1666" t="str">
        <f t="shared" si="666"/>
        <v>Siempre</v>
      </c>
      <c r="AC1666">
        <v>0.71599299999999999</v>
      </c>
      <c r="AD1666">
        <f t="shared" si="667"/>
        <v>0</v>
      </c>
      <c r="AE1666" t="str">
        <f t="shared" si="668"/>
        <v>Nunca</v>
      </c>
      <c r="AF1666">
        <v>0</v>
      </c>
      <c r="AG1666" t="str">
        <f t="shared" si="669"/>
        <v>Nunca</v>
      </c>
      <c r="AH1666">
        <v>0</v>
      </c>
      <c r="AI1666" t="str">
        <f t="shared" si="670"/>
        <v>No usa</v>
      </c>
      <c r="AJ1666">
        <v>0</v>
      </c>
      <c r="AK1666" t="str">
        <f t="shared" si="671"/>
        <v>No usa</v>
      </c>
      <c r="AL1666">
        <v>0</v>
      </c>
      <c r="AM1666" t="str">
        <f t="shared" si="672"/>
        <v>No usa</v>
      </c>
      <c r="AN1666">
        <v>1</v>
      </c>
      <c r="AO1666" t="str">
        <f t="shared" si="673"/>
        <v>Usa Transporte</v>
      </c>
      <c r="AP1666">
        <v>0</v>
      </c>
      <c r="AQ1666" t="str">
        <f t="shared" si="674"/>
        <v>No camina</v>
      </c>
      <c r="AR1666">
        <v>1</v>
      </c>
      <c r="AS1666" t="str">
        <f t="shared" si="675"/>
        <v>Es Obeso</v>
      </c>
    </row>
    <row r="1667" spans="1:45" x14ac:dyDescent="0.25">
      <c r="A1667">
        <v>1</v>
      </c>
      <c r="B1667" t="str">
        <f t="shared" ref="B1667:B1730" si="676">IF(A1667=1,"M","F")</f>
        <v>M</v>
      </c>
      <c r="C1667">
        <v>20101026</v>
      </c>
      <c r="D1667">
        <f t="shared" ref="D1667:D1730" si="677">IF(C1667&lt;100,C1667,ROUNDDOWN((C1667/1000)/365,0))</f>
        <v>55</v>
      </c>
      <c r="E1667">
        <f t="shared" ref="E1667:E1730" si="678">IF(AND(D1667&gt;1,D1667&lt;=100),D1667,IF(D1667&gt;100,100,5))</f>
        <v>55</v>
      </c>
      <c r="F1667" t="str">
        <f t="shared" ref="F1667:F1730" si="679">IF(AND(E1667&gt;=1,E1667&lt;=25),"1-25",IF(AND(E1667&gt;25,E1667&lt;=50),"25-50",IF(AND(E1667&gt;50,E1667&lt;=75),"50-75","75-100")))</f>
        <v>50-75</v>
      </c>
      <c r="G1667">
        <v>1</v>
      </c>
      <c r="H1667" t="str">
        <f t="shared" ref="H1667:H1730" si="680">IF(G1667=1,"Pariente gordo","Pariente normal")</f>
        <v>Pariente gordo</v>
      </c>
      <c r="I1667">
        <v>1</v>
      </c>
      <c r="J1667" t="str">
        <f t="shared" ref="J1667:J1730" si="681">IF(I1667=1,"Hipercaloricos","Saludables")</f>
        <v>Hipercaloricos</v>
      </c>
      <c r="K1667">
        <v>2870895</v>
      </c>
      <c r="L1667">
        <f t="shared" ref="L1667:L1730" si="682">IF(AND(K1667&gt;=1,K1667&lt;=3),1,IF(AND(K1667&gt;3,K1667&lt;3000000),1))</f>
        <v>1</v>
      </c>
      <c r="M1667" t="str">
        <f t="shared" ref="M1667:M1730" si="683">IF(L1667=1,"Suele comer","No come")</f>
        <v>Suele comer</v>
      </c>
      <c r="N1667">
        <v>1627555</v>
      </c>
      <c r="O1667">
        <f t="shared" ref="O1667:O1730" si="684">IF(N1667=1,N1667,IF(AND(N1667&gt;=2,N1667&lt;4000000),2))</f>
        <v>2</v>
      </c>
      <c r="P1667" t="str">
        <f t="shared" ref="P1667:P1730" si="685">IF(O1667=0,"1-2",IF(O1667=1,3,"Mas de 3"))</f>
        <v>Mas de 3</v>
      </c>
      <c r="Q1667">
        <v>1</v>
      </c>
      <c r="R1667" t="str">
        <f t="shared" ref="R1667:R1730" si="686">IF(Q1667=0,"Nunca",IF(Q1667=1,"A veces",IF(Q1667=2,"Usualmente","Siempre")))</f>
        <v>A veces</v>
      </c>
      <c r="S1667">
        <v>0</v>
      </c>
      <c r="T1667" t="str">
        <f t="shared" ref="T1667:T1730" si="687">IF(S1667=1,"Fuma","No fuma")</f>
        <v>No fuma</v>
      </c>
      <c r="U1667">
        <v>1375728</v>
      </c>
      <c r="V1667">
        <f t="shared" ref="V1667:V1730" si="688">IF(U1667=1,U1667,IF(U1667=2,U1667,IF(AND(U1667&gt;=3,U1667&lt;3000000),2)))</f>
        <v>2</v>
      </c>
      <c r="W1667" t="str">
        <f t="shared" ref="W1667:W1730" si="689">IF(V1667=0,"Nunca",IF(V1667=1,"Usualmente","Siempre"))</f>
        <v>Siempre</v>
      </c>
      <c r="X1667">
        <v>0</v>
      </c>
      <c r="Y1667" t="str">
        <f t="shared" ref="Y1667:Y1730" si="690">IF(X1667=1,"Controla","No controla")</f>
        <v>No controla</v>
      </c>
      <c r="Z1667">
        <v>0.21018100000000001</v>
      </c>
      <c r="AA1667">
        <f t="shared" ref="AA1667:AA1730" si="691">IF(Z1667=0,Z1667,IF(Z1667=1,Z1667,IF(Z1667=2,Z1667,IF(Z1667=3,Z1667,IF(AND(Z1667&gt;3,Z1667&lt;300000),2,IF(AND(Z1667&gt;300000,Z1667&lt;3000000),3,IF(AND(Z1667&gt;0,Z1667&lt;1),0)))))))</f>
        <v>0</v>
      </c>
      <c r="AB1667" t="str">
        <f t="shared" ref="AB1667:AB1730" si="692">IF(AA1667=0,"Nunca",IF(AA1667=1,"A veces",IF(AA1667=2,"Usualmente","Siempre")))</f>
        <v>Nunca</v>
      </c>
      <c r="AC1667">
        <v>1163117</v>
      </c>
      <c r="AD1667">
        <f t="shared" ref="AD1667:AD1730" si="693">IF(AC1667= 0,AC1667,IF(AC1667=1,AC1667,IF(AC1667=2,AC1667,IF(AND(AC1667&gt;2,AC1667&lt;200000),1,IF(AND(AC1667&gt;200000,AC1667&lt;2000000),2,IF(AND(AC1667&gt;0,AC1667&lt;1),0))))))</f>
        <v>2</v>
      </c>
      <c r="AE1667" t="str">
        <f t="shared" ref="AE1667:AE1730" si="694">IF(AD1667=0,"Nunca",IF(AD1667=1,"Usualmente","Siempre"))</f>
        <v>Siempre</v>
      </c>
      <c r="AF1667">
        <v>0</v>
      </c>
      <c r="AG1667" t="str">
        <f t="shared" ref="AG1667:AG1730" si="695">IF(AF1667=0,"Nunca",IF(AF1667=1,"A veces",IF(AF1667=2,"Usualmente","Siempre")))</f>
        <v>Nunca</v>
      </c>
      <c r="AH1667">
        <v>0</v>
      </c>
      <c r="AI1667" t="str">
        <f t="shared" ref="AI1667:AI1730" si="696">IF(AH1667=1,"Usa auto","No usa")</f>
        <v>No usa</v>
      </c>
      <c r="AJ1667">
        <v>0</v>
      </c>
      <c r="AK1667" t="str">
        <f t="shared" ref="AK1667:AK1730" si="697">IF(AJ1667=1,"Usa Bici","No usa")</f>
        <v>No usa</v>
      </c>
      <c r="AL1667">
        <v>0</v>
      </c>
      <c r="AM1667" t="str">
        <f t="shared" ref="AM1667:AM1730" si="698">IF(AL1667=1,"Usa Moto","No usa")</f>
        <v>No usa</v>
      </c>
      <c r="AN1667">
        <v>1</v>
      </c>
      <c r="AO1667" t="str">
        <f t="shared" ref="AO1667:AO1730" si="699">IF(AN1667=1,"Usa Transporte","No usa")</f>
        <v>Usa Transporte</v>
      </c>
      <c r="AP1667">
        <v>0</v>
      </c>
      <c r="AQ1667" t="str">
        <f t="shared" ref="AQ1667:AQ1730" si="700">IF(AP1667=1,"Camina","No camina")</f>
        <v>No camina</v>
      </c>
      <c r="AR1667">
        <v>1</v>
      </c>
      <c r="AS1667" t="str">
        <f t="shared" ref="AS1667:AS1730" si="701">IF(AR1667=1,"Es Obeso","No es obeso")</f>
        <v>Es Obeso</v>
      </c>
    </row>
    <row r="1668" spans="1:45" x14ac:dyDescent="0.25">
      <c r="A1668">
        <v>1</v>
      </c>
      <c r="B1668" t="str">
        <f t="shared" si="676"/>
        <v>M</v>
      </c>
      <c r="C1668">
        <v>22789402</v>
      </c>
      <c r="D1668">
        <f t="shared" si="677"/>
        <v>62</v>
      </c>
      <c r="E1668">
        <f t="shared" si="678"/>
        <v>62</v>
      </c>
      <c r="F1668" t="str">
        <f t="shared" si="679"/>
        <v>50-75</v>
      </c>
      <c r="G1668">
        <v>1</v>
      </c>
      <c r="H1668" t="str">
        <f t="shared" si="680"/>
        <v>Pariente gordo</v>
      </c>
      <c r="I1668">
        <v>1</v>
      </c>
      <c r="J1668" t="str">
        <f t="shared" si="681"/>
        <v>Hipercaloricos</v>
      </c>
      <c r="K1668">
        <v>2869833</v>
      </c>
      <c r="L1668">
        <f t="shared" si="682"/>
        <v>1</v>
      </c>
      <c r="M1668" t="str">
        <f t="shared" si="683"/>
        <v>Suele comer</v>
      </c>
      <c r="N1668">
        <v>1569176</v>
      </c>
      <c r="O1668">
        <f t="shared" si="684"/>
        <v>2</v>
      </c>
      <c r="P1668" t="str">
        <f t="shared" si="685"/>
        <v>Mas de 3</v>
      </c>
      <c r="Q1668">
        <v>1</v>
      </c>
      <c r="R1668" t="str">
        <f t="shared" si="686"/>
        <v>A veces</v>
      </c>
      <c r="S1668">
        <v>0</v>
      </c>
      <c r="T1668" t="str">
        <f t="shared" si="687"/>
        <v>No fuma</v>
      </c>
      <c r="U1668">
        <v>1533682</v>
      </c>
      <c r="V1668">
        <f t="shared" si="688"/>
        <v>2</v>
      </c>
      <c r="W1668" t="str">
        <f t="shared" si="689"/>
        <v>Siempre</v>
      </c>
      <c r="X1668">
        <v>0</v>
      </c>
      <c r="Y1668" t="str">
        <f t="shared" si="690"/>
        <v>No controla</v>
      </c>
      <c r="Z1668">
        <v>0.16794300000000001</v>
      </c>
      <c r="AA1668">
        <f t="shared" si="691"/>
        <v>0</v>
      </c>
      <c r="AB1668" t="str">
        <f t="shared" si="692"/>
        <v>Nunca</v>
      </c>
      <c r="AC1668">
        <v>1368262</v>
      </c>
      <c r="AD1668">
        <f t="shared" si="693"/>
        <v>2</v>
      </c>
      <c r="AE1668" t="str">
        <f t="shared" si="694"/>
        <v>Siempre</v>
      </c>
      <c r="AF1668">
        <v>0</v>
      </c>
      <c r="AG1668" t="str">
        <f t="shared" si="695"/>
        <v>Nunca</v>
      </c>
      <c r="AH1668">
        <v>0</v>
      </c>
      <c r="AI1668" t="str">
        <f t="shared" si="696"/>
        <v>No usa</v>
      </c>
      <c r="AJ1668">
        <v>0</v>
      </c>
      <c r="AK1668" t="str">
        <f t="shared" si="697"/>
        <v>No usa</v>
      </c>
      <c r="AL1668">
        <v>0</v>
      </c>
      <c r="AM1668" t="str">
        <f t="shared" si="698"/>
        <v>No usa</v>
      </c>
      <c r="AN1668">
        <v>1</v>
      </c>
      <c r="AO1668" t="str">
        <f t="shared" si="699"/>
        <v>Usa Transporte</v>
      </c>
      <c r="AP1668">
        <v>0</v>
      </c>
      <c r="AQ1668" t="str">
        <f t="shared" si="700"/>
        <v>No camina</v>
      </c>
      <c r="AR1668">
        <v>1</v>
      </c>
      <c r="AS1668" t="str">
        <f t="shared" si="701"/>
        <v>Es Obeso</v>
      </c>
    </row>
    <row r="1669" spans="1:45" x14ac:dyDescent="0.25">
      <c r="A1669">
        <v>1</v>
      </c>
      <c r="B1669" t="str">
        <f t="shared" si="676"/>
        <v>M</v>
      </c>
      <c r="C1669">
        <v>28404332</v>
      </c>
      <c r="D1669">
        <f t="shared" si="677"/>
        <v>77</v>
      </c>
      <c r="E1669">
        <f t="shared" si="678"/>
        <v>77</v>
      </c>
      <c r="F1669" t="str">
        <f t="shared" si="679"/>
        <v>75-100</v>
      </c>
      <c r="G1669">
        <v>1</v>
      </c>
      <c r="H1669" t="str">
        <f t="shared" si="680"/>
        <v>Pariente gordo</v>
      </c>
      <c r="I1669">
        <v>1</v>
      </c>
      <c r="J1669" t="str">
        <f t="shared" si="681"/>
        <v>Hipercaloricos</v>
      </c>
      <c r="K1669">
        <v>1878251</v>
      </c>
      <c r="L1669">
        <f t="shared" si="682"/>
        <v>1</v>
      </c>
      <c r="M1669" t="str">
        <f t="shared" si="683"/>
        <v>Suele comer</v>
      </c>
      <c r="N1669">
        <v>3</v>
      </c>
      <c r="O1669">
        <f t="shared" si="684"/>
        <v>2</v>
      </c>
      <c r="P1669" t="str">
        <f t="shared" si="685"/>
        <v>Mas de 3</v>
      </c>
      <c r="Q1669">
        <v>1</v>
      </c>
      <c r="R1669" t="str">
        <f t="shared" si="686"/>
        <v>A veces</v>
      </c>
      <c r="S1669">
        <v>0</v>
      </c>
      <c r="T1669" t="str">
        <f t="shared" si="687"/>
        <v>No fuma</v>
      </c>
      <c r="U1669">
        <v>2022933</v>
      </c>
      <c r="V1669">
        <f t="shared" si="688"/>
        <v>2</v>
      </c>
      <c r="W1669" t="str">
        <f t="shared" si="689"/>
        <v>Siempre</v>
      </c>
      <c r="X1669">
        <v>0</v>
      </c>
      <c r="Y1669" t="str">
        <f t="shared" si="690"/>
        <v>No controla</v>
      </c>
      <c r="Z1669">
        <v>0</v>
      </c>
      <c r="AA1669">
        <f t="shared" si="691"/>
        <v>0</v>
      </c>
      <c r="AB1669" t="str">
        <f t="shared" si="692"/>
        <v>Nunca</v>
      </c>
      <c r="AC1669">
        <v>0.32544499999999998</v>
      </c>
      <c r="AD1669">
        <f t="shared" si="693"/>
        <v>0</v>
      </c>
      <c r="AE1669" t="str">
        <f t="shared" si="694"/>
        <v>Nunca</v>
      </c>
      <c r="AF1669">
        <v>1</v>
      </c>
      <c r="AG1669" t="str">
        <f t="shared" si="695"/>
        <v>A veces</v>
      </c>
      <c r="AH1669">
        <v>1</v>
      </c>
      <c r="AI1669" t="str">
        <f t="shared" si="696"/>
        <v>Usa auto</v>
      </c>
      <c r="AJ1669">
        <v>0</v>
      </c>
      <c r="AK1669" t="str">
        <f t="shared" si="697"/>
        <v>No usa</v>
      </c>
      <c r="AL1669">
        <v>0</v>
      </c>
      <c r="AM1669" t="str">
        <f t="shared" si="698"/>
        <v>No usa</v>
      </c>
      <c r="AN1669">
        <v>0</v>
      </c>
      <c r="AO1669" t="str">
        <f t="shared" si="699"/>
        <v>No usa</v>
      </c>
      <c r="AP1669">
        <v>0</v>
      </c>
      <c r="AQ1669" t="str">
        <f t="shared" si="700"/>
        <v>No camina</v>
      </c>
      <c r="AR1669">
        <v>1</v>
      </c>
      <c r="AS1669" t="str">
        <f t="shared" si="701"/>
        <v>Es Obeso</v>
      </c>
    </row>
    <row r="1670" spans="1:45" x14ac:dyDescent="0.25">
      <c r="A1670">
        <v>1</v>
      </c>
      <c r="B1670" t="str">
        <f t="shared" si="676"/>
        <v>M</v>
      </c>
      <c r="C1670">
        <v>30003358</v>
      </c>
      <c r="D1670">
        <f t="shared" si="677"/>
        <v>82</v>
      </c>
      <c r="E1670">
        <f t="shared" si="678"/>
        <v>82</v>
      </c>
      <c r="F1670" t="str">
        <f t="shared" si="679"/>
        <v>75-100</v>
      </c>
      <c r="G1670">
        <v>1</v>
      </c>
      <c r="H1670" t="str">
        <f t="shared" si="680"/>
        <v>Pariente gordo</v>
      </c>
      <c r="I1670">
        <v>1</v>
      </c>
      <c r="J1670" t="str">
        <f t="shared" si="681"/>
        <v>Hipercaloricos</v>
      </c>
      <c r="K1670">
        <v>1750809</v>
      </c>
      <c r="L1670">
        <f t="shared" si="682"/>
        <v>1</v>
      </c>
      <c r="M1670" t="str">
        <f t="shared" si="683"/>
        <v>Suele comer</v>
      </c>
      <c r="N1670">
        <v>3</v>
      </c>
      <c r="O1670">
        <f t="shared" si="684"/>
        <v>2</v>
      </c>
      <c r="P1670" t="str">
        <f t="shared" si="685"/>
        <v>Mas de 3</v>
      </c>
      <c r="Q1670">
        <v>1</v>
      </c>
      <c r="R1670" t="str">
        <f t="shared" si="686"/>
        <v>A veces</v>
      </c>
      <c r="S1670">
        <v>0</v>
      </c>
      <c r="T1670" t="str">
        <f t="shared" si="687"/>
        <v>No fuma</v>
      </c>
      <c r="U1670">
        <v>2002871</v>
      </c>
      <c r="V1670">
        <f t="shared" si="688"/>
        <v>2</v>
      </c>
      <c r="W1670" t="str">
        <f t="shared" si="689"/>
        <v>Siempre</v>
      </c>
      <c r="X1670">
        <v>0</v>
      </c>
      <c r="Y1670" t="str">
        <f t="shared" si="690"/>
        <v>No controla</v>
      </c>
      <c r="Z1670">
        <v>0</v>
      </c>
      <c r="AA1670">
        <f t="shared" si="691"/>
        <v>0</v>
      </c>
      <c r="AB1670" t="str">
        <f t="shared" si="692"/>
        <v>Nunca</v>
      </c>
      <c r="AC1670">
        <v>0.114457</v>
      </c>
      <c r="AD1670">
        <f t="shared" si="693"/>
        <v>0</v>
      </c>
      <c r="AE1670" t="str">
        <f t="shared" si="694"/>
        <v>Nunca</v>
      </c>
      <c r="AF1670">
        <v>1</v>
      </c>
      <c r="AG1670" t="str">
        <f t="shared" si="695"/>
        <v>A veces</v>
      </c>
      <c r="AH1670">
        <v>1</v>
      </c>
      <c r="AI1670" t="str">
        <f t="shared" si="696"/>
        <v>Usa auto</v>
      </c>
      <c r="AJ1670">
        <v>0</v>
      </c>
      <c r="AK1670" t="str">
        <f t="shared" si="697"/>
        <v>No usa</v>
      </c>
      <c r="AL1670">
        <v>0</v>
      </c>
      <c r="AM1670" t="str">
        <f t="shared" si="698"/>
        <v>No usa</v>
      </c>
      <c r="AN1670">
        <v>0</v>
      </c>
      <c r="AO1670" t="str">
        <f t="shared" si="699"/>
        <v>No usa</v>
      </c>
      <c r="AP1670">
        <v>0</v>
      </c>
      <c r="AQ1670" t="str">
        <f t="shared" si="700"/>
        <v>No camina</v>
      </c>
      <c r="AR1670">
        <v>1</v>
      </c>
      <c r="AS1670" t="str">
        <f t="shared" si="701"/>
        <v>Es Obeso</v>
      </c>
    </row>
    <row r="1671" spans="1:45" x14ac:dyDescent="0.25">
      <c r="A1671">
        <v>1</v>
      </c>
      <c r="B1671" t="str">
        <f t="shared" si="676"/>
        <v>M</v>
      </c>
      <c r="C1671">
        <v>25136116</v>
      </c>
      <c r="D1671">
        <f t="shared" si="677"/>
        <v>68</v>
      </c>
      <c r="E1671">
        <f t="shared" si="678"/>
        <v>68</v>
      </c>
      <c r="F1671" t="str">
        <f t="shared" si="679"/>
        <v>50-75</v>
      </c>
      <c r="G1671">
        <v>1</v>
      </c>
      <c r="H1671" t="str">
        <f t="shared" si="680"/>
        <v>Pariente gordo</v>
      </c>
      <c r="I1671">
        <v>1</v>
      </c>
      <c r="J1671" t="str">
        <f t="shared" si="681"/>
        <v>Hipercaloricos</v>
      </c>
      <c r="K1671">
        <v>1168856</v>
      </c>
      <c r="L1671">
        <f t="shared" si="682"/>
        <v>1</v>
      </c>
      <c r="M1671" t="str">
        <f t="shared" si="683"/>
        <v>Suele comer</v>
      </c>
      <c r="N1671">
        <v>3</v>
      </c>
      <c r="O1671">
        <f t="shared" si="684"/>
        <v>2</v>
      </c>
      <c r="P1671" t="str">
        <f t="shared" si="685"/>
        <v>Mas de 3</v>
      </c>
      <c r="Q1671">
        <v>1</v>
      </c>
      <c r="R1671" t="str">
        <f t="shared" si="686"/>
        <v>A veces</v>
      </c>
      <c r="S1671">
        <v>0</v>
      </c>
      <c r="T1671" t="str">
        <f t="shared" si="687"/>
        <v>No fuma</v>
      </c>
      <c r="U1671">
        <v>2013205</v>
      </c>
      <c r="V1671">
        <f t="shared" si="688"/>
        <v>2</v>
      </c>
      <c r="W1671" t="str">
        <f t="shared" si="689"/>
        <v>Siempre</v>
      </c>
      <c r="X1671">
        <v>0</v>
      </c>
      <c r="Y1671" t="str">
        <f t="shared" si="690"/>
        <v>No controla</v>
      </c>
      <c r="Z1671">
        <v>1246223</v>
      </c>
      <c r="AA1671">
        <f t="shared" si="691"/>
        <v>3</v>
      </c>
      <c r="AB1671" t="str">
        <f t="shared" si="692"/>
        <v>Siempre</v>
      </c>
      <c r="AC1671">
        <v>1.5900000000000001E-3</v>
      </c>
      <c r="AD1671">
        <f t="shared" si="693"/>
        <v>0</v>
      </c>
      <c r="AE1671" t="str">
        <f t="shared" si="694"/>
        <v>Nunca</v>
      </c>
      <c r="AF1671">
        <v>1</v>
      </c>
      <c r="AG1671" t="str">
        <f t="shared" si="695"/>
        <v>A veces</v>
      </c>
      <c r="AH1671">
        <v>0</v>
      </c>
      <c r="AI1671" t="str">
        <f t="shared" si="696"/>
        <v>No usa</v>
      </c>
      <c r="AJ1671">
        <v>0</v>
      </c>
      <c r="AK1671" t="str">
        <f t="shared" si="697"/>
        <v>No usa</v>
      </c>
      <c r="AL1671">
        <v>0</v>
      </c>
      <c r="AM1671" t="str">
        <f t="shared" si="698"/>
        <v>No usa</v>
      </c>
      <c r="AN1671">
        <v>1</v>
      </c>
      <c r="AO1671" t="str">
        <f t="shared" si="699"/>
        <v>Usa Transporte</v>
      </c>
      <c r="AP1671">
        <v>0</v>
      </c>
      <c r="AQ1671" t="str">
        <f t="shared" si="700"/>
        <v>No camina</v>
      </c>
      <c r="AR1671">
        <v>1</v>
      </c>
      <c r="AS1671" t="str">
        <f t="shared" si="701"/>
        <v>Es Obeso</v>
      </c>
    </row>
    <row r="1672" spans="1:45" x14ac:dyDescent="0.25">
      <c r="A1672">
        <v>1</v>
      </c>
      <c r="B1672" t="str">
        <f t="shared" si="676"/>
        <v>M</v>
      </c>
      <c r="C1672">
        <v>25139466</v>
      </c>
      <c r="D1672">
        <f t="shared" si="677"/>
        <v>68</v>
      </c>
      <c r="E1672">
        <f t="shared" si="678"/>
        <v>68</v>
      </c>
      <c r="F1672" t="str">
        <f t="shared" si="679"/>
        <v>50-75</v>
      </c>
      <c r="G1672">
        <v>1</v>
      </c>
      <c r="H1672" t="str">
        <f t="shared" si="680"/>
        <v>Pariente gordo</v>
      </c>
      <c r="I1672">
        <v>1</v>
      </c>
      <c r="J1672" t="str">
        <f t="shared" si="681"/>
        <v>Hipercaloricos</v>
      </c>
      <c r="K1672">
        <v>1443674</v>
      </c>
      <c r="L1672">
        <f t="shared" si="682"/>
        <v>1</v>
      </c>
      <c r="M1672" t="str">
        <f t="shared" si="683"/>
        <v>Suele comer</v>
      </c>
      <c r="N1672">
        <v>3</v>
      </c>
      <c r="O1672">
        <f t="shared" si="684"/>
        <v>2</v>
      </c>
      <c r="P1672" t="str">
        <f t="shared" si="685"/>
        <v>Mas de 3</v>
      </c>
      <c r="Q1672">
        <v>1</v>
      </c>
      <c r="R1672" t="str">
        <f t="shared" si="686"/>
        <v>A veces</v>
      </c>
      <c r="S1672">
        <v>0</v>
      </c>
      <c r="T1672" t="str">
        <f t="shared" si="687"/>
        <v>No fuma</v>
      </c>
      <c r="U1672">
        <v>2002194</v>
      </c>
      <c r="V1672">
        <f t="shared" si="688"/>
        <v>2</v>
      </c>
      <c r="W1672" t="str">
        <f t="shared" si="689"/>
        <v>Siempre</v>
      </c>
      <c r="X1672">
        <v>0</v>
      </c>
      <c r="Y1672" t="str">
        <f t="shared" si="690"/>
        <v>No controla</v>
      </c>
      <c r="Z1672">
        <v>1386151</v>
      </c>
      <c r="AA1672">
        <f t="shared" si="691"/>
        <v>3</v>
      </c>
      <c r="AB1672" t="str">
        <f t="shared" si="692"/>
        <v>Siempre</v>
      </c>
      <c r="AC1672">
        <v>1.3370000000000001E-3</v>
      </c>
      <c r="AD1672">
        <f t="shared" si="693"/>
        <v>0</v>
      </c>
      <c r="AE1672" t="str">
        <f t="shared" si="694"/>
        <v>Nunca</v>
      </c>
      <c r="AF1672">
        <v>1</v>
      </c>
      <c r="AG1672" t="str">
        <f t="shared" si="695"/>
        <v>A veces</v>
      </c>
      <c r="AH1672">
        <v>0</v>
      </c>
      <c r="AI1672" t="str">
        <f t="shared" si="696"/>
        <v>No usa</v>
      </c>
      <c r="AJ1672">
        <v>0</v>
      </c>
      <c r="AK1672" t="str">
        <f t="shared" si="697"/>
        <v>No usa</v>
      </c>
      <c r="AL1672">
        <v>0</v>
      </c>
      <c r="AM1672" t="str">
        <f t="shared" si="698"/>
        <v>No usa</v>
      </c>
      <c r="AN1672">
        <v>1</v>
      </c>
      <c r="AO1672" t="str">
        <f t="shared" si="699"/>
        <v>Usa Transporte</v>
      </c>
      <c r="AP1672">
        <v>0</v>
      </c>
      <c r="AQ1672" t="str">
        <f t="shared" si="700"/>
        <v>No camina</v>
      </c>
      <c r="AR1672">
        <v>1</v>
      </c>
      <c r="AS1672" t="str">
        <f t="shared" si="701"/>
        <v>Es Obeso</v>
      </c>
    </row>
    <row r="1673" spans="1:45" x14ac:dyDescent="0.25">
      <c r="A1673">
        <v>1</v>
      </c>
      <c r="B1673" t="str">
        <f t="shared" si="676"/>
        <v>M</v>
      </c>
      <c r="C1673">
        <v>31743821</v>
      </c>
      <c r="D1673">
        <f t="shared" si="677"/>
        <v>86</v>
      </c>
      <c r="E1673">
        <f t="shared" si="678"/>
        <v>86</v>
      </c>
      <c r="F1673" t="str">
        <f t="shared" si="679"/>
        <v>75-100</v>
      </c>
      <c r="G1673">
        <v>1</v>
      </c>
      <c r="H1673" t="str">
        <f t="shared" si="680"/>
        <v>Pariente gordo</v>
      </c>
      <c r="I1673">
        <v>1</v>
      </c>
      <c r="J1673" t="str">
        <f t="shared" si="681"/>
        <v>Hipercaloricos</v>
      </c>
      <c r="K1673">
        <v>2826036</v>
      </c>
      <c r="L1673">
        <f t="shared" si="682"/>
        <v>1</v>
      </c>
      <c r="M1673" t="str">
        <f t="shared" si="683"/>
        <v>Suele comer</v>
      </c>
      <c r="N1673">
        <v>2371658</v>
      </c>
      <c r="O1673">
        <f t="shared" si="684"/>
        <v>2</v>
      </c>
      <c r="P1673" t="str">
        <f t="shared" si="685"/>
        <v>Mas de 3</v>
      </c>
      <c r="Q1673">
        <v>1</v>
      </c>
      <c r="R1673" t="str">
        <f t="shared" si="686"/>
        <v>A veces</v>
      </c>
      <c r="S1673">
        <v>0</v>
      </c>
      <c r="T1673" t="str">
        <f t="shared" si="687"/>
        <v>No fuma</v>
      </c>
      <c r="U1673">
        <v>1</v>
      </c>
      <c r="V1673">
        <f t="shared" si="688"/>
        <v>1</v>
      </c>
      <c r="W1673" t="str">
        <f t="shared" si="689"/>
        <v>Usualmente</v>
      </c>
      <c r="X1673">
        <v>0</v>
      </c>
      <c r="Y1673" t="str">
        <f t="shared" si="690"/>
        <v>No controla</v>
      </c>
      <c r="Z1673">
        <v>1996487</v>
      </c>
      <c r="AA1673">
        <f t="shared" si="691"/>
        <v>3</v>
      </c>
      <c r="AB1673" t="str">
        <f t="shared" si="692"/>
        <v>Siempre</v>
      </c>
      <c r="AC1673">
        <v>0</v>
      </c>
      <c r="AD1673">
        <f t="shared" si="693"/>
        <v>0</v>
      </c>
      <c r="AE1673" t="str">
        <f t="shared" si="694"/>
        <v>Nunca</v>
      </c>
      <c r="AF1673">
        <v>0</v>
      </c>
      <c r="AG1673" t="str">
        <f t="shared" si="695"/>
        <v>Nunca</v>
      </c>
      <c r="AH1673">
        <v>0</v>
      </c>
      <c r="AI1673" t="str">
        <f t="shared" si="696"/>
        <v>No usa</v>
      </c>
      <c r="AJ1673">
        <v>0</v>
      </c>
      <c r="AK1673" t="str">
        <f t="shared" si="697"/>
        <v>No usa</v>
      </c>
      <c r="AL1673">
        <v>0</v>
      </c>
      <c r="AM1673" t="str">
        <f t="shared" si="698"/>
        <v>No usa</v>
      </c>
      <c r="AN1673">
        <v>1</v>
      </c>
      <c r="AO1673" t="str">
        <f t="shared" si="699"/>
        <v>Usa Transporte</v>
      </c>
      <c r="AP1673">
        <v>0</v>
      </c>
      <c r="AQ1673" t="str">
        <f t="shared" si="700"/>
        <v>No camina</v>
      </c>
      <c r="AR1673">
        <v>1</v>
      </c>
      <c r="AS1673" t="str">
        <f t="shared" si="701"/>
        <v>Es Obeso</v>
      </c>
    </row>
    <row r="1674" spans="1:45" x14ac:dyDescent="0.25">
      <c r="A1674">
        <v>1</v>
      </c>
      <c r="B1674" t="str">
        <f t="shared" si="676"/>
        <v>M</v>
      </c>
      <c r="C1674">
        <v>30796262</v>
      </c>
      <c r="D1674">
        <f t="shared" si="677"/>
        <v>84</v>
      </c>
      <c r="E1674">
        <f t="shared" si="678"/>
        <v>84</v>
      </c>
      <c r="F1674" t="str">
        <f t="shared" si="679"/>
        <v>75-100</v>
      </c>
      <c r="G1674">
        <v>1</v>
      </c>
      <c r="H1674" t="str">
        <f t="shared" si="680"/>
        <v>Pariente gordo</v>
      </c>
      <c r="I1674">
        <v>1</v>
      </c>
      <c r="J1674" t="str">
        <f t="shared" si="681"/>
        <v>Hipercaloricos</v>
      </c>
      <c r="K1674">
        <v>29553</v>
      </c>
      <c r="L1674">
        <f t="shared" si="682"/>
        <v>1</v>
      </c>
      <c r="M1674" t="str">
        <f t="shared" si="683"/>
        <v>Suele comer</v>
      </c>
      <c r="N1674">
        <v>2378211</v>
      </c>
      <c r="O1674">
        <f t="shared" si="684"/>
        <v>2</v>
      </c>
      <c r="P1674" t="str">
        <f t="shared" si="685"/>
        <v>Mas de 3</v>
      </c>
      <c r="Q1674">
        <v>1</v>
      </c>
      <c r="R1674" t="str">
        <f t="shared" si="686"/>
        <v>A veces</v>
      </c>
      <c r="S1674">
        <v>0</v>
      </c>
      <c r="T1674" t="str">
        <f t="shared" si="687"/>
        <v>No fuma</v>
      </c>
      <c r="U1674">
        <v>1</v>
      </c>
      <c r="V1674">
        <f t="shared" si="688"/>
        <v>1</v>
      </c>
      <c r="W1674" t="str">
        <f t="shared" si="689"/>
        <v>Usualmente</v>
      </c>
      <c r="X1674">
        <v>0</v>
      </c>
      <c r="Y1674" t="str">
        <f t="shared" si="690"/>
        <v>No controla</v>
      </c>
      <c r="Z1674">
        <v>1738267</v>
      </c>
      <c r="AA1674">
        <f t="shared" si="691"/>
        <v>3</v>
      </c>
      <c r="AB1674" t="str">
        <f t="shared" si="692"/>
        <v>Siempre</v>
      </c>
      <c r="AC1674">
        <v>0.39453300000000002</v>
      </c>
      <c r="AD1674">
        <f t="shared" si="693"/>
        <v>0</v>
      </c>
      <c r="AE1674" t="str">
        <f t="shared" si="694"/>
        <v>Nunca</v>
      </c>
      <c r="AF1674">
        <v>0</v>
      </c>
      <c r="AG1674" t="str">
        <f t="shared" si="695"/>
        <v>Nunca</v>
      </c>
      <c r="AH1674">
        <v>0</v>
      </c>
      <c r="AI1674" t="str">
        <f t="shared" si="696"/>
        <v>No usa</v>
      </c>
      <c r="AJ1674">
        <v>0</v>
      </c>
      <c r="AK1674" t="str">
        <f t="shared" si="697"/>
        <v>No usa</v>
      </c>
      <c r="AL1674">
        <v>0</v>
      </c>
      <c r="AM1674" t="str">
        <f t="shared" si="698"/>
        <v>No usa</v>
      </c>
      <c r="AN1674">
        <v>1</v>
      </c>
      <c r="AO1674" t="str">
        <f t="shared" si="699"/>
        <v>Usa Transporte</v>
      </c>
      <c r="AP1674">
        <v>0</v>
      </c>
      <c r="AQ1674" t="str">
        <f t="shared" si="700"/>
        <v>No camina</v>
      </c>
      <c r="AR1674">
        <v>1</v>
      </c>
      <c r="AS1674" t="str">
        <f t="shared" si="701"/>
        <v>Es Obeso</v>
      </c>
    </row>
    <row r="1675" spans="1:45" x14ac:dyDescent="0.25">
      <c r="A1675">
        <v>1</v>
      </c>
      <c r="B1675" t="str">
        <f t="shared" si="676"/>
        <v>M</v>
      </c>
      <c r="C1675">
        <v>28393111</v>
      </c>
      <c r="D1675">
        <f t="shared" si="677"/>
        <v>77</v>
      </c>
      <c r="E1675">
        <f t="shared" si="678"/>
        <v>77</v>
      </c>
      <c r="F1675" t="str">
        <f t="shared" si="679"/>
        <v>75-100</v>
      </c>
      <c r="G1675">
        <v>1</v>
      </c>
      <c r="H1675" t="str">
        <f t="shared" si="680"/>
        <v>Pariente gordo</v>
      </c>
      <c r="I1675">
        <v>1</v>
      </c>
      <c r="J1675" t="str">
        <f t="shared" si="681"/>
        <v>Hipercaloricos</v>
      </c>
      <c r="K1675">
        <v>2774562</v>
      </c>
      <c r="L1675">
        <f t="shared" si="682"/>
        <v>1</v>
      </c>
      <c r="M1675" t="str">
        <f t="shared" si="683"/>
        <v>Suele comer</v>
      </c>
      <c r="N1675">
        <v>2301129</v>
      </c>
      <c r="O1675">
        <f t="shared" si="684"/>
        <v>2</v>
      </c>
      <c r="P1675" t="str">
        <f t="shared" si="685"/>
        <v>Mas de 3</v>
      </c>
      <c r="Q1675">
        <v>1</v>
      </c>
      <c r="R1675" t="str">
        <f t="shared" si="686"/>
        <v>A veces</v>
      </c>
      <c r="S1675">
        <v>0</v>
      </c>
      <c r="T1675" t="str">
        <f t="shared" si="687"/>
        <v>No fuma</v>
      </c>
      <c r="U1675">
        <v>1</v>
      </c>
      <c r="V1675">
        <f t="shared" si="688"/>
        <v>1</v>
      </c>
      <c r="W1675" t="str">
        <f t="shared" si="689"/>
        <v>Usualmente</v>
      </c>
      <c r="X1675">
        <v>0</v>
      </c>
      <c r="Y1675" t="str">
        <f t="shared" si="690"/>
        <v>No controla</v>
      </c>
      <c r="Z1675">
        <v>1621733</v>
      </c>
      <c r="AA1675">
        <f t="shared" si="691"/>
        <v>3</v>
      </c>
      <c r="AB1675" t="str">
        <f t="shared" si="692"/>
        <v>Siempre</v>
      </c>
      <c r="AC1675">
        <v>0.13831399999999999</v>
      </c>
      <c r="AD1675">
        <f t="shared" si="693"/>
        <v>0</v>
      </c>
      <c r="AE1675" t="str">
        <f t="shared" si="694"/>
        <v>Nunca</v>
      </c>
      <c r="AF1675">
        <v>0</v>
      </c>
      <c r="AG1675" t="str">
        <f t="shared" si="695"/>
        <v>Nunca</v>
      </c>
      <c r="AH1675">
        <v>0</v>
      </c>
      <c r="AI1675" t="str">
        <f t="shared" si="696"/>
        <v>No usa</v>
      </c>
      <c r="AJ1675">
        <v>0</v>
      </c>
      <c r="AK1675" t="str">
        <f t="shared" si="697"/>
        <v>No usa</v>
      </c>
      <c r="AL1675">
        <v>0</v>
      </c>
      <c r="AM1675" t="str">
        <f t="shared" si="698"/>
        <v>No usa</v>
      </c>
      <c r="AN1675">
        <v>1</v>
      </c>
      <c r="AO1675" t="str">
        <f t="shared" si="699"/>
        <v>Usa Transporte</v>
      </c>
      <c r="AP1675">
        <v>0</v>
      </c>
      <c r="AQ1675" t="str">
        <f t="shared" si="700"/>
        <v>No camina</v>
      </c>
      <c r="AR1675">
        <v>1</v>
      </c>
      <c r="AS1675" t="str">
        <f t="shared" si="701"/>
        <v>Es Obeso</v>
      </c>
    </row>
    <row r="1676" spans="1:45" x14ac:dyDescent="0.25">
      <c r="A1676">
        <v>1</v>
      </c>
      <c r="B1676" t="str">
        <f t="shared" si="676"/>
        <v>M</v>
      </c>
      <c r="C1676">
        <v>2793982</v>
      </c>
      <c r="D1676">
        <f t="shared" si="677"/>
        <v>7</v>
      </c>
      <c r="E1676">
        <f t="shared" si="678"/>
        <v>7</v>
      </c>
      <c r="F1676" t="str">
        <f t="shared" si="679"/>
        <v>1-25</v>
      </c>
      <c r="G1676">
        <v>1</v>
      </c>
      <c r="H1676" t="str">
        <f t="shared" si="680"/>
        <v>Pariente gordo</v>
      </c>
      <c r="I1676">
        <v>1</v>
      </c>
      <c r="J1676" t="str">
        <f t="shared" si="681"/>
        <v>Hipercaloricos</v>
      </c>
      <c r="K1676">
        <v>2772027</v>
      </c>
      <c r="L1676">
        <f t="shared" si="682"/>
        <v>1</v>
      </c>
      <c r="M1676" t="str">
        <f t="shared" si="683"/>
        <v>Suele comer</v>
      </c>
      <c r="N1676">
        <v>2454432</v>
      </c>
      <c r="O1676">
        <f t="shared" si="684"/>
        <v>2</v>
      </c>
      <c r="P1676" t="str">
        <f t="shared" si="685"/>
        <v>Mas de 3</v>
      </c>
      <c r="Q1676">
        <v>1</v>
      </c>
      <c r="R1676" t="str">
        <f t="shared" si="686"/>
        <v>A veces</v>
      </c>
      <c r="S1676">
        <v>0</v>
      </c>
      <c r="T1676" t="str">
        <f t="shared" si="687"/>
        <v>No fuma</v>
      </c>
      <c r="U1676">
        <v>1</v>
      </c>
      <c r="V1676">
        <f t="shared" si="688"/>
        <v>1</v>
      </c>
      <c r="W1676" t="str">
        <f t="shared" si="689"/>
        <v>Usualmente</v>
      </c>
      <c r="X1676">
        <v>0</v>
      </c>
      <c r="Y1676" t="str">
        <f t="shared" si="690"/>
        <v>No controla</v>
      </c>
      <c r="Z1676">
        <v>0.85855400000000004</v>
      </c>
      <c r="AA1676">
        <f t="shared" si="691"/>
        <v>0</v>
      </c>
      <c r="AB1676" t="str">
        <f t="shared" si="692"/>
        <v>Nunca</v>
      </c>
      <c r="AC1676">
        <v>5.1268000000000001E-2</v>
      </c>
      <c r="AD1676">
        <f t="shared" si="693"/>
        <v>0</v>
      </c>
      <c r="AE1676" t="str">
        <f t="shared" si="694"/>
        <v>Nunca</v>
      </c>
      <c r="AF1676">
        <v>0</v>
      </c>
      <c r="AG1676" t="str">
        <f t="shared" si="695"/>
        <v>Nunca</v>
      </c>
      <c r="AH1676">
        <v>0</v>
      </c>
      <c r="AI1676" t="str">
        <f t="shared" si="696"/>
        <v>No usa</v>
      </c>
      <c r="AJ1676">
        <v>0</v>
      </c>
      <c r="AK1676" t="str">
        <f t="shared" si="697"/>
        <v>No usa</v>
      </c>
      <c r="AL1676">
        <v>0</v>
      </c>
      <c r="AM1676" t="str">
        <f t="shared" si="698"/>
        <v>No usa</v>
      </c>
      <c r="AN1676">
        <v>1</v>
      </c>
      <c r="AO1676" t="str">
        <f t="shared" si="699"/>
        <v>Usa Transporte</v>
      </c>
      <c r="AP1676">
        <v>0</v>
      </c>
      <c r="AQ1676" t="str">
        <f t="shared" si="700"/>
        <v>No camina</v>
      </c>
      <c r="AR1676">
        <v>1</v>
      </c>
      <c r="AS1676" t="str">
        <f t="shared" si="701"/>
        <v>Es Obeso</v>
      </c>
    </row>
    <row r="1677" spans="1:45" x14ac:dyDescent="0.25">
      <c r="A1677">
        <v>1</v>
      </c>
      <c r="B1677" t="str">
        <f t="shared" si="676"/>
        <v>M</v>
      </c>
      <c r="C1677">
        <v>31034092</v>
      </c>
      <c r="D1677">
        <f t="shared" si="677"/>
        <v>85</v>
      </c>
      <c r="E1677">
        <f t="shared" si="678"/>
        <v>85</v>
      </c>
      <c r="F1677" t="str">
        <f t="shared" si="679"/>
        <v>75-100</v>
      </c>
      <c r="G1677">
        <v>1</v>
      </c>
      <c r="H1677" t="str">
        <f t="shared" si="680"/>
        <v>Pariente gordo</v>
      </c>
      <c r="I1677">
        <v>1</v>
      </c>
      <c r="J1677" t="str">
        <f t="shared" si="681"/>
        <v>Hipercaloricos</v>
      </c>
      <c r="K1677">
        <v>2499626</v>
      </c>
      <c r="L1677">
        <f t="shared" si="682"/>
        <v>1</v>
      </c>
      <c r="M1677" t="str">
        <f t="shared" si="683"/>
        <v>Suele comer</v>
      </c>
      <c r="N1677">
        <v>3</v>
      </c>
      <c r="O1677">
        <f t="shared" si="684"/>
        <v>2</v>
      </c>
      <c r="P1677" t="str">
        <f t="shared" si="685"/>
        <v>Mas de 3</v>
      </c>
      <c r="Q1677">
        <v>1</v>
      </c>
      <c r="R1677" t="str">
        <f t="shared" si="686"/>
        <v>A veces</v>
      </c>
      <c r="S1677">
        <v>1</v>
      </c>
      <c r="T1677" t="str">
        <f t="shared" si="687"/>
        <v>Fuma</v>
      </c>
      <c r="U1677">
        <v>1125338</v>
      </c>
      <c r="V1677">
        <f t="shared" si="688"/>
        <v>2</v>
      </c>
      <c r="W1677" t="str">
        <f t="shared" si="689"/>
        <v>Siempre</v>
      </c>
      <c r="X1677">
        <v>0</v>
      </c>
      <c r="Y1677" t="str">
        <f t="shared" si="690"/>
        <v>No controla</v>
      </c>
      <c r="Z1677">
        <v>0.94521999999999995</v>
      </c>
      <c r="AA1677">
        <f t="shared" si="691"/>
        <v>0</v>
      </c>
      <c r="AB1677" t="str">
        <f t="shared" si="692"/>
        <v>Nunca</v>
      </c>
      <c r="AC1677">
        <v>1022505</v>
      </c>
      <c r="AD1677">
        <f t="shared" si="693"/>
        <v>2</v>
      </c>
      <c r="AE1677" t="str">
        <f t="shared" si="694"/>
        <v>Siempre</v>
      </c>
      <c r="AF1677">
        <v>1</v>
      </c>
      <c r="AG1677" t="str">
        <f t="shared" si="695"/>
        <v>A veces</v>
      </c>
      <c r="AH1677">
        <v>0</v>
      </c>
      <c r="AI1677" t="str">
        <f t="shared" si="696"/>
        <v>No usa</v>
      </c>
      <c r="AJ1677">
        <v>0</v>
      </c>
      <c r="AK1677" t="str">
        <f t="shared" si="697"/>
        <v>No usa</v>
      </c>
      <c r="AL1677">
        <v>0</v>
      </c>
      <c r="AM1677" t="str">
        <f t="shared" si="698"/>
        <v>No usa</v>
      </c>
      <c r="AN1677">
        <v>1</v>
      </c>
      <c r="AO1677" t="str">
        <f t="shared" si="699"/>
        <v>Usa Transporte</v>
      </c>
      <c r="AP1677">
        <v>0</v>
      </c>
      <c r="AQ1677" t="str">
        <f t="shared" si="700"/>
        <v>No camina</v>
      </c>
      <c r="AR1677">
        <v>1</v>
      </c>
      <c r="AS1677" t="str">
        <f t="shared" si="701"/>
        <v>Es Obeso</v>
      </c>
    </row>
    <row r="1678" spans="1:45" x14ac:dyDescent="0.25">
      <c r="A1678">
        <v>1</v>
      </c>
      <c r="B1678" t="str">
        <f t="shared" si="676"/>
        <v>M</v>
      </c>
      <c r="C1678">
        <v>30684347</v>
      </c>
      <c r="D1678">
        <f t="shared" si="677"/>
        <v>84</v>
      </c>
      <c r="E1678">
        <f t="shared" si="678"/>
        <v>84</v>
      </c>
      <c r="F1678" t="str">
        <f t="shared" si="679"/>
        <v>75-100</v>
      </c>
      <c r="G1678">
        <v>1</v>
      </c>
      <c r="H1678" t="str">
        <f t="shared" si="680"/>
        <v>Pariente gordo</v>
      </c>
      <c r="I1678">
        <v>1</v>
      </c>
      <c r="J1678" t="str">
        <f t="shared" si="681"/>
        <v>Hipercaloricos</v>
      </c>
      <c r="K1678">
        <v>2108638</v>
      </c>
      <c r="L1678">
        <f t="shared" si="682"/>
        <v>1</v>
      </c>
      <c r="M1678" t="str">
        <f t="shared" si="683"/>
        <v>Suele comer</v>
      </c>
      <c r="N1678">
        <v>3</v>
      </c>
      <c r="O1678">
        <f t="shared" si="684"/>
        <v>2</v>
      </c>
      <c r="P1678" t="str">
        <f t="shared" si="685"/>
        <v>Mas de 3</v>
      </c>
      <c r="Q1678">
        <v>1</v>
      </c>
      <c r="R1678" t="str">
        <f t="shared" si="686"/>
        <v>A veces</v>
      </c>
      <c r="S1678">
        <v>1</v>
      </c>
      <c r="T1678" t="str">
        <f t="shared" si="687"/>
        <v>Fuma</v>
      </c>
      <c r="U1678">
        <v>1014876</v>
      </c>
      <c r="V1678">
        <f t="shared" si="688"/>
        <v>2</v>
      </c>
      <c r="W1678" t="str">
        <f t="shared" si="689"/>
        <v>Siempre</v>
      </c>
      <c r="X1678">
        <v>0</v>
      </c>
      <c r="Y1678" t="str">
        <f t="shared" si="690"/>
        <v>No controla</v>
      </c>
      <c r="Z1678">
        <v>0.98752099999999998</v>
      </c>
      <c r="AA1678">
        <f t="shared" si="691"/>
        <v>0</v>
      </c>
      <c r="AB1678" t="str">
        <f t="shared" si="692"/>
        <v>Nunca</v>
      </c>
      <c r="AC1678">
        <v>4.7473000000000001E-2</v>
      </c>
      <c r="AD1678">
        <f t="shared" si="693"/>
        <v>0</v>
      </c>
      <c r="AE1678" t="str">
        <f t="shared" si="694"/>
        <v>Nunca</v>
      </c>
      <c r="AF1678">
        <v>1</v>
      </c>
      <c r="AG1678" t="str">
        <f t="shared" si="695"/>
        <v>A veces</v>
      </c>
      <c r="AH1678">
        <v>0</v>
      </c>
      <c r="AI1678" t="str">
        <f t="shared" si="696"/>
        <v>No usa</v>
      </c>
      <c r="AJ1678">
        <v>0</v>
      </c>
      <c r="AK1678" t="str">
        <f t="shared" si="697"/>
        <v>No usa</v>
      </c>
      <c r="AL1678">
        <v>0</v>
      </c>
      <c r="AM1678" t="str">
        <f t="shared" si="698"/>
        <v>No usa</v>
      </c>
      <c r="AN1678">
        <v>1</v>
      </c>
      <c r="AO1678" t="str">
        <f t="shared" si="699"/>
        <v>Usa Transporte</v>
      </c>
      <c r="AP1678">
        <v>0</v>
      </c>
      <c r="AQ1678" t="str">
        <f t="shared" si="700"/>
        <v>No camina</v>
      </c>
      <c r="AR1678">
        <v>1</v>
      </c>
      <c r="AS1678" t="str">
        <f t="shared" si="701"/>
        <v>Es Obeso</v>
      </c>
    </row>
    <row r="1679" spans="1:45" x14ac:dyDescent="0.25">
      <c r="A1679">
        <v>1</v>
      </c>
      <c r="B1679" t="str">
        <f t="shared" si="676"/>
        <v>M</v>
      </c>
      <c r="C1679">
        <v>30108216</v>
      </c>
      <c r="D1679">
        <f t="shared" si="677"/>
        <v>82</v>
      </c>
      <c r="E1679">
        <f t="shared" si="678"/>
        <v>82</v>
      </c>
      <c r="F1679" t="str">
        <f t="shared" si="679"/>
        <v>75-100</v>
      </c>
      <c r="G1679">
        <v>1</v>
      </c>
      <c r="H1679" t="str">
        <f t="shared" si="680"/>
        <v>Pariente gordo</v>
      </c>
      <c r="I1679">
        <v>1</v>
      </c>
      <c r="J1679" t="str">
        <f t="shared" si="681"/>
        <v>Hipercaloricos</v>
      </c>
      <c r="K1679">
        <v>2467548</v>
      </c>
      <c r="L1679">
        <f t="shared" si="682"/>
        <v>1</v>
      </c>
      <c r="M1679" t="str">
        <f t="shared" si="683"/>
        <v>Suele comer</v>
      </c>
      <c r="N1679">
        <v>3</v>
      </c>
      <c r="O1679">
        <f t="shared" si="684"/>
        <v>2</v>
      </c>
      <c r="P1679" t="str">
        <f t="shared" si="685"/>
        <v>Mas de 3</v>
      </c>
      <c r="Q1679">
        <v>1</v>
      </c>
      <c r="R1679" t="str">
        <f t="shared" si="686"/>
        <v>A veces</v>
      </c>
      <c r="S1679">
        <v>0</v>
      </c>
      <c r="T1679" t="str">
        <f t="shared" si="687"/>
        <v>No fuma</v>
      </c>
      <c r="U1679">
        <v>266029</v>
      </c>
      <c r="V1679">
        <f t="shared" si="688"/>
        <v>2</v>
      </c>
      <c r="W1679" t="str">
        <f t="shared" si="689"/>
        <v>Siempre</v>
      </c>
      <c r="X1679">
        <v>0</v>
      </c>
      <c r="Y1679" t="str">
        <f t="shared" si="690"/>
        <v>No controla</v>
      </c>
      <c r="Z1679">
        <v>0.99442200000000003</v>
      </c>
      <c r="AA1679">
        <f t="shared" si="691"/>
        <v>0</v>
      </c>
      <c r="AB1679" t="str">
        <f t="shared" si="692"/>
        <v>Nunca</v>
      </c>
      <c r="AC1679">
        <v>0.310394</v>
      </c>
      <c r="AD1679">
        <f t="shared" si="693"/>
        <v>0</v>
      </c>
      <c r="AE1679" t="str">
        <f t="shared" si="694"/>
        <v>Nunca</v>
      </c>
      <c r="AF1679">
        <v>1</v>
      </c>
      <c r="AG1679" t="str">
        <f t="shared" si="695"/>
        <v>A veces</v>
      </c>
      <c r="AH1679">
        <v>0</v>
      </c>
      <c r="AI1679" t="str">
        <f t="shared" si="696"/>
        <v>No usa</v>
      </c>
      <c r="AJ1679">
        <v>0</v>
      </c>
      <c r="AK1679" t="str">
        <f t="shared" si="697"/>
        <v>No usa</v>
      </c>
      <c r="AL1679">
        <v>0</v>
      </c>
      <c r="AM1679" t="str">
        <f t="shared" si="698"/>
        <v>No usa</v>
      </c>
      <c r="AN1679">
        <v>1</v>
      </c>
      <c r="AO1679" t="str">
        <f t="shared" si="699"/>
        <v>Usa Transporte</v>
      </c>
      <c r="AP1679">
        <v>0</v>
      </c>
      <c r="AQ1679" t="str">
        <f t="shared" si="700"/>
        <v>No camina</v>
      </c>
      <c r="AR1679">
        <v>1</v>
      </c>
      <c r="AS1679" t="str">
        <f t="shared" si="701"/>
        <v>Es Obeso</v>
      </c>
    </row>
    <row r="1680" spans="1:45" x14ac:dyDescent="0.25">
      <c r="A1680">
        <v>1</v>
      </c>
      <c r="B1680" t="str">
        <f t="shared" si="676"/>
        <v>M</v>
      </c>
      <c r="C1680">
        <v>31347497</v>
      </c>
      <c r="D1680">
        <f t="shared" si="677"/>
        <v>85</v>
      </c>
      <c r="E1680">
        <f t="shared" si="678"/>
        <v>85</v>
      </c>
      <c r="F1680" t="str">
        <f t="shared" si="679"/>
        <v>75-100</v>
      </c>
      <c r="G1680">
        <v>1</v>
      </c>
      <c r="H1680" t="str">
        <f t="shared" si="680"/>
        <v>Pariente gordo</v>
      </c>
      <c r="I1680">
        <v>1</v>
      </c>
      <c r="J1680" t="str">
        <f t="shared" si="681"/>
        <v>Hipercaloricos</v>
      </c>
      <c r="K1680">
        <v>2585942</v>
      </c>
      <c r="L1680">
        <f t="shared" si="682"/>
        <v>1</v>
      </c>
      <c r="M1680" t="str">
        <f t="shared" si="683"/>
        <v>Suele comer</v>
      </c>
      <c r="N1680">
        <v>3</v>
      </c>
      <c r="O1680">
        <f t="shared" si="684"/>
        <v>2</v>
      </c>
      <c r="P1680" t="str">
        <f t="shared" si="685"/>
        <v>Mas de 3</v>
      </c>
      <c r="Q1680">
        <v>1</v>
      </c>
      <c r="R1680" t="str">
        <f t="shared" si="686"/>
        <v>A veces</v>
      </c>
      <c r="S1680">
        <v>0</v>
      </c>
      <c r="T1680" t="str">
        <f t="shared" si="687"/>
        <v>No fuma</v>
      </c>
      <c r="U1680">
        <v>2302506</v>
      </c>
      <c r="V1680">
        <f t="shared" si="688"/>
        <v>2</v>
      </c>
      <c r="W1680" t="str">
        <f t="shared" si="689"/>
        <v>Siempre</v>
      </c>
      <c r="X1680">
        <v>0</v>
      </c>
      <c r="Y1680" t="str">
        <f t="shared" si="690"/>
        <v>No controla</v>
      </c>
      <c r="Z1680">
        <v>0.59786300000000003</v>
      </c>
      <c r="AA1680">
        <f t="shared" si="691"/>
        <v>0</v>
      </c>
      <c r="AB1680" t="str">
        <f t="shared" si="692"/>
        <v>Nunca</v>
      </c>
      <c r="AC1680">
        <v>0.111925</v>
      </c>
      <c r="AD1680">
        <f t="shared" si="693"/>
        <v>0</v>
      </c>
      <c r="AE1680" t="str">
        <f t="shared" si="694"/>
        <v>Nunca</v>
      </c>
      <c r="AF1680">
        <v>1</v>
      </c>
      <c r="AG1680" t="str">
        <f t="shared" si="695"/>
        <v>A veces</v>
      </c>
      <c r="AH1680">
        <v>0</v>
      </c>
      <c r="AI1680" t="str">
        <f t="shared" si="696"/>
        <v>No usa</v>
      </c>
      <c r="AJ1680">
        <v>0</v>
      </c>
      <c r="AK1680" t="str">
        <f t="shared" si="697"/>
        <v>No usa</v>
      </c>
      <c r="AL1680">
        <v>0</v>
      </c>
      <c r="AM1680" t="str">
        <f t="shared" si="698"/>
        <v>No usa</v>
      </c>
      <c r="AN1680">
        <v>1</v>
      </c>
      <c r="AO1680" t="str">
        <f t="shared" si="699"/>
        <v>Usa Transporte</v>
      </c>
      <c r="AP1680">
        <v>0</v>
      </c>
      <c r="AQ1680" t="str">
        <f t="shared" si="700"/>
        <v>No camina</v>
      </c>
      <c r="AR1680">
        <v>1</v>
      </c>
      <c r="AS1680" t="str">
        <f t="shared" si="701"/>
        <v>Es Obeso</v>
      </c>
    </row>
    <row r="1681" spans="1:45" x14ac:dyDescent="0.25">
      <c r="A1681">
        <v>1</v>
      </c>
      <c r="B1681" t="str">
        <f t="shared" si="676"/>
        <v>M</v>
      </c>
      <c r="C1681">
        <v>31761799</v>
      </c>
      <c r="D1681">
        <f t="shared" si="677"/>
        <v>87</v>
      </c>
      <c r="E1681">
        <f t="shared" si="678"/>
        <v>87</v>
      </c>
      <c r="F1681" t="str">
        <f t="shared" si="679"/>
        <v>75-100</v>
      </c>
      <c r="G1681">
        <v>1</v>
      </c>
      <c r="H1681" t="str">
        <f t="shared" si="680"/>
        <v>Pariente gordo</v>
      </c>
      <c r="I1681">
        <v>1</v>
      </c>
      <c r="J1681" t="str">
        <f t="shared" si="681"/>
        <v>Hipercaloricos</v>
      </c>
      <c r="K1681">
        <v>214961</v>
      </c>
      <c r="L1681">
        <f t="shared" si="682"/>
        <v>1</v>
      </c>
      <c r="M1681" t="str">
        <f t="shared" si="683"/>
        <v>Suele comer</v>
      </c>
      <c r="N1681">
        <v>3</v>
      </c>
      <c r="O1681">
        <f t="shared" si="684"/>
        <v>2</v>
      </c>
      <c r="P1681" t="str">
        <f t="shared" si="685"/>
        <v>Mas de 3</v>
      </c>
      <c r="Q1681">
        <v>1</v>
      </c>
      <c r="R1681" t="str">
        <f t="shared" si="686"/>
        <v>A veces</v>
      </c>
      <c r="S1681">
        <v>0</v>
      </c>
      <c r="T1681" t="str">
        <f t="shared" si="687"/>
        <v>No fuma</v>
      </c>
      <c r="U1681">
        <v>2133876</v>
      </c>
      <c r="V1681">
        <f t="shared" si="688"/>
        <v>2</v>
      </c>
      <c r="W1681" t="str">
        <f t="shared" si="689"/>
        <v>Siempre</v>
      </c>
      <c r="X1681">
        <v>0</v>
      </c>
      <c r="Y1681" t="str">
        <f t="shared" si="690"/>
        <v>No controla</v>
      </c>
      <c r="Z1681">
        <v>0.39345200000000002</v>
      </c>
      <c r="AA1681">
        <f t="shared" si="691"/>
        <v>0</v>
      </c>
      <c r="AB1681" t="str">
        <f t="shared" si="692"/>
        <v>Nunca</v>
      </c>
      <c r="AC1681">
        <v>0.345887</v>
      </c>
      <c r="AD1681">
        <f t="shared" si="693"/>
        <v>0</v>
      </c>
      <c r="AE1681" t="str">
        <f t="shared" si="694"/>
        <v>Nunca</v>
      </c>
      <c r="AF1681">
        <v>1</v>
      </c>
      <c r="AG1681" t="str">
        <f t="shared" si="695"/>
        <v>A veces</v>
      </c>
      <c r="AH1681">
        <v>1</v>
      </c>
      <c r="AI1681" t="str">
        <f t="shared" si="696"/>
        <v>Usa auto</v>
      </c>
      <c r="AJ1681">
        <v>0</v>
      </c>
      <c r="AK1681" t="str">
        <f t="shared" si="697"/>
        <v>No usa</v>
      </c>
      <c r="AL1681">
        <v>0</v>
      </c>
      <c r="AM1681" t="str">
        <f t="shared" si="698"/>
        <v>No usa</v>
      </c>
      <c r="AN1681">
        <v>0</v>
      </c>
      <c r="AO1681" t="str">
        <f t="shared" si="699"/>
        <v>No usa</v>
      </c>
      <c r="AP1681">
        <v>0</v>
      </c>
      <c r="AQ1681" t="str">
        <f t="shared" si="700"/>
        <v>No camina</v>
      </c>
      <c r="AR1681">
        <v>1</v>
      </c>
      <c r="AS1681" t="str">
        <f t="shared" si="701"/>
        <v>Es Obeso</v>
      </c>
    </row>
    <row r="1682" spans="1:45" x14ac:dyDescent="0.25">
      <c r="A1682">
        <v>1</v>
      </c>
      <c r="B1682" t="str">
        <f t="shared" si="676"/>
        <v>M</v>
      </c>
      <c r="C1682">
        <v>30976932</v>
      </c>
      <c r="D1682">
        <f t="shared" si="677"/>
        <v>84</v>
      </c>
      <c r="E1682">
        <f t="shared" si="678"/>
        <v>84</v>
      </c>
      <c r="F1682" t="str">
        <f t="shared" si="679"/>
        <v>75-100</v>
      </c>
      <c r="G1682">
        <v>1</v>
      </c>
      <c r="H1682" t="str">
        <f t="shared" si="680"/>
        <v>Pariente gordo</v>
      </c>
      <c r="I1682">
        <v>1</v>
      </c>
      <c r="J1682" t="str">
        <f t="shared" si="681"/>
        <v>Hipercaloricos</v>
      </c>
      <c r="K1682">
        <v>2938616</v>
      </c>
      <c r="L1682">
        <f t="shared" si="682"/>
        <v>1</v>
      </c>
      <c r="M1682" t="str">
        <f t="shared" si="683"/>
        <v>Suele comer</v>
      </c>
      <c r="N1682">
        <v>3</v>
      </c>
      <c r="O1682">
        <f t="shared" si="684"/>
        <v>2</v>
      </c>
      <c r="P1682" t="str">
        <f t="shared" si="685"/>
        <v>Mas de 3</v>
      </c>
      <c r="Q1682">
        <v>1</v>
      </c>
      <c r="R1682" t="str">
        <f t="shared" si="686"/>
        <v>A veces</v>
      </c>
      <c r="S1682">
        <v>0</v>
      </c>
      <c r="T1682" t="str">
        <f t="shared" si="687"/>
        <v>No fuma</v>
      </c>
      <c r="U1682">
        <v>206039</v>
      </c>
      <c r="V1682">
        <f t="shared" si="688"/>
        <v>2</v>
      </c>
      <c r="W1682" t="str">
        <f t="shared" si="689"/>
        <v>Siempre</v>
      </c>
      <c r="X1682">
        <v>0</v>
      </c>
      <c r="Y1682" t="str">
        <f t="shared" si="690"/>
        <v>No controla</v>
      </c>
      <c r="Z1682">
        <v>0.371508</v>
      </c>
      <c r="AA1682">
        <f t="shared" si="691"/>
        <v>0</v>
      </c>
      <c r="AB1682" t="str">
        <f t="shared" si="692"/>
        <v>Nunca</v>
      </c>
      <c r="AC1682">
        <v>1333559</v>
      </c>
      <c r="AD1682">
        <f t="shared" si="693"/>
        <v>2</v>
      </c>
      <c r="AE1682" t="str">
        <f t="shared" si="694"/>
        <v>Siempre</v>
      </c>
      <c r="AF1682">
        <v>1</v>
      </c>
      <c r="AG1682" t="str">
        <f t="shared" si="695"/>
        <v>A veces</v>
      </c>
      <c r="AH1682">
        <v>1</v>
      </c>
      <c r="AI1682" t="str">
        <f t="shared" si="696"/>
        <v>Usa auto</v>
      </c>
      <c r="AJ1682">
        <v>0</v>
      </c>
      <c r="AK1682" t="str">
        <f t="shared" si="697"/>
        <v>No usa</v>
      </c>
      <c r="AL1682">
        <v>0</v>
      </c>
      <c r="AM1682" t="str">
        <f t="shared" si="698"/>
        <v>No usa</v>
      </c>
      <c r="AN1682">
        <v>0</v>
      </c>
      <c r="AO1682" t="str">
        <f t="shared" si="699"/>
        <v>No usa</v>
      </c>
      <c r="AP1682">
        <v>0</v>
      </c>
      <c r="AQ1682" t="str">
        <f t="shared" si="700"/>
        <v>No camina</v>
      </c>
      <c r="AR1682">
        <v>1</v>
      </c>
      <c r="AS1682" t="str">
        <f t="shared" si="701"/>
        <v>Es Obeso</v>
      </c>
    </row>
    <row r="1683" spans="1:45" x14ac:dyDescent="0.25">
      <c r="A1683">
        <v>1</v>
      </c>
      <c r="B1683" t="str">
        <f t="shared" si="676"/>
        <v>M</v>
      </c>
      <c r="C1683">
        <v>37588628</v>
      </c>
      <c r="D1683">
        <f t="shared" si="677"/>
        <v>102</v>
      </c>
      <c r="E1683">
        <f t="shared" si="678"/>
        <v>100</v>
      </c>
      <c r="F1683" t="str">
        <f t="shared" si="679"/>
        <v>75-100</v>
      </c>
      <c r="G1683">
        <v>1</v>
      </c>
      <c r="H1683" t="str">
        <f t="shared" si="680"/>
        <v>Pariente gordo</v>
      </c>
      <c r="I1683">
        <v>1</v>
      </c>
      <c r="J1683" t="str">
        <f t="shared" si="681"/>
        <v>Hipercaloricos</v>
      </c>
      <c r="K1683">
        <v>2535154</v>
      </c>
      <c r="L1683">
        <f t="shared" si="682"/>
        <v>1</v>
      </c>
      <c r="M1683" t="str">
        <f t="shared" si="683"/>
        <v>Suele comer</v>
      </c>
      <c r="N1683">
        <v>2915921</v>
      </c>
      <c r="O1683">
        <f t="shared" si="684"/>
        <v>2</v>
      </c>
      <c r="P1683" t="str">
        <f t="shared" si="685"/>
        <v>Mas de 3</v>
      </c>
      <c r="Q1683">
        <v>1</v>
      </c>
      <c r="R1683" t="str">
        <f t="shared" si="686"/>
        <v>A veces</v>
      </c>
      <c r="S1683">
        <v>0</v>
      </c>
      <c r="T1683" t="str">
        <f t="shared" si="687"/>
        <v>No fuma</v>
      </c>
      <c r="U1683">
        <v>18924</v>
      </c>
      <c r="V1683">
        <f t="shared" si="688"/>
        <v>2</v>
      </c>
      <c r="W1683" t="str">
        <f t="shared" si="689"/>
        <v>Siempre</v>
      </c>
      <c r="X1683">
        <v>0</v>
      </c>
      <c r="Y1683" t="str">
        <f t="shared" si="690"/>
        <v>No controla</v>
      </c>
      <c r="Z1683">
        <v>0.69373200000000002</v>
      </c>
      <c r="AA1683">
        <f t="shared" si="691"/>
        <v>0</v>
      </c>
      <c r="AB1683" t="str">
        <f t="shared" si="692"/>
        <v>Nunca</v>
      </c>
      <c r="AC1683">
        <v>6.7409999999999998E-2</v>
      </c>
      <c r="AD1683">
        <f t="shared" si="693"/>
        <v>0</v>
      </c>
      <c r="AE1683" t="str">
        <f t="shared" si="694"/>
        <v>Nunca</v>
      </c>
      <c r="AF1683">
        <v>1</v>
      </c>
      <c r="AG1683" t="str">
        <f t="shared" si="695"/>
        <v>A veces</v>
      </c>
      <c r="AH1683">
        <v>1</v>
      </c>
      <c r="AI1683" t="str">
        <f t="shared" si="696"/>
        <v>Usa auto</v>
      </c>
      <c r="AJ1683">
        <v>0</v>
      </c>
      <c r="AK1683" t="str">
        <f t="shared" si="697"/>
        <v>No usa</v>
      </c>
      <c r="AL1683">
        <v>0</v>
      </c>
      <c r="AM1683" t="str">
        <f t="shared" si="698"/>
        <v>No usa</v>
      </c>
      <c r="AN1683">
        <v>0</v>
      </c>
      <c r="AO1683" t="str">
        <f t="shared" si="699"/>
        <v>No usa</v>
      </c>
      <c r="AP1683">
        <v>0</v>
      </c>
      <c r="AQ1683" t="str">
        <f t="shared" si="700"/>
        <v>No camina</v>
      </c>
      <c r="AR1683">
        <v>1</v>
      </c>
      <c r="AS1683" t="str">
        <f t="shared" si="701"/>
        <v>Es Obeso</v>
      </c>
    </row>
    <row r="1684" spans="1:45" x14ac:dyDescent="0.25">
      <c r="A1684">
        <v>1</v>
      </c>
      <c r="B1684" t="str">
        <f t="shared" si="676"/>
        <v>M</v>
      </c>
      <c r="C1684">
        <v>37997912</v>
      </c>
      <c r="D1684">
        <f t="shared" si="677"/>
        <v>104</v>
      </c>
      <c r="E1684">
        <f t="shared" si="678"/>
        <v>100</v>
      </c>
      <c r="F1684" t="str">
        <f t="shared" si="679"/>
        <v>75-100</v>
      </c>
      <c r="G1684">
        <v>1</v>
      </c>
      <c r="H1684" t="str">
        <f t="shared" si="680"/>
        <v>Pariente gordo</v>
      </c>
      <c r="I1684">
        <v>1</v>
      </c>
      <c r="J1684" t="str">
        <f t="shared" si="681"/>
        <v>Hipercaloricos</v>
      </c>
      <c r="K1684">
        <v>2611222</v>
      </c>
      <c r="L1684">
        <f t="shared" si="682"/>
        <v>1</v>
      </c>
      <c r="M1684" t="str">
        <f t="shared" si="683"/>
        <v>Suele comer</v>
      </c>
      <c r="N1684">
        <v>2992083</v>
      </c>
      <c r="O1684">
        <f t="shared" si="684"/>
        <v>2</v>
      </c>
      <c r="P1684" t="str">
        <f t="shared" si="685"/>
        <v>Mas de 3</v>
      </c>
      <c r="Q1684">
        <v>1</v>
      </c>
      <c r="R1684" t="str">
        <f t="shared" si="686"/>
        <v>A veces</v>
      </c>
      <c r="S1684">
        <v>0</v>
      </c>
      <c r="T1684" t="str">
        <f t="shared" si="687"/>
        <v>No fuma</v>
      </c>
      <c r="U1684">
        <v>1796376</v>
      </c>
      <c r="V1684">
        <f t="shared" si="688"/>
        <v>2</v>
      </c>
      <c r="W1684" t="str">
        <f t="shared" si="689"/>
        <v>Siempre</v>
      </c>
      <c r="X1684">
        <v>0</v>
      </c>
      <c r="Y1684" t="str">
        <f t="shared" si="690"/>
        <v>No controla</v>
      </c>
      <c r="Z1684">
        <v>0.64195400000000002</v>
      </c>
      <c r="AA1684">
        <f t="shared" si="691"/>
        <v>0</v>
      </c>
      <c r="AB1684" t="str">
        <f t="shared" si="692"/>
        <v>Nunca</v>
      </c>
      <c r="AC1684">
        <v>0.20280999999999999</v>
      </c>
      <c r="AD1684">
        <f t="shared" si="693"/>
        <v>0</v>
      </c>
      <c r="AE1684" t="str">
        <f t="shared" si="694"/>
        <v>Nunca</v>
      </c>
      <c r="AF1684">
        <v>1</v>
      </c>
      <c r="AG1684" t="str">
        <f t="shared" si="695"/>
        <v>A veces</v>
      </c>
      <c r="AH1684">
        <v>1</v>
      </c>
      <c r="AI1684" t="str">
        <f t="shared" si="696"/>
        <v>Usa auto</v>
      </c>
      <c r="AJ1684">
        <v>0</v>
      </c>
      <c r="AK1684" t="str">
        <f t="shared" si="697"/>
        <v>No usa</v>
      </c>
      <c r="AL1684">
        <v>0</v>
      </c>
      <c r="AM1684" t="str">
        <f t="shared" si="698"/>
        <v>No usa</v>
      </c>
      <c r="AN1684">
        <v>0</v>
      </c>
      <c r="AO1684" t="str">
        <f t="shared" si="699"/>
        <v>No usa</v>
      </c>
      <c r="AP1684">
        <v>0</v>
      </c>
      <c r="AQ1684" t="str">
        <f t="shared" si="700"/>
        <v>No camina</v>
      </c>
      <c r="AR1684">
        <v>1</v>
      </c>
      <c r="AS1684" t="str">
        <f t="shared" si="701"/>
        <v>Es Obeso</v>
      </c>
    </row>
    <row r="1685" spans="1:45" x14ac:dyDescent="0.25">
      <c r="A1685">
        <v>1</v>
      </c>
      <c r="B1685" t="str">
        <f t="shared" si="676"/>
        <v>M</v>
      </c>
      <c r="C1685">
        <v>216548</v>
      </c>
      <c r="D1685">
        <f t="shared" si="677"/>
        <v>0</v>
      </c>
      <c r="E1685">
        <f t="shared" si="678"/>
        <v>5</v>
      </c>
      <c r="F1685" t="str">
        <f t="shared" si="679"/>
        <v>1-25</v>
      </c>
      <c r="G1685">
        <v>1</v>
      </c>
      <c r="H1685" t="str">
        <f t="shared" si="680"/>
        <v>Pariente gordo</v>
      </c>
      <c r="I1685">
        <v>1</v>
      </c>
      <c r="J1685" t="str">
        <f t="shared" si="681"/>
        <v>Hipercaloricos</v>
      </c>
      <c r="K1685">
        <v>1800122</v>
      </c>
      <c r="L1685">
        <f t="shared" si="682"/>
        <v>1</v>
      </c>
      <c r="M1685" t="str">
        <f t="shared" si="683"/>
        <v>Suele comer</v>
      </c>
      <c r="N1685">
        <v>3</v>
      </c>
      <c r="O1685">
        <f t="shared" si="684"/>
        <v>2</v>
      </c>
      <c r="P1685" t="str">
        <f t="shared" si="685"/>
        <v>Mas de 3</v>
      </c>
      <c r="Q1685">
        <v>1</v>
      </c>
      <c r="R1685" t="str">
        <f t="shared" si="686"/>
        <v>A veces</v>
      </c>
      <c r="S1685">
        <v>0</v>
      </c>
      <c r="T1685" t="str">
        <f t="shared" si="687"/>
        <v>No fuma</v>
      </c>
      <c r="U1685">
        <v>2</v>
      </c>
      <c r="V1685">
        <f t="shared" si="688"/>
        <v>2</v>
      </c>
      <c r="W1685" t="str">
        <f t="shared" si="689"/>
        <v>Siempre</v>
      </c>
      <c r="X1685">
        <v>0</v>
      </c>
      <c r="Y1685" t="str">
        <f t="shared" si="690"/>
        <v>No controla</v>
      </c>
      <c r="Z1685">
        <v>1689525</v>
      </c>
      <c r="AA1685">
        <f t="shared" si="691"/>
        <v>3</v>
      </c>
      <c r="AB1685" t="str">
        <f t="shared" si="692"/>
        <v>Siempre</v>
      </c>
      <c r="AC1685">
        <v>0.76445200000000002</v>
      </c>
      <c r="AD1685">
        <f t="shared" si="693"/>
        <v>0</v>
      </c>
      <c r="AE1685" t="str">
        <f t="shared" si="694"/>
        <v>Nunca</v>
      </c>
      <c r="AF1685">
        <v>1</v>
      </c>
      <c r="AG1685" t="str">
        <f t="shared" si="695"/>
        <v>A veces</v>
      </c>
      <c r="AH1685">
        <v>0</v>
      </c>
      <c r="AI1685" t="str">
        <f t="shared" si="696"/>
        <v>No usa</v>
      </c>
      <c r="AJ1685">
        <v>0</v>
      </c>
      <c r="AK1685" t="str">
        <f t="shared" si="697"/>
        <v>No usa</v>
      </c>
      <c r="AL1685">
        <v>0</v>
      </c>
      <c r="AM1685" t="str">
        <f t="shared" si="698"/>
        <v>No usa</v>
      </c>
      <c r="AN1685">
        <v>1</v>
      </c>
      <c r="AO1685" t="str">
        <f t="shared" si="699"/>
        <v>Usa Transporte</v>
      </c>
      <c r="AP1685">
        <v>0</v>
      </c>
      <c r="AQ1685" t="str">
        <f t="shared" si="700"/>
        <v>No camina</v>
      </c>
      <c r="AR1685">
        <v>1</v>
      </c>
      <c r="AS1685" t="str">
        <f t="shared" si="701"/>
        <v>Es Obeso</v>
      </c>
    </row>
    <row r="1686" spans="1:45" x14ac:dyDescent="0.25">
      <c r="A1686">
        <v>1</v>
      </c>
      <c r="B1686" t="str">
        <f t="shared" si="676"/>
        <v>M</v>
      </c>
      <c r="C1686">
        <v>22829753</v>
      </c>
      <c r="D1686">
        <f t="shared" si="677"/>
        <v>62</v>
      </c>
      <c r="E1686">
        <f t="shared" si="678"/>
        <v>62</v>
      </c>
      <c r="F1686" t="str">
        <f t="shared" si="679"/>
        <v>50-75</v>
      </c>
      <c r="G1686">
        <v>1</v>
      </c>
      <c r="H1686" t="str">
        <f t="shared" si="680"/>
        <v>Pariente gordo</v>
      </c>
      <c r="I1686">
        <v>1</v>
      </c>
      <c r="J1686" t="str">
        <f t="shared" si="681"/>
        <v>Hipercaloricos</v>
      </c>
      <c r="K1686">
        <v>1482722</v>
      </c>
      <c r="L1686">
        <f t="shared" si="682"/>
        <v>1</v>
      </c>
      <c r="M1686" t="str">
        <f t="shared" si="683"/>
        <v>Suele comer</v>
      </c>
      <c r="N1686">
        <v>3</v>
      </c>
      <c r="O1686">
        <f t="shared" si="684"/>
        <v>2</v>
      </c>
      <c r="P1686" t="str">
        <f t="shared" si="685"/>
        <v>Mas de 3</v>
      </c>
      <c r="Q1686">
        <v>1</v>
      </c>
      <c r="R1686" t="str">
        <f t="shared" si="686"/>
        <v>A veces</v>
      </c>
      <c r="S1686">
        <v>0</v>
      </c>
      <c r="T1686" t="str">
        <f t="shared" si="687"/>
        <v>No fuma</v>
      </c>
      <c r="U1686">
        <v>2</v>
      </c>
      <c r="V1686">
        <f t="shared" si="688"/>
        <v>2</v>
      </c>
      <c r="W1686" t="str">
        <f t="shared" si="689"/>
        <v>Siempre</v>
      </c>
      <c r="X1686">
        <v>0</v>
      </c>
      <c r="Y1686" t="str">
        <f t="shared" si="690"/>
        <v>No controla</v>
      </c>
      <c r="Z1686">
        <v>1112504</v>
      </c>
      <c r="AA1686">
        <f t="shared" si="691"/>
        <v>3</v>
      </c>
      <c r="AB1686" t="str">
        <f t="shared" si="692"/>
        <v>Siempre</v>
      </c>
      <c r="AC1686">
        <v>0.69035299999999999</v>
      </c>
      <c r="AD1686">
        <f t="shared" si="693"/>
        <v>0</v>
      </c>
      <c r="AE1686" t="str">
        <f t="shared" si="694"/>
        <v>Nunca</v>
      </c>
      <c r="AF1686">
        <v>1</v>
      </c>
      <c r="AG1686" t="str">
        <f t="shared" si="695"/>
        <v>A veces</v>
      </c>
      <c r="AH1686">
        <v>0</v>
      </c>
      <c r="AI1686" t="str">
        <f t="shared" si="696"/>
        <v>No usa</v>
      </c>
      <c r="AJ1686">
        <v>0</v>
      </c>
      <c r="AK1686" t="str">
        <f t="shared" si="697"/>
        <v>No usa</v>
      </c>
      <c r="AL1686">
        <v>0</v>
      </c>
      <c r="AM1686" t="str">
        <f t="shared" si="698"/>
        <v>No usa</v>
      </c>
      <c r="AN1686">
        <v>1</v>
      </c>
      <c r="AO1686" t="str">
        <f t="shared" si="699"/>
        <v>Usa Transporte</v>
      </c>
      <c r="AP1686">
        <v>0</v>
      </c>
      <c r="AQ1686" t="str">
        <f t="shared" si="700"/>
        <v>No camina</v>
      </c>
      <c r="AR1686">
        <v>1</v>
      </c>
      <c r="AS1686" t="str">
        <f t="shared" si="701"/>
        <v>Es Obeso</v>
      </c>
    </row>
    <row r="1687" spans="1:45" x14ac:dyDescent="0.25">
      <c r="A1687">
        <v>1</v>
      </c>
      <c r="B1687" t="str">
        <f t="shared" si="676"/>
        <v>M</v>
      </c>
      <c r="C1687">
        <v>25015173</v>
      </c>
      <c r="D1687">
        <f t="shared" si="677"/>
        <v>68</v>
      </c>
      <c r="E1687">
        <f t="shared" si="678"/>
        <v>68</v>
      </c>
      <c r="F1687" t="str">
        <f t="shared" si="679"/>
        <v>50-75</v>
      </c>
      <c r="G1687">
        <v>1</v>
      </c>
      <c r="H1687" t="str">
        <f t="shared" si="680"/>
        <v>Pariente gordo</v>
      </c>
      <c r="I1687">
        <v>1</v>
      </c>
      <c r="J1687" t="str">
        <f t="shared" si="681"/>
        <v>Hipercaloricos</v>
      </c>
      <c r="K1687">
        <v>1735664</v>
      </c>
      <c r="L1687">
        <f t="shared" si="682"/>
        <v>1</v>
      </c>
      <c r="M1687" t="str">
        <f t="shared" si="683"/>
        <v>Suele comer</v>
      </c>
      <c r="N1687">
        <v>3</v>
      </c>
      <c r="O1687">
        <f t="shared" si="684"/>
        <v>2</v>
      </c>
      <c r="P1687" t="str">
        <f t="shared" si="685"/>
        <v>Mas de 3</v>
      </c>
      <c r="Q1687">
        <v>1</v>
      </c>
      <c r="R1687" t="str">
        <f t="shared" si="686"/>
        <v>A veces</v>
      </c>
      <c r="S1687">
        <v>0</v>
      </c>
      <c r="T1687" t="str">
        <f t="shared" si="687"/>
        <v>No fuma</v>
      </c>
      <c r="U1687">
        <v>2041536</v>
      </c>
      <c r="V1687">
        <f t="shared" si="688"/>
        <v>2</v>
      </c>
      <c r="W1687" t="str">
        <f t="shared" si="689"/>
        <v>Siempre</v>
      </c>
      <c r="X1687">
        <v>0</v>
      </c>
      <c r="Y1687" t="str">
        <f t="shared" si="690"/>
        <v>No controla</v>
      </c>
      <c r="Z1687">
        <v>1392406</v>
      </c>
      <c r="AA1687">
        <f t="shared" si="691"/>
        <v>3</v>
      </c>
      <c r="AB1687" t="str">
        <f t="shared" si="692"/>
        <v>Siempre</v>
      </c>
      <c r="AC1687">
        <v>0.39173999999999998</v>
      </c>
      <c r="AD1687">
        <f t="shared" si="693"/>
        <v>0</v>
      </c>
      <c r="AE1687" t="str">
        <f t="shared" si="694"/>
        <v>Nunca</v>
      </c>
      <c r="AF1687">
        <v>1</v>
      </c>
      <c r="AG1687" t="str">
        <f t="shared" si="695"/>
        <v>A veces</v>
      </c>
      <c r="AH1687">
        <v>0</v>
      </c>
      <c r="AI1687" t="str">
        <f t="shared" si="696"/>
        <v>No usa</v>
      </c>
      <c r="AJ1687">
        <v>0</v>
      </c>
      <c r="AK1687" t="str">
        <f t="shared" si="697"/>
        <v>No usa</v>
      </c>
      <c r="AL1687">
        <v>0</v>
      </c>
      <c r="AM1687" t="str">
        <f t="shared" si="698"/>
        <v>No usa</v>
      </c>
      <c r="AN1687">
        <v>1</v>
      </c>
      <c r="AO1687" t="str">
        <f t="shared" si="699"/>
        <v>Usa Transporte</v>
      </c>
      <c r="AP1687">
        <v>0</v>
      </c>
      <c r="AQ1687" t="str">
        <f t="shared" si="700"/>
        <v>No camina</v>
      </c>
      <c r="AR1687">
        <v>1</v>
      </c>
      <c r="AS1687" t="str">
        <f t="shared" si="701"/>
        <v>Es Obeso</v>
      </c>
    </row>
    <row r="1688" spans="1:45" x14ac:dyDescent="0.25">
      <c r="A1688">
        <v>1</v>
      </c>
      <c r="B1688" t="str">
        <f t="shared" si="676"/>
        <v>M</v>
      </c>
      <c r="C1688">
        <v>23812795</v>
      </c>
      <c r="D1688">
        <f t="shared" si="677"/>
        <v>65</v>
      </c>
      <c r="E1688">
        <f t="shared" si="678"/>
        <v>65</v>
      </c>
      <c r="F1688" t="str">
        <f t="shared" si="679"/>
        <v>50-75</v>
      </c>
      <c r="G1688">
        <v>1</v>
      </c>
      <c r="H1688" t="str">
        <f t="shared" si="680"/>
        <v>Pariente gordo</v>
      </c>
      <c r="I1688">
        <v>1</v>
      </c>
      <c r="J1688" t="str">
        <f t="shared" si="681"/>
        <v>Hipercaloricos</v>
      </c>
      <c r="K1688">
        <v>1655684</v>
      </c>
      <c r="L1688">
        <f t="shared" si="682"/>
        <v>1</v>
      </c>
      <c r="M1688" t="str">
        <f t="shared" si="683"/>
        <v>Suele comer</v>
      </c>
      <c r="N1688">
        <v>3</v>
      </c>
      <c r="O1688">
        <f t="shared" si="684"/>
        <v>2</v>
      </c>
      <c r="P1688" t="str">
        <f t="shared" si="685"/>
        <v>Mas de 3</v>
      </c>
      <c r="Q1688">
        <v>1</v>
      </c>
      <c r="R1688" t="str">
        <f t="shared" si="686"/>
        <v>A veces</v>
      </c>
      <c r="S1688">
        <v>0</v>
      </c>
      <c r="T1688" t="str">
        <f t="shared" si="687"/>
        <v>No fuma</v>
      </c>
      <c r="U1688">
        <v>2</v>
      </c>
      <c r="V1688">
        <f t="shared" si="688"/>
        <v>2</v>
      </c>
      <c r="W1688" t="str">
        <f t="shared" si="689"/>
        <v>Siempre</v>
      </c>
      <c r="X1688">
        <v>0</v>
      </c>
      <c r="Y1688" t="str">
        <f t="shared" si="690"/>
        <v>No controla</v>
      </c>
      <c r="Z1688">
        <v>0.97642499999999999</v>
      </c>
      <c r="AA1688">
        <f t="shared" si="691"/>
        <v>0</v>
      </c>
      <c r="AB1688" t="str">
        <f t="shared" si="692"/>
        <v>Nunca</v>
      </c>
      <c r="AC1688">
        <v>0.69008199999999997</v>
      </c>
      <c r="AD1688">
        <f t="shared" si="693"/>
        <v>0</v>
      </c>
      <c r="AE1688" t="str">
        <f t="shared" si="694"/>
        <v>Nunca</v>
      </c>
      <c r="AF1688">
        <v>1</v>
      </c>
      <c r="AG1688" t="str">
        <f t="shared" si="695"/>
        <v>A veces</v>
      </c>
      <c r="AH1688">
        <v>0</v>
      </c>
      <c r="AI1688" t="str">
        <f t="shared" si="696"/>
        <v>No usa</v>
      </c>
      <c r="AJ1688">
        <v>0</v>
      </c>
      <c r="AK1688" t="str">
        <f t="shared" si="697"/>
        <v>No usa</v>
      </c>
      <c r="AL1688">
        <v>0</v>
      </c>
      <c r="AM1688" t="str">
        <f t="shared" si="698"/>
        <v>No usa</v>
      </c>
      <c r="AN1688">
        <v>1</v>
      </c>
      <c r="AO1688" t="str">
        <f t="shared" si="699"/>
        <v>Usa Transporte</v>
      </c>
      <c r="AP1688">
        <v>0</v>
      </c>
      <c r="AQ1688" t="str">
        <f t="shared" si="700"/>
        <v>No camina</v>
      </c>
      <c r="AR1688">
        <v>1</v>
      </c>
      <c r="AS1688" t="str">
        <f t="shared" si="701"/>
        <v>Es Obeso</v>
      </c>
    </row>
    <row r="1689" spans="1:45" x14ac:dyDescent="0.25">
      <c r="A1689">
        <v>1</v>
      </c>
      <c r="B1689" t="str">
        <f t="shared" si="676"/>
        <v>M</v>
      </c>
      <c r="C1689">
        <v>23975685</v>
      </c>
      <c r="D1689">
        <f t="shared" si="677"/>
        <v>65</v>
      </c>
      <c r="E1689">
        <f t="shared" si="678"/>
        <v>65</v>
      </c>
      <c r="F1689" t="str">
        <f t="shared" si="679"/>
        <v>50-75</v>
      </c>
      <c r="G1689">
        <v>1</v>
      </c>
      <c r="H1689" t="str">
        <f t="shared" si="680"/>
        <v>Pariente gordo</v>
      </c>
      <c r="I1689">
        <v>1</v>
      </c>
      <c r="J1689" t="str">
        <f t="shared" si="681"/>
        <v>Hipercaloricos</v>
      </c>
      <c r="K1689">
        <v>2598207</v>
      </c>
      <c r="L1689">
        <f t="shared" si="682"/>
        <v>1</v>
      </c>
      <c r="M1689" t="str">
        <f t="shared" si="683"/>
        <v>Suele comer</v>
      </c>
      <c r="N1689">
        <v>2849347</v>
      </c>
      <c r="O1689">
        <f t="shared" si="684"/>
        <v>2</v>
      </c>
      <c r="P1689" t="str">
        <f t="shared" si="685"/>
        <v>Mas de 3</v>
      </c>
      <c r="Q1689">
        <v>1</v>
      </c>
      <c r="R1689" t="str">
        <f t="shared" si="686"/>
        <v>A veces</v>
      </c>
      <c r="S1689">
        <v>0</v>
      </c>
      <c r="T1689" t="str">
        <f t="shared" si="687"/>
        <v>No fuma</v>
      </c>
      <c r="U1689">
        <v>2006167</v>
      </c>
      <c r="V1689">
        <f t="shared" si="688"/>
        <v>2</v>
      </c>
      <c r="W1689" t="str">
        <f t="shared" si="689"/>
        <v>Siempre</v>
      </c>
      <c r="X1689">
        <v>0</v>
      </c>
      <c r="Y1689" t="str">
        <f t="shared" si="690"/>
        <v>No controla</v>
      </c>
      <c r="Z1689">
        <v>152001</v>
      </c>
      <c r="AA1689">
        <f t="shared" si="691"/>
        <v>2</v>
      </c>
      <c r="AB1689" t="str">
        <f t="shared" si="692"/>
        <v>Usualmente</v>
      </c>
      <c r="AC1689">
        <v>0.29568499999999998</v>
      </c>
      <c r="AD1689">
        <f t="shared" si="693"/>
        <v>0</v>
      </c>
      <c r="AE1689" t="str">
        <f t="shared" si="694"/>
        <v>Nunca</v>
      </c>
      <c r="AF1689">
        <v>1</v>
      </c>
      <c r="AG1689" t="str">
        <f t="shared" si="695"/>
        <v>A veces</v>
      </c>
      <c r="AH1689">
        <v>0</v>
      </c>
      <c r="AI1689" t="str">
        <f t="shared" si="696"/>
        <v>No usa</v>
      </c>
      <c r="AJ1689">
        <v>0</v>
      </c>
      <c r="AK1689" t="str">
        <f t="shared" si="697"/>
        <v>No usa</v>
      </c>
      <c r="AL1689">
        <v>0</v>
      </c>
      <c r="AM1689" t="str">
        <f t="shared" si="698"/>
        <v>No usa</v>
      </c>
      <c r="AN1689">
        <v>1</v>
      </c>
      <c r="AO1689" t="str">
        <f t="shared" si="699"/>
        <v>Usa Transporte</v>
      </c>
      <c r="AP1689">
        <v>0</v>
      </c>
      <c r="AQ1689" t="str">
        <f t="shared" si="700"/>
        <v>No camina</v>
      </c>
      <c r="AR1689">
        <v>1</v>
      </c>
      <c r="AS1689" t="str">
        <f t="shared" si="701"/>
        <v>Es Obeso</v>
      </c>
    </row>
    <row r="1690" spans="1:45" x14ac:dyDescent="0.25">
      <c r="A1690">
        <v>1</v>
      </c>
      <c r="B1690" t="str">
        <f t="shared" si="676"/>
        <v>M</v>
      </c>
      <c r="C1690">
        <v>24149036</v>
      </c>
      <c r="D1690">
        <f t="shared" si="677"/>
        <v>66</v>
      </c>
      <c r="E1690">
        <f t="shared" si="678"/>
        <v>66</v>
      </c>
      <c r="F1690" t="str">
        <f t="shared" si="679"/>
        <v>50-75</v>
      </c>
      <c r="G1690">
        <v>1</v>
      </c>
      <c r="H1690" t="str">
        <f t="shared" si="680"/>
        <v>Pariente gordo</v>
      </c>
      <c r="I1690">
        <v>1</v>
      </c>
      <c r="J1690" t="str">
        <f t="shared" si="681"/>
        <v>Hipercaloricos</v>
      </c>
      <c r="K1690">
        <v>2225149</v>
      </c>
      <c r="L1690">
        <f t="shared" si="682"/>
        <v>1</v>
      </c>
      <c r="M1690" t="str">
        <f t="shared" si="683"/>
        <v>Suele comer</v>
      </c>
      <c r="N1690">
        <v>3</v>
      </c>
      <c r="O1690">
        <f t="shared" si="684"/>
        <v>2</v>
      </c>
      <c r="P1690" t="str">
        <f t="shared" si="685"/>
        <v>Mas de 3</v>
      </c>
      <c r="Q1690">
        <v>1</v>
      </c>
      <c r="R1690" t="str">
        <f t="shared" si="686"/>
        <v>A veces</v>
      </c>
      <c r="S1690">
        <v>0</v>
      </c>
      <c r="T1690" t="str">
        <f t="shared" si="687"/>
        <v>No fuma</v>
      </c>
      <c r="U1690">
        <v>2357978</v>
      </c>
      <c r="V1690">
        <f t="shared" si="688"/>
        <v>2</v>
      </c>
      <c r="W1690" t="str">
        <f t="shared" si="689"/>
        <v>Siempre</v>
      </c>
      <c r="X1690">
        <v>0</v>
      </c>
      <c r="Y1690" t="str">
        <f t="shared" si="690"/>
        <v>No controla</v>
      </c>
      <c r="Z1690">
        <v>1943743</v>
      </c>
      <c r="AA1690">
        <f t="shared" si="691"/>
        <v>3</v>
      </c>
      <c r="AB1690" t="str">
        <f t="shared" si="692"/>
        <v>Siempre</v>
      </c>
      <c r="AC1690">
        <v>0.68212799999999996</v>
      </c>
      <c r="AD1690">
        <f t="shared" si="693"/>
        <v>0</v>
      </c>
      <c r="AE1690" t="str">
        <f t="shared" si="694"/>
        <v>Nunca</v>
      </c>
      <c r="AF1690">
        <v>1</v>
      </c>
      <c r="AG1690" t="str">
        <f t="shared" si="695"/>
        <v>A veces</v>
      </c>
      <c r="AH1690">
        <v>0</v>
      </c>
      <c r="AI1690" t="str">
        <f t="shared" si="696"/>
        <v>No usa</v>
      </c>
      <c r="AJ1690">
        <v>0</v>
      </c>
      <c r="AK1690" t="str">
        <f t="shared" si="697"/>
        <v>No usa</v>
      </c>
      <c r="AL1690">
        <v>0</v>
      </c>
      <c r="AM1690" t="str">
        <f t="shared" si="698"/>
        <v>No usa</v>
      </c>
      <c r="AN1690">
        <v>1</v>
      </c>
      <c r="AO1690" t="str">
        <f t="shared" si="699"/>
        <v>Usa Transporte</v>
      </c>
      <c r="AP1690">
        <v>0</v>
      </c>
      <c r="AQ1690" t="str">
        <f t="shared" si="700"/>
        <v>No camina</v>
      </c>
      <c r="AR1690">
        <v>1</v>
      </c>
      <c r="AS1690" t="str">
        <f t="shared" si="701"/>
        <v>Es Obeso</v>
      </c>
    </row>
    <row r="1691" spans="1:45" x14ac:dyDescent="0.25">
      <c r="A1691">
        <v>1</v>
      </c>
      <c r="B1691" t="str">
        <f t="shared" si="676"/>
        <v>M</v>
      </c>
      <c r="C1691">
        <v>25062942</v>
      </c>
      <c r="D1691">
        <f t="shared" si="677"/>
        <v>68</v>
      </c>
      <c r="E1691">
        <f t="shared" si="678"/>
        <v>68</v>
      </c>
      <c r="F1691" t="str">
        <f t="shared" si="679"/>
        <v>50-75</v>
      </c>
      <c r="G1691">
        <v>1</v>
      </c>
      <c r="H1691" t="str">
        <f t="shared" si="680"/>
        <v>Pariente gordo</v>
      </c>
      <c r="I1691">
        <v>1</v>
      </c>
      <c r="J1691" t="str">
        <f t="shared" si="681"/>
        <v>Hipercaloricos</v>
      </c>
      <c r="K1691">
        <v>3</v>
      </c>
      <c r="L1691">
        <f t="shared" si="682"/>
        <v>1</v>
      </c>
      <c r="M1691" t="str">
        <f t="shared" si="683"/>
        <v>Suele comer</v>
      </c>
      <c r="N1691">
        <v>3</v>
      </c>
      <c r="O1691">
        <f t="shared" si="684"/>
        <v>2</v>
      </c>
      <c r="P1691" t="str">
        <f t="shared" si="685"/>
        <v>Mas de 3</v>
      </c>
      <c r="Q1691">
        <v>1</v>
      </c>
      <c r="R1691" t="str">
        <f t="shared" si="686"/>
        <v>A veces</v>
      </c>
      <c r="S1691">
        <v>0</v>
      </c>
      <c r="T1691" t="str">
        <f t="shared" si="687"/>
        <v>No fuma</v>
      </c>
      <c r="U1691">
        <v>3</v>
      </c>
      <c r="V1691">
        <f t="shared" si="688"/>
        <v>2</v>
      </c>
      <c r="W1691" t="str">
        <f t="shared" si="689"/>
        <v>Siempre</v>
      </c>
      <c r="X1691">
        <v>0</v>
      </c>
      <c r="Y1691" t="str">
        <f t="shared" si="690"/>
        <v>No controla</v>
      </c>
      <c r="Z1691">
        <v>1685369</v>
      </c>
      <c r="AA1691">
        <f t="shared" si="691"/>
        <v>3</v>
      </c>
      <c r="AB1691" t="str">
        <f t="shared" si="692"/>
        <v>Siempre</v>
      </c>
      <c r="AC1691">
        <v>0.26496900000000001</v>
      </c>
      <c r="AD1691">
        <f t="shared" si="693"/>
        <v>0</v>
      </c>
      <c r="AE1691" t="str">
        <f t="shared" si="694"/>
        <v>Nunca</v>
      </c>
      <c r="AF1691">
        <v>1</v>
      </c>
      <c r="AG1691" t="str">
        <f t="shared" si="695"/>
        <v>A veces</v>
      </c>
      <c r="AH1691">
        <v>0</v>
      </c>
      <c r="AI1691" t="str">
        <f t="shared" si="696"/>
        <v>No usa</v>
      </c>
      <c r="AJ1691">
        <v>0</v>
      </c>
      <c r="AK1691" t="str">
        <f t="shared" si="697"/>
        <v>No usa</v>
      </c>
      <c r="AL1691">
        <v>0</v>
      </c>
      <c r="AM1691" t="str">
        <f t="shared" si="698"/>
        <v>No usa</v>
      </c>
      <c r="AN1691">
        <v>1</v>
      </c>
      <c r="AO1691" t="str">
        <f t="shared" si="699"/>
        <v>Usa Transporte</v>
      </c>
      <c r="AP1691">
        <v>0</v>
      </c>
      <c r="AQ1691" t="str">
        <f t="shared" si="700"/>
        <v>No camina</v>
      </c>
      <c r="AR1691">
        <v>1</v>
      </c>
      <c r="AS1691" t="str">
        <f t="shared" si="701"/>
        <v>Es Obeso</v>
      </c>
    </row>
    <row r="1692" spans="1:45" x14ac:dyDescent="0.25">
      <c r="A1692">
        <v>1</v>
      </c>
      <c r="B1692" t="str">
        <f t="shared" si="676"/>
        <v>M</v>
      </c>
      <c r="C1692">
        <v>25140074</v>
      </c>
      <c r="D1692">
        <f t="shared" si="677"/>
        <v>68</v>
      </c>
      <c r="E1692">
        <f t="shared" si="678"/>
        <v>68</v>
      </c>
      <c r="F1692" t="str">
        <f t="shared" si="679"/>
        <v>50-75</v>
      </c>
      <c r="G1692">
        <v>1</v>
      </c>
      <c r="H1692" t="str">
        <f t="shared" si="680"/>
        <v>Pariente gordo</v>
      </c>
      <c r="I1692">
        <v>1</v>
      </c>
      <c r="J1692" t="str">
        <f t="shared" si="681"/>
        <v>Hipercaloricos</v>
      </c>
      <c r="K1692">
        <v>3</v>
      </c>
      <c r="L1692">
        <f t="shared" si="682"/>
        <v>1</v>
      </c>
      <c r="M1692" t="str">
        <f t="shared" si="683"/>
        <v>Suele comer</v>
      </c>
      <c r="N1692">
        <v>3</v>
      </c>
      <c r="O1692">
        <f t="shared" si="684"/>
        <v>2</v>
      </c>
      <c r="P1692" t="str">
        <f t="shared" si="685"/>
        <v>Mas de 3</v>
      </c>
      <c r="Q1692">
        <v>1</v>
      </c>
      <c r="R1692" t="str">
        <f t="shared" si="686"/>
        <v>A veces</v>
      </c>
      <c r="S1692">
        <v>0</v>
      </c>
      <c r="T1692" t="str">
        <f t="shared" si="687"/>
        <v>No fuma</v>
      </c>
      <c r="U1692">
        <v>3</v>
      </c>
      <c r="V1692">
        <f t="shared" si="688"/>
        <v>2</v>
      </c>
      <c r="W1692" t="str">
        <f t="shared" si="689"/>
        <v>Siempre</v>
      </c>
      <c r="X1692">
        <v>0</v>
      </c>
      <c r="Y1692" t="str">
        <f t="shared" si="690"/>
        <v>No controla</v>
      </c>
      <c r="Z1692">
        <v>1467863</v>
      </c>
      <c r="AA1692">
        <f t="shared" si="691"/>
        <v>3</v>
      </c>
      <c r="AB1692" t="str">
        <f t="shared" si="692"/>
        <v>Siempre</v>
      </c>
      <c r="AC1692">
        <v>0.34363500000000002</v>
      </c>
      <c r="AD1692">
        <f t="shared" si="693"/>
        <v>0</v>
      </c>
      <c r="AE1692" t="str">
        <f t="shared" si="694"/>
        <v>Nunca</v>
      </c>
      <c r="AF1692">
        <v>1</v>
      </c>
      <c r="AG1692" t="str">
        <f t="shared" si="695"/>
        <v>A veces</v>
      </c>
      <c r="AH1692">
        <v>0</v>
      </c>
      <c r="AI1692" t="str">
        <f t="shared" si="696"/>
        <v>No usa</v>
      </c>
      <c r="AJ1692">
        <v>0</v>
      </c>
      <c r="AK1692" t="str">
        <f t="shared" si="697"/>
        <v>No usa</v>
      </c>
      <c r="AL1692">
        <v>0</v>
      </c>
      <c r="AM1692" t="str">
        <f t="shared" si="698"/>
        <v>No usa</v>
      </c>
      <c r="AN1692">
        <v>1</v>
      </c>
      <c r="AO1692" t="str">
        <f t="shared" si="699"/>
        <v>Usa Transporte</v>
      </c>
      <c r="AP1692">
        <v>0</v>
      </c>
      <c r="AQ1692" t="str">
        <f t="shared" si="700"/>
        <v>No camina</v>
      </c>
      <c r="AR1692">
        <v>1</v>
      </c>
      <c r="AS1692" t="str">
        <f t="shared" si="701"/>
        <v>Es Obeso</v>
      </c>
    </row>
    <row r="1693" spans="1:45" x14ac:dyDescent="0.25">
      <c r="A1693">
        <v>1</v>
      </c>
      <c r="B1693" t="str">
        <f t="shared" si="676"/>
        <v>M</v>
      </c>
      <c r="C1693">
        <v>30722801</v>
      </c>
      <c r="D1693">
        <f t="shared" si="677"/>
        <v>84</v>
      </c>
      <c r="E1693">
        <f t="shared" si="678"/>
        <v>84</v>
      </c>
      <c r="F1693" t="str">
        <f t="shared" si="679"/>
        <v>75-100</v>
      </c>
      <c r="G1693">
        <v>1</v>
      </c>
      <c r="H1693" t="str">
        <f t="shared" si="680"/>
        <v>Pariente gordo</v>
      </c>
      <c r="I1693">
        <v>1</v>
      </c>
      <c r="J1693" t="str">
        <f t="shared" si="681"/>
        <v>Hipercaloricos</v>
      </c>
      <c r="K1693">
        <v>2519592</v>
      </c>
      <c r="L1693">
        <f t="shared" si="682"/>
        <v>1</v>
      </c>
      <c r="M1693" t="str">
        <f t="shared" si="683"/>
        <v>Suele comer</v>
      </c>
      <c r="N1693">
        <v>3</v>
      </c>
      <c r="O1693">
        <f t="shared" si="684"/>
        <v>2</v>
      </c>
      <c r="P1693" t="str">
        <f t="shared" si="685"/>
        <v>Mas de 3</v>
      </c>
      <c r="Q1693">
        <v>1</v>
      </c>
      <c r="R1693" t="str">
        <f t="shared" si="686"/>
        <v>A veces</v>
      </c>
      <c r="S1693">
        <v>0</v>
      </c>
      <c r="T1693" t="str">
        <f t="shared" si="687"/>
        <v>No fuma</v>
      </c>
      <c r="U1693">
        <v>2229145</v>
      </c>
      <c r="V1693">
        <f t="shared" si="688"/>
        <v>2</v>
      </c>
      <c r="W1693" t="str">
        <f t="shared" si="689"/>
        <v>Siempre</v>
      </c>
      <c r="X1693">
        <v>0</v>
      </c>
      <c r="Y1693" t="str">
        <f t="shared" si="690"/>
        <v>No controla</v>
      </c>
      <c r="Z1693">
        <v>0.350717</v>
      </c>
      <c r="AA1693">
        <f t="shared" si="691"/>
        <v>0</v>
      </c>
      <c r="AB1693" t="str">
        <f t="shared" si="692"/>
        <v>Nunca</v>
      </c>
      <c r="AC1693">
        <v>1140348</v>
      </c>
      <c r="AD1693">
        <f t="shared" si="693"/>
        <v>2</v>
      </c>
      <c r="AE1693" t="str">
        <f t="shared" si="694"/>
        <v>Siempre</v>
      </c>
      <c r="AF1693">
        <v>1</v>
      </c>
      <c r="AG1693" t="str">
        <f t="shared" si="695"/>
        <v>A veces</v>
      </c>
      <c r="AH1693">
        <v>1</v>
      </c>
      <c r="AI1693" t="str">
        <f t="shared" si="696"/>
        <v>Usa auto</v>
      </c>
      <c r="AJ1693">
        <v>0</v>
      </c>
      <c r="AK1693" t="str">
        <f t="shared" si="697"/>
        <v>No usa</v>
      </c>
      <c r="AL1693">
        <v>0</v>
      </c>
      <c r="AM1693" t="str">
        <f t="shared" si="698"/>
        <v>No usa</v>
      </c>
      <c r="AN1693">
        <v>0</v>
      </c>
      <c r="AO1693" t="str">
        <f t="shared" si="699"/>
        <v>No usa</v>
      </c>
      <c r="AP1693">
        <v>0</v>
      </c>
      <c r="AQ1693" t="str">
        <f t="shared" si="700"/>
        <v>No camina</v>
      </c>
      <c r="AR1693">
        <v>1</v>
      </c>
      <c r="AS1693" t="str">
        <f t="shared" si="701"/>
        <v>Es Obeso</v>
      </c>
    </row>
    <row r="1694" spans="1:45" x14ac:dyDescent="0.25">
      <c r="A1694">
        <v>1</v>
      </c>
      <c r="B1694" t="str">
        <f t="shared" si="676"/>
        <v>M</v>
      </c>
      <c r="C1694">
        <v>30916426</v>
      </c>
      <c r="D1694">
        <f t="shared" si="677"/>
        <v>84</v>
      </c>
      <c r="E1694">
        <f t="shared" si="678"/>
        <v>84</v>
      </c>
      <c r="F1694" t="str">
        <f t="shared" si="679"/>
        <v>75-100</v>
      </c>
      <c r="G1694">
        <v>1</v>
      </c>
      <c r="H1694" t="str">
        <f t="shared" si="680"/>
        <v>Pariente gordo</v>
      </c>
      <c r="I1694">
        <v>1</v>
      </c>
      <c r="J1694" t="str">
        <f t="shared" si="681"/>
        <v>Hipercaloricos</v>
      </c>
      <c r="K1694">
        <v>2111887</v>
      </c>
      <c r="L1694">
        <f t="shared" si="682"/>
        <v>1</v>
      </c>
      <c r="M1694" t="str">
        <f t="shared" si="683"/>
        <v>Suele comer</v>
      </c>
      <c r="N1694">
        <v>3</v>
      </c>
      <c r="O1694">
        <f t="shared" si="684"/>
        <v>2</v>
      </c>
      <c r="P1694" t="str">
        <f t="shared" si="685"/>
        <v>Mas de 3</v>
      </c>
      <c r="Q1694">
        <v>1</v>
      </c>
      <c r="R1694" t="str">
        <f t="shared" si="686"/>
        <v>A veces</v>
      </c>
      <c r="S1694">
        <v>0</v>
      </c>
      <c r="T1694" t="str">
        <f t="shared" si="687"/>
        <v>No fuma</v>
      </c>
      <c r="U1694">
        <v>2357373</v>
      </c>
      <c r="V1694">
        <f t="shared" si="688"/>
        <v>2</v>
      </c>
      <c r="W1694" t="str">
        <f t="shared" si="689"/>
        <v>Siempre</v>
      </c>
      <c r="X1694">
        <v>0</v>
      </c>
      <c r="Y1694" t="str">
        <f t="shared" si="690"/>
        <v>No controla</v>
      </c>
      <c r="Z1694">
        <v>0.42562100000000003</v>
      </c>
      <c r="AA1694">
        <f t="shared" si="691"/>
        <v>0</v>
      </c>
      <c r="AB1694" t="str">
        <f t="shared" si="692"/>
        <v>Nunca</v>
      </c>
      <c r="AC1694">
        <v>1416353</v>
      </c>
      <c r="AD1694">
        <f t="shared" si="693"/>
        <v>2</v>
      </c>
      <c r="AE1694" t="str">
        <f t="shared" si="694"/>
        <v>Siempre</v>
      </c>
      <c r="AF1694">
        <v>1</v>
      </c>
      <c r="AG1694" t="str">
        <f t="shared" si="695"/>
        <v>A veces</v>
      </c>
      <c r="AH1694">
        <v>1</v>
      </c>
      <c r="AI1694" t="str">
        <f t="shared" si="696"/>
        <v>Usa auto</v>
      </c>
      <c r="AJ1694">
        <v>0</v>
      </c>
      <c r="AK1694" t="str">
        <f t="shared" si="697"/>
        <v>No usa</v>
      </c>
      <c r="AL1694">
        <v>0</v>
      </c>
      <c r="AM1694" t="str">
        <f t="shared" si="698"/>
        <v>No usa</v>
      </c>
      <c r="AN1694">
        <v>0</v>
      </c>
      <c r="AO1694" t="str">
        <f t="shared" si="699"/>
        <v>No usa</v>
      </c>
      <c r="AP1694">
        <v>0</v>
      </c>
      <c r="AQ1694" t="str">
        <f t="shared" si="700"/>
        <v>No camina</v>
      </c>
      <c r="AR1694">
        <v>1</v>
      </c>
      <c r="AS1694" t="str">
        <f t="shared" si="701"/>
        <v>Es Obeso</v>
      </c>
    </row>
    <row r="1695" spans="1:45" x14ac:dyDescent="0.25">
      <c r="A1695">
        <v>1</v>
      </c>
      <c r="B1695" t="str">
        <f t="shared" si="676"/>
        <v>M</v>
      </c>
      <c r="C1695">
        <v>31010302</v>
      </c>
      <c r="D1695">
        <f t="shared" si="677"/>
        <v>84</v>
      </c>
      <c r="E1695">
        <f t="shared" si="678"/>
        <v>84</v>
      </c>
      <c r="F1695" t="str">
        <f t="shared" si="679"/>
        <v>75-100</v>
      </c>
      <c r="G1695">
        <v>1</v>
      </c>
      <c r="H1695" t="str">
        <f t="shared" si="680"/>
        <v>Pariente gordo</v>
      </c>
      <c r="I1695">
        <v>1</v>
      </c>
      <c r="J1695" t="str">
        <f t="shared" si="681"/>
        <v>Hipercaloricos</v>
      </c>
      <c r="K1695">
        <v>2970983</v>
      </c>
      <c r="L1695">
        <f t="shared" si="682"/>
        <v>1</v>
      </c>
      <c r="M1695" t="str">
        <f t="shared" si="683"/>
        <v>Suele comer</v>
      </c>
      <c r="N1695">
        <v>3</v>
      </c>
      <c r="O1695">
        <f t="shared" si="684"/>
        <v>2</v>
      </c>
      <c r="P1695" t="str">
        <f t="shared" si="685"/>
        <v>Mas de 3</v>
      </c>
      <c r="Q1695">
        <v>1</v>
      </c>
      <c r="R1695" t="str">
        <f t="shared" si="686"/>
        <v>A veces</v>
      </c>
      <c r="S1695">
        <v>0</v>
      </c>
      <c r="T1695" t="str">
        <f t="shared" si="687"/>
        <v>No fuma</v>
      </c>
      <c r="U1695">
        <v>2828861</v>
      </c>
      <c r="V1695">
        <f t="shared" si="688"/>
        <v>2</v>
      </c>
      <c r="W1695" t="str">
        <f t="shared" si="689"/>
        <v>Siempre</v>
      </c>
      <c r="X1695">
        <v>0</v>
      </c>
      <c r="Y1695" t="str">
        <f t="shared" si="690"/>
        <v>No controla</v>
      </c>
      <c r="Z1695">
        <v>0.45494400000000002</v>
      </c>
      <c r="AA1695">
        <f t="shared" si="691"/>
        <v>0</v>
      </c>
      <c r="AB1695" t="str">
        <f t="shared" si="692"/>
        <v>Nunca</v>
      </c>
      <c r="AC1695">
        <v>1915818</v>
      </c>
      <c r="AD1695">
        <f t="shared" si="693"/>
        <v>2</v>
      </c>
      <c r="AE1695" t="str">
        <f t="shared" si="694"/>
        <v>Siempre</v>
      </c>
      <c r="AF1695">
        <v>1</v>
      </c>
      <c r="AG1695" t="str">
        <f t="shared" si="695"/>
        <v>A veces</v>
      </c>
      <c r="AH1695">
        <v>1</v>
      </c>
      <c r="AI1695" t="str">
        <f t="shared" si="696"/>
        <v>Usa auto</v>
      </c>
      <c r="AJ1695">
        <v>0</v>
      </c>
      <c r="AK1695" t="str">
        <f t="shared" si="697"/>
        <v>No usa</v>
      </c>
      <c r="AL1695">
        <v>0</v>
      </c>
      <c r="AM1695" t="str">
        <f t="shared" si="698"/>
        <v>No usa</v>
      </c>
      <c r="AN1695">
        <v>0</v>
      </c>
      <c r="AO1695" t="str">
        <f t="shared" si="699"/>
        <v>No usa</v>
      </c>
      <c r="AP1695">
        <v>0</v>
      </c>
      <c r="AQ1695" t="str">
        <f t="shared" si="700"/>
        <v>No camina</v>
      </c>
      <c r="AR1695">
        <v>1</v>
      </c>
      <c r="AS1695" t="str">
        <f t="shared" si="701"/>
        <v>Es Obeso</v>
      </c>
    </row>
    <row r="1696" spans="1:45" x14ac:dyDescent="0.25">
      <c r="A1696">
        <v>1</v>
      </c>
      <c r="B1696" t="str">
        <f t="shared" si="676"/>
        <v>M</v>
      </c>
      <c r="C1696">
        <v>30605464</v>
      </c>
      <c r="D1696">
        <f t="shared" si="677"/>
        <v>83</v>
      </c>
      <c r="E1696">
        <f t="shared" si="678"/>
        <v>83</v>
      </c>
      <c r="F1696" t="str">
        <f t="shared" si="679"/>
        <v>75-100</v>
      </c>
      <c r="G1696">
        <v>1</v>
      </c>
      <c r="H1696" t="str">
        <f t="shared" si="680"/>
        <v>Pariente gordo</v>
      </c>
      <c r="I1696">
        <v>1</v>
      </c>
      <c r="J1696" t="str">
        <f t="shared" si="681"/>
        <v>Hipercaloricos</v>
      </c>
      <c r="K1696">
        <v>2907542</v>
      </c>
      <c r="L1696">
        <f t="shared" si="682"/>
        <v>1</v>
      </c>
      <c r="M1696" t="str">
        <f t="shared" si="683"/>
        <v>Suele comer</v>
      </c>
      <c r="N1696">
        <v>3</v>
      </c>
      <c r="O1696">
        <f t="shared" si="684"/>
        <v>2</v>
      </c>
      <c r="P1696" t="str">
        <f t="shared" si="685"/>
        <v>Mas de 3</v>
      </c>
      <c r="Q1696">
        <v>1</v>
      </c>
      <c r="R1696" t="str">
        <f t="shared" si="686"/>
        <v>A veces</v>
      </c>
      <c r="S1696">
        <v>0</v>
      </c>
      <c r="T1696" t="str">
        <f t="shared" si="687"/>
        <v>No fuma</v>
      </c>
      <c r="U1696">
        <v>2284494</v>
      </c>
      <c r="V1696">
        <f t="shared" si="688"/>
        <v>2</v>
      </c>
      <c r="W1696" t="str">
        <f t="shared" si="689"/>
        <v>Siempre</v>
      </c>
      <c r="X1696">
        <v>0</v>
      </c>
      <c r="Y1696" t="str">
        <f t="shared" si="690"/>
        <v>No controla</v>
      </c>
      <c r="Z1696">
        <v>0.64763199999999999</v>
      </c>
      <c r="AA1696">
        <f t="shared" si="691"/>
        <v>0</v>
      </c>
      <c r="AB1696" t="str">
        <f t="shared" si="692"/>
        <v>Nunca</v>
      </c>
      <c r="AC1696">
        <v>1668318</v>
      </c>
      <c r="AD1696">
        <f t="shared" si="693"/>
        <v>2</v>
      </c>
      <c r="AE1696" t="str">
        <f t="shared" si="694"/>
        <v>Siempre</v>
      </c>
      <c r="AF1696">
        <v>1</v>
      </c>
      <c r="AG1696" t="str">
        <f t="shared" si="695"/>
        <v>A veces</v>
      </c>
      <c r="AH1696">
        <v>1</v>
      </c>
      <c r="AI1696" t="str">
        <f t="shared" si="696"/>
        <v>Usa auto</v>
      </c>
      <c r="AJ1696">
        <v>0</v>
      </c>
      <c r="AK1696" t="str">
        <f t="shared" si="697"/>
        <v>No usa</v>
      </c>
      <c r="AL1696">
        <v>0</v>
      </c>
      <c r="AM1696" t="str">
        <f t="shared" si="698"/>
        <v>No usa</v>
      </c>
      <c r="AN1696">
        <v>0</v>
      </c>
      <c r="AO1696" t="str">
        <f t="shared" si="699"/>
        <v>No usa</v>
      </c>
      <c r="AP1696">
        <v>0</v>
      </c>
      <c r="AQ1696" t="str">
        <f t="shared" si="700"/>
        <v>No camina</v>
      </c>
      <c r="AR1696">
        <v>1</v>
      </c>
      <c r="AS1696" t="str">
        <f t="shared" si="701"/>
        <v>Es Obeso</v>
      </c>
    </row>
    <row r="1697" spans="1:45" x14ac:dyDescent="0.25">
      <c r="A1697">
        <v>1</v>
      </c>
      <c r="B1697" t="str">
        <f t="shared" si="676"/>
        <v>M</v>
      </c>
      <c r="C1697">
        <v>24622054</v>
      </c>
      <c r="D1697">
        <f t="shared" si="677"/>
        <v>67</v>
      </c>
      <c r="E1697">
        <f t="shared" si="678"/>
        <v>67</v>
      </c>
      <c r="F1697" t="str">
        <f t="shared" si="679"/>
        <v>50-75</v>
      </c>
      <c r="G1697">
        <v>1</v>
      </c>
      <c r="H1697" t="str">
        <f t="shared" si="680"/>
        <v>Pariente gordo</v>
      </c>
      <c r="I1697">
        <v>1</v>
      </c>
      <c r="J1697" t="str">
        <f t="shared" si="681"/>
        <v>Hipercaloricos</v>
      </c>
      <c r="K1697">
        <v>1451337</v>
      </c>
      <c r="L1697">
        <f t="shared" si="682"/>
        <v>1</v>
      </c>
      <c r="M1697" t="str">
        <f t="shared" si="683"/>
        <v>Suele comer</v>
      </c>
      <c r="N1697">
        <v>3</v>
      </c>
      <c r="O1697">
        <f t="shared" si="684"/>
        <v>2</v>
      </c>
      <c r="P1697" t="str">
        <f t="shared" si="685"/>
        <v>Mas de 3</v>
      </c>
      <c r="Q1697">
        <v>1</v>
      </c>
      <c r="R1697" t="str">
        <f t="shared" si="686"/>
        <v>A veces</v>
      </c>
      <c r="S1697">
        <v>0</v>
      </c>
      <c r="T1697" t="str">
        <f t="shared" si="687"/>
        <v>No fuma</v>
      </c>
      <c r="U1697">
        <v>2</v>
      </c>
      <c r="V1697">
        <f t="shared" si="688"/>
        <v>2</v>
      </c>
      <c r="W1697" t="str">
        <f t="shared" si="689"/>
        <v>Siempre</v>
      </c>
      <c r="X1697">
        <v>0</v>
      </c>
      <c r="Y1697" t="str">
        <f t="shared" si="690"/>
        <v>No controla</v>
      </c>
      <c r="Z1697">
        <v>1384607</v>
      </c>
      <c r="AA1697">
        <f t="shared" si="691"/>
        <v>3</v>
      </c>
      <c r="AB1697" t="str">
        <f t="shared" si="692"/>
        <v>Siempre</v>
      </c>
      <c r="AC1697">
        <v>0.63121700000000003</v>
      </c>
      <c r="AD1697">
        <f t="shared" si="693"/>
        <v>0</v>
      </c>
      <c r="AE1697" t="str">
        <f t="shared" si="694"/>
        <v>Nunca</v>
      </c>
      <c r="AF1697">
        <v>1</v>
      </c>
      <c r="AG1697" t="str">
        <f t="shared" si="695"/>
        <v>A veces</v>
      </c>
      <c r="AH1697">
        <v>0</v>
      </c>
      <c r="AI1697" t="str">
        <f t="shared" si="696"/>
        <v>No usa</v>
      </c>
      <c r="AJ1697">
        <v>0</v>
      </c>
      <c r="AK1697" t="str">
        <f t="shared" si="697"/>
        <v>No usa</v>
      </c>
      <c r="AL1697">
        <v>0</v>
      </c>
      <c r="AM1697" t="str">
        <f t="shared" si="698"/>
        <v>No usa</v>
      </c>
      <c r="AN1697">
        <v>1</v>
      </c>
      <c r="AO1697" t="str">
        <f t="shared" si="699"/>
        <v>Usa Transporte</v>
      </c>
      <c r="AP1697">
        <v>0</v>
      </c>
      <c r="AQ1697" t="str">
        <f t="shared" si="700"/>
        <v>No camina</v>
      </c>
      <c r="AR1697">
        <v>1</v>
      </c>
      <c r="AS1697" t="str">
        <f t="shared" si="701"/>
        <v>Es Obeso</v>
      </c>
    </row>
    <row r="1698" spans="1:45" x14ac:dyDescent="0.25">
      <c r="A1698">
        <v>1</v>
      </c>
      <c r="B1698" t="str">
        <f t="shared" si="676"/>
        <v>M</v>
      </c>
      <c r="C1698">
        <v>23745833</v>
      </c>
      <c r="D1698">
        <f t="shared" si="677"/>
        <v>65</v>
      </c>
      <c r="E1698">
        <f t="shared" si="678"/>
        <v>65</v>
      </c>
      <c r="F1698" t="str">
        <f t="shared" si="679"/>
        <v>50-75</v>
      </c>
      <c r="G1698">
        <v>1</v>
      </c>
      <c r="H1698" t="str">
        <f t="shared" si="680"/>
        <v>Pariente gordo</v>
      </c>
      <c r="I1698">
        <v>1</v>
      </c>
      <c r="J1698" t="str">
        <f t="shared" si="681"/>
        <v>Hipercaloricos</v>
      </c>
      <c r="K1698">
        <v>1537505</v>
      </c>
      <c r="L1698">
        <f t="shared" si="682"/>
        <v>1</v>
      </c>
      <c r="M1698" t="str">
        <f t="shared" si="683"/>
        <v>Suele comer</v>
      </c>
      <c r="N1698">
        <v>3</v>
      </c>
      <c r="O1698">
        <f t="shared" si="684"/>
        <v>2</v>
      </c>
      <c r="P1698" t="str">
        <f t="shared" si="685"/>
        <v>Mas de 3</v>
      </c>
      <c r="Q1698">
        <v>1</v>
      </c>
      <c r="R1698" t="str">
        <f t="shared" si="686"/>
        <v>A veces</v>
      </c>
      <c r="S1698">
        <v>0</v>
      </c>
      <c r="T1698" t="str">
        <f t="shared" si="687"/>
        <v>No fuma</v>
      </c>
      <c r="U1698">
        <v>2</v>
      </c>
      <c r="V1698">
        <f t="shared" si="688"/>
        <v>2</v>
      </c>
      <c r="W1698" t="str">
        <f t="shared" si="689"/>
        <v>Siempre</v>
      </c>
      <c r="X1698">
        <v>0</v>
      </c>
      <c r="Y1698" t="str">
        <f t="shared" si="690"/>
        <v>No controla</v>
      </c>
      <c r="Z1698">
        <v>1631912</v>
      </c>
      <c r="AA1698">
        <f t="shared" si="691"/>
        <v>3</v>
      </c>
      <c r="AB1698" t="str">
        <f t="shared" si="692"/>
        <v>Siempre</v>
      </c>
      <c r="AC1698">
        <v>0.63142200000000004</v>
      </c>
      <c r="AD1698">
        <f t="shared" si="693"/>
        <v>0</v>
      </c>
      <c r="AE1698" t="str">
        <f t="shared" si="694"/>
        <v>Nunca</v>
      </c>
      <c r="AF1698">
        <v>1</v>
      </c>
      <c r="AG1698" t="str">
        <f t="shared" si="695"/>
        <v>A veces</v>
      </c>
      <c r="AH1698">
        <v>0</v>
      </c>
      <c r="AI1698" t="str">
        <f t="shared" si="696"/>
        <v>No usa</v>
      </c>
      <c r="AJ1698">
        <v>0</v>
      </c>
      <c r="AK1698" t="str">
        <f t="shared" si="697"/>
        <v>No usa</v>
      </c>
      <c r="AL1698">
        <v>0</v>
      </c>
      <c r="AM1698" t="str">
        <f t="shared" si="698"/>
        <v>No usa</v>
      </c>
      <c r="AN1698">
        <v>1</v>
      </c>
      <c r="AO1698" t="str">
        <f t="shared" si="699"/>
        <v>Usa Transporte</v>
      </c>
      <c r="AP1698">
        <v>0</v>
      </c>
      <c r="AQ1698" t="str">
        <f t="shared" si="700"/>
        <v>No camina</v>
      </c>
      <c r="AR1698">
        <v>1</v>
      </c>
      <c r="AS1698" t="str">
        <f t="shared" si="701"/>
        <v>Es Obeso</v>
      </c>
    </row>
    <row r="1699" spans="1:45" x14ac:dyDescent="0.25">
      <c r="A1699">
        <v>1</v>
      </c>
      <c r="B1699" t="str">
        <f t="shared" si="676"/>
        <v>M</v>
      </c>
      <c r="C1699">
        <v>23327836</v>
      </c>
      <c r="D1699">
        <f t="shared" si="677"/>
        <v>63</v>
      </c>
      <c r="E1699">
        <f t="shared" si="678"/>
        <v>63</v>
      </c>
      <c r="F1699" t="str">
        <f t="shared" si="679"/>
        <v>50-75</v>
      </c>
      <c r="G1699">
        <v>1</v>
      </c>
      <c r="H1699" t="str">
        <f t="shared" si="680"/>
        <v>Pariente gordo</v>
      </c>
      <c r="I1699">
        <v>1</v>
      </c>
      <c r="J1699" t="str">
        <f t="shared" si="681"/>
        <v>Hipercaloricos</v>
      </c>
      <c r="K1699">
        <v>1893428</v>
      </c>
      <c r="L1699">
        <f t="shared" si="682"/>
        <v>1</v>
      </c>
      <c r="M1699" t="str">
        <f t="shared" si="683"/>
        <v>Suele comer</v>
      </c>
      <c r="N1699">
        <v>3</v>
      </c>
      <c r="O1699">
        <f t="shared" si="684"/>
        <v>2</v>
      </c>
      <c r="P1699" t="str">
        <f t="shared" si="685"/>
        <v>Mas de 3</v>
      </c>
      <c r="Q1699">
        <v>1</v>
      </c>
      <c r="R1699" t="str">
        <f t="shared" si="686"/>
        <v>A veces</v>
      </c>
      <c r="S1699">
        <v>0</v>
      </c>
      <c r="T1699" t="str">
        <f t="shared" si="687"/>
        <v>No fuma</v>
      </c>
      <c r="U1699">
        <v>2</v>
      </c>
      <c r="V1699">
        <f t="shared" si="688"/>
        <v>2</v>
      </c>
      <c r="W1699" t="str">
        <f t="shared" si="689"/>
        <v>Siempre</v>
      </c>
      <c r="X1699">
        <v>0</v>
      </c>
      <c r="Y1699" t="str">
        <f t="shared" si="690"/>
        <v>No controla</v>
      </c>
      <c r="Z1699">
        <v>1917383</v>
      </c>
      <c r="AA1699">
        <f t="shared" si="691"/>
        <v>3</v>
      </c>
      <c r="AB1699" t="str">
        <f t="shared" si="692"/>
        <v>Siempre</v>
      </c>
      <c r="AC1699">
        <v>0.93647999999999998</v>
      </c>
      <c r="AD1699">
        <f t="shared" si="693"/>
        <v>0</v>
      </c>
      <c r="AE1699" t="str">
        <f t="shared" si="694"/>
        <v>Nunca</v>
      </c>
      <c r="AF1699">
        <v>1</v>
      </c>
      <c r="AG1699" t="str">
        <f t="shared" si="695"/>
        <v>A veces</v>
      </c>
      <c r="AH1699">
        <v>0</v>
      </c>
      <c r="AI1699" t="str">
        <f t="shared" si="696"/>
        <v>No usa</v>
      </c>
      <c r="AJ1699">
        <v>0</v>
      </c>
      <c r="AK1699" t="str">
        <f t="shared" si="697"/>
        <v>No usa</v>
      </c>
      <c r="AL1699">
        <v>0</v>
      </c>
      <c r="AM1699" t="str">
        <f t="shared" si="698"/>
        <v>No usa</v>
      </c>
      <c r="AN1699">
        <v>1</v>
      </c>
      <c r="AO1699" t="str">
        <f t="shared" si="699"/>
        <v>Usa Transporte</v>
      </c>
      <c r="AP1699">
        <v>0</v>
      </c>
      <c r="AQ1699" t="str">
        <f t="shared" si="700"/>
        <v>No camina</v>
      </c>
      <c r="AR1699">
        <v>1</v>
      </c>
      <c r="AS1699" t="str">
        <f t="shared" si="701"/>
        <v>Es Obeso</v>
      </c>
    </row>
    <row r="1700" spans="1:45" x14ac:dyDescent="0.25">
      <c r="A1700">
        <v>1</v>
      </c>
      <c r="B1700" t="str">
        <f t="shared" si="676"/>
        <v>M</v>
      </c>
      <c r="C1700">
        <v>23411141</v>
      </c>
      <c r="D1700">
        <f t="shared" si="677"/>
        <v>64</v>
      </c>
      <c r="E1700">
        <f t="shared" si="678"/>
        <v>64</v>
      </c>
      <c r="F1700" t="str">
        <f t="shared" si="679"/>
        <v>50-75</v>
      </c>
      <c r="G1700">
        <v>1</v>
      </c>
      <c r="H1700" t="str">
        <f t="shared" si="680"/>
        <v>Pariente gordo</v>
      </c>
      <c r="I1700">
        <v>1</v>
      </c>
      <c r="J1700" t="str">
        <f t="shared" si="681"/>
        <v>Hipercaloricos</v>
      </c>
      <c r="K1700">
        <v>2007845</v>
      </c>
      <c r="L1700">
        <f t="shared" si="682"/>
        <v>1</v>
      </c>
      <c r="M1700" t="str">
        <f t="shared" si="683"/>
        <v>Suele comer</v>
      </c>
      <c r="N1700">
        <v>2954446</v>
      </c>
      <c r="O1700">
        <f t="shared" si="684"/>
        <v>2</v>
      </c>
      <c r="P1700" t="str">
        <f t="shared" si="685"/>
        <v>Mas de 3</v>
      </c>
      <c r="Q1700">
        <v>1</v>
      </c>
      <c r="R1700" t="str">
        <f t="shared" si="686"/>
        <v>A veces</v>
      </c>
      <c r="S1700">
        <v>0</v>
      </c>
      <c r="T1700" t="str">
        <f t="shared" si="687"/>
        <v>No fuma</v>
      </c>
      <c r="U1700">
        <v>1968796</v>
      </c>
      <c r="V1700">
        <f t="shared" si="688"/>
        <v>2</v>
      </c>
      <c r="W1700" t="str">
        <f t="shared" si="689"/>
        <v>Siempre</v>
      </c>
      <c r="X1700">
        <v>0</v>
      </c>
      <c r="Y1700" t="str">
        <f t="shared" si="690"/>
        <v>No controla</v>
      </c>
      <c r="Z1700">
        <v>1587406</v>
      </c>
      <c r="AA1700">
        <f t="shared" si="691"/>
        <v>3</v>
      </c>
      <c r="AB1700" t="str">
        <f t="shared" si="692"/>
        <v>Siempre</v>
      </c>
      <c r="AC1700">
        <v>0.838947</v>
      </c>
      <c r="AD1700">
        <f t="shared" si="693"/>
        <v>0</v>
      </c>
      <c r="AE1700" t="str">
        <f t="shared" si="694"/>
        <v>Nunca</v>
      </c>
      <c r="AF1700">
        <v>1</v>
      </c>
      <c r="AG1700" t="str">
        <f t="shared" si="695"/>
        <v>A veces</v>
      </c>
      <c r="AH1700">
        <v>0</v>
      </c>
      <c r="AI1700" t="str">
        <f t="shared" si="696"/>
        <v>No usa</v>
      </c>
      <c r="AJ1700">
        <v>0</v>
      </c>
      <c r="AK1700" t="str">
        <f t="shared" si="697"/>
        <v>No usa</v>
      </c>
      <c r="AL1700">
        <v>0</v>
      </c>
      <c r="AM1700" t="str">
        <f t="shared" si="698"/>
        <v>No usa</v>
      </c>
      <c r="AN1700">
        <v>1</v>
      </c>
      <c r="AO1700" t="str">
        <f t="shared" si="699"/>
        <v>Usa Transporte</v>
      </c>
      <c r="AP1700">
        <v>0</v>
      </c>
      <c r="AQ1700" t="str">
        <f t="shared" si="700"/>
        <v>No camina</v>
      </c>
      <c r="AR1700">
        <v>1</v>
      </c>
      <c r="AS1700" t="str">
        <f t="shared" si="701"/>
        <v>Es Obeso</v>
      </c>
    </row>
    <row r="1701" spans="1:45" x14ac:dyDescent="0.25">
      <c r="A1701">
        <v>1</v>
      </c>
      <c r="B1701" t="str">
        <f t="shared" si="676"/>
        <v>M</v>
      </c>
      <c r="C1701">
        <v>39825592</v>
      </c>
      <c r="D1701">
        <f t="shared" si="677"/>
        <v>109</v>
      </c>
      <c r="E1701">
        <f t="shared" si="678"/>
        <v>100</v>
      </c>
      <c r="F1701" t="str">
        <f t="shared" si="679"/>
        <v>75-100</v>
      </c>
      <c r="G1701">
        <v>1</v>
      </c>
      <c r="H1701" t="str">
        <f t="shared" si="680"/>
        <v>Pariente gordo</v>
      </c>
      <c r="I1701">
        <v>1</v>
      </c>
      <c r="J1701" t="str">
        <f t="shared" si="681"/>
        <v>Hipercaloricos</v>
      </c>
      <c r="K1701">
        <v>2487781</v>
      </c>
      <c r="L1701">
        <f t="shared" si="682"/>
        <v>1</v>
      </c>
      <c r="M1701" t="str">
        <f t="shared" si="683"/>
        <v>Suele comer</v>
      </c>
      <c r="N1701">
        <v>3755976</v>
      </c>
      <c r="O1701">
        <f t="shared" si="684"/>
        <v>2</v>
      </c>
      <c r="P1701" t="str">
        <f t="shared" si="685"/>
        <v>Mas de 3</v>
      </c>
      <c r="Q1701">
        <v>1</v>
      </c>
      <c r="R1701" t="str">
        <f t="shared" si="686"/>
        <v>A veces</v>
      </c>
      <c r="S1701">
        <v>0</v>
      </c>
      <c r="T1701" t="str">
        <f t="shared" si="687"/>
        <v>No fuma</v>
      </c>
      <c r="U1701">
        <v>1</v>
      </c>
      <c r="V1701">
        <f t="shared" si="688"/>
        <v>1</v>
      </c>
      <c r="W1701" t="str">
        <f t="shared" si="689"/>
        <v>Usualmente</v>
      </c>
      <c r="X1701">
        <v>0</v>
      </c>
      <c r="Y1701" t="str">
        <f t="shared" si="690"/>
        <v>No controla</v>
      </c>
      <c r="Z1701">
        <v>1860765</v>
      </c>
      <c r="AA1701">
        <f t="shared" si="691"/>
        <v>3</v>
      </c>
      <c r="AB1701" t="str">
        <f t="shared" si="692"/>
        <v>Siempre</v>
      </c>
      <c r="AC1701">
        <v>0</v>
      </c>
      <c r="AD1701">
        <f t="shared" si="693"/>
        <v>0</v>
      </c>
      <c r="AE1701" t="str">
        <f t="shared" si="694"/>
        <v>Nunca</v>
      </c>
      <c r="AF1701">
        <v>0</v>
      </c>
      <c r="AG1701" t="str">
        <f t="shared" si="695"/>
        <v>Nunca</v>
      </c>
      <c r="AH1701">
        <v>1</v>
      </c>
      <c r="AI1701" t="str">
        <f t="shared" si="696"/>
        <v>Usa auto</v>
      </c>
      <c r="AJ1701">
        <v>0</v>
      </c>
      <c r="AK1701" t="str">
        <f t="shared" si="697"/>
        <v>No usa</v>
      </c>
      <c r="AL1701">
        <v>0</v>
      </c>
      <c r="AM1701" t="str">
        <f t="shared" si="698"/>
        <v>No usa</v>
      </c>
      <c r="AN1701">
        <v>0</v>
      </c>
      <c r="AO1701" t="str">
        <f t="shared" si="699"/>
        <v>No usa</v>
      </c>
      <c r="AP1701">
        <v>0</v>
      </c>
      <c r="AQ1701" t="str">
        <f t="shared" si="700"/>
        <v>No camina</v>
      </c>
      <c r="AR1701">
        <v>1</v>
      </c>
      <c r="AS1701" t="str">
        <f t="shared" si="701"/>
        <v>Es Obeso</v>
      </c>
    </row>
    <row r="1702" spans="1:45" x14ac:dyDescent="0.25">
      <c r="A1702">
        <v>1</v>
      </c>
      <c r="B1702" t="str">
        <f t="shared" si="676"/>
        <v>M</v>
      </c>
      <c r="C1702">
        <v>36839761</v>
      </c>
      <c r="D1702">
        <f t="shared" si="677"/>
        <v>100</v>
      </c>
      <c r="E1702">
        <f t="shared" si="678"/>
        <v>100</v>
      </c>
      <c r="F1702" t="str">
        <f t="shared" si="679"/>
        <v>75-100</v>
      </c>
      <c r="G1702">
        <v>1</v>
      </c>
      <c r="H1702" t="str">
        <f t="shared" si="680"/>
        <v>Pariente gordo</v>
      </c>
      <c r="I1702">
        <v>1</v>
      </c>
      <c r="J1702" t="str">
        <f t="shared" si="681"/>
        <v>Hipercaloricos</v>
      </c>
      <c r="K1702">
        <v>2541785</v>
      </c>
      <c r="L1702">
        <f t="shared" si="682"/>
        <v>1</v>
      </c>
      <c r="M1702" t="str">
        <f t="shared" si="683"/>
        <v>Suele comer</v>
      </c>
      <c r="N1702">
        <v>2902639</v>
      </c>
      <c r="O1702">
        <f t="shared" si="684"/>
        <v>2</v>
      </c>
      <c r="P1702" t="str">
        <f t="shared" si="685"/>
        <v>Mas de 3</v>
      </c>
      <c r="Q1702">
        <v>1</v>
      </c>
      <c r="R1702" t="str">
        <f t="shared" si="686"/>
        <v>A veces</v>
      </c>
      <c r="S1702">
        <v>0</v>
      </c>
      <c r="T1702" t="str">
        <f t="shared" si="687"/>
        <v>No fuma</v>
      </c>
      <c r="U1702">
        <v>1</v>
      </c>
      <c r="V1702">
        <f t="shared" si="688"/>
        <v>1</v>
      </c>
      <c r="W1702" t="str">
        <f t="shared" si="689"/>
        <v>Usualmente</v>
      </c>
      <c r="X1702">
        <v>0</v>
      </c>
      <c r="Y1702" t="str">
        <f t="shared" si="690"/>
        <v>No controla</v>
      </c>
      <c r="Z1702">
        <v>1668961</v>
      </c>
      <c r="AA1702">
        <f t="shared" si="691"/>
        <v>3</v>
      </c>
      <c r="AB1702" t="str">
        <f t="shared" si="692"/>
        <v>Siempre</v>
      </c>
      <c r="AC1702">
        <v>0</v>
      </c>
      <c r="AD1702">
        <f t="shared" si="693"/>
        <v>0</v>
      </c>
      <c r="AE1702" t="str">
        <f t="shared" si="694"/>
        <v>Nunca</v>
      </c>
      <c r="AF1702">
        <v>0</v>
      </c>
      <c r="AG1702" t="str">
        <f t="shared" si="695"/>
        <v>Nunca</v>
      </c>
      <c r="AH1702">
        <v>1</v>
      </c>
      <c r="AI1702" t="str">
        <f t="shared" si="696"/>
        <v>Usa auto</v>
      </c>
      <c r="AJ1702">
        <v>0</v>
      </c>
      <c r="AK1702" t="str">
        <f t="shared" si="697"/>
        <v>No usa</v>
      </c>
      <c r="AL1702">
        <v>0</v>
      </c>
      <c r="AM1702" t="str">
        <f t="shared" si="698"/>
        <v>No usa</v>
      </c>
      <c r="AN1702">
        <v>0</v>
      </c>
      <c r="AO1702" t="str">
        <f t="shared" si="699"/>
        <v>No usa</v>
      </c>
      <c r="AP1702">
        <v>0</v>
      </c>
      <c r="AQ1702" t="str">
        <f t="shared" si="700"/>
        <v>No camina</v>
      </c>
      <c r="AR1702">
        <v>1</v>
      </c>
      <c r="AS1702" t="str">
        <f t="shared" si="701"/>
        <v>Es Obeso</v>
      </c>
    </row>
    <row r="1703" spans="1:45" x14ac:dyDescent="0.25">
      <c r="A1703">
        <v>1</v>
      </c>
      <c r="B1703" t="str">
        <f t="shared" si="676"/>
        <v>M</v>
      </c>
      <c r="C1703">
        <v>33789301</v>
      </c>
      <c r="D1703">
        <f t="shared" si="677"/>
        <v>92</v>
      </c>
      <c r="E1703">
        <f t="shared" si="678"/>
        <v>92</v>
      </c>
      <c r="F1703" t="str">
        <f t="shared" si="679"/>
        <v>75-100</v>
      </c>
      <c r="G1703">
        <v>1</v>
      </c>
      <c r="H1703" t="str">
        <f t="shared" si="680"/>
        <v>Pariente gordo</v>
      </c>
      <c r="I1703">
        <v>1</v>
      </c>
      <c r="J1703" t="str">
        <f t="shared" si="681"/>
        <v>Hipercaloricos</v>
      </c>
      <c r="K1703">
        <v>2813775</v>
      </c>
      <c r="L1703">
        <f t="shared" si="682"/>
        <v>1</v>
      </c>
      <c r="M1703" t="str">
        <f t="shared" si="683"/>
        <v>Suele comer</v>
      </c>
      <c r="N1703">
        <v>2372705</v>
      </c>
      <c r="O1703">
        <f t="shared" si="684"/>
        <v>2</v>
      </c>
      <c r="P1703" t="str">
        <f t="shared" si="685"/>
        <v>Mas de 3</v>
      </c>
      <c r="Q1703">
        <v>1</v>
      </c>
      <c r="R1703" t="str">
        <f t="shared" si="686"/>
        <v>A veces</v>
      </c>
      <c r="S1703">
        <v>0</v>
      </c>
      <c r="T1703" t="str">
        <f t="shared" si="687"/>
        <v>No fuma</v>
      </c>
      <c r="U1703">
        <v>1</v>
      </c>
      <c r="V1703">
        <f t="shared" si="688"/>
        <v>1</v>
      </c>
      <c r="W1703" t="str">
        <f t="shared" si="689"/>
        <v>Usualmente</v>
      </c>
      <c r="X1703">
        <v>0</v>
      </c>
      <c r="Y1703" t="str">
        <f t="shared" si="690"/>
        <v>No controla</v>
      </c>
      <c r="Z1703">
        <v>1979355</v>
      </c>
      <c r="AA1703">
        <f t="shared" si="691"/>
        <v>3</v>
      </c>
      <c r="AB1703" t="str">
        <f t="shared" si="692"/>
        <v>Siempre</v>
      </c>
      <c r="AC1703">
        <v>0</v>
      </c>
      <c r="AD1703">
        <f t="shared" si="693"/>
        <v>0</v>
      </c>
      <c r="AE1703" t="str">
        <f t="shared" si="694"/>
        <v>Nunca</v>
      </c>
      <c r="AF1703">
        <v>0</v>
      </c>
      <c r="AG1703" t="str">
        <f t="shared" si="695"/>
        <v>Nunca</v>
      </c>
      <c r="AH1703">
        <v>0</v>
      </c>
      <c r="AI1703" t="str">
        <f t="shared" si="696"/>
        <v>No usa</v>
      </c>
      <c r="AJ1703">
        <v>0</v>
      </c>
      <c r="AK1703" t="str">
        <f t="shared" si="697"/>
        <v>No usa</v>
      </c>
      <c r="AL1703">
        <v>0</v>
      </c>
      <c r="AM1703" t="str">
        <f t="shared" si="698"/>
        <v>No usa</v>
      </c>
      <c r="AN1703">
        <v>1</v>
      </c>
      <c r="AO1703" t="str">
        <f t="shared" si="699"/>
        <v>Usa Transporte</v>
      </c>
      <c r="AP1703">
        <v>0</v>
      </c>
      <c r="AQ1703" t="str">
        <f t="shared" si="700"/>
        <v>No camina</v>
      </c>
      <c r="AR1703">
        <v>1</v>
      </c>
      <c r="AS1703" t="str">
        <f t="shared" si="701"/>
        <v>Es Obeso</v>
      </c>
    </row>
    <row r="1704" spans="1:45" x14ac:dyDescent="0.25">
      <c r="A1704">
        <v>1</v>
      </c>
      <c r="B1704" t="str">
        <f t="shared" si="676"/>
        <v>M</v>
      </c>
      <c r="C1704">
        <v>34161998</v>
      </c>
      <c r="D1704">
        <f t="shared" si="677"/>
        <v>93</v>
      </c>
      <c r="E1704">
        <f t="shared" si="678"/>
        <v>93</v>
      </c>
      <c r="F1704" t="str">
        <f t="shared" si="679"/>
        <v>75-100</v>
      </c>
      <c r="G1704">
        <v>1</v>
      </c>
      <c r="H1704" t="str">
        <f t="shared" si="680"/>
        <v>Pariente gordo</v>
      </c>
      <c r="I1704">
        <v>1</v>
      </c>
      <c r="J1704" t="str">
        <f t="shared" si="681"/>
        <v>Hipercaloricos</v>
      </c>
      <c r="K1704">
        <v>2562687</v>
      </c>
      <c r="L1704">
        <f t="shared" si="682"/>
        <v>1</v>
      </c>
      <c r="M1704" t="str">
        <f t="shared" si="683"/>
        <v>Suele comer</v>
      </c>
      <c r="N1704">
        <v>2100918</v>
      </c>
      <c r="O1704">
        <f t="shared" si="684"/>
        <v>2</v>
      </c>
      <c r="P1704" t="str">
        <f t="shared" si="685"/>
        <v>Mas de 3</v>
      </c>
      <c r="Q1704">
        <v>1</v>
      </c>
      <c r="R1704" t="str">
        <f t="shared" si="686"/>
        <v>A veces</v>
      </c>
      <c r="S1704">
        <v>0</v>
      </c>
      <c r="T1704" t="str">
        <f t="shared" si="687"/>
        <v>No fuma</v>
      </c>
      <c r="U1704">
        <v>1458545</v>
      </c>
      <c r="V1704">
        <f t="shared" si="688"/>
        <v>2</v>
      </c>
      <c r="W1704" t="str">
        <f t="shared" si="689"/>
        <v>Siempre</v>
      </c>
      <c r="X1704">
        <v>0</v>
      </c>
      <c r="Y1704" t="str">
        <f t="shared" si="690"/>
        <v>No controla</v>
      </c>
      <c r="Z1704">
        <v>1167856</v>
      </c>
      <c r="AA1704">
        <f t="shared" si="691"/>
        <v>3</v>
      </c>
      <c r="AB1704" t="str">
        <f t="shared" si="692"/>
        <v>Siempre</v>
      </c>
      <c r="AC1704">
        <v>0.412329</v>
      </c>
      <c r="AD1704">
        <f t="shared" si="693"/>
        <v>0</v>
      </c>
      <c r="AE1704" t="str">
        <f t="shared" si="694"/>
        <v>Nunca</v>
      </c>
      <c r="AF1704">
        <v>0</v>
      </c>
      <c r="AG1704" t="str">
        <f t="shared" si="695"/>
        <v>Nunca</v>
      </c>
      <c r="AH1704">
        <v>0</v>
      </c>
      <c r="AI1704" t="str">
        <f t="shared" si="696"/>
        <v>No usa</v>
      </c>
      <c r="AJ1704">
        <v>0</v>
      </c>
      <c r="AK1704" t="str">
        <f t="shared" si="697"/>
        <v>No usa</v>
      </c>
      <c r="AL1704">
        <v>0</v>
      </c>
      <c r="AM1704" t="str">
        <f t="shared" si="698"/>
        <v>No usa</v>
      </c>
      <c r="AN1704">
        <v>1</v>
      </c>
      <c r="AO1704" t="str">
        <f t="shared" si="699"/>
        <v>Usa Transporte</v>
      </c>
      <c r="AP1704">
        <v>0</v>
      </c>
      <c r="AQ1704" t="str">
        <f t="shared" si="700"/>
        <v>No camina</v>
      </c>
      <c r="AR1704">
        <v>1</v>
      </c>
      <c r="AS1704" t="str">
        <f t="shared" si="701"/>
        <v>Es Obeso</v>
      </c>
    </row>
    <row r="1705" spans="1:45" x14ac:dyDescent="0.25">
      <c r="A1705">
        <v>1</v>
      </c>
      <c r="B1705" t="str">
        <f t="shared" si="676"/>
        <v>M</v>
      </c>
      <c r="C1705">
        <v>22580038</v>
      </c>
      <c r="D1705">
        <f t="shared" si="677"/>
        <v>61</v>
      </c>
      <c r="E1705">
        <f t="shared" si="678"/>
        <v>61</v>
      </c>
      <c r="F1705" t="str">
        <f t="shared" si="679"/>
        <v>50-75</v>
      </c>
      <c r="G1705">
        <v>1</v>
      </c>
      <c r="H1705" t="str">
        <f t="shared" si="680"/>
        <v>Pariente gordo</v>
      </c>
      <c r="I1705">
        <v>1</v>
      </c>
      <c r="J1705" t="str">
        <f t="shared" si="681"/>
        <v>Hipercaloricos</v>
      </c>
      <c r="K1705">
        <v>3</v>
      </c>
      <c r="L1705">
        <f t="shared" si="682"/>
        <v>1</v>
      </c>
      <c r="M1705" t="str">
        <f t="shared" si="683"/>
        <v>Suele comer</v>
      </c>
      <c r="N1705">
        <v>2272801</v>
      </c>
      <c r="O1705">
        <f t="shared" si="684"/>
        <v>2</v>
      </c>
      <c r="P1705" t="str">
        <f t="shared" si="685"/>
        <v>Mas de 3</v>
      </c>
      <c r="Q1705">
        <v>1</v>
      </c>
      <c r="R1705" t="str">
        <f t="shared" si="686"/>
        <v>A veces</v>
      </c>
      <c r="S1705">
        <v>0</v>
      </c>
      <c r="T1705" t="str">
        <f t="shared" si="687"/>
        <v>No fuma</v>
      </c>
      <c r="U1705">
        <v>1560064</v>
      </c>
      <c r="V1705">
        <f t="shared" si="688"/>
        <v>2</v>
      </c>
      <c r="W1705" t="str">
        <f t="shared" si="689"/>
        <v>Siempre</v>
      </c>
      <c r="X1705">
        <v>0</v>
      </c>
      <c r="Y1705" t="str">
        <f t="shared" si="690"/>
        <v>No controla</v>
      </c>
      <c r="Z1705">
        <v>0.79676999999999998</v>
      </c>
      <c r="AA1705">
        <f t="shared" si="691"/>
        <v>0</v>
      </c>
      <c r="AB1705" t="str">
        <f t="shared" si="692"/>
        <v>Nunca</v>
      </c>
      <c r="AC1705">
        <v>0</v>
      </c>
      <c r="AD1705">
        <f t="shared" si="693"/>
        <v>0</v>
      </c>
      <c r="AE1705" t="str">
        <f t="shared" si="694"/>
        <v>Nunca</v>
      </c>
      <c r="AF1705">
        <v>1</v>
      </c>
      <c r="AG1705" t="str">
        <f t="shared" si="695"/>
        <v>A veces</v>
      </c>
      <c r="AH1705">
        <v>0</v>
      </c>
      <c r="AI1705" t="str">
        <f t="shared" si="696"/>
        <v>No usa</v>
      </c>
      <c r="AJ1705">
        <v>0</v>
      </c>
      <c r="AK1705" t="str">
        <f t="shared" si="697"/>
        <v>No usa</v>
      </c>
      <c r="AL1705">
        <v>0</v>
      </c>
      <c r="AM1705" t="str">
        <f t="shared" si="698"/>
        <v>No usa</v>
      </c>
      <c r="AN1705">
        <v>1</v>
      </c>
      <c r="AO1705" t="str">
        <f t="shared" si="699"/>
        <v>Usa Transporte</v>
      </c>
      <c r="AP1705">
        <v>0</v>
      </c>
      <c r="AQ1705" t="str">
        <f t="shared" si="700"/>
        <v>No camina</v>
      </c>
      <c r="AR1705">
        <v>1</v>
      </c>
      <c r="AS1705" t="str">
        <f t="shared" si="701"/>
        <v>Es Obeso</v>
      </c>
    </row>
    <row r="1706" spans="1:45" x14ac:dyDescent="0.25">
      <c r="A1706">
        <v>1</v>
      </c>
      <c r="B1706" t="str">
        <f t="shared" si="676"/>
        <v>M</v>
      </c>
      <c r="C1706">
        <v>22851721</v>
      </c>
      <c r="D1706">
        <f t="shared" si="677"/>
        <v>62</v>
      </c>
      <c r="E1706">
        <f t="shared" si="678"/>
        <v>62</v>
      </c>
      <c r="F1706" t="str">
        <f t="shared" si="679"/>
        <v>50-75</v>
      </c>
      <c r="G1706">
        <v>1</v>
      </c>
      <c r="H1706" t="str">
        <f t="shared" si="680"/>
        <v>Pariente gordo</v>
      </c>
      <c r="I1706">
        <v>1</v>
      </c>
      <c r="J1706" t="str">
        <f t="shared" si="681"/>
        <v>Hipercaloricos</v>
      </c>
      <c r="K1706">
        <v>2922511</v>
      </c>
      <c r="L1706">
        <f t="shared" si="682"/>
        <v>1</v>
      </c>
      <c r="M1706" t="str">
        <f t="shared" si="683"/>
        <v>Suele comer</v>
      </c>
      <c r="N1706">
        <v>2692889</v>
      </c>
      <c r="O1706">
        <f t="shared" si="684"/>
        <v>2</v>
      </c>
      <c r="P1706" t="str">
        <f t="shared" si="685"/>
        <v>Mas de 3</v>
      </c>
      <c r="Q1706">
        <v>1</v>
      </c>
      <c r="R1706" t="str">
        <f t="shared" si="686"/>
        <v>A veces</v>
      </c>
      <c r="S1706">
        <v>0</v>
      </c>
      <c r="T1706" t="str">
        <f t="shared" si="687"/>
        <v>No fuma</v>
      </c>
      <c r="U1706">
        <v>1809531</v>
      </c>
      <c r="V1706">
        <f t="shared" si="688"/>
        <v>2</v>
      </c>
      <c r="W1706" t="str">
        <f t="shared" si="689"/>
        <v>Siempre</v>
      </c>
      <c r="X1706">
        <v>0</v>
      </c>
      <c r="Y1706" t="str">
        <f t="shared" si="690"/>
        <v>No controla</v>
      </c>
      <c r="Z1706">
        <v>0.47859499999999999</v>
      </c>
      <c r="AA1706">
        <f t="shared" si="691"/>
        <v>0</v>
      </c>
      <c r="AB1706" t="str">
        <f t="shared" si="692"/>
        <v>Nunca</v>
      </c>
      <c r="AC1706">
        <v>0</v>
      </c>
      <c r="AD1706">
        <f t="shared" si="693"/>
        <v>0</v>
      </c>
      <c r="AE1706" t="str">
        <f t="shared" si="694"/>
        <v>Nunca</v>
      </c>
      <c r="AF1706">
        <v>1</v>
      </c>
      <c r="AG1706" t="str">
        <f t="shared" si="695"/>
        <v>A veces</v>
      </c>
      <c r="AH1706">
        <v>0</v>
      </c>
      <c r="AI1706" t="str">
        <f t="shared" si="696"/>
        <v>No usa</v>
      </c>
      <c r="AJ1706">
        <v>0</v>
      </c>
      <c r="AK1706" t="str">
        <f t="shared" si="697"/>
        <v>No usa</v>
      </c>
      <c r="AL1706">
        <v>0</v>
      </c>
      <c r="AM1706" t="str">
        <f t="shared" si="698"/>
        <v>No usa</v>
      </c>
      <c r="AN1706">
        <v>1</v>
      </c>
      <c r="AO1706" t="str">
        <f t="shared" si="699"/>
        <v>Usa Transporte</v>
      </c>
      <c r="AP1706">
        <v>0</v>
      </c>
      <c r="AQ1706" t="str">
        <f t="shared" si="700"/>
        <v>No camina</v>
      </c>
      <c r="AR1706">
        <v>1</v>
      </c>
      <c r="AS1706" t="str">
        <f t="shared" si="701"/>
        <v>Es Obeso</v>
      </c>
    </row>
    <row r="1707" spans="1:45" x14ac:dyDescent="0.25">
      <c r="A1707">
        <v>1</v>
      </c>
      <c r="B1707" t="str">
        <f t="shared" si="676"/>
        <v>M</v>
      </c>
      <c r="C1707">
        <v>23254934</v>
      </c>
      <c r="D1707">
        <f t="shared" si="677"/>
        <v>63</v>
      </c>
      <c r="E1707">
        <f t="shared" si="678"/>
        <v>63</v>
      </c>
      <c r="F1707" t="str">
        <f t="shared" si="679"/>
        <v>50-75</v>
      </c>
      <c r="G1707">
        <v>1</v>
      </c>
      <c r="H1707" t="str">
        <f t="shared" si="680"/>
        <v>Pariente gordo</v>
      </c>
      <c r="I1707">
        <v>1</v>
      </c>
      <c r="J1707" t="str">
        <f t="shared" si="681"/>
        <v>Hipercaloricos</v>
      </c>
      <c r="K1707">
        <v>3</v>
      </c>
      <c r="L1707">
        <f t="shared" si="682"/>
        <v>1</v>
      </c>
      <c r="M1707" t="str">
        <f t="shared" si="683"/>
        <v>Suele comer</v>
      </c>
      <c r="N1707">
        <v>2280545</v>
      </c>
      <c r="O1707">
        <f t="shared" si="684"/>
        <v>2</v>
      </c>
      <c r="P1707" t="str">
        <f t="shared" si="685"/>
        <v>Mas de 3</v>
      </c>
      <c r="Q1707">
        <v>1</v>
      </c>
      <c r="R1707" t="str">
        <f t="shared" si="686"/>
        <v>A veces</v>
      </c>
      <c r="S1707">
        <v>0</v>
      </c>
      <c r="T1707" t="str">
        <f t="shared" si="687"/>
        <v>No fuma</v>
      </c>
      <c r="U1707">
        <v>1591597</v>
      </c>
      <c r="V1707">
        <f t="shared" si="688"/>
        <v>2</v>
      </c>
      <c r="W1707" t="str">
        <f t="shared" si="689"/>
        <v>Siempre</v>
      </c>
      <c r="X1707">
        <v>0</v>
      </c>
      <c r="Y1707" t="str">
        <f t="shared" si="690"/>
        <v>No controla</v>
      </c>
      <c r="Z1707">
        <v>0.93278300000000003</v>
      </c>
      <c r="AA1707">
        <f t="shared" si="691"/>
        <v>0</v>
      </c>
      <c r="AB1707" t="str">
        <f t="shared" si="692"/>
        <v>Nunca</v>
      </c>
      <c r="AC1707">
        <v>0</v>
      </c>
      <c r="AD1707">
        <f t="shared" si="693"/>
        <v>0</v>
      </c>
      <c r="AE1707" t="str">
        <f t="shared" si="694"/>
        <v>Nunca</v>
      </c>
      <c r="AF1707">
        <v>1</v>
      </c>
      <c r="AG1707" t="str">
        <f t="shared" si="695"/>
        <v>A veces</v>
      </c>
      <c r="AH1707">
        <v>0</v>
      </c>
      <c r="AI1707" t="str">
        <f t="shared" si="696"/>
        <v>No usa</v>
      </c>
      <c r="AJ1707">
        <v>0</v>
      </c>
      <c r="AK1707" t="str">
        <f t="shared" si="697"/>
        <v>No usa</v>
      </c>
      <c r="AL1707">
        <v>0</v>
      </c>
      <c r="AM1707" t="str">
        <f t="shared" si="698"/>
        <v>No usa</v>
      </c>
      <c r="AN1707">
        <v>1</v>
      </c>
      <c r="AO1707" t="str">
        <f t="shared" si="699"/>
        <v>Usa Transporte</v>
      </c>
      <c r="AP1707">
        <v>0</v>
      </c>
      <c r="AQ1707" t="str">
        <f t="shared" si="700"/>
        <v>No camina</v>
      </c>
      <c r="AR1707">
        <v>1</v>
      </c>
      <c r="AS1707" t="str">
        <f t="shared" si="701"/>
        <v>Es Obeso</v>
      </c>
    </row>
    <row r="1708" spans="1:45" x14ac:dyDescent="0.25">
      <c r="A1708">
        <v>1</v>
      </c>
      <c r="B1708" t="str">
        <f t="shared" si="676"/>
        <v>M</v>
      </c>
      <c r="C1708">
        <v>22343204</v>
      </c>
      <c r="D1708">
        <f t="shared" si="677"/>
        <v>61</v>
      </c>
      <c r="E1708">
        <f t="shared" si="678"/>
        <v>61</v>
      </c>
      <c r="F1708" t="str">
        <f t="shared" si="679"/>
        <v>50-75</v>
      </c>
      <c r="G1708">
        <v>1</v>
      </c>
      <c r="H1708" t="str">
        <f t="shared" si="680"/>
        <v>Pariente gordo</v>
      </c>
      <c r="I1708">
        <v>1</v>
      </c>
      <c r="J1708" t="str">
        <f t="shared" si="681"/>
        <v>Hipercaloricos</v>
      </c>
      <c r="K1708">
        <v>2836055</v>
      </c>
      <c r="L1708">
        <f t="shared" si="682"/>
        <v>1</v>
      </c>
      <c r="M1708" t="str">
        <f t="shared" si="683"/>
        <v>Suele comer</v>
      </c>
      <c r="N1708">
        <v>2675411</v>
      </c>
      <c r="O1708">
        <f t="shared" si="684"/>
        <v>2</v>
      </c>
      <c r="P1708" t="str">
        <f t="shared" si="685"/>
        <v>Mas de 3</v>
      </c>
      <c r="Q1708">
        <v>1</v>
      </c>
      <c r="R1708" t="str">
        <f t="shared" si="686"/>
        <v>A veces</v>
      </c>
      <c r="S1708">
        <v>0</v>
      </c>
      <c r="T1708" t="str">
        <f t="shared" si="687"/>
        <v>No fuma</v>
      </c>
      <c r="U1708">
        <v>1711666</v>
      </c>
      <c r="V1708">
        <f t="shared" si="688"/>
        <v>2</v>
      </c>
      <c r="W1708" t="str">
        <f t="shared" si="689"/>
        <v>Siempre</v>
      </c>
      <c r="X1708">
        <v>0</v>
      </c>
      <c r="Y1708" t="str">
        <f t="shared" si="690"/>
        <v>No controla</v>
      </c>
      <c r="Z1708">
        <v>0.93732000000000004</v>
      </c>
      <c r="AA1708">
        <f t="shared" si="691"/>
        <v>0</v>
      </c>
      <c r="AB1708" t="str">
        <f t="shared" si="692"/>
        <v>Nunca</v>
      </c>
      <c r="AC1708">
        <v>0</v>
      </c>
      <c r="AD1708">
        <f t="shared" si="693"/>
        <v>0</v>
      </c>
      <c r="AE1708" t="str">
        <f t="shared" si="694"/>
        <v>Nunca</v>
      </c>
      <c r="AF1708">
        <v>1</v>
      </c>
      <c r="AG1708" t="str">
        <f t="shared" si="695"/>
        <v>A veces</v>
      </c>
      <c r="AH1708">
        <v>0</v>
      </c>
      <c r="AI1708" t="str">
        <f t="shared" si="696"/>
        <v>No usa</v>
      </c>
      <c r="AJ1708">
        <v>0</v>
      </c>
      <c r="AK1708" t="str">
        <f t="shared" si="697"/>
        <v>No usa</v>
      </c>
      <c r="AL1708">
        <v>0</v>
      </c>
      <c r="AM1708" t="str">
        <f t="shared" si="698"/>
        <v>No usa</v>
      </c>
      <c r="AN1708">
        <v>1</v>
      </c>
      <c r="AO1708" t="str">
        <f t="shared" si="699"/>
        <v>Usa Transporte</v>
      </c>
      <c r="AP1708">
        <v>0</v>
      </c>
      <c r="AQ1708" t="str">
        <f t="shared" si="700"/>
        <v>No camina</v>
      </c>
      <c r="AR1708">
        <v>1</v>
      </c>
      <c r="AS1708" t="str">
        <f t="shared" si="701"/>
        <v>Es Obeso</v>
      </c>
    </row>
    <row r="1709" spans="1:45" x14ac:dyDescent="0.25">
      <c r="A1709">
        <v>1</v>
      </c>
      <c r="B1709" t="str">
        <f t="shared" si="676"/>
        <v>M</v>
      </c>
      <c r="C1709">
        <v>24006271</v>
      </c>
      <c r="D1709">
        <f t="shared" si="677"/>
        <v>65</v>
      </c>
      <c r="E1709">
        <f t="shared" si="678"/>
        <v>65</v>
      </c>
      <c r="F1709" t="str">
        <f t="shared" si="679"/>
        <v>50-75</v>
      </c>
      <c r="G1709">
        <v>1</v>
      </c>
      <c r="H1709" t="str">
        <f t="shared" si="680"/>
        <v>Pariente gordo</v>
      </c>
      <c r="I1709">
        <v>1</v>
      </c>
      <c r="J1709" t="str">
        <f t="shared" si="681"/>
        <v>Hipercaloricos</v>
      </c>
      <c r="K1709">
        <v>2880759</v>
      </c>
      <c r="L1709">
        <f t="shared" si="682"/>
        <v>1</v>
      </c>
      <c r="M1709" t="str">
        <f t="shared" si="683"/>
        <v>Suele comer</v>
      </c>
      <c r="N1709">
        <v>1487674</v>
      </c>
      <c r="O1709">
        <f t="shared" si="684"/>
        <v>2</v>
      </c>
      <c r="P1709" t="str">
        <f t="shared" si="685"/>
        <v>Mas de 3</v>
      </c>
      <c r="Q1709">
        <v>1</v>
      </c>
      <c r="R1709" t="str">
        <f t="shared" si="686"/>
        <v>A veces</v>
      </c>
      <c r="S1709">
        <v>0</v>
      </c>
      <c r="T1709" t="str">
        <f t="shared" si="687"/>
        <v>No fuma</v>
      </c>
      <c r="U1709">
        <v>101378</v>
      </c>
      <c r="V1709">
        <f t="shared" si="688"/>
        <v>2</v>
      </c>
      <c r="W1709" t="str">
        <f t="shared" si="689"/>
        <v>Siempre</v>
      </c>
      <c r="X1709">
        <v>0</v>
      </c>
      <c r="Y1709" t="str">
        <f t="shared" si="690"/>
        <v>No controla</v>
      </c>
      <c r="Z1709">
        <v>100109</v>
      </c>
      <c r="AA1709">
        <f t="shared" si="691"/>
        <v>2</v>
      </c>
      <c r="AB1709" t="str">
        <f t="shared" si="692"/>
        <v>Usualmente</v>
      </c>
      <c r="AC1709">
        <v>109838</v>
      </c>
      <c r="AD1709">
        <f t="shared" si="693"/>
        <v>1</v>
      </c>
      <c r="AE1709" t="str">
        <f t="shared" si="694"/>
        <v>Usualmente</v>
      </c>
      <c r="AF1709">
        <v>0</v>
      </c>
      <c r="AG1709" t="str">
        <f t="shared" si="695"/>
        <v>Nunca</v>
      </c>
      <c r="AH1709">
        <v>0</v>
      </c>
      <c r="AI1709" t="str">
        <f t="shared" si="696"/>
        <v>No usa</v>
      </c>
      <c r="AJ1709">
        <v>0</v>
      </c>
      <c r="AK1709" t="str">
        <f t="shared" si="697"/>
        <v>No usa</v>
      </c>
      <c r="AL1709">
        <v>0</v>
      </c>
      <c r="AM1709" t="str">
        <f t="shared" si="698"/>
        <v>No usa</v>
      </c>
      <c r="AN1709">
        <v>1</v>
      </c>
      <c r="AO1709" t="str">
        <f t="shared" si="699"/>
        <v>Usa Transporte</v>
      </c>
      <c r="AP1709">
        <v>0</v>
      </c>
      <c r="AQ1709" t="str">
        <f t="shared" si="700"/>
        <v>No camina</v>
      </c>
      <c r="AR1709">
        <v>1</v>
      </c>
      <c r="AS1709" t="str">
        <f t="shared" si="701"/>
        <v>Es Obeso</v>
      </c>
    </row>
    <row r="1710" spans="1:45" x14ac:dyDescent="0.25">
      <c r="A1710">
        <v>1</v>
      </c>
      <c r="B1710" t="str">
        <f t="shared" si="676"/>
        <v>M</v>
      </c>
      <c r="C1710">
        <v>24001196</v>
      </c>
      <c r="D1710">
        <f t="shared" si="677"/>
        <v>65</v>
      </c>
      <c r="E1710">
        <f t="shared" si="678"/>
        <v>65</v>
      </c>
      <c r="F1710" t="str">
        <f t="shared" si="679"/>
        <v>50-75</v>
      </c>
      <c r="G1710">
        <v>1</v>
      </c>
      <c r="H1710" t="str">
        <f t="shared" si="680"/>
        <v>Pariente gordo</v>
      </c>
      <c r="I1710">
        <v>1</v>
      </c>
      <c r="J1710" t="str">
        <f t="shared" si="681"/>
        <v>Hipercaloricos</v>
      </c>
      <c r="K1710">
        <v>3</v>
      </c>
      <c r="L1710">
        <f t="shared" si="682"/>
        <v>1</v>
      </c>
      <c r="M1710" t="str">
        <f t="shared" si="683"/>
        <v>Suele comer</v>
      </c>
      <c r="N1710">
        <v>102075</v>
      </c>
      <c r="O1710">
        <f t="shared" si="684"/>
        <v>2</v>
      </c>
      <c r="P1710" t="str">
        <f t="shared" si="685"/>
        <v>Mas de 3</v>
      </c>
      <c r="Q1710">
        <v>1</v>
      </c>
      <c r="R1710" t="str">
        <f t="shared" si="686"/>
        <v>A veces</v>
      </c>
      <c r="S1710">
        <v>0</v>
      </c>
      <c r="T1710" t="str">
        <f t="shared" si="687"/>
        <v>No fuma</v>
      </c>
      <c r="U1710">
        <v>1</v>
      </c>
      <c r="V1710">
        <f t="shared" si="688"/>
        <v>1</v>
      </c>
      <c r="W1710" t="str">
        <f t="shared" si="689"/>
        <v>Usualmente</v>
      </c>
      <c r="X1710">
        <v>0</v>
      </c>
      <c r="Y1710" t="str">
        <f t="shared" si="690"/>
        <v>No controla</v>
      </c>
      <c r="Z1710">
        <v>0.23305600000000001</v>
      </c>
      <c r="AA1710">
        <f t="shared" si="691"/>
        <v>0</v>
      </c>
      <c r="AB1710" t="str">
        <f t="shared" si="692"/>
        <v>Nunca</v>
      </c>
      <c r="AC1710">
        <v>1707421</v>
      </c>
      <c r="AD1710">
        <f t="shared" si="693"/>
        <v>2</v>
      </c>
      <c r="AE1710" t="str">
        <f t="shared" si="694"/>
        <v>Siempre</v>
      </c>
      <c r="AF1710">
        <v>0</v>
      </c>
      <c r="AG1710" t="str">
        <f t="shared" si="695"/>
        <v>Nunca</v>
      </c>
      <c r="AH1710">
        <v>0</v>
      </c>
      <c r="AI1710" t="str">
        <f t="shared" si="696"/>
        <v>No usa</v>
      </c>
      <c r="AJ1710">
        <v>0</v>
      </c>
      <c r="AK1710" t="str">
        <f t="shared" si="697"/>
        <v>No usa</v>
      </c>
      <c r="AL1710">
        <v>0</v>
      </c>
      <c r="AM1710" t="str">
        <f t="shared" si="698"/>
        <v>No usa</v>
      </c>
      <c r="AN1710">
        <v>1</v>
      </c>
      <c r="AO1710" t="str">
        <f t="shared" si="699"/>
        <v>Usa Transporte</v>
      </c>
      <c r="AP1710">
        <v>0</v>
      </c>
      <c r="AQ1710" t="str">
        <f t="shared" si="700"/>
        <v>No camina</v>
      </c>
      <c r="AR1710">
        <v>1</v>
      </c>
      <c r="AS1710" t="str">
        <f t="shared" si="701"/>
        <v>Es Obeso</v>
      </c>
    </row>
    <row r="1711" spans="1:45" x14ac:dyDescent="0.25">
      <c r="A1711">
        <v>1</v>
      </c>
      <c r="B1711" t="str">
        <f t="shared" si="676"/>
        <v>M</v>
      </c>
      <c r="C1711">
        <v>20156664</v>
      </c>
      <c r="D1711">
        <f t="shared" si="677"/>
        <v>55</v>
      </c>
      <c r="E1711">
        <f t="shared" si="678"/>
        <v>55</v>
      </c>
      <c r="F1711" t="str">
        <f t="shared" si="679"/>
        <v>50-75</v>
      </c>
      <c r="G1711">
        <v>1</v>
      </c>
      <c r="H1711" t="str">
        <f t="shared" si="680"/>
        <v>Pariente gordo</v>
      </c>
      <c r="I1711">
        <v>1</v>
      </c>
      <c r="J1711" t="str">
        <f t="shared" si="681"/>
        <v>Hipercaloricos</v>
      </c>
      <c r="K1711">
        <v>2766441</v>
      </c>
      <c r="L1711">
        <f t="shared" si="682"/>
        <v>1</v>
      </c>
      <c r="M1711" t="str">
        <f t="shared" si="683"/>
        <v>Suele comer</v>
      </c>
      <c r="N1711">
        <v>1240424</v>
      </c>
      <c r="O1711">
        <f t="shared" si="684"/>
        <v>2</v>
      </c>
      <c r="P1711" t="str">
        <f t="shared" si="685"/>
        <v>Mas de 3</v>
      </c>
      <c r="Q1711">
        <v>1</v>
      </c>
      <c r="R1711" t="str">
        <f t="shared" si="686"/>
        <v>A veces</v>
      </c>
      <c r="S1711">
        <v>0</v>
      </c>
      <c r="T1711" t="str">
        <f t="shared" si="687"/>
        <v>No fuma</v>
      </c>
      <c r="U1711">
        <v>1413218</v>
      </c>
      <c r="V1711">
        <f t="shared" si="688"/>
        <v>2</v>
      </c>
      <c r="W1711" t="str">
        <f t="shared" si="689"/>
        <v>Siempre</v>
      </c>
      <c r="X1711">
        <v>0</v>
      </c>
      <c r="Y1711" t="str">
        <f t="shared" si="690"/>
        <v>No controla</v>
      </c>
      <c r="Z1711">
        <v>0.165269</v>
      </c>
      <c r="AA1711">
        <f t="shared" si="691"/>
        <v>0</v>
      </c>
      <c r="AB1711" t="str">
        <f t="shared" si="692"/>
        <v>Nunca</v>
      </c>
      <c r="AC1711">
        <v>0.86258699999999999</v>
      </c>
      <c r="AD1711">
        <f t="shared" si="693"/>
        <v>0</v>
      </c>
      <c r="AE1711" t="str">
        <f t="shared" si="694"/>
        <v>Nunca</v>
      </c>
      <c r="AF1711">
        <v>0</v>
      </c>
      <c r="AG1711" t="str">
        <f t="shared" si="695"/>
        <v>Nunca</v>
      </c>
      <c r="AH1711">
        <v>0</v>
      </c>
      <c r="AI1711" t="str">
        <f t="shared" si="696"/>
        <v>No usa</v>
      </c>
      <c r="AJ1711">
        <v>0</v>
      </c>
      <c r="AK1711" t="str">
        <f t="shared" si="697"/>
        <v>No usa</v>
      </c>
      <c r="AL1711">
        <v>0</v>
      </c>
      <c r="AM1711" t="str">
        <f t="shared" si="698"/>
        <v>No usa</v>
      </c>
      <c r="AN1711">
        <v>1</v>
      </c>
      <c r="AO1711" t="str">
        <f t="shared" si="699"/>
        <v>Usa Transporte</v>
      </c>
      <c r="AP1711">
        <v>0</v>
      </c>
      <c r="AQ1711" t="str">
        <f t="shared" si="700"/>
        <v>No camina</v>
      </c>
      <c r="AR1711">
        <v>1</v>
      </c>
      <c r="AS1711" t="str">
        <f t="shared" si="701"/>
        <v>Es Obeso</v>
      </c>
    </row>
    <row r="1712" spans="1:45" x14ac:dyDescent="0.25">
      <c r="A1712">
        <v>1</v>
      </c>
      <c r="B1712" t="str">
        <f t="shared" si="676"/>
        <v>M</v>
      </c>
      <c r="C1712">
        <v>23360307</v>
      </c>
      <c r="D1712">
        <f t="shared" si="677"/>
        <v>64</v>
      </c>
      <c r="E1712">
        <f t="shared" si="678"/>
        <v>64</v>
      </c>
      <c r="F1712" t="str">
        <f t="shared" si="679"/>
        <v>50-75</v>
      </c>
      <c r="G1712">
        <v>1</v>
      </c>
      <c r="H1712" t="str">
        <f t="shared" si="680"/>
        <v>Pariente gordo</v>
      </c>
      <c r="I1712">
        <v>1</v>
      </c>
      <c r="J1712" t="str">
        <f t="shared" si="681"/>
        <v>Hipercaloricos</v>
      </c>
      <c r="K1712">
        <v>2997524</v>
      </c>
      <c r="L1712">
        <f t="shared" si="682"/>
        <v>1</v>
      </c>
      <c r="M1712" t="str">
        <f t="shared" si="683"/>
        <v>Suele comer</v>
      </c>
      <c r="N1712">
        <v>1154318</v>
      </c>
      <c r="O1712">
        <f t="shared" si="684"/>
        <v>2</v>
      </c>
      <c r="P1712" t="str">
        <f t="shared" si="685"/>
        <v>Mas de 3</v>
      </c>
      <c r="Q1712">
        <v>1</v>
      </c>
      <c r="R1712" t="str">
        <f t="shared" si="686"/>
        <v>A veces</v>
      </c>
      <c r="S1712">
        <v>0</v>
      </c>
      <c r="T1712" t="str">
        <f t="shared" si="687"/>
        <v>No fuma</v>
      </c>
      <c r="U1712">
        <v>1238057</v>
      </c>
      <c r="V1712">
        <f t="shared" si="688"/>
        <v>2</v>
      </c>
      <c r="W1712" t="str">
        <f t="shared" si="689"/>
        <v>Siempre</v>
      </c>
      <c r="X1712">
        <v>0</v>
      </c>
      <c r="Y1712" t="str">
        <f t="shared" si="690"/>
        <v>No controla</v>
      </c>
      <c r="Z1712">
        <v>11293</v>
      </c>
      <c r="AA1712">
        <f t="shared" si="691"/>
        <v>2</v>
      </c>
      <c r="AB1712" t="str">
        <f t="shared" si="692"/>
        <v>Usualmente</v>
      </c>
      <c r="AC1712">
        <v>1665621</v>
      </c>
      <c r="AD1712">
        <f t="shared" si="693"/>
        <v>2</v>
      </c>
      <c r="AE1712" t="str">
        <f t="shared" si="694"/>
        <v>Siempre</v>
      </c>
      <c r="AF1712">
        <v>0</v>
      </c>
      <c r="AG1712" t="str">
        <f t="shared" si="695"/>
        <v>Nunca</v>
      </c>
      <c r="AH1712">
        <v>0</v>
      </c>
      <c r="AI1712" t="str">
        <f t="shared" si="696"/>
        <v>No usa</v>
      </c>
      <c r="AJ1712">
        <v>0</v>
      </c>
      <c r="AK1712" t="str">
        <f t="shared" si="697"/>
        <v>No usa</v>
      </c>
      <c r="AL1712">
        <v>0</v>
      </c>
      <c r="AM1712" t="str">
        <f t="shared" si="698"/>
        <v>No usa</v>
      </c>
      <c r="AN1712">
        <v>1</v>
      </c>
      <c r="AO1712" t="str">
        <f t="shared" si="699"/>
        <v>Usa Transporte</v>
      </c>
      <c r="AP1712">
        <v>0</v>
      </c>
      <c r="AQ1712" t="str">
        <f t="shared" si="700"/>
        <v>No camina</v>
      </c>
      <c r="AR1712">
        <v>1</v>
      </c>
      <c r="AS1712" t="str">
        <f t="shared" si="701"/>
        <v>Es Obeso</v>
      </c>
    </row>
    <row r="1713" spans="1:45" x14ac:dyDescent="0.25">
      <c r="A1713">
        <v>1</v>
      </c>
      <c r="B1713" t="str">
        <f t="shared" si="676"/>
        <v>M</v>
      </c>
      <c r="C1713">
        <v>28986237</v>
      </c>
      <c r="D1713">
        <f t="shared" si="677"/>
        <v>79</v>
      </c>
      <c r="E1713">
        <f t="shared" si="678"/>
        <v>79</v>
      </c>
      <c r="F1713" t="str">
        <f t="shared" si="679"/>
        <v>75-100</v>
      </c>
      <c r="G1713">
        <v>1</v>
      </c>
      <c r="H1713" t="str">
        <f t="shared" si="680"/>
        <v>Pariente gordo</v>
      </c>
      <c r="I1713">
        <v>1</v>
      </c>
      <c r="J1713" t="str">
        <f t="shared" si="681"/>
        <v>Hipercaloricos</v>
      </c>
      <c r="K1713">
        <v>2320201</v>
      </c>
      <c r="L1713">
        <f t="shared" si="682"/>
        <v>1</v>
      </c>
      <c r="M1713" t="str">
        <f t="shared" si="683"/>
        <v>Suele comer</v>
      </c>
      <c r="N1713">
        <v>3</v>
      </c>
      <c r="O1713">
        <f t="shared" si="684"/>
        <v>2</v>
      </c>
      <c r="P1713" t="str">
        <f t="shared" si="685"/>
        <v>Mas de 3</v>
      </c>
      <c r="Q1713">
        <v>1</v>
      </c>
      <c r="R1713" t="str">
        <f t="shared" si="686"/>
        <v>A veces</v>
      </c>
      <c r="S1713">
        <v>0</v>
      </c>
      <c r="T1713" t="str">
        <f t="shared" si="687"/>
        <v>No fuma</v>
      </c>
      <c r="U1713">
        <v>2164784</v>
      </c>
      <c r="V1713">
        <f t="shared" si="688"/>
        <v>2</v>
      </c>
      <c r="W1713" t="str">
        <f t="shared" si="689"/>
        <v>Siempre</v>
      </c>
      <c r="X1713">
        <v>0</v>
      </c>
      <c r="Y1713" t="str">
        <f t="shared" si="690"/>
        <v>No controla</v>
      </c>
      <c r="Z1713">
        <v>0</v>
      </c>
      <c r="AA1713">
        <f t="shared" si="691"/>
        <v>0</v>
      </c>
      <c r="AB1713" t="str">
        <f t="shared" si="692"/>
        <v>Nunca</v>
      </c>
      <c r="AC1713">
        <v>1465479</v>
      </c>
      <c r="AD1713">
        <f t="shared" si="693"/>
        <v>2</v>
      </c>
      <c r="AE1713" t="str">
        <f t="shared" si="694"/>
        <v>Siempre</v>
      </c>
      <c r="AF1713">
        <v>1</v>
      </c>
      <c r="AG1713" t="str">
        <f t="shared" si="695"/>
        <v>A veces</v>
      </c>
      <c r="AH1713">
        <v>1</v>
      </c>
      <c r="AI1713" t="str">
        <f t="shared" si="696"/>
        <v>Usa auto</v>
      </c>
      <c r="AJ1713">
        <v>0</v>
      </c>
      <c r="AK1713" t="str">
        <f t="shared" si="697"/>
        <v>No usa</v>
      </c>
      <c r="AL1713">
        <v>0</v>
      </c>
      <c r="AM1713" t="str">
        <f t="shared" si="698"/>
        <v>No usa</v>
      </c>
      <c r="AN1713">
        <v>0</v>
      </c>
      <c r="AO1713" t="str">
        <f t="shared" si="699"/>
        <v>No usa</v>
      </c>
      <c r="AP1713">
        <v>0</v>
      </c>
      <c r="AQ1713" t="str">
        <f t="shared" si="700"/>
        <v>No camina</v>
      </c>
      <c r="AR1713">
        <v>1</v>
      </c>
      <c r="AS1713" t="str">
        <f t="shared" si="701"/>
        <v>Es Obeso</v>
      </c>
    </row>
    <row r="1714" spans="1:45" x14ac:dyDescent="0.25">
      <c r="A1714">
        <v>1</v>
      </c>
      <c r="B1714" t="str">
        <f t="shared" si="676"/>
        <v>M</v>
      </c>
      <c r="C1714">
        <v>29713169</v>
      </c>
      <c r="D1714">
        <f t="shared" si="677"/>
        <v>81</v>
      </c>
      <c r="E1714">
        <f t="shared" si="678"/>
        <v>81</v>
      </c>
      <c r="F1714" t="str">
        <f t="shared" si="679"/>
        <v>75-100</v>
      </c>
      <c r="G1714">
        <v>1</v>
      </c>
      <c r="H1714" t="str">
        <f t="shared" si="680"/>
        <v>Pariente gordo</v>
      </c>
      <c r="I1714">
        <v>1</v>
      </c>
      <c r="J1714" t="str">
        <f t="shared" si="681"/>
        <v>Hipercaloricos</v>
      </c>
      <c r="K1714">
        <v>2181057</v>
      </c>
      <c r="L1714">
        <f t="shared" si="682"/>
        <v>1</v>
      </c>
      <c r="M1714" t="str">
        <f t="shared" si="683"/>
        <v>Suele comer</v>
      </c>
      <c r="N1714">
        <v>3</v>
      </c>
      <c r="O1714">
        <f t="shared" si="684"/>
        <v>2</v>
      </c>
      <c r="P1714" t="str">
        <f t="shared" si="685"/>
        <v>Mas de 3</v>
      </c>
      <c r="Q1714">
        <v>1</v>
      </c>
      <c r="R1714" t="str">
        <f t="shared" si="686"/>
        <v>A veces</v>
      </c>
      <c r="S1714">
        <v>0</v>
      </c>
      <c r="T1714" t="str">
        <f t="shared" si="687"/>
        <v>No fuma</v>
      </c>
      <c r="U1714">
        <v>208554</v>
      </c>
      <c r="V1714">
        <f t="shared" si="688"/>
        <v>2</v>
      </c>
      <c r="W1714" t="str">
        <f t="shared" si="689"/>
        <v>Siempre</v>
      </c>
      <c r="X1714">
        <v>0</v>
      </c>
      <c r="Y1714" t="str">
        <f t="shared" si="690"/>
        <v>No controla</v>
      </c>
      <c r="Z1714">
        <v>0</v>
      </c>
      <c r="AA1714">
        <f t="shared" si="691"/>
        <v>0</v>
      </c>
      <c r="AB1714" t="str">
        <f t="shared" si="692"/>
        <v>Nunca</v>
      </c>
      <c r="AC1714">
        <v>1439004</v>
      </c>
      <c r="AD1714">
        <f t="shared" si="693"/>
        <v>2</v>
      </c>
      <c r="AE1714" t="str">
        <f t="shared" si="694"/>
        <v>Siempre</v>
      </c>
      <c r="AF1714">
        <v>1</v>
      </c>
      <c r="AG1714" t="str">
        <f t="shared" si="695"/>
        <v>A veces</v>
      </c>
      <c r="AH1714">
        <v>1</v>
      </c>
      <c r="AI1714" t="str">
        <f t="shared" si="696"/>
        <v>Usa auto</v>
      </c>
      <c r="AJ1714">
        <v>0</v>
      </c>
      <c r="AK1714" t="str">
        <f t="shared" si="697"/>
        <v>No usa</v>
      </c>
      <c r="AL1714">
        <v>0</v>
      </c>
      <c r="AM1714" t="str">
        <f t="shared" si="698"/>
        <v>No usa</v>
      </c>
      <c r="AN1714">
        <v>0</v>
      </c>
      <c r="AO1714" t="str">
        <f t="shared" si="699"/>
        <v>No usa</v>
      </c>
      <c r="AP1714">
        <v>0</v>
      </c>
      <c r="AQ1714" t="str">
        <f t="shared" si="700"/>
        <v>No camina</v>
      </c>
      <c r="AR1714">
        <v>1</v>
      </c>
      <c r="AS1714" t="str">
        <f t="shared" si="701"/>
        <v>Es Obeso</v>
      </c>
    </row>
    <row r="1715" spans="1:45" x14ac:dyDescent="0.25">
      <c r="A1715">
        <v>1</v>
      </c>
      <c r="B1715" t="str">
        <f t="shared" si="676"/>
        <v>M</v>
      </c>
      <c r="C1715">
        <v>27394123</v>
      </c>
      <c r="D1715">
        <f t="shared" si="677"/>
        <v>75</v>
      </c>
      <c r="E1715">
        <f t="shared" si="678"/>
        <v>75</v>
      </c>
      <c r="F1715" t="str">
        <f t="shared" si="679"/>
        <v>50-75</v>
      </c>
      <c r="G1715">
        <v>1</v>
      </c>
      <c r="H1715" t="str">
        <f t="shared" si="680"/>
        <v>Pariente gordo</v>
      </c>
      <c r="I1715">
        <v>1</v>
      </c>
      <c r="J1715" t="str">
        <f t="shared" si="681"/>
        <v>Hipercaloricos</v>
      </c>
      <c r="K1715">
        <v>1924632</v>
      </c>
      <c r="L1715">
        <f t="shared" si="682"/>
        <v>1</v>
      </c>
      <c r="M1715" t="str">
        <f t="shared" si="683"/>
        <v>Suele comer</v>
      </c>
      <c r="N1715">
        <v>3</v>
      </c>
      <c r="O1715">
        <f t="shared" si="684"/>
        <v>2</v>
      </c>
      <c r="P1715" t="str">
        <f t="shared" si="685"/>
        <v>Mas de 3</v>
      </c>
      <c r="Q1715">
        <v>1</v>
      </c>
      <c r="R1715" t="str">
        <f t="shared" si="686"/>
        <v>A veces</v>
      </c>
      <c r="S1715">
        <v>0</v>
      </c>
      <c r="T1715" t="str">
        <f t="shared" si="687"/>
        <v>No fuma</v>
      </c>
      <c r="U1715">
        <v>2006595</v>
      </c>
      <c r="V1715">
        <f t="shared" si="688"/>
        <v>2</v>
      </c>
      <c r="W1715" t="str">
        <f t="shared" si="689"/>
        <v>Siempre</v>
      </c>
      <c r="X1715">
        <v>0</v>
      </c>
      <c r="Y1715" t="str">
        <f t="shared" si="690"/>
        <v>No controla</v>
      </c>
      <c r="Z1715">
        <v>0.17680000000000001</v>
      </c>
      <c r="AA1715">
        <f t="shared" si="691"/>
        <v>0</v>
      </c>
      <c r="AB1715" t="str">
        <f t="shared" si="692"/>
        <v>Nunca</v>
      </c>
      <c r="AC1715">
        <v>0.51169399999999998</v>
      </c>
      <c r="AD1715">
        <f t="shared" si="693"/>
        <v>0</v>
      </c>
      <c r="AE1715" t="str">
        <f t="shared" si="694"/>
        <v>Nunca</v>
      </c>
      <c r="AF1715">
        <v>1</v>
      </c>
      <c r="AG1715" t="str">
        <f t="shared" si="695"/>
        <v>A veces</v>
      </c>
      <c r="AH1715">
        <v>1</v>
      </c>
      <c r="AI1715" t="str">
        <f t="shared" si="696"/>
        <v>Usa auto</v>
      </c>
      <c r="AJ1715">
        <v>0</v>
      </c>
      <c r="AK1715" t="str">
        <f t="shared" si="697"/>
        <v>No usa</v>
      </c>
      <c r="AL1715">
        <v>0</v>
      </c>
      <c r="AM1715" t="str">
        <f t="shared" si="698"/>
        <v>No usa</v>
      </c>
      <c r="AN1715">
        <v>0</v>
      </c>
      <c r="AO1715" t="str">
        <f t="shared" si="699"/>
        <v>No usa</v>
      </c>
      <c r="AP1715">
        <v>0</v>
      </c>
      <c r="AQ1715" t="str">
        <f t="shared" si="700"/>
        <v>No camina</v>
      </c>
      <c r="AR1715">
        <v>1</v>
      </c>
      <c r="AS1715" t="str">
        <f t="shared" si="701"/>
        <v>Es Obeso</v>
      </c>
    </row>
    <row r="1716" spans="1:45" x14ac:dyDescent="0.25">
      <c r="A1716">
        <v>1</v>
      </c>
      <c r="B1716" t="str">
        <f t="shared" si="676"/>
        <v>M</v>
      </c>
      <c r="C1716">
        <v>24912254</v>
      </c>
      <c r="D1716">
        <f t="shared" si="677"/>
        <v>68</v>
      </c>
      <c r="E1716">
        <f t="shared" si="678"/>
        <v>68</v>
      </c>
      <c r="F1716" t="str">
        <f t="shared" si="679"/>
        <v>50-75</v>
      </c>
      <c r="G1716">
        <v>1</v>
      </c>
      <c r="H1716" t="str">
        <f t="shared" si="680"/>
        <v>Pariente gordo</v>
      </c>
      <c r="I1716">
        <v>1</v>
      </c>
      <c r="J1716" t="str">
        <f t="shared" si="681"/>
        <v>Hipercaloricos</v>
      </c>
      <c r="K1716">
        <v>1397468</v>
      </c>
      <c r="L1716">
        <f t="shared" si="682"/>
        <v>1</v>
      </c>
      <c r="M1716" t="str">
        <f t="shared" si="683"/>
        <v>Suele comer</v>
      </c>
      <c r="N1716">
        <v>3</v>
      </c>
      <c r="O1716">
        <f t="shared" si="684"/>
        <v>2</v>
      </c>
      <c r="P1716" t="str">
        <f t="shared" si="685"/>
        <v>Mas de 3</v>
      </c>
      <c r="Q1716">
        <v>1</v>
      </c>
      <c r="R1716" t="str">
        <f t="shared" si="686"/>
        <v>A veces</v>
      </c>
      <c r="S1716">
        <v>0</v>
      </c>
      <c r="T1716" t="str">
        <f t="shared" si="687"/>
        <v>No fuma</v>
      </c>
      <c r="U1716">
        <v>201897</v>
      </c>
      <c r="V1716">
        <f t="shared" si="688"/>
        <v>2</v>
      </c>
      <c r="W1716" t="str">
        <f t="shared" si="689"/>
        <v>Siempre</v>
      </c>
      <c r="X1716">
        <v>0</v>
      </c>
      <c r="Y1716" t="str">
        <f t="shared" si="690"/>
        <v>No controla</v>
      </c>
      <c r="Z1716">
        <v>0.665439</v>
      </c>
      <c r="AA1716">
        <f t="shared" si="691"/>
        <v>0</v>
      </c>
      <c r="AB1716" t="str">
        <f t="shared" si="692"/>
        <v>Nunca</v>
      </c>
      <c r="AC1716">
        <v>6.2167E-2</v>
      </c>
      <c r="AD1716">
        <f t="shared" si="693"/>
        <v>0</v>
      </c>
      <c r="AE1716" t="str">
        <f t="shared" si="694"/>
        <v>Nunca</v>
      </c>
      <c r="AF1716">
        <v>1</v>
      </c>
      <c r="AG1716" t="str">
        <f t="shared" si="695"/>
        <v>A veces</v>
      </c>
      <c r="AH1716">
        <v>1</v>
      </c>
      <c r="AI1716" t="str">
        <f t="shared" si="696"/>
        <v>Usa auto</v>
      </c>
      <c r="AJ1716">
        <v>0</v>
      </c>
      <c r="AK1716" t="str">
        <f t="shared" si="697"/>
        <v>No usa</v>
      </c>
      <c r="AL1716">
        <v>0</v>
      </c>
      <c r="AM1716" t="str">
        <f t="shared" si="698"/>
        <v>No usa</v>
      </c>
      <c r="AN1716">
        <v>0</v>
      </c>
      <c r="AO1716" t="str">
        <f t="shared" si="699"/>
        <v>No usa</v>
      </c>
      <c r="AP1716">
        <v>0</v>
      </c>
      <c r="AQ1716" t="str">
        <f t="shared" si="700"/>
        <v>No camina</v>
      </c>
      <c r="AR1716">
        <v>1</v>
      </c>
      <c r="AS1716" t="str">
        <f t="shared" si="701"/>
        <v>Es Obeso</v>
      </c>
    </row>
    <row r="1717" spans="1:45" x14ac:dyDescent="0.25">
      <c r="A1717">
        <v>1</v>
      </c>
      <c r="B1717" t="str">
        <f t="shared" si="676"/>
        <v>M</v>
      </c>
      <c r="C1717">
        <v>25526746</v>
      </c>
      <c r="D1717">
        <f t="shared" si="677"/>
        <v>69</v>
      </c>
      <c r="E1717">
        <f t="shared" si="678"/>
        <v>69</v>
      </c>
      <c r="F1717" t="str">
        <f t="shared" si="679"/>
        <v>50-75</v>
      </c>
      <c r="G1717">
        <v>1</v>
      </c>
      <c r="H1717" t="str">
        <f t="shared" si="680"/>
        <v>Pariente gordo</v>
      </c>
      <c r="I1717">
        <v>1</v>
      </c>
      <c r="J1717" t="str">
        <f t="shared" si="681"/>
        <v>Hipercaloricos</v>
      </c>
      <c r="K1717">
        <v>2191429</v>
      </c>
      <c r="L1717">
        <f t="shared" si="682"/>
        <v>1</v>
      </c>
      <c r="M1717" t="str">
        <f t="shared" si="683"/>
        <v>Suele comer</v>
      </c>
      <c r="N1717">
        <v>3</v>
      </c>
      <c r="O1717">
        <f t="shared" si="684"/>
        <v>2</v>
      </c>
      <c r="P1717" t="str">
        <f t="shared" si="685"/>
        <v>Mas de 3</v>
      </c>
      <c r="Q1717">
        <v>1</v>
      </c>
      <c r="R1717" t="str">
        <f t="shared" si="686"/>
        <v>A veces</v>
      </c>
      <c r="S1717">
        <v>0</v>
      </c>
      <c r="T1717" t="str">
        <f t="shared" si="687"/>
        <v>No fuma</v>
      </c>
      <c r="U1717">
        <v>2102709</v>
      </c>
      <c r="V1717">
        <f t="shared" si="688"/>
        <v>2</v>
      </c>
      <c r="W1717" t="str">
        <f t="shared" si="689"/>
        <v>Siempre</v>
      </c>
      <c r="X1717">
        <v>0</v>
      </c>
      <c r="Y1717" t="str">
        <f t="shared" si="690"/>
        <v>No controla</v>
      </c>
      <c r="Z1717">
        <v>132534</v>
      </c>
      <c r="AA1717">
        <f t="shared" si="691"/>
        <v>2</v>
      </c>
      <c r="AB1717" t="str">
        <f t="shared" si="692"/>
        <v>Usualmente</v>
      </c>
      <c r="AC1717">
        <v>0.38097900000000001</v>
      </c>
      <c r="AD1717">
        <f t="shared" si="693"/>
        <v>0</v>
      </c>
      <c r="AE1717" t="str">
        <f t="shared" si="694"/>
        <v>Nunca</v>
      </c>
      <c r="AF1717">
        <v>1</v>
      </c>
      <c r="AG1717" t="str">
        <f t="shared" si="695"/>
        <v>A veces</v>
      </c>
      <c r="AH1717">
        <v>0</v>
      </c>
      <c r="AI1717" t="str">
        <f t="shared" si="696"/>
        <v>No usa</v>
      </c>
      <c r="AJ1717">
        <v>0</v>
      </c>
      <c r="AK1717" t="str">
        <f t="shared" si="697"/>
        <v>No usa</v>
      </c>
      <c r="AL1717">
        <v>0</v>
      </c>
      <c r="AM1717" t="str">
        <f t="shared" si="698"/>
        <v>No usa</v>
      </c>
      <c r="AN1717">
        <v>1</v>
      </c>
      <c r="AO1717" t="str">
        <f t="shared" si="699"/>
        <v>Usa Transporte</v>
      </c>
      <c r="AP1717">
        <v>0</v>
      </c>
      <c r="AQ1717" t="str">
        <f t="shared" si="700"/>
        <v>No camina</v>
      </c>
      <c r="AR1717">
        <v>1</v>
      </c>
      <c r="AS1717" t="str">
        <f t="shared" si="701"/>
        <v>Es Obeso</v>
      </c>
    </row>
    <row r="1718" spans="1:45" x14ac:dyDescent="0.25">
      <c r="A1718">
        <v>1</v>
      </c>
      <c r="B1718" t="str">
        <f t="shared" si="676"/>
        <v>M</v>
      </c>
      <c r="C1718">
        <v>25523127</v>
      </c>
      <c r="D1718">
        <f t="shared" si="677"/>
        <v>69</v>
      </c>
      <c r="E1718">
        <f t="shared" si="678"/>
        <v>69</v>
      </c>
      <c r="F1718" t="str">
        <f t="shared" si="679"/>
        <v>50-75</v>
      </c>
      <c r="G1718">
        <v>1</v>
      </c>
      <c r="H1718" t="str">
        <f t="shared" si="680"/>
        <v>Pariente gordo</v>
      </c>
      <c r="I1718">
        <v>1</v>
      </c>
      <c r="J1718" t="str">
        <f t="shared" si="681"/>
        <v>Hipercaloricos</v>
      </c>
      <c r="K1718">
        <v>2100177</v>
      </c>
      <c r="L1718">
        <f t="shared" si="682"/>
        <v>1</v>
      </c>
      <c r="M1718" t="str">
        <f t="shared" si="683"/>
        <v>Suele comer</v>
      </c>
      <c r="N1718">
        <v>3</v>
      </c>
      <c r="O1718">
        <f t="shared" si="684"/>
        <v>2</v>
      </c>
      <c r="P1718" t="str">
        <f t="shared" si="685"/>
        <v>Mas de 3</v>
      </c>
      <c r="Q1718">
        <v>1</v>
      </c>
      <c r="R1718" t="str">
        <f t="shared" si="686"/>
        <v>A veces</v>
      </c>
      <c r="S1718">
        <v>0</v>
      </c>
      <c r="T1718" t="str">
        <f t="shared" si="687"/>
        <v>No fuma</v>
      </c>
      <c r="U1718">
        <v>2099687</v>
      </c>
      <c r="V1718">
        <f t="shared" si="688"/>
        <v>2</v>
      </c>
      <c r="W1718" t="str">
        <f t="shared" si="689"/>
        <v>Siempre</v>
      </c>
      <c r="X1718">
        <v>0</v>
      </c>
      <c r="Y1718" t="str">
        <f t="shared" si="690"/>
        <v>No controla</v>
      </c>
      <c r="Z1718">
        <v>1281165</v>
      </c>
      <c r="AA1718">
        <f t="shared" si="691"/>
        <v>3</v>
      </c>
      <c r="AB1718" t="str">
        <f t="shared" si="692"/>
        <v>Siempre</v>
      </c>
      <c r="AC1718">
        <v>0.247332</v>
      </c>
      <c r="AD1718">
        <f t="shared" si="693"/>
        <v>0</v>
      </c>
      <c r="AE1718" t="str">
        <f t="shared" si="694"/>
        <v>Nunca</v>
      </c>
      <c r="AF1718">
        <v>1</v>
      </c>
      <c r="AG1718" t="str">
        <f t="shared" si="695"/>
        <v>A veces</v>
      </c>
      <c r="AH1718">
        <v>0</v>
      </c>
      <c r="AI1718" t="str">
        <f t="shared" si="696"/>
        <v>No usa</v>
      </c>
      <c r="AJ1718">
        <v>0</v>
      </c>
      <c r="AK1718" t="str">
        <f t="shared" si="697"/>
        <v>No usa</v>
      </c>
      <c r="AL1718">
        <v>0</v>
      </c>
      <c r="AM1718" t="str">
        <f t="shared" si="698"/>
        <v>No usa</v>
      </c>
      <c r="AN1718">
        <v>1</v>
      </c>
      <c r="AO1718" t="str">
        <f t="shared" si="699"/>
        <v>Usa Transporte</v>
      </c>
      <c r="AP1718">
        <v>0</v>
      </c>
      <c r="AQ1718" t="str">
        <f t="shared" si="700"/>
        <v>No camina</v>
      </c>
      <c r="AR1718">
        <v>1</v>
      </c>
      <c r="AS1718" t="str">
        <f t="shared" si="701"/>
        <v>Es Obeso</v>
      </c>
    </row>
    <row r="1719" spans="1:45" x14ac:dyDescent="0.25">
      <c r="A1719">
        <v>1</v>
      </c>
      <c r="B1719" t="str">
        <f t="shared" si="676"/>
        <v>M</v>
      </c>
      <c r="C1719">
        <v>25822348</v>
      </c>
      <c r="D1719">
        <f t="shared" si="677"/>
        <v>70</v>
      </c>
      <c r="E1719">
        <f t="shared" si="678"/>
        <v>70</v>
      </c>
      <c r="F1719" t="str">
        <f t="shared" si="679"/>
        <v>50-75</v>
      </c>
      <c r="G1719">
        <v>1</v>
      </c>
      <c r="H1719" t="str">
        <f t="shared" si="680"/>
        <v>Pariente gordo</v>
      </c>
      <c r="I1719">
        <v>1</v>
      </c>
      <c r="J1719" t="str">
        <f t="shared" si="681"/>
        <v>Hipercaloricos</v>
      </c>
      <c r="K1719">
        <v>2075321</v>
      </c>
      <c r="L1719">
        <f t="shared" si="682"/>
        <v>1</v>
      </c>
      <c r="M1719" t="str">
        <f t="shared" si="683"/>
        <v>Suele comer</v>
      </c>
      <c r="N1719">
        <v>3</v>
      </c>
      <c r="O1719">
        <f t="shared" si="684"/>
        <v>2</v>
      </c>
      <c r="P1719" t="str">
        <f t="shared" si="685"/>
        <v>Mas de 3</v>
      </c>
      <c r="Q1719">
        <v>1</v>
      </c>
      <c r="R1719" t="str">
        <f t="shared" si="686"/>
        <v>A veces</v>
      </c>
      <c r="S1719">
        <v>0</v>
      </c>
      <c r="T1719" t="str">
        <f t="shared" si="687"/>
        <v>No fuma</v>
      </c>
      <c r="U1719">
        <v>2144838</v>
      </c>
      <c r="V1719">
        <f t="shared" si="688"/>
        <v>2</v>
      </c>
      <c r="W1719" t="str">
        <f t="shared" si="689"/>
        <v>Siempre</v>
      </c>
      <c r="X1719">
        <v>0</v>
      </c>
      <c r="Y1719" t="str">
        <f t="shared" si="690"/>
        <v>No controla</v>
      </c>
      <c r="Z1719">
        <v>1501754</v>
      </c>
      <c r="AA1719">
        <f t="shared" si="691"/>
        <v>3</v>
      </c>
      <c r="AB1719" t="str">
        <f t="shared" si="692"/>
        <v>Siempre</v>
      </c>
      <c r="AC1719">
        <v>0.27631899999999998</v>
      </c>
      <c r="AD1719">
        <f t="shared" si="693"/>
        <v>0</v>
      </c>
      <c r="AE1719" t="str">
        <f t="shared" si="694"/>
        <v>Nunca</v>
      </c>
      <c r="AF1719">
        <v>1</v>
      </c>
      <c r="AG1719" t="str">
        <f t="shared" si="695"/>
        <v>A veces</v>
      </c>
      <c r="AH1719">
        <v>0</v>
      </c>
      <c r="AI1719" t="str">
        <f t="shared" si="696"/>
        <v>No usa</v>
      </c>
      <c r="AJ1719">
        <v>0</v>
      </c>
      <c r="AK1719" t="str">
        <f t="shared" si="697"/>
        <v>No usa</v>
      </c>
      <c r="AL1719">
        <v>0</v>
      </c>
      <c r="AM1719" t="str">
        <f t="shared" si="698"/>
        <v>No usa</v>
      </c>
      <c r="AN1719">
        <v>1</v>
      </c>
      <c r="AO1719" t="str">
        <f t="shared" si="699"/>
        <v>Usa Transporte</v>
      </c>
      <c r="AP1719">
        <v>0</v>
      </c>
      <c r="AQ1719" t="str">
        <f t="shared" si="700"/>
        <v>No camina</v>
      </c>
      <c r="AR1719">
        <v>1</v>
      </c>
      <c r="AS1719" t="str">
        <f t="shared" si="701"/>
        <v>Es Obeso</v>
      </c>
    </row>
    <row r="1720" spans="1:45" x14ac:dyDescent="0.25">
      <c r="A1720">
        <v>1</v>
      </c>
      <c r="B1720" t="str">
        <f t="shared" si="676"/>
        <v>M</v>
      </c>
      <c r="C1720">
        <v>25879411</v>
      </c>
      <c r="D1720">
        <f t="shared" si="677"/>
        <v>70</v>
      </c>
      <c r="E1720">
        <f t="shared" si="678"/>
        <v>70</v>
      </c>
      <c r="F1720" t="str">
        <f t="shared" si="679"/>
        <v>50-75</v>
      </c>
      <c r="G1720">
        <v>1</v>
      </c>
      <c r="H1720" t="str">
        <f t="shared" si="680"/>
        <v>Pariente gordo</v>
      </c>
      <c r="I1720">
        <v>1</v>
      </c>
      <c r="J1720" t="str">
        <f t="shared" si="681"/>
        <v>Hipercaloricos</v>
      </c>
      <c r="K1720">
        <v>1626369</v>
      </c>
      <c r="L1720">
        <f t="shared" si="682"/>
        <v>1</v>
      </c>
      <c r="M1720" t="str">
        <f t="shared" si="683"/>
        <v>Suele comer</v>
      </c>
      <c r="N1720">
        <v>3</v>
      </c>
      <c r="O1720">
        <f t="shared" si="684"/>
        <v>2</v>
      </c>
      <c r="P1720" t="str">
        <f t="shared" si="685"/>
        <v>Mas de 3</v>
      </c>
      <c r="Q1720">
        <v>1</v>
      </c>
      <c r="R1720" t="str">
        <f t="shared" si="686"/>
        <v>A veces</v>
      </c>
      <c r="S1720">
        <v>0</v>
      </c>
      <c r="T1720" t="str">
        <f t="shared" si="687"/>
        <v>No fuma</v>
      </c>
      <c r="U1720">
        <v>2109697</v>
      </c>
      <c r="V1720">
        <f t="shared" si="688"/>
        <v>2</v>
      </c>
      <c r="W1720" t="str">
        <f t="shared" si="689"/>
        <v>Siempre</v>
      </c>
      <c r="X1720">
        <v>0</v>
      </c>
      <c r="Y1720" t="str">
        <f t="shared" si="690"/>
        <v>No controla</v>
      </c>
      <c r="Z1720">
        <v>1352973</v>
      </c>
      <c r="AA1720">
        <f t="shared" si="691"/>
        <v>3</v>
      </c>
      <c r="AB1720" t="str">
        <f t="shared" si="692"/>
        <v>Siempre</v>
      </c>
      <c r="AC1720">
        <v>7.6692999999999997E-2</v>
      </c>
      <c r="AD1720">
        <f t="shared" si="693"/>
        <v>0</v>
      </c>
      <c r="AE1720" t="str">
        <f t="shared" si="694"/>
        <v>Nunca</v>
      </c>
      <c r="AF1720">
        <v>1</v>
      </c>
      <c r="AG1720" t="str">
        <f t="shared" si="695"/>
        <v>A veces</v>
      </c>
      <c r="AH1720">
        <v>0</v>
      </c>
      <c r="AI1720" t="str">
        <f t="shared" si="696"/>
        <v>No usa</v>
      </c>
      <c r="AJ1720">
        <v>0</v>
      </c>
      <c r="AK1720" t="str">
        <f t="shared" si="697"/>
        <v>No usa</v>
      </c>
      <c r="AL1720">
        <v>0</v>
      </c>
      <c r="AM1720" t="str">
        <f t="shared" si="698"/>
        <v>No usa</v>
      </c>
      <c r="AN1720">
        <v>1</v>
      </c>
      <c r="AO1720" t="str">
        <f t="shared" si="699"/>
        <v>Usa Transporte</v>
      </c>
      <c r="AP1720">
        <v>0</v>
      </c>
      <c r="AQ1720" t="str">
        <f t="shared" si="700"/>
        <v>No camina</v>
      </c>
      <c r="AR1720">
        <v>1</v>
      </c>
      <c r="AS1720" t="str">
        <f t="shared" si="701"/>
        <v>Es Obeso</v>
      </c>
    </row>
    <row r="1721" spans="1:45" x14ac:dyDescent="0.25">
      <c r="A1721">
        <v>1</v>
      </c>
      <c r="B1721" t="str">
        <f t="shared" si="676"/>
        <v>M</v>
      </c>
      <c r="C1721">
        <v>30361365</v>
      </c>
      <c r="D1721">
        <f t="shared" si="677"/>
        <v>83</v>
      </c>
      <c r="E1721">
        <f t="shared" si="678"/>
        <v>83</v>
      </c>
      <c r="F1721" t="str">
        <f t="shared" si="679"/>
        <v>75-100</v>
      </c>
      <c r="G1721">
        <v>1</v>
      </c>
      <c r="H1721" t="str">
        <f t="shared" si="680"/>
        <v>Pariente gordo</v>
      </c>
      <c r="I1721">
        <v>1</v>
      </c>
      <c r="J1721" t="str">
        <f t="shared" si="681"/>
        <v>Hipercaloricos</v>
      </c>
      <c r="K1721">
        <v>1263216</v>
      </c>
      <c r="L1721">
        <f t="shared" si="682"/>
        <v>1</v>
      </c>
      <c r="M1721" t="str">
        <f t="shared" si="683"/>
        <v>Suele comer</v>
      </c>
      <c r="N1721">
        <v>3219347</v>
      </c>
      <c r="O1721">
        <f t="shared" si="684"/>
        <v>2</v>
      </c>
      <c r="P1721" t="str">
        <f t="shared" si="685"/>
        <v>Mas de 3</v>
      </c>
      <c r="Q1721">
        <v>1</v>
      </c>
      <c r="R1721" t="str">
        <f t="shared" si="686"/>
        <v>A veces</v>
      </c>
      <c r="S1721">
        <v>0</v>
      </c>
      <c r="T1721" t="str">
        <f t="shared" si="687"/>
        <v>No fuma</v>
      </c>
      <c r="U1721">
        <v>1981782</v>
      </c>
      <c r="V1721">
        <f t="shared" si="688"/>
        <v>2</v>
      </c>
      <c r="W1721" t="str">
        <f t="shared" si="689"/>
        <v>Siempre</v>
      </c>
      <c r="X1721">
        <v>0</v>
      </c>
      <c r="Y1721" t="str">
        <f t="shared" si="690"/>
        <v>No controla</v>
      </c>
      <c r="Z1721">
        <v>0.48262500000000003</v>
      </c>
      <c r="AA1721">
        <f t="shared" si="691"/>
        <v>0</v>
      </c>
      <c r="AB1721" t="str">
        <f t="shared" si="692"/>
        <v>Nunca</v>
      </c>
      <c r="AC1721">
        <v>0</v>
      </c>
      <c r="AD1721">
        <f t="shared" si="693"/>
        <v>0</v>
      </c>
      <c r="AE1721" t="str">
        <f t="shared" si="694"/>
        <v>Nunca</v>
      </c>
      <c r="AF1721">
        <v>1</v>
      </c>
      <c r="AG1721" t="str">
        <f t="shared" si="695"/>
        <v>A veces</v>
      </c>
      <c r="AH1721">
        <v>1</v>
      </c>
      <c r="AI1721" t="str">
        <f t="shared" si="696"/>
        <v>Usa auto</v>
      </c>
      <c r="AJ1721">
        <v>0</v>
      </c>
      <c r="AK1721" t="str">
        <f t="shared" si="697"/>
        <v>No usa</v>
      </c>
      <c r="AL1721">
        <v>0</v>
      </c>
      <c r="AM1721" t="str">
        <f t="shared" si="698"/>
        <v>No usa</v>
      </c>
      <c r="AN1721">
        <v>0</v>
      </c>
      <c r="AO1721" t="str">
        <f t="shared" si="699"/>
        <v>No usa</v>
      </c>
      <c r="AP1721">
        <v>0</v>
      </c>
      <c r="AQ1721" t="str">
        <f t="shared" si="700"/>
        <v>No camina</v>
      </c>
      <c r="AR1721">
        <v>1</v>
      </c>
      <c r="AS1721" t="str">
        <f t="shared" si="701"/>
        <v>Es Obeso</v>
      </c>
    </row>
    <row r="1722" spans="1:45" x14ac:dyDescent="0.25">
      <c r="A1722">
        <v>1</v>
      </c>
      <c r="B1722" t="str">
        <f t="shared" si="676"/>
        <v>M</v>
      </c>
      <c r="C1722">
        <v>30451174</v>
      </c>
      <c r="D1722">
        <f t="shared" si="677"/>
        <v>83</v>
      </c>
      <c r="E1722">
        <f t="shared" si="678"/>
        <v>83</v>
      </c>
      <c r="F1722" t="str">
        <f t="shared" si="679"/>
        <v>75-100</v>
      </c>
      <c r="G1722">
        <v>1</v>
      </c>
      <c r="H1722" t="str">
        <f t="shared" si="680"/>
        <v>Pariente gordo</v>
      </c>
      <c r="I1722">
        <v>1</v>
      </c>
      <c r="J1722" t="str">
        <f t="shared" si="681"/>
        <v>Hipercaloricos</v>
      </c>
      <c r="K1722">
        <v>1067909</v>
      </c>
      <c r="L1722">
        <f t="shared" si="682"/>
        <v>1</v>
      </c>
      <c r="M1722" t="str">
        <f t="shared" si="683"/>
        <v>Suele comer</v>
      </c>
      <c r="N1722">
        <v>3656401</v>
      </c>
      <c r="O1722">
        <f t="shared" si="684"/>
        <v>2</v>
      </c>
      <c r="P1722" t="str">
        <f t="shared" si="685"/>
        <v>Mas de 3</v>
      </c>
      <c r="Q1722">
        <v>1</v>
      </c>
      <c r="R1722" t="str">
        <f t="shared" si="686"/>
        <v>A veces</v>
      </c>
      <c r="S1722">
        <v>0</v>
      </c>
      <c r="T1722" t="str">
        <f t="shared" si="687"/>
        <v>No fuma</v>
      </c>
      <c r="U1722">
        <v>198459</v>
      </c>
      <c r="V1722">
        <f t="shared" si="688"/>
        <v>2</v>
      </c>
      <c r="W1722" t="str">
        <f t="shared" si="689"/>
        <v>Siempre</v>
      </c>
      <c r="X1722">
        <v>0</v>
      </c>
      <c r="Y1722" t="str">
        <f t="shared" si="690"/>
        <v>No controla</v>
      </c>
      <c r="Z1722">
        <v>5.4238000000000001E-2</v>
      </c>
      <c r="AA1722">
        <f t="shared" si="691"/>
        <v>0</v>
      </c>
      <c r="AB1722" t="str">
        <f t="shared" si="692"/>
        <v>Nunca</v>
      </c>
      <c r="AC1722">
        <v>0</v>
      </c>
      <c r="AD1722">
        <f t="shared" si="693"/>
        <v>0</v>
      </c>
      <c r="AE1722" t="str">
        <f t="shared" si="694"/>
        <v>Nunca</v>
      </c>
      <c r="AF1722">
        <v>1</v>
      </c>
      <c r="AG1722" t="str">
        <f t="shared" si="695"/>
        <v>A veces</v>
      </c>
      <c r="AH1722">
        <v>1</v>
      </c>
      <c r="AI1722" t="str">
        <f t="shared" si="696"/>
        <v>Usa auto</v>
      </c>
      <c r="AJ1722">
        <v>0</v>
      </c>
      <c r="AK1722" t="str">
        <f t="shared" si="697"/>
        <v>No usa</v>
      </c>
      <c r="AL1722">
        <v>0</v>
      </c>
      <c r="AM1722" t="str">
        <f t="shared" si="698"/>
        <v>No usa</v>
      </c>
      <c r="AN1722">
        <v>0</v>
      </c>
      <c r="AO1722" t="str">
        <f t="shared" si="699"/>
        <v>No usa</v>
      </c>
      <c r="AP1722">
        <v>0</v>
      </c>
      <c r="AQ1722" t="str">
        <f t="shared" si="700"/>
        <v>No camina</v>
      </c>
      <c r="AR1722">
        <v>1</v>
      </c>
      <c r="AS1722" t="str">
        <f t="shared" si="701"/>
        <v>Es Obeso</v>
      </c>
    </row>
    <row r="1723" spans="1:45" x14ac:dyDescent="0.25">
      <c r="A1723">
        <v>1</v>
      </c>
      <c r="B1723" t="str">
        <f t="shared" si="676"/>
        <v>M</v>
      </c>
      <c r="C1723">
        <v>40564513</v>
      </c>
      <c r="D1723">
        <f t="shared" si="677"/>
        <v>111</v>
      </c>
      <c r="E1723">
        <f t="shared" si="678"/>
        <v>100</v>
      </c>
      <c r="F1723" t="str">
        <f t="shared" si="679"/>
        <v>75-100</v>
      </c>
      <c r="G1723">
        <v>1</v>
      </c>
      <c r="H1723" t="str">
        <f t="shared" si="680"/>
        <v>Pariente gordo</v>
      </c>
      <c r="I1723">
        <v>1</v>
      </c>
      <c r="J1723" t="str">
        <f t="shared" si="681"/>
        <v>Hipercaloricos</v>
      </c>
      <c r="K1723">
        <v>2310751</v>
      </c>
      <c r="L1723">
        <f t="shared" si="682"/>
        <v>1</v>
      </c>
      <c r="M1723" t="str">
        <f t="shared" si="683"/>
        <v>Suele comer</v>
      </c>
      <c r="N1723">
        <v>3220181</v>
      </c>
      <c r="O1723">
        <f t="shared" si="684"/>
        <v>2</v>
      </c>
      <c r="P1723" t="str">
        <f t="shared" si="685"/>
        <v>Mas de 3</v>
      </c>
      <c r="Q1723">
        <v>1</v>
      </c>
      <c r="R1723" t="str">
        <f t="shared" si="686"/>
        <v>A veces</v>
      </c>
      <c r="S1723">
        <v>0</v>
      </c>
      <c r="T1723" t="str">
        <f t="shared" si="687"/>
        <v>No fuma</v>
      </c>
      <c r="U1723">
        <v>1006643</v>
      </c>
      <c r="V1723">
        <f t="shared" si="688"/>
        <v>2</v>
      </c>
      <c r="W1723" t="str">
        <f t="shared" si="689"/>
        <v>Siempre</v>
      </c>
      <c r="X1723">
        <v>0</v>
      </c>
      <c r="Y1723" t="str">
        <f t="shared" si="690"/>
        <v>No controla</v>
      </c>
      <c r="Z1723">
        <v>115804</v>
      </c>
      <c r="AA1723">
        <f t="shared" si="691"/>
        <v>2</v>
      </c>
      <c r="AB1723" t="str">
        <f t="shared" si="692"/>
        <v>Usualmente</v>
      </c>
      <c r="AC1723">
        <v>0</v>
      </c>
      <c r="AD1723">
        <f t="shared" si="693"/>
        <v>0</v>
      </c>
      <c r="AE1723" t="str">
        <f t="shared" si="694"/>
        <v>Nunca</v>
      </c>
      <c r="AF1723">
        <v>0</v>
      </c>
      <c r="AG1723" t="str">
        <f t="shared" si="695"/>
        <v>Nunca</v>
      </c>
      <c r="AH1723">
        <v>1</v>
      </c>
      <c r="AI1723" t="str">
        <f t="shared" si="696"/>
        <v>Usa auto</v>
      </c>
      <c r="AJ1723">
        <v>0</v>
      </c>
      <c r="AK1723" t="str">
        <f t="shared" si="697"/>
        <v>No usa</v>
      </c>
      <c r="AL1723">
        <v>0</v>
      </c>
      <c r="AM1723" t="str">
        <f t="shared" si="698"/>
        <v>No usa</v>
      </c>
      <c r="AN1723">
        <v>0</v>
      </c>
      <c r="AO1723" t="str">
        <f t="shared" si="699"/>
        <v>No usa</v>
      </c>
      <c r="AP1723">
        <v>0</v>
      </c>
      <c r="AQ1723" t="str">
        <f t="shared" si="700"/>
        <v>No camina</v>
      </c>
      <c r="AR1723">
        <v>1</v>
      </c>
      <c r="AS1723" t="str">
        <f t="shared" si="701"/>
        <v>Es Obeso</v>
      </c>
    </row>
    <row r="1724" spans="1:45" x14ac:dyDescent="0.25">
      <c r="A1724">
        <v>1</v>
      </c>
      <c r="B1724" t="str">
        <f t="shared" si="676"/>
        <v>M</v>
      </c>
      <c r="C1724">
        <v>40501722</v>
      </c>
      <c r="D1724">
        <f t="shared" si="677"/>
        <v>110</v>
      </c>
      <c r="E1724">
        <f t="shared" si="678"/>
        <v>100</v>
      </c>
      <c r="F1724" t="str">
        <f t="shared" si="679"/>
        <v>75-100</v>
      </c>
      <c r="G1724">
        <v>1</v>
      </c>
      <c r="H1724" t="str">
        <f t="shared" si="680"/>
        <v>Pariente gordo</v>
      </c>
      <c r="I1724">
        <v>1</v>
      </c>
      <c r="J1724" t="str">
        <f t="shared" si="681"/>
        <v>Hipercaloricos</v>
      </c>
      <c r="K1724">
        <v>2294259</v>
      </c>
      <c r="L1724">
        <f t="shared" si="682"/>
        <v>1</v>
      </c>
      <c r="M1724" t="str">
        <f t="shared" si="683"/>
        <v>Suele comer</v>
      </c>
      <c r="N1724">
        <v>2850948</v>
      </c>
      <c r="O1724">
        <f t="shared" si="684"/>
        <v>2</v>
      </c>
      <c r="P1724" t="str">
        <f t="shared" si="685"/>
        <v>Mas de 3</v>
      </c>
      <c r="Q1724">
        <v>1</v>
      </c>
      <c r="R1724" t="str">
        <f t="shared" si="686"/>
        <v>A veces</v>
      </c>
      <c r="S1724">
        <v>0</v>
      </c>
      <c r="T1724" t="str">
        <f t="shared" si="687"/>
        <v>No fuma</v>
      </c>
      <c r="U1724">
        <v>187029</v>
      </c>
      <c r="V1724">
        <f t="shared" si="688"/>
        <v>2</v>
      </c>
      <c r="W1724" t="str">
        <f t="shared" si="689"/>
        <v>Siempre</v>
      </c>
      <c r="X1724">
        <v>0</v>
      </c>
      <c r="Y1724" t="str">
        <f t="shared" si="690"/>
        <v>No controla</v>
      </c>
      <c r="Z1724">
        <v>0.917014</v>
      </c>
      <c r="AA1724">
        <f t="shared" si="691"/>
        <v>0</v>
      </c>
      <c r="AB1724" t="str">
        <f t="shared" si="692"/>
        <v>Nunca</v>
      </c>
      <c r="AC1724">
        <v>0</v>
      </c>
      <c r="AD1724">
        <f t="shared" si="693"/>
        <v>0</v>
      </c>
      <c r="AE1724" t="str">
        <f t="shared" si="694"/>
        <v>Nunca</v>
      </c>
      <c r="AF1724">
        <v>0</v>
      </c>
      <c r="AG1724" t="str">
        <f t="shared" si="695"/>
        <v>Nunca</v>
      </c>
      <c r="AH1724">
        <v>1</v>
      </c>
      <c r="AI1724" t="str">
        <f t="shared" si="696"/>
        <v>Usa auto</v>
      </c>
      <c r="AJ1724">
        <v>0</v>
      </c>
      <c r="AK1724" t="str">
        <f t="shared" si="697"/>
        <v>No usa</v>
      </c>
      <c r="AL1724">
        <v>0</v>
      </c>
      <c r="AM1724" t="str">
        <f t="shared" si="698"/>
        <v>No usa</v>
      </c>
      <c r="AN1724">
        <v>0</v>
      </c>
      <c r="AO1724" t="str">
        <f t="shared" si="699"/>
        <v>No usa</v>
      </c>
      <c r="AP1724">
        <v>0</v>
      </c>
      <c r="AQ1724" t="str">
        <f t="shared" si="700"/>
        <v>No camina</v>
      </c>
      <c r="AR1724">
        <v>1</v>
      </c>
      <c r="AS1724" t="str">
        <f t="shared" si="701"/>
        <v>Es Obeso</v>
      </c>
    </row>
    <row r="1725" spans="1:45" x14ac:dyDescent="0.25">
      <c r="A1725">
        <v>1</v>
      </c>
      <c r="B1725" t="str">
        <f t="shared" si="676"/>
        <v>M</v>
      </c>
      <c r="C1725">
        <v>30315784</v>
      </c>
      <c r="D1725">
        <f t="shared" si="677"/>
        <v>83</v>
      </c>
      <c r="E1725">
        <f t="shared" si="678"/>
        <v>83</v>
      </c>
      <c r="F1725" t="str">
        <f t="shared" si="679"/>
        <v>75-100</v>
      </c>
      <c r="G1725">
        <v>1</v>
      </c>
      <c r="H1725" t="str">
        <f t="shared" si="680"/>
        <v>Pariente gordo</v>
      </c>
      <c r="I1725">
        <v>1</v>
      </c>
      <c r="J1725" t="str">
        <f t="shared" si="681"/>
        <v>Hipercaloricos</v>
      </c>
      <c r="K1725">
        <v>257649</v>
      </c>
      <c r="L1725">
        <f t="shared" si="682"/>
        <v>1</v>
      </c>
      <c r="M1725" t="str">
        <f t="shared" si="683"/>
        <v>Suele comer</v>
      </c>
      <c r="N1725">
        <v>2187145</v>
      </c>
      <c r="O1725">
        <f t="shared" si="684"/>
        <v>2</v>
      </c>
      <c r="P1725" t="str">
        <f t="shared" si="685"/>
        <v>Mas de 3</v>
      </c>
      <c r="Q1725">
        <v>1</v>
      </c>
      <c r="R1725" t="str">
        <f t="shared" si="686"/>
        <v>A veces</v>
      </c>
      <c r="S1725">
        <v>0</v>
      </c>
      <c r="T1725" t="str">
        <f t="shared" si="687"/>
        <v>No fuma</v>
      </c>
      <c r="U1725">
        <v>138107</v>
      </c>
      <c r="V1725">
        <f t="shared" si="688"/>
        <v>2</v>
      </c>
      <c r="W1725" t="str">
        <f t="shared" si="689"/>
        <v>Siempre</v>
      </c>
      <c r="X1725">
        <v>0</v>
      </c>
      <c r="Y1725" t="str">
        <f t="shared" si="690"/>
        <v>No controla</v>
      </c>
      <c r="Z1725">
        <v>1928275</v>
      </c>
      <c r="AA1725">
        <f t="shared" si="691"/>
        <v>3</v>
      </c>
      <c r="AB1725" t="str">
        <f t="shared" si="692"/>
        <v>Siempre</v>
      </c>
      <c r="AC1725">
        <v>0.413663</v>
      </c>
      <c r="AD1725">
        <f t="shared" si="693"/>
        <v>0</v>
      </c>
      <c r="AE1725" t="str">
        <f t="shared" si="694"/>
        <v>Nunca</v>
      </c>
      <c r="AF1725">
        <v>0</v>
      </c>
      <c r="AG1725" t="str">
        <f t="shared" si="695"/>
        <v>Nunca</v>
      </c>
      <c r="AH1725">
        <v>0</v>
      </c>
      <c r="AI1725" t="str">
        <f t="shared" si="696"/>
        <v>No usa</v>
      </c>
      <c r="AJ1725">
        <v>0</v>
      </c>
      <c r="AK1725" t="str">
        <f t="shared" si="697"/>
        <v>No usa</v>
      </c>
      <c r="AL1725">
        <v>0</v>
      </c>
      <c r="AM1725" t="str">
        <f t="shared" si="698"/>
        <v>No usa</v>
      </c>
      <c r="AN1725">
        <v>1</v>
      </c>
      <c r="AO1725" t="str">
        <f t="shared" si="699"/>
        <v>Usa Transporte</v>
      </c>
      <c r="AP1725">
        <v>0</v>
      </c>
      <c r="AQ1725" t="str">
        <f t="shared" si="700"/>
        <v>No camina</v>
      </c>
      <c r="AR1725">
        <v>1</v>
      </c>
      <c r="AS1725" t="str">
        <f t="shared" si="701"/>
        <v>Es Obeso</v>
      </c>
    </row>
    <row r="1726" spans="1:45" x14ac:dyDescent="0.25">
      <c r="A1726">
        <v>1</v>
      </c>
      <c r="B1726" t="str">
        <f t="shared" si="676"/>
        <v>M</v>
      </c>
      <c r="C1726">
        <v>33293166</v>
      </c>
      <c r="D1726">
        <f t="shared" si="677"/>
        <v>91</v>
      </c>
      <c r="E1726">
        <f t="shared" si="678"/>
        <v>91</v>
      </c>
      <c r="F1726" t="str">
        <f t="shared" si="679"/>
        <v>75-100</v>
      </c>
      <c r="G1726">
        <v>1</v>
      </c>
      <c r="H1726" t="str">
        <f t="shared" si="680"/>
        <v>Pariente gordo</v>
      </c>
      <c r="I1726">
        <v>1</v>
      </c>
      <c r="J1726" t="str">
        <f t="shared" si="681"/>
        <v>Hipercaloricos</v>
      </c>
      <c r="K1726">
        <v>2679664</v>
      </c>
      <c r="L1726">
        <f t="shared" si="682"/>
        <v>1</v>
      </c>
      <c r="M1726" t="str">
        <f t="shared" si="683"/>
        <v>Suele comer</v>
      </c>
      <c r="N1726">
        <v>2415522</v>
      </c>
      <c r="O1726">
        <f t="shared" si="684"/>
        <v>2</v>
      </c>
      <c r="P1726" t="str">
        <f t="shared" si="685"/>
        <v>Mas de 3</v>
      </c>
      <c r="Q1726">
        <v>1</v>
      </c>
      <c r="R1726" t="str">
        <f t="shared" si="686"/>
        <v>A veces</v>
      </c>
      <c r="S1726">
        <v>0</v>
      </c>
      <c r="T1726" t="str">
        <f t="shared" si="687"/>
        <v>No fuma</v>
      </c>
      <c r="U1726">
        <v>1</v>
      </c>
      <c r="V1726">
        <f t="shared" si="688"/>
        <v>1</v>
      </c>
      <c r="W1726" t="str">
        <f t="shared" si="689"/>
        <v>Usualmente</v>
      </c>
      <c r="X1726">
        <v>0</v>
      </c>
      <c r="Y1726" t="str">
        <f t="shared" si="690"/>
        <v>No controla</v>
      </c>
      <c r="Z1726">
        <v>1987296</v>
      </c>
      <c r="AA1726">
        <f t="shared" si="691"/>
        <v>3</v>
      </c>
      <c r="AB1726" t="str">
        <f t="shared" si="692"/>
        <v>Siempre</v>
      </c>
      <c r="AC1726">
        <v>0</v>
      </c>
      <c r="AD1726">
        <f t="shared" si="693"/>
        <v>0</v>
      </c>
      <c r="AE1726" t="str">
        <f t="shared" si="694"/>
        <v>Nunca</v>
      </c>
      <c r="AF1726">
        <v>0</v>
      </c>
      <c r="AG1726" t="str">
        <f t="shared" si="695"/>
        <v>Nunca</v>
      </c>
      <c r="AH1726">
        <v>0</v>
      </c>
      <c r="AI1726" t="str">
        <f t="shared" si="696"/>
        <v>No usa</v>
      </c>
      <c r="AJ1726">
        <v>0</v>
      </c>
      <c r="AK1726" t="str">
        <f t="shared" si="697"/>
        <v>No usa</v>
      </c>
      <c r="AL1726">
        <v>0</v>
      </c>
      <c r="AM1726" t="str">
        <f t="shared" si="698"/>
        <v>No usa</v>
      </c>
      <c r="AN1726">
        <v>1</v>
      </c>
      <c r="AO1726" t="str">
        <f t="shared" si="699"/>
        <v>Usa Transporte</v>
      </c>
      <c r="AP1726">
        <v>0</v>
      </c>
      <c r="AQ1726" t="str">
        <f t="shared" si="700"/>
        <v>No camina</v>
      </c>
      <c r="AR1726">
        <v>1</v>
      </c>
      <c r="AS1726" t="str">
        <f t="shared" si="701"/>
        <v>Es Obeso</v>
      </c>
    </row>
    <row r="1727" spans="1:45" x14ac:dyDescent="0.25">
      <c r="A1727">
        <v>1</v>
      </c>
      <c r="B1727" t="str">
        <f t="shared" si="676"/>
        <v>M</v>
      </c>
      <c r="C1727">
        <v>30638944</v>
      </c>
      <c r="D1727">
        <f t="shared" si="677"/>
        <v>83</v>
      </c>
      <c r="E1727">
        <f t="shared" si="678"/>
        <v>83</v>
      </c>
      <c r="F1727" t="str">
        <f t="shared" si="679"/>
        <v>75-100</v>
      </c>
      <c r="G1727">
        <v>1</v>
      </c>
      <c r="H1727" t="str">
        <f t="shared" si="680"/>
        <v>Pariente gordo</v>
      </c>
      <c r="I1727">
        <v>1</v>
      </c>
      <c r="J1727" t="str">
        <f t="shared" si="681"/>
        <v>Hipercaloricos</v>
      </c>
      <c r="K1727">
        <v>2938687</v>
      </c>
      <c r="L1727">
        <f t="shared" si="682"/>
        <v>1</v>
      </c>
      <c r="M1727" t="str">
        <f t="shared" si="683"/>
        <v>Suele comer</v>
      </c>
      <c r="N1727">
        <v>2138375</v>
      </c>
      <c r="O1727">
        <f t="shared" si="684"/>
        <v>2</v>
      </c>
      <c r="P1727" t="str">
        <f t="shared" si="685"/>
        <v>Mas de 3</v>
      </c>
      <c r="Q1727">
        <v>1</v>
      </c>
      <c r="R1727" t="str">
        <f t="shared" si="686"/>
        <v>A veces</v>
      </c>
      <c r="S1727">
        <v>0</v>
      </c>
      <c r="T1727" t="str">
        <f t="shared" si="687"/>
        <v>No fuma</v>
      </c>
      <c r="U1727">
        <v>1251715</v>
      </c>
      <c r="V1727">
        <f t="shared" si="688"/>
        <v>2</v>
      </c>
      <c r="W1727" t="str">
        <f t="shared" si="689"/>
        <v>Siempre</v>
      </c>
      <c r="X1727">
        <v>0</v>
      </c>
      <c r="Y1727" t="str">
        <f t="shared" si="690"/>
        <v>No controla</v>
      </c>
      <c r="Z1727">
        <v>1181811</v>
      </c>
      <c r="AA1727">
        <f t="shared" si="691"/>
        <v>3</v>
      </c>
      <c r="AB1727" t="str">
        <f t="shared" si="692"/>
        <v>Siempre</v>
      </c>
      <c r="AC1727">
        <v>0.77837500000000004</v>
      </c>
      <c r="AD1727">
        <f t="shared" si="693"/>
        <v>0</v>
      </c>
      <c r="AE1727" t="str">
        <f t="shared" si="694"/>
        <v>Nunca</v>
      </c>
      <c r="AF1727">
        <v>0</v>
      </c>
      <c r="AG1727" t="str">
        <f t="shared" si="695"/>
        <v>Nunca</v>
      </c>
      <c r="AH1727">
        <v>0</v>
      </c>
      <c r="AI1727" t="str">
        <f t="shared" si="696"/>
        <v>No usa</v>
      </c>
      <c r="AJ1727">
        <v>0</v>
      </c>
      <c r="AK1727" t="str">
        <f t="shared" si="697"/>
        <v>No usa</v>
      </c>
      <c r="AL1727">
        <v>0</v>
      </c>
      <c r="AM1727" t="str">
        <f t="shared" si="698"/>
        <v>No usa</v>
      </c>
      <c r="AN1727">
        <v>1</v>
      </c>
      <c r="AO1727" t="str">
        <f t="shared" si="699"/>
        <v>Usa Transporte</v>
      </c>
      <c r="AP1727">
        <v>0</v>
      </c>
      <c r="AQ1727" t="str">
        <f t="shared" si="700"/>
        <v>No camina</v>
      </c>
      <c r="AR1727">
        <v>1</v>
      </c>
      <c r="AS1727" t="str">
        <f t="shared" si="701"/>
        <v>Es Obeso</v>
      </c>
    </row>
    <row r="1728" spans="1:45" x14ac:dyDescent="0.25">
      <c r="A1728">
        <v>1</v>
      </c>
      <c r="B1728" t="str">
        <f t="shared" si="676"/>
        <v>M</v>
      </c>
      <c r="C1728">
        <v>29791101</v>
      </c>
      <c r="D1728">
        <f t="shared" si="677"/>
        <v>81</v>
      </c>
      <c r="E1728">
        <f t="shared" si="678"/>
        <v>81</v>
      </c>
      <c r="F1728" t="str">
        <f t="shared" si="679"/>
        <v>75-100</v>
      </c>
      <c r="G1728">
        <v>1</v>
      </c>
      <c r="H1728" t="str">
        <f t="shared" si="680"/>
        <v>Pariente gordo</v>
      </c>
      <c r="I1728">
        <v>1</v>
      </c>
      <c r="J1728" t="str">
        <f t="shared" si="681"/>
        <v>Hipercaloricos</v>
      </c>
      <c r="K1728">
        <v>2654792</v>
      </c>
      <c r="L1728">
        <f t="shared" si="682"/>
        <v>1</v>
      </c>
      <c r="M1728" t="str">
        <f t="shared" si="683"/>
        <v>Suele comer</v>
      </c>
      <c r="N1728">
        <v>1077331</v>
      </c>
      <c r="O1728">
        <f t="shared" si="684"/>
        <v>2</v>
      </c>
      <c r="P1728" t="str">
        <f t="shared" si="685"/>
        <v>Mas de 3</v>
      </c>
      <c r="Q1728">
        <v>1</v>
      </c>
      <c r="R1728" t="str">
        <f t="shared" si="686"/>
        <v>A veces</v>
      </c>
      <c r="S1728">
        <v>0</v>
      </c>
      <c r="T1728" t="str">
        <f t="shared" si="687"/>
        <v>No fuma</v>
      </c>
      <c r="U1728">
        <v>1345407</v>
      </c>
      <c r="V1728">
        <f t="shared" si="688"/>
        <v>2</v>
      </c>
      <c r="W1728" t="str">
        <f t="shared" si="689"/>
        <v>Siempre</v>
      </c>
      <c r="X1728">
        <v>0</v>
      </c>
      <c r="Y1728" t="str">
        <f t="shared" si="690"/>
        <v>No controla</v>
      </c>
      <c r="Z1728">
        <v>0.32741799999999999</v>
      </c>
      <c r="AA1728">
        <f t="shared" si="691"/>
        <v>0</v>
      </c>
      <c r="AB1728" t="str">
        <f t="shared" si="692"/>
        <v>Nunca</v>
      </c>
      <c r="AC1728">
        <v>0.38686100000000001</v>
      </c>
      <c r="AD1728">
        <f t="shared" si="693"/>
        <v>0</v>
      </c>
      <c r="AE1728" t="str">
        <f t="shared" si="694"/>
        <v>Nunca</v>
      </c>
      <c r="AF1728">
        <v>0</v>
      </c>
      <c r="AG1728" t="str">
        <f t="shared" si="695"/>
        <v>Nunca</v>
      </c>
      <c r="AH1728">
        <v>0</v>
      </c>
      <c r="AI1728" t="str">
        <f t="shared" si="696"/>
        <v>No usa</v>
      </c>
      <c r="AJ1728">
        <v>0</v>
      </c>
      <c r="AK1728" t="str">
        <f t="shared" si="697"/>
        <v>No usa</v>
      </c>
      <c r="AL1728">
        <v>0</v>
      </c>
      <c r="AM1728" t="str">
        <f t="shared" si="698"/>
        <v>No usa</v>
      </c>
      <c r="AN1728">
        <v>1</v>
      </c>
      <c r="AO1728" t="str">
        <f t="shared" si="699"/>
        <v>Usa Transporte</v>
      </c>
      <c r="AP1728">
        <v>0</v>
      </c>
      <c r="AQ1728" t="str">
        <f t="shared" si="700"/>
        <v>No camina</v>
      </c>
      <c r="AR1728">
        <v>1</v>
      </c>
      <c r="AS1728" t="str">
        <f t="shared" si="701"/>
        <v>Es Obeso</v>
      </c>
    </row>
    <row r="1729" spans="1:45" x14ac:dyDescent="0.25">
      <c r="A1729">
        <v>1</v>
      </c>
      <c r="B1729" t="str">
        <f t="shared" si="676"/>
        <v>M</v>
      </c>
      <c r="C1729">
        <v>31205668</v>
      </c>
      <c r="D1729">
        <f t="shared" si="677"/>
        <v>85</v>
      </c>
      <c r="E1729">
        <f t="shared" si="678"/>
        <v>85</v>
      </c>
      <c r="F1729" t="str">
        <f t="shared" si="679"/>
        <v>75-100</v>
      </c>
      <c r="G1729">
        <v>1</v>
      </c>
      <c r="H1729" t="str">
        <f t="shared" si="680"/>
        <v>Pariente gordo</v>
      </c>
      <c r="I1729">
        <v>1</v>
      </c>
      <c r="J1729" t="str">
        <f t="shared" si="681"/>
        <v>Hipercaloricos</v>
      </c>
      <c r="K1729">
        <v>2731368</v>
      </c>
      <c r="L1729">
        <f t="shared" si="682"/>
        <v>1</v>
      </c>
      <c r="M1729" t="str">
        <f t="shared" si="683"/>
        <v>Suele comer</v>
      </c>
      <c r="N1729">
        <v>3</v>
      </c>
      <c r="O1729">
        <f t="shared" si="684"/>
        <v>2</v>
      </c>
      <c r="P1729" t="str">
        <f t="shared" si="685"/>
        <v>Mas de 3</v>
      </c>
      <c r="Q1729">
        <v>1</v>
      </c>
      <c r="R1729" t="str">
        <f t="shared" si="686"/>
        <v>A veces</v>
      </c>
      <c r="S1729">
        <v>1</v>
      </c>
      <c r="T1729" t="str">
        <f t="shared" si="687"/>
        <v>Fuma</v>
      </c>
      <c r="U1729">
        <v>1486824</v>
      </c>
      <c r="V1729">
        <f t="shared" si="688"/>
        <v>2</v>
      </c>
      <c r="W1729" t="str">
        <f t="shared" si="689"/>
        <v>Siempre</v>
      </c>
      <c r="X1729">
        <v>0</v>
      </c>
      <c r="Y1729" t="str">
        <f t="shared" si="690"/>
        <v>No controla</v>
      </c>
      <c r="Z1729">
        <v>1485978</v>
      </c>
      <c r="AA1729">
        <f t="shared" si="691"/>
        <v>3</v>
      </c>
      <c r="AB1729" t="str">
        <f t="shared" si="692"/>
        <v>Siempre</v>
      </c>
      <c r="AC1729">
        <v>1150439</v>
      </c>
      <c r="AD1729">
        <f t="shared" si="693"/>
        <v>2</v>
      </c>
      <c r="AE1729" t="str">
        <f t="shared" si="694"/>
        <v>Siempre</v>
      </c>
      <c r="AF1729">
        <v>1</v>
      </c>
      <c r="AG1729" t="str">
        <f t="shared" si="695"/>
        <v>A veces</v>
      </c>
      <c r="AH1729">
        <v>0</v>
      </c>
      <c r="AI1729" t="str">
        <f t="shared" si="696"/>
        <v>No usa</v>
      </c>
      <c r="AJ1729">
        <v>0</v>
      </c>
      <c r="AK1729" t="str">
        <f t="shared" si="697"/>
        <v>No usa</v>
      </c>
      <c r="AL1729">
        <v>0</v>
      </c>
      <c r="AM1729" t="str">
        <f t="shared" si="698"/>
        <v>No usa</v>
      </c>
      <c r="AN1729">
        <v>1</v>
      </c>
      <c r="AO1729" t="str">
        <f t="shared" si="699"/>
        <v>Usa Transporte</v>
      </c>
      <c r="AP1729">
        <v>0</v>
      </c>
      <c r="AQ1729" t="str">
        <f t="shared" si="700"/>
        <v>No camina</v>
      </c>
      <c r="AR1729">
        <v>1</v>
      </c>
      <c r="AS1729" t="str">
        <f t="shared" si="701"/>
        <v>Es Obeso</v>
      </c>
    </row>
    <row r="1730" spans="1:45" x14ac:dyDescent="0.25">
      <c r="A1730">
        <v>1</v>
      </c>
      <c r="B1730" t="str">
        <f t="shared" si="676"/>
        <v>M</v>
      </c>
      <c r="C1730">
        <v>30899219</v>
      </c>
      <c r="D1730">
        <f t="shared" si="677"/>
        <v>84</v>
      </c>
      <c r="E1730">
        <f t="shared" si="678"/>
        <v>84</v>
      </c>
      <c r="F1730" t="str">
        <f t="shared" si="679"/>
        <v>75-100</v>
      </c>
      <c r="G1730">
        <v>1</v>
      </c>
      <c r="H1730" t="str">
        <f t="shared" si="680"/>
        <v>Pariente gordo</v>
      </c>
      <c r="I1730">
        <v>1</v>
      </c>
      <c r="J1730" t="str">
        <f t="shared" si="681"/>
        <v>Hipercaloricos</v>
      </c>
      <c r="K1730">
        <v>222259</v>
      </c>
      <c r="L1730">
        <f t="shared" si="682"/>
        <v>1</v>
      </c>
      <c r="M1730" t="str">
        <f t="shared" si="683"/>
        <v>Suele comer</v>
      </c>
      <c r="N1730">
        <v>3</v>
      </c>
      <c r="O1730">
        <f t="shared" si="684"/>
        <v>2</v>
      </c>
      <c r="P1730" t="str">
        <f t="shared" si="685"/>
        <v>Mas de 3</v>
      </c>
      <c r="Q1730">
        <v>1</v>
      </c>
      <c r="R1730" t="str">
        <f t="shared" si="686"/>
        <v>A veces</v>
      </c>
      <c r="S1730">
        <v>1</v>
      </c>
      <c r="T1730" t="str">
        <f t="shared" si="687"/>
        <v>Fuma</v>
      </c>
      <c r="U1730">
        <v>1591909</v>
      </c>
      <c r="V1730">
        <f t="shared" si="688"/>
        <v>2</v>
      </c>
      <c r="W1730" t="str">
        <f t="shared" si="689"/>
        <v>Siempre</v>
      </c>
      <c r="X1730">
        <v>0</v>
      </c>
      <c r="Y1730" t="str">
        <f t="shared" si="690"/>
        <v>No controla</v>
      </c>
      <c r="Z1730">
        <v>1392026</v>
      </c>
      <c r="AA1730">
        <f t="shared" si="691"/>
        <v>3</v>
      </c>
      <c r="AB1730" t="str">
        <f t="shared" si="692"/>
        <v>Siempre</v>
      </c>
      <c r="AC1730">
        <v>0.91772699999999996</v>
      </c>
      <c r="AD1730">
        <f t="shared" si="693"/>
        <v>0</v>
      </c>
      <c r="AE1730" t="str">
        <f t="shared" si="694"/>
        <v>Nunca</v>
      </c>
      <c r="AF1730">
        <v>1</v>
      </c>
      <c r="AG1730" t="str">
        <f t="shared" si="695"/>
        <v>A veces</v>
      </c>
      <c r="AH1730">
        <v>0</v>
      </c>
      <c r="AI1730" t="str">
        <f t="shared" si="696"/>
        <v>No usa</v>
      </c>
      <c r="AJ1730">
        <v>0</v>
      </c>
      <c r="AK1730" t="str">
        <f t="shared" si="697"/>
        <v>No usa</v>
      </c>
      <c r="AL1730">
        <v>0</v>
      </c>
      <c r="AM1730" t="str">
        <f t="shared" si="698"/>
        <v>No usa</v>
      </c>
      <c r="AN1730">
        <v>1</v>
      </c>
      <c r="AO1730" t="str">
        <f t="shared" si="699"/>
        <v>Usa Transporte</v>
      </c>
      <c r="AP1730">
        <v>0</v>
      </c>
      <c r="AQ1730" t="str">
        <f t="shared" si="700"/>
        <v>No camina</v>
      </c>
      <c r="AR1730">
        <v>1</v>
      </c>
      <c r="AS1730" t="str">
        <f t="shared" si="701"/>
        <v>Es Obeso</v>
      </c>
    </row>
    <row r="1731" spans="1:45" x14ac:dyDescent="0.25">
      <c r="A1731">
        <v>1</v>
      </c>
      <c r="B1731" t="str">
        <f t="shared" ref="B1731:B1794" si="702">IF(A1731=1,"M","F")</f>
        <v>M</v>
      </c>
      <c r="C1731">
        <v>29669219</v>
      </c>
      <c r="D1731">
        <f t="shared" ref="D1731:D1794" si="703">IF(C1731&lt;100,C1731,ROUNDDOWN((C1731/1000)/365,0))</f>
        <v>81</v>
      </c>
      <c r="E1731">
        <f t="shared" ref="E1731:E1794" si="704">IF(AND(D1731&gt;1,D1731&lt;=100),D1731,IF(D1731&gt;100,100,5))</f>
        <v>81</v>
      </c>
      <c r="F1731" t="str">
        <f t="shared" ref="F1731:F1794" si="705">IF(AND(E1731&gt;=1,E1731&lt;=25),"1-25",IF(AND(E1731&gt;25,E1731&lt;=50),"25-50",IF(AND(E1731&gt;50,E1731&lt;=75),"50-75","75-100")))</f>
        <v>75-100</v>
      </c>
      <c r="G1731">
        <v>1</v>
      </c>
      <c r="H1731" t="str">
        <f t="shared" ref="H1731:H1794" si="706">IF(G1731=1,"Pariente gordo","Pariente normal")</f>
        <v>Pariente gordo</v>
      </c>
      <c r="I1731">
        <v>1</v>
      </c>
      <c r="J1731" t="str">
        <f t="shared" ref="J1731:J1794" si="707">IF(I1731=1,"Hipercaloricos","Saludables")</f>
        <v>Hipercaloricos</v>
      </c>
      <c r="K1731">
        <v>2432355</v>
      </c>
      <c r="L1731">
        <f t="shared" ref="L1731:L1794" si="708">IF(AND(K1731&gt;=1,K1731&lt;=3),1,IF(AND(K1731&gt;3,K1731&lt;3000000),1))</f>
        <v>1</v>
      </c>
      <c r="M1731" t="str">
        <f t="shared" ref="M1731:M1794" si="709">IF(L1731=1,"Suele comer","No come")</f>
        <v>Suele comer</v>
      </c>
      <c r="N1731">
        <v>3</v>
      </c>
      <c r="O1731">
        <f t="shared" ref="O1731:O1794" si="710">IF(N1731=1,N1731,IF(AND(N1731&gt;=2,N1731&lt;4000000),2))</f>
        <v>2</v>
      </c>
      <c r="P1731" t="str">
        <f t="shared" ref="P1731:P1794" si="711">IF(O1731=0,"1-2",IF(O1731=1,3,"Mas de 3"))</f>
        <v>Mas de 3</v>
      </c>
      <c r="Q1731">
        <v>1</v>
      </c>
      <c r="R1731" t="str">
        <f t="shared" ref="R1731:R1794" si="712">IF(Q1731=0,"Nunca",IF(Q1731=1,"A veces",IF(Q1731=2,"Usualmente","Siempre")))</f>
        <v>A veces</v>
      </c>
      <c r="S1731">
        <v>0</v>
      </c>
      <c r="T1731" t="str">
        <f t="shared" ref="T1731:T1794" si="713">IF(S1731=1,"Fuma","No fuma")</f>
        <v>No fuma</v>
      </c>
      <c r="U1731">
        <v>1336526</v>
      </c>
      <c r="V1731">
        <f t="shared" ref="V1731:V1794" si="714">IF(U1731=1,U1731,IF(U1731=2,U1731,IF(AND(U1731&gt;=3,U1731&lt;3000000),2)))</f>
        <v>2</v>
      </c>
      <c r="W1731" t="str">
        <f t="shared" ref="W1731:W1794" si="715">IF(V1731=0,"Nunca",IF(V1731=1,"Usualmente","Siempre"))</f>
        <v>Siempre</v>
      </c>
      <c r="X1731">
        <v>0</v>
      </c>
      <c r="Y1731" t="str">
        <f t="shared" ref="Y1731:Y1794" si="716">IF(X1731=1,"Controla","No controla")</f>
        <v>No controla</v>
      </c>
      <c r="Z1731">
        <v>163812</v>
      </c>
      <c r="AA1731">
        <f t="shared" ref="AA1731:AA1794" si="717">IF(Z1731=0,Z1731,IF(Z1731=1,Z1731,IF(Z1731=2,Z1731,IF(Z1731=3,Z1731,IF(AND(Z1731&gt;3,Z1731&lt;300000),2,IF(AND(Z1731&gt;300000,Z1731&lt;3000000),3,IF(AND(Z1731&gt;0,Z1731&lt;1),0)))))))</f>
        <v>2</v>
      </c>
      <c r="AB1731" t="str">
        <f t="shared" ref="AB1731:AB1794" si="718">IF(AA1731=0,"Nunca",IF(AA1731=1,"A veces",IF(AA1731=2,"Usualmente","Siempre")))</f>
        <v>Usualmente</v>
      </c>
      <c r="AC1731">
        <v>9.0341000000000005E-2</v>
      </c>
      <c r="AD1731">
        <f t="shared" ref="AD1731:AD1794" si="719">IF(AC1731= 0,AC1731,IF(AC1731=1,AC1731,IF(AC1731=2,AC1731,IF(AND(AC1731&gt;2,AC1731&lt;200000),1,IF(AND(AC1731&gt;200000,AC1731&lt;2000000),2,IF(AND(AC1731&gt;0,AC1731&lt;1),0))))))</f>
        <v>0</v>
      </c>
      <c r="AE1731" t="str">
        <f t="shared" ref="AE1731:AE1794" si="720">IF(AD1731=0,"Nunca",IF(AD1731=1,"Usualmente","Siempre"))</f>
        <v>Nunca</v>
      </c>
      <c r="AF1731">
        <v>1</v>
      </c>
      <c r="AG1731" t="str">
        <f t="shared" ref="AG1731:AG1794" si="721">IF(AF1731=0,"Nunca",IF(AF1731=1,"A veces",IF(AF1731=2,"Usualmente","Siempre")))</f>
        <v>A veces</v>
      </c>
      <c r="AH1731">
        <v>0</v>
      </c>
      <c r="AI1731" t="str">
        <f t="shared" ref="AI1731:AI1794" si="722">IF(AH1731=1,"Usa auto","No usa")</f>
        <v>No usa</v>
      </c>
      <c r="AJ1731">
        <v>0</v>
      </c>
      <c r="AK1731" t="str">
        <f t="shared" ref="AK1731:AK1794" si="723">IF(AJ1731=1,"Usa Bici","No usa")</f>
        <v>No usa</v>
      </c>
      <c r="AL1731">
        <v>0</v>
      </c>
      <c r="AM1731" t="str">
        <f t="shared" ref="AM1731:AM1794" si="724">IF(AL1731=1,"Usa Moto","No usa")</f>
        <v>No usa</v>
      </c>
      <c r="AN1731">
        <v>1</v>
      </c>
      <c r="AO1731" t="str">
        <f t="shared" ref="AO1731:AO1794" si="725">IF(AN1731=1,"Usa Transporte","No usa")</f>
        <v>Usa Transporte</v>
      </c>
      <c r="AP1731">
        <v>0</v>
      </c>
      <c r="AQ1731" t="str">
        <f t="shared" ref="AQ1731:AQ1794" si="726">IF(AP1731=1,"Camina","No camina")</f>
        <v>No camina</v>
      </c>
      <c r="AR1731">
        <v>1</v>
      </c>
      <c r="AS1731" t="str">
        <f t="shared" ref="AS1731:AS1794" si="727">IF(AR1731=1,"Es Obeso","No es obeso")</f>
        <v>Es Obeso</v>
      </c>
    </row>
    <row r="1732" spans="1:45" x14ac:dyDescent="0.25">
      <c r="A1732">
        <v>1</v>
      </c>
      <c r="B1732" t="str">
        <f t="shared" si="702"/>
        <v>M</v>
      </c>
      <c r="C1732">
        <v>30595632</v>
      </c>
      <c r="D1732">
        <f t="shared" si="703"/>
        <v>83</v>
      </c>
      <c r="E1732">
        <f t="shared" si="704"/>
        <v>83</v>
      </c>
      <c r="F1732" t="str">
        <f t="shared" si="705"/>
        <v>75-100</v>
      </c>
      <c r="G1732">
        <v>1</v>
      </c>
      <c r="H1732" t="str">
        <f t="shared" si="706"/>
        <v>Pariente gordo</v>
      </c>
      <c r="I1732">
        <v>1</v>
      </c>
      <c r="J1732" t="str">
        <f t="shared" si="707"/>
        <v>Hipercaloricos</v>
      </c>
      <c r="K1732">
        <v>2497548</v>
      </c>
      <c r="L1732">
        <f t="shared" si="708"/>
        <v>1</v>
      </c>
      <c r="M1732" t="str">
        <f t="shared" si="709"/>
        <v>Suele comer</v>
      </c>
      <c r="N1732">
        <v>3</v>
      </c>
      <c r="O1732">
        <f t="shared" si="710"/>
        <v>2</v>
      </c>
      <c r="P1732" t="str">
        <f t="shared" si="711"/>
        <v>Mas de 3</v>
      </c>
      <c r="Q1732">
        <v>1</v>
      </c>
      <c r="R1732" t="str">
        <f t="shared" si="712"/>
        <v>A veces</v>
      </c>
      <c r="S1732">
        <v>0</v>
      </c>
      <c r="T1732" t="str">
        <f t="shared" si="713"/>
        <v>No fuma</v>
      </c>
      <c r="U1732">
        <v>1362583</v>
      </c>
      <c r="V1732">
        <f t="shared" si="714"/>
        <v>2</v>
      </c>
      <c r="W1732" t="str">
        <f t="shared" si="715"/>
        <v>Siempre</v>
      </c>
      <c r="X1732">
        <v>0</v>
      </c>
      <c r="Y1732" t="str">
        <f t="shared" si="716"/>
        <v>No controla</v>
      </c>
      <c r="Z1732">
        <v>1144076</v>
      </c>
      <c r="AA1732">
        <f t="shared" si="717"/>
        <v>3</v>
      </c>
      <c r="AB1732" t="str">
        <f t="shared" si="718"/>
        <v>Siempre</v>
      </c>
      <c r="AC1732">
        <v>0.173232</v>
      </c>
      <c r="AD1732">
        <f t="shared" si="719"/>
        <v>0</v>
      </c>
      <c r="AE1732" t="str">
        <f t="shared" si="720"/>
        <v>Nunca</v>
      </c>
      <c r="AF1732">
        <v>1</v>
      </c>
      <c r="AG1732" t="str">
        <f t="shared" si="721"/>
        <v>A veces</v>
      </c>
      <c r="AH1732">
        <v>0</v>
      </c>
      <c r="AI1732" t="str">
        <f t="shared" si="722"/>
        <v>No usa</v>
      </c>
      <c r="AJ1732">
        <v>0</v>
      </c>
      <c r="AK1732" t="str">
        <f t="shared" si="723"/>
        <v>No usa</v>
      </c>
      <c r="AL1732">
        <v>0</v>
      </c>
      <c r="AM1732" t="str">
        <f t="shared" si="724"/>
        <v>No usa</v>
      </c>
      <c r="AN1732">
        <v>1</v>
      </c>
      <c r="AO1732" t="str">
        <f t="shared" si="725"/>
        <v>Usa Transporte</v>
      </c>
      <c r="AP1732">
        <v>0</v>
      </c>
      <c r="AQ1732" t="str">
        <f t="shared" si="726"/>
        <v>No camina</v>
      </c>
      <c r="AR1732">
        <v>1</v>
      </c>
      <c r="AS1732" t="str">
        <f t="shared" si="727"/>
        <v>Es Obeso</v>
      </c>
    </row>
    <row r="1733" spans="1:45" x14ac:dyDescent="0.25">
      <c r="A1733">
        <v>1</v>
      </c>
      <c r="B1733" t="str">
        <f t="shared" si="702"/>
        <v>M</v>
      </c>
      <c r="C1733">
        <v>30554956</v>
      </c>
      <c r="D1733">
        <f t="shared" si="703"/>
        <v>83</v>
      </c>
      <c r="E1733">
        <f t="shared" si="704"/>
        <v>83</v>
      </c>
      <c r="F1733" t="str">
        <f t="shared" si="705"/>
        <v>75-100</v>
      </c>
      <c r="G1733">
        <v>1</v>
      </c>
      <c r="H1733" t="str">
        <f t="shared" si="706"/>
        <v>Pariente gordo</v>
      </c>
      <c r="I1733">
        <v>1</v>
      </c>
      <c r="J1733" t="str">
        <f t="shared" si="707"/>
        <v>Hipercaloricos</v>
      </c>
      <c r="K1733">
        <v>2671238</v>
      </c>
      <c r="L1733">
        <f t="shared" si="708"/>
        <v>1</v>
      </c>
      <c r="M1733" t="str">
        <f t="shared" si="709"/>
        <v>Suele comer</v>
      </c>
      <c r="N1733">
        <v>3</v>
      </c>
      <c r="O1733">
        <f t="shared" si="710"/>
        <v>2</v>
      </c>
      <c r="P1733" t="str">
        <f t="shared" si="711"/>
        <v>Mas de 3</v>
      </c>
      <c r="Q1733">
        <v>1</v>
      </c>
      <c r="R1733" t="str">
        <f t="shared" si="712"/>
        <v>A veces</v>
      </c>
      <c r="S1733">
        <v>0</v>
      </c>
      <c r="T1733" t="str">
        <f t="shared" si="713"/>
        <v>No fuma</v>
      </c>
      <c r="U1733">
        <v>2145368</v>
      </c>
      <c r="V1733">
        <f t="shared" si="714"/>
        <v>2</v>
      </c>
      <c r="W1733" t="str">
        <f t="shared" si="715"/>
        <v>Siempre</v>
      </c>
      <c r="X1733">
        <v>0</v>
      </c>
      <c r="Y1733" t="str">
        <f t="shared" si="716"/>
        <v>No controla</v>
      </c>
      <c r="Z1733">
        <v>0.88270899999999997</v>
      </c>
      <c r="AA1733">
        <f t="shared" si="717"/>
        <v>0</v>
      </c>
      <c r="AB1733" t="str">
        <f t="shared" si="718"/>
        <v>Nunca</v>
      </c>
      <c r="AC1733">
        <v>0.59391700000000003</v>
      </c>
      <c r="AD1733">
        <f t="shared" si="719"/>
        <v>0</v>
      </c>
      <c r="AE1733" t="str">
        <f t="shared" si="720"/>
        <v>Nunca</v>
      </c>
      <c r="AF1733">
        <v>1</v>
      </c>
      <c r="AG1733" t="str">
        <f t="shared" si="721"/>
        <v>A veces</v>
      </c>
      <c r="AH1733">
        <v>1</v>
      </c>
      <c r="AI1733" t="str">
        <f t="shared" si="722"/>
        <v>Usa auto</v>
      </c>
      <c r="AJ1733">
        <v>0</v>
      </c>
      <c r="AK1733" t="str">
        <f t="shared" si="723"/>
        <v>No usa</v>
      </c>
      <c r="AL1733">
        <v>0</v>
      </c>
      <c r="AM1733" t="str">
        <f t="shared" si="724"/>
        <v>No usa</v>
      </c>
      <c r="AN1733">
        <v>0</v>
      </c>
      <c r="AO1733" t="str">
        <f t="shared" si="725"/>
        <v>No usa</v>
      </c>
      <c r="AP1733">
        <v>0</v>
      </c>
      <c r="AQ1733" t="str">
        <f t="shared" si="726"/>
        <v>No camina</v>
      </c>
      <c r="AR1733">
        <v>1</v>
      </c>
      <c r="AS1733" t="str">
        <f t="shared" si="727"/>
        <v>Es Obeso</v>
      </c>
    </row>
    <row r="1734" spans="1:45" x14ac:dyDescent="0.25">
      <c r="A1734">
        <v>1</v>
      </c>
      <c r="B1734" t="str">
        <f t="shared" si="702"/>
        <v>M</v>
      </c>
      <c r="C1734">
        <v>31571392</v>
      </c>
      <c r="D1734">
        <f t="shared" si="703"/>
        <v>86</v>
      </c>
      <c r="E1734">
        <f t="shared" si="704"/>
        <v>86</v>
      </c>
      <c r="F1734" t="str">
        <f t="shared" si="705"/>
        <v>75-100</v>
      </c>
      <c r="G1734">
        <v>1</v>
      </c>
      <c r="H1734" t="str">
        <f t="shared" si="706"/>
        <v>Pariente gordo</v>
      </c>
      <c r="I1734">
        <v>1</v>
      </c>
      <c r="J1734" t="str">
        <f t="shared" si="707"/>
        <v>Hipercaloricos</v>
      </c>
      <c r="K1734">
        <v>257691</v>
      </c>
      <c r="L1734">
        <f t="shared" si="708"/>
        <v>1</v>
      </c>
      <c r="M1734" t="str">
        <f t="shared" si="709"/>
        <v>Suele comer</v>
      </c>
      <c r="N1734">
        <v>3</v>
      </c>
      <c r="O1734">
        <f t="shared" si="710"/>
        <v>2</v>
      </c>
      <c r="P1734" t="str">
        <f t="shared" si="711"/>
        <v>Mas de 3</v>
      </c>
      <c r="Q1734">
        <v>1</v>
      </c>
      <c r="R1734" t="str">
        <f t="shared" si="712"/>
        <v>A veces</v>
      </c>
      <c r="S1734">
        <v>0</v>
      </c>
      <c r="T1734" t="str">
        <f t="shared" si="713"/>
        <v>No fuma</v>
      </c>
      <c r="U1734">
        <v>2080187</v>
      </c>
      <c r="V1734">
        <f t="shared" si="714"/>
        <v>2</v>
      </c>
      <c r="W1734" t="str">
        <f t="shared" si="715"/>
        <v>Siempre</v>
      </c>
      <c r="X1734">
        <v>0</v>
      </c>
      <c r="Y1734" t="str">
        <f t="shared" si="716"/>
        <v>No controla</v>
      </c>
      <c r="Z1734">
        <v>104268</v>
      </c>
      <c r="AA1734">
        <f t="shared" si="717"/>
        <v>2</v>
      </c>
      <c r="AB1734" t="str">
        <f t="shared" si="718"/>
        <v>Usualmente</v>
      </c>
      <c r="AC1734">
        <v>0.37668299999999999</v>
      </c>
      <c r="AD1734">
        <f t="shared" si="719"/>
        <v>0</v>
      </c>
      <c r="AE1734" t="str">
        <f t="shared" si="720"/>
        <v>Nunca</v>
      </c>
      <c r="AF1734">
        <v>1</v>
      </c>
      <c r="AG1734" t="str">
        <f t="shared" si="721"/>
        <v>A veces</v>
      </c>
      <c r="AH1734">
        <v>1</v>
      </c>
      <c r="AI1734" t="str">
        <f t="shared" si="722"/>
        <v>Usa auto</v>
      </c>
      <c r="AJ1734">
        <v>0</v>
      </c>
      <c r="AK1734" t="str">
        <f t="shared" si="723"/>
        <v>No usa</v>
      </c>
      <c r="AL1734">
        <v>0</v>
      </c>
      <c r="AM1734" t="str">
        <f t="shared" si="724"/>
        <v>No usa</v>
      </c>
      <c r="AN1734">
        <v>0</v>
      </c>
      <c r="AO1734" t="str">
        <f t="shared" si="725"/>
        <v>No usa</v>
      </c>
      <c r="AP1734">
        <v>0</v>
      </c>
      <c r="AQ1734" t="str">
        <f t="shared" si="726"/>
        <v>No camina</v>
      </c>
      <c r="AR1734">
        <v>1</v>
      </c>
      <c r="AS1734" t="str">
        <f t="shared" si="727"/>
        <v>Es Obeso</v>
      </c>
    </row>
    <row r="1735" spans="1:45" x14ac:dyDescent="0.25">
      <c r="A1735">
        <v>1</v>
      </c>
      <c r="B1735" t="str">
        <f t="shared" si="702"/>
        <v>M</v>
      </c>
      <c r="C1735">
        <v>30577944</v>
      </c>
      <c r="D1735">
        <f t="shared" si="703"/>
        <v>83</v>
      </c>
      <c r="E1735">
        <f t="shared" si="704"/>
        <v>83</v>
      </c>
      <c r="F1735" t="str">
        <f t="shared" si="705"/>
        <v>75-100</v>
      </c>
      <c r="G1735">
        <v>1</v>
      </c>
      <c r="H1735" t="str">
        <f t="shared" si="706"/>
        <v>Pariente gordo</v>
      </c>
      <c r="I1735">
        <v>1</v>
      </c>
      <c r="J1735" t="str">
        <f t="shared" si="707"/>
        <v>Hipercaloricos</v>
      </c>
      <c r="K1735">
        <v>2341999</v>
      </c>
      <c r="L1735">
        <f t="shared" si="708"/>
        <v>1</v>
      </c>
      <c r="M1735" t="str">
        <f t="shared" si="709"/>
        <v>Suele comer</v>
      </c>
      <c r="N1735">
        <v>3</v>
      </c>
      <c r="O1735">
        <f t="shared" si="710"/>
        <v>2</v>
      </c>
      <c r="P1735" t="str">
        <f t="shared" si="711"/>
        <v>Mas de 3</v>
      </c>
      <c r="Q1735">
        <v>1</v>
      </c>
      <c r="R1735" t="str">
        <f t="shared" si="712"/>
        <v>A veces</v>
      </c>
      <c r="S1735">
        <v>0</v>
      </c>
      <c r="T1735" t="str">
        <f t="shared" si="713"/>
        <v>No fuma</v>
      </c>
      <c r="U1735">
        <v>2299878</v>
      </c>
      <c r="V1735">
        <f t="shared" si="714"/>
        <v>2</v>
      </c>
      <c r="W1735" t="str">
        <f t="shared" si="715"/>
        <v>Siempre</v>
      </c>
      <c r="X1735">
        <v>0</v>
      </c>
      <c r="Y1735" t="str">
        <f t="shared" si="716"/>
        <v>No controla</v>
      </c>
      <c r="Z1735">
        <v>0.56524200000000002</v>
      </c>
      <c r="AA1735">
        <f t="shared" si="717"/>
        <v>0</v>
      </c>
      <c r="AB1735" t="str">
        <f t="shared" si="718"/>
        <v>Nunca</v>
      </c>
      <c r="AC1735">
        <v>0.921991</v>
      </c>
      <c r="AD1735">
        <f t="shared" si="719"/>
        <v>0</v>
      </c>
      <c r="AE1735" t="str">
        <f t="shared" si="720"/>
        <v>Nunca</v>
      </c>
      <c r="AF1735">
        <v>1</v>
      </c>
      <c r="AG1735" t="str">
        <f t="shared" si="721"/>
        <v>A veces</v>
      </c>
      <c r="AH1735">
        <v>1</v>
      </c>
      <c r="AI1735" t="str">
        <f t="shared" si="722"/>
        <v>Usa auto</v>
      </c>
      <c r="AJ1735">
        <v>0</v>
      </c>
      <c r="AK1735" t="str">
        <f t="shared" si="723"/>
        <v>No usa</v>
      </c>
      <c r="AL1735">
        <v>0</v>
      </c>
      <c r="AM1735" t="str">
        <f t="shared" si="724"/>
        <v>No usa</v>
      </c>
      <c r="AN1735">
        <v>0</v>
      </c>
      <c r="AO1735" t="str">
        <f t="shared" si="725"/>
        <v>No usa</v>
      </c>
      <c r="AP1735">
        <v>0</v>
      </c>
      <c r="AQ1735" t="str">
        <f t="shared" si="726"/>
        <v>No camina</v>
      </c>
      <c r="AR1735">
        <v>1</v>
      </c>
      <c r="AS1735" t="str">
        <f t="shared" si="727"/>
        <v>Es Obeso</v>
      </c>
    </row>
    <row r="1736" spans="1:45" x14ac:dyDescent="0.25">
      <c r="A1736">
        <v>1</v>
      </c>
      <c r="B1736" t="str">
        <f t="shared" si="702"/>
        <v>M</v>
      </c>
      <c r="C1736">
        <v>30717727</v>
      </c>
      <c r="D1736">
        <f t="shared" si="703"/>
        <v>84</v>
      </c>
      <c r="E1736">
        <f t="shared" si="704"/>
        <v>84</v>
      </c>
      <c r="F1736" t="str">
        <f t="shared" si="705"/>
        <v>75-100</v>
      </c>
      <c r="G1736">
        <v>1</v>
      </c>
      <c r="H1736" t="str">
        <f t="shared" si="706"/>
        <v>Pariente gordo</v>
      </c>
      <c r="I1736">
        <v>1</v>
      </c>
      <c r="J1736" t="str">
        <f t="shared" si="707"/>
        <v>Hipercaloricos</v>
      </c>
      <c r="K1736">
        <v>2117121</v>
      </c>
      <c r="L1736">
        <f t="shared" si="708"/>
        <v>1</v>
      </c>
      <c r="M1736" t="str">
        <f t="shared" si="709"/>
        <v>Suele comer</v>
      </c>
      <c r="N1736">
        <v>3</v>
      </c>
      <c r="O1736">
        <f t="shared" si="710"/>
        <v>2</v>
      </c>
      <c r="P1736" t="str">
        <f t="shared" si="711"/>
        <v>Mas de 3</v>
      </c>
      <c r="Q1736">
        <v>1</v>
      </c>
      <c r="R1736" t="str">
        <f t="shared" si="712"/>
        <v>A veces</v>
      </c>
      <c r="S1736">
        <v>0</v>
      </c>
      <c r="T1736" t="str">
        <f t="shared" si="713"/>
        <v>No fuma</v>
      </c>
      <c r="U1736">
        <v>2193008</v>
      </c>
      <c r="V1736">
        <f t="shared" si="714"/>
        <v>2</v>
      </c>
      <c r="W1736" t="str">
        <f t="shared" si="715"/>
        <v>Siempre</v>
      </c>
      <c r="X1736">
        <v>0</v>
      </c>
      <c r="Y1736" t="str">
        <f t="shared" si="716"/>
        <v>No controla</v>
      </c>
      <c r="Z1736">
        <v>0.99282899999999996</v>
      </c>
      <c r="AA1736">
        <f t="shared" si="717"/>
        <v>0</v>
      </c>
      <c r="AB1736" t="str">
        <f t="shared" si="718"/>
        <v>Nunca</v>
      </c>
      <c r="AC1736">
        <v>1556052</v>
      </c>
      <c r="AD1736">
        <f t="shared" si="719"/>
        <v>2</v>
      </c>
      <c r="AE1736" t="str">
        <f t="shared" si="720"/>
        <v>Siempre</v>
      </c>
      <c r="AF1736">
        <v>1</v>
      </c>
      <c r="AG1736" t="str">
        <f t="shared" si="721"/>
        <v>A veces</v>
      </c>
      <c r="AH1736">
        <v>1</v>
      </c>
      <c r="AI1736" t="str">
        <f t="shared" si="722"/>
        <v>Usa auto</v>
      </c>
      <c r="AJ1736">
        <v>0</v>
      </c>
      <c r="AK1736" t="str">
        <f t="shared" si="723"/>
        <v>No usa</v>
      </c>
      <c r="AL1736">
        <v>0</v>
      </c>
      <c r="AM1736" t="str">
        <f t="shared" si="724"/>
        <v>No usa</v>
      </c>
      <c r="AN1736">
        <v>0</v>
      </c>
      <c r="AO1736" t="str">
        <f t="shared" si="725"/>
        <v>No usa</v>
      </c>
      <c r="AP1736">
        <v>0</v>
      </c>
      <c r="AQ1736" t="str">
        <f t="shared" si="726"/>
        <v>No camina</v>
      </c>
      <c r="AR1736">
        <v>1</v>
      </c>
      <c r="AS1736" t="str">
        <f t="shared" si="727"/>
        <v>Es Obeso</v>
      </c>
    </row>
    <row r="1737" spans="1:45" x14ac:dyDescent="0.25">
      <c r="A1737">
        <v>1</v>
      </c>
      <c r="B1737" t="str">
        <f t="shared" si="702"/>
        <v>M</v>
      </c>
      <c r="C1737">
        <v>26734476</v>
      </c>
      <c r="D1737">
        <f t="shared" si="703"/>
        <v>73</v>
      </c>
      <c r="E1737">
        <f t="shared" si="704"/>
        <v>73</v>
      </c>
      <c r="F1737" t="str">
        <f t="shared" si="705"/>
        <v>50-75</v>
      </c>
      <c r="G1737">
        <v>1</v>
      </c>
      <c r="H1737" t="str">
        <f t="shared" si="706"/>
        <v>Pariente gordo</v>
      </c>
      <c r="I1737">
        <v>1</v>
      </c>
      <c r="J1737" t="str">
        <f t="shared" si="707"/>
        <v>Hipercaloricos</v>
      </c>
      <c r="K1737">
        <v>2247037</v>
      </c>
      <c r="L1737">
        <f t="shared" si="708"/>
        <v>1</v>
      </c>
      <c r="M1737" t="str">
        <f t="shared" si="709"/>
        <v>Suele comer</v>
      </c>
      <c r="N1737">
        <v>3</v>
      </c>
      <c r="O1737">
        <f t="shared" si="710"/>
        <v>2</v>
      </c>
      <c r="P1737" t="str">
        <f t="shared" si="711"/>
        <v>Mas de 3</v>
      </c>
      <c r="Q1737">
        <v>1</v>
      </c>
      <c r="R1737" t="str">
        <f t="shared" si="712"/>
        <v>A veces</v>
      </c>
      <c r="S1737">
        <v>0</v>
      </c>
      <c r="T1737" t="str">
        <f t="shared" si="713"/>
        <v>No fuma</v>
      </c>
      <c r="U1737">
        <v>2718408</v>
      </c>
      <c r="V1737">
        <f t="shared" si="714"/>
        <v>2</v>
      </c>
      <c r="W1737" t="str">
        <f t="shared" si="715"/>
        <v>Siempre</v>
      </c>
      <c r="X1737">
        <v>0</v>
      </c>
      <c r="Y1737" t="str">
        <f t="shared" si="716"/>
        <v>No controla</v>
      </c>
      <c r="Z1737">
        <v>0.76359500000000002</v>
      </c>
      <c r="AA1737">
        <f t="shared" si="717"/>
        <v>0</v>
      </c>
      <c r="AB1737" t="str">
        <f t="shared" si="718"/>
        <v>Nunca</v>
      </c>
      <c r="AC1737">
        <v>0</v>
      </c>
      <c r="AD1737">
        <f t="shared" si="719"/>
        <v>0</v>
      </c>
      <c r="AE1737" t="str">
        <f t="shared" si="720"/>
        <v>Nunca</v>
      </c>
      <c r="AF1737">
        <v>1</v>
      </c>
      <c r="AG1737" t="str">
        <f t="shared" si="721"/>
        <v>A veces</v>
      </c>
      <c r="AH1737">
        <v>0</v>
      </c>
      <c r="AI1737" t="str">
        <f t="shared" si="722"/>
        <v>No usa</v>
      </c>
      <c r="AJ1737">
        <v>0</v>
      </c>
      <c r="AK1737" t="str">
        <f t="shared" si="723"/>
        <v>No usa</v>
      </c>
      <c r="AL1737">
        <v>0</v>
      </c>
      <c r="AM1737" t="str">
        <f t="shared" si="724"/>
        <v>No usa</v>
      </c>
      <c r="AN1737">
        <v>1</v>
      </c>
      <c r="AO1737" t="str">
        <f t="shared" si="725"/>
        <v>Usa Transporte</v>
      </c>
      <c r="AP1737">
        <v>0</v>
      </c>
      <c r="AQ1737" t="str">
        <f t="shared" si="726"/>
        <v>No camina</v>
      </c>
      <c r="AR1737">
        <v>1</v>
      </c>
      <c r="AS1737" t="str">
        <f t="shared" si="727"/>
        <v>Es Obeso</v>
      </c>
    </row>
    <row r="1738" spans="1:45" x14ac:dyDescent="0.25">
      <c r="A1738">
        <v>1</v>
      </c>
      <c r="B1738" t="str">
        <f t="shared" si="702"/>
        <v>M</v>
      </c>
      <c r="C1738">
        <v>26699317</v>
      </c>
      <c r="D1738">
        <f t="shared" si="703"/>
        <v>73</v>
      </c>
      <c r="E1738">
        <f t="shared" si="704"/>
        <v>73</v>
      </c>
      <c r="F1738" t="str">
        <f t="shared" si="705"/>
        <v>50-75</v>
      </c>
      <c r="G1738">
        <v>1</v>
      </c>
      <c r="H1738" t="str">
        <f t="shared" si="706"/>
        <v>Pariente gordo</v>
      </c>
      <c r="I1738">
        <v>1</v>
      </c>
      <c r="J1738" t="str">
        <f t="shared" si="707"/>
        <v>Hipercaloricos</v>
      </c>
      <c r="K1738">
        <v>2244654</v>
      </c>
      <c r="L1738">
        <f t="shared" si="708"/>
        <v>1</v>
      </c>
      <c r="M1738" t="str">
        <f t="shared" si="709"/>
        <v>Suele comer</v>
      </c>
      <c r="N1738">
        <v>3</v>
      </c>
      <c r="O1738">
        <f t="shared" si="710"/>
        <v>2</v>
      </c>
      <c r="P1738" t="str">
        <f t="shared" si="711"/>
        <v>Mas de 3</v>
      </c>
      <c r="Q1738">
        <v>1</v>
      </c>
      <c r="R1738" t="str">
        <f t="shared" si="712"/>
        <v>A veces</v>
      </c>
      <c r="S1738">
        <v>0</v>
      </c>
      <c r="T1738" t="str">
        <f t="shared" si="713"/>
        <v>No fuma</v>
      </c>
      <c r="U1738">
        <v>2795752</v>
      </c>
      <c r="V1738">
        <f t="shared" si="714"/>
        <v>2</v>
      </c>
      <c r="W1738" t="str">
        <f t="shared" si="715"/>
        <v>Siempre</v>
      </c>
      <c r="X1738">
        <v>0</v>
      </c>
      <c r="Y1738" t="str">
        <f t="shared" si="716"/>
        <v>No controla</v>
      </c>
      <c r="Z1738">
        <v>0.83948100000000003</v>
      </c>
      <c r="AA1738">
        <f t="shared" si="717"/>
        <v>0</v>
      </c>
      <c r="AB1738" t="str">
        <f t="shared" si="718"/>
        <v>Nunca</v>
      </c>
      <c r="AC1738">
        <v>0</v>
      </c>
      <c r="AD1738">
        <f t="shared" si="719"/>
        <v>0</v>
      </c>
      <c r="AE1738" t="str">
        <f t="shared" si="720"/>
        <v>Nunca</v>
      </c>
      <c r="AF1738">
        <v>1</v>
      </c>
      <c r="AG1738" t="str">
        <f t="shared" si="721"/>
        <v>A veces</v>
      </c>
      <c r="AH1738">
        <v>0</v>
      </c>
      <c r="AI1738" t="str">
        <f t="shared" si="722"/>
        <v>No usa</v>
      </c>
      <c r="AJ1738">
        <v>0</v>
      </c>
      <c r="AK1738" t="str">
        <f t="shared" si="723"/>
        <v>No usa</v>
      </c>
      <c r="AL1738">
        <v>0</v>
      </c>
      <c r="AM1738" t="str">
        <f t="shared" si="724"/>
        <v>No usa</v>
      </c>
      <c r="AN1738">
        <v>1</v>
      </c>
      <c r="AO1738" t="str">
        <f t="shared" si="725"/>
        <v>Usa Transporte</v>
      </c>
      <c r="AP1738">
        <v>0</v>
      </c>
      <c r="AQ1738" t="str">
        <f t="shared" si="726"/>
        <v>No camina</v>
      </c>
      <c r="AR1738">
        <v>1</v>
      </c>
      <c r="AS1738" t="str">
        <f t="shared" si="727"/>
        <v>Es Obeso</v>
      </c>
    </row>
    <row r="1739" spans="1:45" x14ac:dyDescent="0.25">
      <c r="A1739">
        <v>1</v>
      </c>
      <c r="B1739" t="str">
        <f t="shared" si="702"/>
        <v>M</v>
      </c>
      <c r="C1739">
        <v>25659092</v>
      </c>
      <c r="D1739">
        <f t="shared" si="703"/>
        <v>70</v>
      </c>
      <c r="E1739">
        <f t="shared" si="704"/>
        <v>70</v>
      </c>
      <c r="F1739" t="str">
        <f t="shared" si="705"/>
        <v>50-75</v>
      </c>
      <c r="G1739">
        <v>1</v>
      </c>
      <c r="H1739" t="str">
        <f t="shared" si="706"/>
        <v>Pariente gordo</v>
      </c>
      <c r="I1739">
        <v>1</v>
      </c>
      <c r="J1739" t="str">
        <f t="shared" si="707"/>
        <v>Hipercaloricos</v>
      </c>
      <c r="K1739">
        <v>2128574</v>
      </c>
      <c r="L1739">
        <f t="shared" si="708"/>
        <v>1</v>
      </c>
      <c r="M1739" t="str">
        <f t="shared" si="709"/>
        <v>Suele comer</v>
      </c>
      <c r="N1739">
        <v>3</v>
      </c>
      <c r="O1739">
        <f t="shared" si="710"/>
        <v>2</v>
      </c>
      <c r="P1739" t="str">
        <f t="shared" si="711"/>
        <v>Mas de 3</v>
      </c>
      <c r="Q1739">
        <v>1</v>
      </c>
      <c r="R1739" t="str">
        <f t="shared" si="712"/>
        <v>A veces</v>
      </c>
      <c r="S1739">
        <v>0</v>
      </c>
      <c r="T1739" t="str">
        <f t="shared" si="713"/>
        <v>No fuma</v>
      </c>
      <c r="U1739">
        <v>2531984</v>
      </c>
      <c r="V1739">
        <f t="shared" si="714"/>
        <v>2</v>
      </c>
      <c r="W1739" t="str">
        <f t="shared" si="715"/>
        <v>Siempre</v>
      </c>
      <c r="X1739">
        <v>0</v>
      </c>
      <c r="Y1739" t="str">
        <f t="shared" si="716"/>
        <v>No controla</v>
      </c>
      <c r="Z1739">
        <v>1003294</v>
      </c>
      <c r="AA1739">
        <f t="shared" si="717"/>
        <v>3</v>
      </c>
      <c r="AB1739" t="str">
        <f t="shared" si="718"/>
        <v>Siempre</v>
      </c>
      <c r="AC1739">
        <v>2.6575000000000001E-2</v>
      </c>
      <c r="AD1739">
        <f t="shared" si="719"/>
        <v>0</v>
      </c>
      <c r="AE1739" t="str">
        <f t="shared" si="720"/>
        <v>Nunca</v>
      </c>
      <c r="AF1739">
        <v>1</v>
      </c>
      <c r="AG1739" t="str">
        <f t="shared" si="721"/>
        <v>A veces</v>
      </c>
      <c r="AH1739">
        <v>0</v>
      </c>
      <c r="AI1739" t="str">
        <f t="shared" si="722"/>
        <v>No usa</v>
      </c>
      <c r="AJ1739">
        <v>0</v>
      </c>
      <c r="AK1739" t="str">
        <f t="shared" si="723"/>
        <v>No usa</v>
      </c>
      <c r="AL1739">
        <v>0</v>
      </c>
      <c r="AM1739" t="str">
        <f t="shared" si="724"/>
        <v>No usa</v>
      </c>
      <c r="AN1739">
        <v>1</v>
      </c>
      <c r="AO1739" t="str">
        <f t="shared" si="725"/>
        <v>Usa Transporte</v>
      </c>
      <c r="AP1739">
        <v>0</v>
      </c>
      <c r="AQ1739" t="str">
        <f t="shared" si="726"/>
        <v>No camina</v>
      </c>
      <c r="AR1739">
        <v>1</v>
      </c>
      <c r="AS1739" t="str">
        <f t="shared" si="727"/>
        <v>Es Obeso</v>
      </c>
    </row>
    <row r="1740" spans="1:45" x14ac:dyDescent="0.25">
      <c r="A1740">
        <v>1</v>
      </c>
      <c r="B1740" t="str">
        <f t="shared" si="702"/>
        <v>M</v>
      </c>
      <c r="C1740">
        <v>26348156</v>
      </c>
      <c r="D1740">
        <f t="shared" si="703"/>
        <v>72</v>
      </c>
      <c r="E1740">
        <f t="shared" si="704"/>
        <v>72</v>
      </c>
      <c r="F1740" t="str">
        <f t="shared" si="705"/>
        <v>50-75</v>
      </c>
      <c r="G1740">
        <v>1</v>
      </c>
      <c r="H1740" t="str">
        <f t="shared" si="706"/>
        <v>Pariente gordo</v>
      </c>
      <c r="I1740">
        <v>1</v>
      </c>
      <c r="J1740" t="str">
        <f t="shared" si="707"/>
        <v>Hipercaloricos</v>
      </c>
      <c r="K1740">
        <v>2068834</v>
      </c>
      <c r="L1740">
        <f t="shared" si="708"/>
        <v>1</v>
      </c>
      <c r="M1740" t="str">
        <f t="shared" si="709"/>
        <v>Suele comer</v>
      </c>
      <c r="N1740">
        <v>3</v>
      </c>
      <c r="O1740">
        <f t="shared" si="710"/>
        <v>2</v>
      </c>
      <c r="P1740" t="str">
        <f t="shared" si="711"/>
        <v>Mas de 3</v>
      </c>
      <c r="Q1740">
        <v>1</v>
      </c>
      <c r="R1740" t="str">
        <f t="shared" si="712"/>
        <v>A veces</v>
      </c>
      <c r="S1740">
        <v>0</v>
      </c>
      <c r="T1740" t="str">
        <f t="shared" si="713"/>
        <v>No fuma</v>
      </c>
      <c r="U1740">
        <v>2543841</v>
      </c>
      <c r="V1740">
        <f t="shared" si="714"/>
        <v>2</v>
      </c>
      <c r="W1740" t="str">
        <f t="shared" si="715"/>
        <v>Siempre</v>
      </c>
      <c r="X1740">
        <v>0</v>
      </c>
      <c r="Y1740" t="str">
        <f t="shared" si="716"/>
        <v>No controla</v>
      </c>
      <c r="Z1740">
        <v>1217993</v>
      </c>
      <c r="AA1740">
        <f t="shared" si="717"/>
        <v>3</v>
      </c>
      <c r="AB1740" t="str">
        <f t="shared" si="718"/>
        <v>Siempre</v>
      </c>
      <c r="AC1740">
        <v>3.8253000000000002E-2</v>
      </c>
      <c r="AD1740">
        <f t="shared" si="719"/>
        <v>0</v>
      </c>
      <c r="AE1740" t="str">
        <f t="shared" si="720"/>
        <v>Nunca</v>
      </c>
      <c r="AF1740">
        <v>1</v>
      </c>
      <c r="AG1740" t="str">
        <f t="shared" si="721"/>
        <v>A veces</v>
      </c>
      <c r="AH1740">
        <v>0</v>
      </c>
      <c r="AI1740" t="str">
        <f t="shared" si="722"/>
        <v>No usa</v>
      </c>
      <c r="AJ1740">
        <v>0</v>
      </c>
      <c r="AK1740" t="str">
        <f t="shared" si="723"/>
        <v>No usa</v>
      </c>
      <c r="AL1740">
        <v>0</v>
      </c>
      <c r="AM1740" t="str">
        <f t="shared" si="724"/>
        <v>No usa</v>
      </c>
      <c r="AN1740">
        <v>1</v>
      </c>
      <c r="AO1740" t="str">
        <f t="shared" si="725"/>
        <v>Usa Transporte</v>
      </c>
      <c r="AP1740">
        <v>0</v>
      </c>
      <c r="AQ1740" t="str">
        <f t="shared" si="726"/>
        <v>No camina</v>
      </c>
      <c r="AR1740">
        <v>1</v>
      </c>
      <c r="AS1740" t="str">
        <f t="shared" si="727"/>
        <v>Es Obeso</v>
      </c>
    </row>
    <row r="1741" spans="1:45" x14ac:dyDescent="0.25">
      <c r="A1741">
        <v>1</v>
      </c>
      <c r="B1741" t="str">
        <f t="shared" si="702"/>
        <v>M</v>
      </c>
      <c r="C1741">
        <v>37638102</v>
      </c>
      <c r="D1741">
        <f t="shared" si="703"/>
        <v>103</v>
      </c>
      <c r="E1741">
        <f t="shared" si="704"/>
        <v>100</v>
      </c>
      <c r="F1741" t="str">
        <f t="shared" si="705"/>
        <v>75-100</v>
      </c>
      <c r="G1741">
        <v>1</v>
      </c>
      <c r="H1741" t="str">
        <f t="shared" si="706"/>
        <v>Pariente gordo</v>
      </c>
      <c r="I1741">
        <v>1</v>
      </c>
      <c r="J1741" t="str">
        <f t="shared" si="707"/>
        <v>Hipercaloricos</v>
      </c>
      <c r="K1741">
        <v>2073224</v>
      </c>
      <c r="L1741">
        <f t="shared" si="708"/>
        <v>1</v>
      </c>
      <c r="M1741" t="str">
        <f t="shared" si="709"/>
        <v>Suele comer</v>
      </c>
      <c r="N1741">
        <v>3</v>
      </c>
      <c r="O1741">
        <f t="shared" si="710"/>
        <v>2</v>
      </c>
      <c r="P1741" t="str">
        <f t="shared" si="711"/>
        <v>Mas de 3</v>
      </c>
      <c r="Q1741">
        <v>1</v>
      </c>
      <c r="R1741" t="str">
        <f t="shared" si="712"/>
        <v>A veces</v>
      </c>
      <c r="S1741">
        <v>0</v>
      </c>
      <c r="T1741" t="str">
        <f t="shared" si="713"/>
        <v>No fuma</v>
      </c>
      <c r="U1741">
        <v>2024035</v>
      </c>
      <c r="V1741">
        <f t="shared" si="714"/>
        <v>2</v>
      </c>
      <c r="W1741" t="str">
        <f t="shared" si="715"/>
        <v>Siempre</v>
      </c>
      <c r="X1741">
        <v>0</v>
      </c>
      <c r="Y1741" t="str">
        <f t="shared" si="716"/>
        <v>No controla</v>
      </c>
      <c r="Z1741">
        <v>0.13137099999999999</v>
      </c>
      <c r="AA1741">
        <f t="shared" si="717"/>
        <v>0</v>
      </c>
      <c r="AB1741" t="str">
        <f t="shared" si="718"/>
        <v>Nunca</v>
      </c>
      <c r="AC1741">
        <v>0</v>
      </c>
      <c r="AD1741">
        <f t="shared" si="719"/>
        <v>0</v>
      </c>
      <c r="AE1741" t="str">
        <f t="shared" si="720"/>
        <v>Nunca</v>
      </c>
      <c r="AF1741">
        <v>1</v>
      </c>
      <c r="AG1741" t="str">
        <f t="shared" si="721"/>
        <v>A veces</v>
      </c>
      <c r="AH1741">
        <v>1</v>
      </c>
      <c r="AI1741" t="str">
        <f t="shared" si="722"/>
        <v>Usa auto</v>
      </c>
      <c r="AJ1741">
        <v>0</v>
      </c>
      <c r="AK1741" t="str">
        <f t="shared" si="723"/>
        <v>No usa</v>
      </c>
      <c r="AL1741">
        <v>0</v>
      </c>
      <c r="AM1741" t="str">
        <f t="shared" si="724"/>
        <v>No usa</v>
      </c>
      <c r="AN1741">
        <v>0</v>
      </c>
      <c r="AO1741" t="str">
        <f t="shared" si="725"/>
        <v>No usa</v>
      </c>
      <c r="AP1741">
        <v>0</v>
      </c>
      <c r="AQ1741" t="str">
        <f t="shared" si="726"/>
        <v>No camina</v>
      </c>
      <c r="AR1741">
        <v>1</v>
      </c>
      <c r="AS1741" t="str">
        <f t="shared" si="727"/>
        <v>Es Obeso</v>
      </c>
    </row>
    <row r="1742" spans="1:45" x14ac:dyDescent="0.25">
      <c r="A1742">
        <v>1</v>
      </c>
      <c r="B1742" t="str">
        <f t="shared" si="702"/>
        <v>M</v>
      </c>
      <c r="C1742">
        <v>37765356</v>
      </c>
      <c r="D1742">
        <f t="shared" si="703"/>
        <v>103</v>
      </c>
      <c r="E1742">
        <f t="shared" si="704"/>
        <v>100</v>
      </c>
      <c r="F1742" t="str">
        <f t="shared" si="705"/>
        <v>75-100</v>
      </c>
      <c r="G1742">
        <v>1</v>
      </c>
      <c r="H1742" t="str">
        <f t="shared" si="706"/>
        <v>Pariente gordo</v>
      </c>
      <c r="I1742">
        <v>1</v>
      </c>
      <c r="J1742" t="str">
        <f t="shared" si="707"/>
        <v>Hipercaloricos</v>
      </c>
      <c r="K1742">
        <v>2145114</v>
      </c>
      <c r="L1742">
        <f t="shared" si="708"/>
        <v>1</v>
      </c>
      <c r="M1742" t="str">
        <f t="shared" si="709"/>
        <v>Suele comer</v>
      </c>
      <c r="N1742">
        <v>2888193</v>
      </c>
      <c r="O1742">
        <f t="shared" si="710"/>
        <v>2</v>
      </c>
      <c r="P1742" t="str">
        <f t="shared" si="711"/>
        <v>Mas de 3</v>
      </c>
      <c r="Q1742">
        <v>1</v>
      </c>
      <c r="R1742" t="str">
        <f t="shared" si="712"/>
        <v>A veces</v>
      </c>
      <c r="S1742">
        <v>0</v>
      </c>
      <c r="T1742" t="str">
        <f t="shared" si="713"/>
        <v>No fuma</v>
      </c>
      <c r="U1742">
        <v>2038128</v>
      </c>
      <c r="V1742">
        <f t="shared" si="714"/>
        <v>2</v>
      </c>
      <c r="W1742" t="str">
        <f t="shared" si="715"/>
        <v>Siempre</v>
      </c>
      <c r="X1742">
        <v>0</v>
      </c>
      <c r="Y1742" t="str">
        <f t="shared" si="716"/>
        <v>No controla</v>
      </c>
      <c r="Z1742">
        <v>0.85234399999999999</v>
      </c>
      <c r="AA1742">
        <f t="shared" si="717"/>
        <v>0</v>
      </c>
      <c r="AB1742" t="str">
        <f t="shared" si="718"/>
        <v>Nunca</v>
      </c>
      <c r="AC1742">
        <v>0</v>
      </c>
      <c r="AD1742">
        <f t="shared" si="719"/>
        <v>0</v>
      </c>
      <c r="AE1742" t="str">
        <f t="shared" si="720"/>
        <v>Nunca</v>
      </c>
      <c r="AF1742">
        <v>1</v>
      </c>
      <c r="AG1742" t="str">
        <f t="shared" si="721"/>
        <v>A veces</v>
      </c>
      <c r="AH1742">
        <v>1</v>
      </c>
      <c r="AI1742" t="str">
        <f t="shared" si="722"/>
        <v>Usa auto</v>
      </c>
      <c r="AJ1742">
        <v>0</v>
      </c>
      <c r="AK1742" t="str">
        <f t="shared" si="723"/>
        <v>No usa</v>
      </c>
      <c r="AL1742">
        <v>0</v>
      </c>
      <c r="AM1742" t="str">
        <f t="shared" si="724"/>
        <v>No usa</v>
      </c>
      <c r="AN1742">
        <v>0</v>
      </c>
      <c r="AO1742" t="str">
        <f t="shared" si="725"/>
        <v>No usa</v>
      </c>
      <c r="AP1742">
        <v>0</v>
      </c>
      <c r="AQ1742" t="str">
        <f t="shared" si="726"/>
        <v>No camina</v>
      </c>
      <c r="AR1742">
        <v>1</v>
      </c>
      <c r="AS1742" t="str">
        <f t="shared" si="727"/>
        <v>Es Obeso</v>
      </c>
    </row>
    <row r="1743" spans="1:45" x14ac:dyDescent="0.25">
      <c r="A1743">
        <v>1</v>
      </c>
      <c r="B1743" t="str">
        <f t="shared" si="702"/>
        <v>M</v>
      </c>
      <c r="C1743">
        <v>28255199</v>
      </c>
      <c r="D1743">
        <f t="shared" si="703"/>
        <v>77</v>
      </c>
      <c r="E1743">
        <f t="shared" si="704"/>
        <v>77</v>
      </c>
      <c r="F1743" t="str">
        <f t="shared" si="705"/>
        <v>75-100</v>
      </c>
      <c r="G1743">
        <v>1</v>
      </c>
      <c r="H1743" t="str">
        <f t="shared" si="706"/>
        <v>Pariente gordo</v>
      </c>
      <c r="I1743">
        <v>1</v>
      </c>
      <c r="J1743" t="str">
        <f t="shared" si="707"/>
        <v>Hipercaloricos</v>
      </c>
      <c r="K1743">
        <v>2997951</v>
      </c>
      <c r="L1743">
        <f t="shared" si="708"/>
        <v>1</v>
      </c>
      <c r="M1743" t="str">
        <f t="shared" si="709"/>
        <v>Suele comer</v>
      </c>
      <c r="N1743">
        <v>3</v>
      </c>
      <c r="O1743">
        <f t="shared" si="710"/>
        <v>2</v>
      </c>
      <c r="P1743" t="str">
        <f t="shared" si="711"/>
        <v>Mas de 3</v>
      </c>
      <c r="Q1743">
        <v>1</v>
      </c>
      <c r="R1743" t="str">
        <f t="shared" si="712"/>
        <v>A veces</v>
      </c>
      <c r="S1743">
        <v>0</v>
      </c>
      <c r="T1743" t="str">
        <f t="shared" si="713"/>
        <v>No fuma</v>
      </c>
      <c r="U1743">
        <v>2715856</v>
      </c>
      <c r="V1743">
        <f t="shared" si="714"/>
        <v>2</v>
      </c>
      <c r="W1743" t="str">
        <f t="shared" si="715"/>
        <v>Siempre</v>
      </c>
      <c r="X1743">
        <v>0</v>
      </c>
      <c r="Y1743" t="str">
        <f t="shared" si="716"/>
        <v>No controla</v>
      </c>
      <c r="Z1743">
        <v>0.73988100000000001</v>
      </c>
      <c r="AA1743">
        <f t="shared" si="717"/>
        <v>0</v>
      </c>
      <c r="AB1743" t="str">
        <f t="shared" si="718"/>
        <v>Nunca</v>
      </c>
      <c r="AC1743">
        <v>0.97205399999999997</v>
      </c>
      <c r="AD1743">
        <f t="shared" si="719"/>
        <v>0</v>
      </c>
      <c r="AE1743" t="str">
        <f t="shared" si="720"/>
        <v>Nunca</v>
      </c>
      <c r="AF1743">
        <v>1</v>
      </c>
      <c r="AG1743" t="str">
        <f t="shared" si="721"/>
        <v>A veces</v>
      </c>
      <c r="AH1743">
        <v>1</v>
      </c>
      <c r="AI1743" t="str">
        <f t="shared" si="722"/>
        <v>Usa auto</v>
      </c>
      <c r="AJ1743">
        <v>0</v>
      </c>
      <c r="AK1743" t="str">
        <f t="shared" si="723"/>
        <v>No usa</v>
      </c>
      <c r="AL1743">
        <v>0</v>
      </c>
      <c r="AM1743" t="str">
        <f t="shared" si="724"/>
        <v>No usa</v>
      </c>
      <c r="AN1743">
        <v>0</v>
      </c>
      <c r="AO1743" t="str">
        <f t="shared" si="725"/>
        <v>No usa</v>
      </c>
      <c r="AP1743">
        <v>0</v>
      </c>
      <c r="AQ1743" t="str">
        <f t="shared" si="726"/>
        <v>No camina</v>
      </c>
      <c r="AR1743">
        <v>1</v>
      </c>
      <c r="AS1743" t="str">
        <f t="shared" si="727"/>
        <v>Es Obeso</v>
      </c>
    </row>
    <row r="1744" spans="1:45" x14ac:dyDescent="0.25">
      <c r="A1744">
        <v>1</v>
      </c>
      <c r="B1744" t="str">
        <f t="shared" si="702"/>
        <v>M</v>
      </c>
      <c r="C1744">
        <v>27931432</v>
      </c>
      <c r="D1744">
        <f t="shared" si="703"/>
        <v>76</v>
      </c>
      <c r="E1744">
        <f t="shared" si="704"/>
        <v>76</v>
      </c>
      <c r="F1744" t="str">
        <f t="shared" si="705"/>
        <v>75-100</v>
      </c>
      <c r="G1744">
        <v>1</v>
      </c>
      <c r="H1744" t="str">
        <f t="shared" si="706"/>
        <v>Pariente gordo</v>
      </c>
      <c r="I1744">
        <v>1</v>
      </c>
      <c r="J1744" t="str">
        <f t="shared" si="707"/>
        <v>Hipercaloricos</v>
      </c>
      <c r="K1744">
        <v>2911312</v>
      </c>
      <c r="L1744">
        <f t="shared" si="708"/>
        <v>1</v>
      </c>
      <c r="M1744" t="str">
        <f t="shared" si="709"/>
        <v>Suele comer</v>
      </c>
      <c r="N1744">
        <v>3</v>
      </c>
      <c r="O1744">
        <f t="shared" si="710"/>
        <v>2</v>
      </c>
      <c r="P1744" t="str">
        <f t="shared" si="711"/>
        <v>Mas de 3</v>
      </c>
      <c r="Q1744">
        <v>1</v>
      </c>
      <c r="R1744" t="str">
        <f t="shared" si="712"/>
        <v>A veces</v>
      </c>
      <c r="S1744">
        <v>0</v>
      </c>
      <c r="T1744" t="str">
        <f t="shared" si="713"/>
        <v>No fuma</v>
      </c>
      <c r="U1744">
        <v>2501808</v>
      </c>
      <c r="V1744">
        <f t="shared" si="714"/>
        <v>2</v>
      </c>
      <c r="W1744" t="str">
        <f t="shared" si="715"/>
        <v>Siempre</v>
      </c>
      <c r="X1744">
        <v>0</v>
      </c>
      <c r="Y1744" t="str">
        <f t="shared" si="716"/>
        <v>No controla</v>
      </c>
      <c r="Z1744">
        <v>0.94676000000000005</v>
      </c>
      <c r="AA1744">
        <f t="shared" si="717"/>
        <v>0</v>
      </c>
      <c r="AB1744" t="str">
        <f t="shared" si="718"/>
        <v>Nunca</v>
      </c>
      <c r="AC1744">
        <v>0.78570099999999998</v>
      </c>
      <c r="AD1744">
        <f t="shared" si="719"/>
        <v>0</v>
      </c>
      <c r="AE1744" t="str">
        <f t="shared" si="720"/>
        <v>Nunca</v>
      </c>
      <c r="AF1744">
        <v>1</v>
      </c>
      <c r="AG1744" t="str">
        <f t="shared" si="721"/>
        <v>A veces</v>
      </c>
      <c r="AH1744">
        <v>1</v>
      </c>
      <c r="AI1744" t="str">
        <f t="shared" si="722"/>
        <v>Usa auto</v>
      </c>
      <c r="AJ1744">
        <v>0</v>
      </c>
      <c r="AK1744" t="str">
        <f t="shared" si="723"/>
        <v>No usa</v>
      </c>
      <c r="AL1744">
        <v>0</v>
      </c>
      <c r="AM1744" t="str">
        <f t="shared" si="724"/>
        <v>No usa</v>
      </c>
      <c r="AN1744">
        <v>0</v>
      </c>
      <c r="AO1744" t="str">
        <f t="shared" si="725"/>
        <v>No usa</v>
      </c>
      <c r="AP1744">
        <v>0</v>
      </c>
      <c r="AQ1744" t="str">
        <f t="shared" si="726"/>
        <v>No camina</v>
      </c>
      <c r="AR1744">
        <v>1</v>
      </c>
      <c r="AS1744" t="str">
        <f t="shared" si="727"/>
        <v>Es Obeso</v>
      </c>
    </row>
    <row r="1745" spans="1:45" x14ac:dyDescent="0.25">
      <c r="A1745">
        <v>1</v>
      </c>
      <c r="B1745" t="str">
        <f t="shared" si="702"/>
        <v>M</v>
      </c>
      <c r="C1745">
        <v>25492855</v>
      </c>
      <c r="D1745">
        <f t="shared" si="703"/>
        <v>69</v>
      </c>
      <c r="E1745">
        <f t="shared" si="704"/>
        <v>69</v>
      </c>
      <c r="F1745" t="str">
        <f t="shared" si="705"/>
        <v>50-75</v>
      </c>
      <c r="G1745">
        <v>1</v>
      </c>
      <c r="H1745" t="str">
        <f t="shared" si="706"/>
        <v>Pariente gordo</v>
      </c>
      <c r="I1745">
        <v>1</v>
      </c>
      <c r="J1745" t="str">
        <f t="shared" si="707"/>
        <v>Hipercaloricos</v>
      </c>
      <c r="K1745">
        <v>2159033</v>
      </c>
      <c r="L1745">
        <f t="shared" si="708"/>
        <v>1</v>
      </c>
      <c r="M1745" t="str">
        <f t="shared" si="709"/>
        <v>Suele comer</v>
      </c>
      <c r="N1745">
        <v>3</v>
      </c>
      <c r="O1745">
        <f t="shared" si="710"/>
        <v>2</v>
      </c>
      <c r="P1745" t="str">
        <f t="shared" si="711"/>
        <v>Mas de 3</v>
      </c>
      <c r="Q1745">
        <v>1</v>
      </c>
      <c r="R1745" t="str">
        <f t="shared" si="712"/>
        <v>A veces</v>
      </c>
      <c r="S1745">
        <v>0</v>
      </c>
      <c r="T1745" t="str">
        <f t="shared" si="713"/>
        <v>No fuma</v>
      </c>
      <c r="U1745">
        <v>2116399</v>
      </c>
      <c r="V1745">
        <f t="shared" si="714"/>
        <v>2</v>
      </c>
      <c r="W1745" t="str">
        <f t="shared" si="715"/>
        <v>Siempre</v>
      </c>
      <c r="X1745">
        <v>0</v>
      </c>
      <c r="Y1745" t="str">
        <f t="shared" si="716"/>
        <v>No controla</v>
      </c>
      <c r="Z1745">
        <v>1331526</v>
      </c>
      <c r="AA1745">
        <f t="shared" si="717"/>
        <v>3</v>
      </c>
      <c r="AB1745" t="str">
        <f t="shared" si="718"/>
        <v>Siempre</v>
      </c>
      <c r="AC1745">
        <v>5.2942000000000003E-2</v>
      </c>
      <c r="AD1745">
        <f t="shared" si="719"/>
        <v>0</v>
      </c>
      <c r="AE1745" t="str">
        <f t="shared" si="720"/>
        <v>Nunca</v>
      </c>
      <c r="AF1745">
        <v>1</v>
      </c>
      <c r="AG1745" t="str">
        <f t="shared" si="721"/>
        <v>A veces</v>
      </c>
      <c r="AH1745">
        <v>0</v>
      </c>
      <c r="AI1745" t="str">
        <f t="shared" si="722"/>
        <v>No usa</v>
      </c>
      <c r="AJ1745">
        <v>0</v>
      </c>
      <c r="AK1745" t="str">
        <f t="shared" si="723"/>
        <v>No usa</v>
      </c>
      <c r="AL1745">
        <v>0</v>
      </c>
      <c r="AM1745" t="str">
        <f t="shared" si="724"/>
        <v>No usa</v>
      </c>
      <c r="AN1745">
        <v>1</v>
      </c>
      <c r="AO1745" t="str">
        <f t="shared" si="725"/>
        <v>Usa Transporte</v>
      </c>
      <c r="AP1745">
        <v>0</v>
      </c>
      <c r="AQ1745" t="str">
        <f t="shared" si="726"/>
        <v>No camina</v>
      </c>
      <c r="AR1745">
        <v>1</v>
      </c>
      <c r="AS1745" t="str">
        <f t="shared" si="727"/>
        <v>Es Obeso</v>
      </c>
    </row>
    <row r="1746" spans="1:45" x14ac:dyDescent="0.25">
      <c r="A1746">
        <v>1</v>
      </c>
      <c r="B1746" t="str">
        <f t="shared" si="702"/>
        <v>M</v>
      </c>
      <c r="C1746">
        <v>25550506</v>
      </c>
      <c r="D1746">
        <f t="shared" si="703"/>
        <v>70</v>
      </c>
      <c r="E1746">
        <f t="shared" si="704"/>
        <v>70</v>
      </c>
      <c r="F1746" t="str">
        <f t="shared" si="705"/>
        <v>50-75</v>
      </c>
      <c r="G1746">
        <v>1</v>
      </c>
      <c r="H1746" t="str">
        <f t="shared" si="706"/>
        <v>Pariente gordo</v>
      </c>
      <c r="I1746">
        <v>1</v>
      </c>
      <c r="J1746" t="str">
        <f t="shared" si="707"/>
        <v>Hipercaloricos</v>
      </c>
      <c r="K1746">
        <v>2175276</v>
      </c>
      <c r="L1746">
        <f t="shared" si="708"/>
        <v>1</v>
      </c>
      <c r="M1746" t="str">
        <f t="shared" si="709"/>
        <v>Suele comer</v>
      </c>
      <c r="N1746">
        <v>3</v>
      </c>
      <c r="O1746">
        <f t="shared" si="710"/>
        <v>2</v>
      </c>
      <c r="P1746" t="str">
        <f t="shared" si="711"/>
        <v>Mas de 3</v>
      </c>
      <c r="Q1746">
        <v>1</v>
      </c>
      <c r="R1746" t="str">
        <f t="shared" si="712"/>
        <v>A veces</v>
      </c>
      <c r="S1746">
        <v>0</v>
      </c>
      <c r="T1746" t="str">
        <f t="shared" si="713"/>
        <v>No fuma</v>
      </c>
      <c r="U1746">
        <v>2128176</v>
      </c>
      <c r="V1746">
        <f t="shared" si="714"/>
        <v>2</v>
      </c>
      <c r="W1746" t="str">
        <f t="shared" si="715"/>
        <v>Siempre</v>
      </c>
      <c r="X1746">
        <v>0</v>
      </c>
      <c r="Y1746" t="str">
        <f t="shared" si="716"/>
        <v>No controla</v>
      </c>
      <c r="Z1746">
        <v>1306476</v>
      </c>
      <c r="AA1746">
        <f t="shared" si="717"/>
        <v>3</v>
      </c>
      <c r="AB1746" t="str">
        <f t="shared" si="718"/>
        <v>Siempre</v>
      </c>
      <c r="AC1746">
        <v>7.9334000000000002E-2</v>
      </c>
      <c r="AD1746">
        <f t="shared" si="719"/>
        <v>0</v>
      </c>
      <c r="AE1746" t="str">
        <f t="shared" si="720"/>
        <v>Nunca</v>
      </c>
      <c r="AF1746">
        <v>1</v>
      </c>
      <c r="AG1746" t="str">
        <f t="shared" si="721"/>
        <v>A veces</v>
      </c>
      <c r="AH1746">
        <v>0</v>
      </c>
      <c r="AI1746" t="str">
        <f t="shared" si="722"/>
        <v>No usa</v>
      </c>
      <c r="AJ1746">
        <v>0</v>
      </c>
      <c r="AK1746" t="str">
        <f t="shared" si="723"/>
        <v>No usa</v>
      </c>
      <c r="AL1746">
        <v>0</v>
      </c>
      <c r="AM1746" t="str">
        <f t="shared" si="724"/>
        <v>No usa</v>
      </c>
      <c r="AN1746">
        <v>1</v>
      </c>
      <c r="AO1746" t="str">
        <f t="shared" si="725"/>
        <v>Usa Transporte</v>
      </c>
      <c r="AP1746">
        <v>0</v>
      </c>
      <c r="AQ1746" t="str">
        <f t="shared" si="726"/>
        <v>No camina</v>
      </c>
      <c r="AR1746">
        <v>1</v>
      </c>
      <c r="AS1746" t="str">
        <f t="shared" si="727"/>
        <v>Es Obeso</v>
      </c>
    </row>
    <row r="1747" spans="1:45" x14ac:dyDescent="0.25">
      <c r="A1747">
        <v>1</v>
      </c>
      <c r="B1747" t="str">
        <f t="shared" si="702"/>
        <v>M</v>
      </c>
      <c r="C1747">
        <v>25542454</v>
      </c>
      <c r="D1747">
        <f t="shared" si="703"/>
        <v>69</v>
      </c>
      <c r="E1747">
        <f t="shared" si="704"/>
        <v>69</v>
      </c>
      <c r="F1747" t="str">
        <f t="shared" si="705"/>
        <v>50-75</v>
      </c>
      <c r="G1747">
        <v>1</v>
      </c>
      <c r="H1747" t="str">
        <f t="shared" si="706"/>
        <v>Pariente gordo</v>
      </c>
      <c r="I1747">
        <v>1</v>
      </c>
      <c r="J1747" t="str">
        <f t="shared" si="707"/>
        <v>Hipercaloricos</v>
      </c>
      <c r="K1747">
        <v>221965</v>
      </c>
      <c r="L1747">
        <f t="shared" si="708"/>
        <v>1</v>
      </c>
      <c r="M1747" t="str">
        <f t="shared" si="709"/>
        <v>Suele comer</v>
      </c>
      <c r="N1747">
        <v>3</v>
      </c>
      <c r="O1747">
        <f t="shared" si="710"/>
        <v>2</v>
      </c>
      <c r="P1747" t="str">
        <f t="shared" si="711"/>
        <v>Mas de 3</v>
      </c>
      <c r="Q1747">
        <v>1</v>
      </c>
      <c r="R1747" t="str">
        <f t="shared" si="712"/>
        <v>A veces</v>
      </c>
      <c r="S1747">
        <v>0</v>
      </c>
      <c r="T1747" t="str">
        <f t="shared" si="713"/>
        <v>No fuma</v>
      </c>
      <c r="U1747">
        <v>2165408</v>
      </c>
      <c r="V1747">
        <f t="shared" si="714"/>
        <v>2</v>
      </c>
      <c r="W1747" t="str">
        <f t="shared" si="715"/>
        <v>Siempre</v>
      </c>
      <c r="X1747">
        <v>0</v>
      </c>
      <c r="Y1747" t="str">
        <f t="shared" si="716"/>
        <v>No controla</v>
      </c>
      <c r="Z1747">
        <v>1315045</v>
      </c>
      <c r="AA1747">
        <f t="shared" si="717"/>
        <v>3</v>
      </c>
      <c r="AB1747" t="str">
        <f t="shared" si="718"/>
        <v>Siempre</v>
      </c>
      <c r="AC1747">
        <v>0.68898499999999996</v>
      </c>
      <c r="AD1747">
        <f t="shared" si="719"/>
        <v>0</v>
      </c>
      <c r="AE1747" t="str">
        <f t="shared" si="720"/>
        <v>Nunca</v>
      </c>
      <c r="AF1747">
        <v>1</v>
      </c>
      <c r="AG1747" t="str">
        <f t="shared" si="721"/>
        <v>A veces</v>
      </c>
      <c r="AH1747">
        <v>0</v>
      </c>
      <c r="AI1747" t="str">
        <f t="shared" si="722"/>
        <v>No usa</v>
      </c>
      <c r="AJ1747">
        <v>0</v>
      </c>
      <c r="AK1747" t="str">
        <f t="shared" si="723"/>
        <v>No usa</v>
      </c>
      <c r="AL1747">
        <v>0</v>
      </c>
      <c r="AM1747" t="str">
        <f t="shared" si="724"/>
        <v>No usa</v>
      </c>
      <c r="AN1747">
        <v>1</v>
      </c>
      <c r="AO1747" t="str">
        <f t="shared" si="725"/>
        <v>Usa Transporte</v>
      </c>
      <c r="AP1747">
        <v>0</v>
      </c>
      <c r="AQ1747" t="str">
        <f t="shared" si="726"/>
        <v>No camina</v>
      </c>
      <c r="AR1747">
        <v>1</v>
      </c>
      <c r="AS1747" t="str">
        <f t="shared" si="727"/>
        <v>Es Obeso</v>
      </c>
    </row>
    <row r="1748" spans="1:45" x14ac:dyDescent="0.25">
      <c r="A1748">
        <v>1</v>
      </c>
      <c r="B1748" t="str">
        <f t="shared" si="702"/>
        <v>M</v>
      </c>
      <c r="C1748">
        <v>25758307</v>
      </c>
      <c r="D1748">
        <f t="shared" si="703"/>
        <v>70</v>
      </c>
      <c r="E1748">
        <f t="shared" si="704"/>
        <v>70</v>
      </c>
      <c r="F1748" t="str">
        <f t="shared" si="705"/>
        <v>50-75</v>
      </c>
      <c r="G1748">
        <v>1</v>
      </c>
      <c r="H1748" t="str">
        <f t="shared" si="706"/>
        <v>Pariente gordo</v>
      </c>
      <c r="I1748">
        <v>1</v>
      </c>
      <c r="J1748" t="str">
        <f t="shared" si="707"/>
        <v>Hipercaloricos</v>
      </c>
      <c r="K1748">
        <v>2203962</v>
      </c>
      <c r="L1748">
        <f t="shared" si="708"/>
        <v>1</v>
      </c>
      <c r="M1748" t="str">
        <f t="shared" si="709"/>
        <v>Suele comer</v>
      </c>
      <c r="N1748">
        <v>3</v>
      </c>
      <c r="O1748">
        <f t="shared" si="710"/>
        <v>2</v>
      </c>
      <c r="P1748" t="str">
        <f t="shared" si="711"/>
        <v>Mas de 3</v>
      </c>
      <c r="Q1748">
        <v>1</v>
      </c>
      <c r="R1748" t="str">
        <f t="shared" si="712"/>
        <v>A veces</v>
      </c>
      <c r="S1748">
        <v>0</v>
      </c>
      <c r="T1748" t="str">
        <f t="shared" si="713"/>
        <v>No fuma</v>
      </c>
      <c r="U1748">
        <v>215687</v>
      </c>
      <c r="V1748">
        <f t="shared" si="714"/>
        <v>2</v>
      </c>
      <c r="W1748" t="str">
        <f t="shared" si="715"/>
        <v>Siempre</v>
      </c>
      <c r="X1748">
        <v>0</v>
      </c>
      <c r="Y1748" t="str">
        <f t="shared" si="716"/>
        <v>No controla</v>
      </c>
      <c r="Z1748">
        <v>1289421</v>
      </c>
      <c r="AA1748">
        <f t="shared" si="717"/>
        <v>3</v>
      </c>
      <c r="AB1748" t="str">
        <f t="shared" si="718"/>
        <v>Siempre</v>
      </c>
      <c r="AC1748">
        <v>1220767</v>
      </c>
      <c r="AD1748">
        <f t="shared" si="719"/>
        <v>2</v>
      </c>
      <c r="AE1748" t="str">
        <f t="shared" si="720"/>
        <v>Siempre</v>
      </c>
      <c r="AF1748">
        <v>1</v>
      </c>
      <c r="AG1748" t="str">
        <f t="shared" si="721"/>
        <v>A veces</v>
      </c>
      <c r="AH1748">
        <v>0</v>
      </c>
      <c r="AI1748" t="str">
        <f t="shared" si="722"/>
        <v>No usa</v>
      </c>
      <c r="AJ1748">
        <v>0</v>
      </c>
      <c r="AK1748" t="str">
        <f t="shared" si="723"/>
        <v>No usa</v>
      </c>
      <c r="AL1748">
        <v>0</v>
      </c>
      <c r="AM1748" t="str">
        <f t="shared" si="724"/>
        <v>No usa</v>
      </c>
      <c r="AN1748">
        <v>1</v>
      </c>
      <c r="AO1748" t="str">
        <f t="shared" si="725"/>
        <v>Usa Transporte</v>
      </c>
      <c r="AP1748">
        <v>0</v>
      </c>
      <c r="AQ1748" t="str">
        <f t="shared" si="726"/>
        <v>No camina</v>
      </c>
      <c r="AR1748">
        <v>1</v>
      </c>
      <c r="AS1748" t="str">
        <f t="shared" si="727"/>
        <v>Es Obeso</v>
      </c>
    </row>
    <row r="1749" spans="1:45" x14ac:dyDescent="0.25">
      <c r="A1749">
        <v>1</v>
      </c>
      <c r="B1749" t="str">
        <f t="shared" si="702"/>
        <v>M</v>
      </c>
      <c r="C1749">
        <v>29981494</v>
      </c>
      <c r="D1749">
        <f t="shared" si="703"/>
        <v>82</v>
      </c>
      <c r="E1749">
        <f t="shared" si="704"/>
        <v>82</v>
      </c>
      <c r="F1749" t="str">
        <f t="shared" si="705"/>
        <v>75-100</v>
      </c>
      <c r="G1749">
        <v>1</v>
      </c>
      <c r="H1749" t="str">
        <f t="shared" si="706"/>
        <v>Pariente gordo</v>
      </c>
      <c r="I1749">
        <v>1</v>
      </c>
      <c r="J1749" t="str">
        <f t="shared" si="707"/>
        <v>Hipercaloricos</v>
      </c>
      <c r="K1749">
        <v>1947495</v>
      </c>
      <c r="L1749">
        <f t="shared" si="708"/>
        <v>1</v>
      </c>
      <c r="M1749" t="str">
        <f t="shared" si="709"/>
        <v>Suele comer</v>
      </c>
      <c r="N1749">
        <v>3</v>
      </c>
      <c r="O1749">
        <f t="shared" si="710"/>
        <v>2</v>
      </c>
      <c r="P1749" t="str">
        <f t="shared" si="711"/>
        <v>Mas de 3</v>
      </c>
      <c r="Q1749">
        <v>1</v>
      </c>
      <c r="R1749" t="str">
        <f t="shared" si="712"/>
        <v>A veces</v>
      </c>
      <c r="S1749">
        <v>0</v>
      </c>
      <c r="T1749" t="str">
        <f t="shared" si="713"/>
        <v>No fuma</v>
      </c>
      <c r="U1749">
        <v>2042073</v>
      </c>
      <c r="V1749">
        <f t="shared" si="714"/>
        <v>2</v>
      </c>
      <c r="W1749" t="str">
        <f t="shared" si="715"/>
        <v>Siempre</v>
      </c>
      <c r="X1749">
        <v>0</v>
      </c>
      <c r="Y1749" t="str">
        <f t="shared" si="716"/>
        <v>No controla</v>
      </c>
      <c r="Z1749">
        <v>0</v>
      </c>
      <c r="AA1749">
        <f t="shared" si="717"/>
        <v>0</v>
      </c>
      <c r="AB1749" t="str">
        <f t="shared" si="718"/>
        <v>Nunca</v>
      </c>
      <c r="AC1749">
        <v>0.61808700000000005</v>
      </c>
      <c r="AD1749">
        <f t="shared" si="719"/>
        <v>0</v>
      </c>
      <c r="AE1749" t="str">
        <f t="shared" si="720"/>
        <v>Nunca</v>
      </c>
      <c r="AF1749">
        <v>1</v>
      </c>
      <c r="AG1749" t="str">
        <f t="shared" si="721"/>
        <v>A veces</v>
      </c>
      <c r="AH1749">
        <v>1</v>
      </c>
      <c r="AI1749" t="str">
        <f t="shared" si="722"/>
        <v>Usa auto</v>
      </c>
      <c r="AJ1749">
        <v>0</v>
      </c>
      <c r="AK1749" t="str">
        <f t="shared" si="723"/>
        <v>No usa</v>
      </c>
      <c r="AL1749">
        <v>0</v>
      </c>
      <c r="AM1749" t="str">
        <f t="shared" si="724"/>
        <v>No usa</v>
      </c>
      <c r="AN1749">
        <v>0</v>
      </c>
      <c r="AO1749" t="str">
        <f t="shared" si="725"/>
        <v>No usa</v>
      </c>
      <c r="AP1749">
        <v>0</v>
      </c>
      <c r="AQ1749" t="str">
        <f t="shared" si="726"/>
        <v>No camina</v>
      </c>
      <c r="AR1749">
        <v>1</v>
      </c>
      <c r="AS1749" t="str">
        <f t="shared" si="727"/>
        <v>Es Obeso</v>
      </c>
    </row>
    <row r="1750" spans="1:45" x14ac:dyDescent="0.25">
      <c r="A1750">
        <v>1</v>
      </c>
      <c r="B1750" t="str">
        <f t="shared" si="702"/>
        <v>M</v>
      </c>
      <c r="C1750">
        <v>29891473</v>
      </c>
      <c r="D1750">
        <f t="shared" si="703"/>
        <v>81</v>
      </c>
      <c r="E1750">
        <f t="shared" si="704"/>
        <v>81</v>
      </c>
      <c r="F1750" t="str">
        <f t="shared" si="705"/>
        <v>75-100</v>
      </c>
      <c r="G1750">
        <v>1</v>
      </c>
      <c r="H1750" t="str">
        <f t="shared" si="706"/>
        <v>Pariente gordo</v>
      </c>
      <c r="I1750">
        <v>1</v>
      </c>
      <c r="J1750" t="str">
        <f t="shared" si="707"/>
        <v>Hipercaloricos</v>
      </c>
      <c r="K1750">
        <v>2262292</v>
      </c>
      <c r="L1750">
        <f t="shared" si="708"/>
        <v>1</v>
      </c>
      <c r="M1750" t="str">
        <f t="shared" si="709"/>
        <v>Suele comer</v>
      </c>
      <c r="N1750">
        <v>3</v>
      </c>
      <c r="O1750">
        <f t="shared" si="710"/>
        <v>2</v>
      </c>
      <c r="P1750" t="str">
        <f t="shared" si="711"/>
        <v>Mas de 3</v>
      </c>
      <c r="Q1750">
        <v>1</v>
      </c>
      <c r="R1750" t="str">
        <f t="shared" si="712"/>
        <v>A veces</v>
      </c>
      <c r="S1750">
        <v>0</v>
      </c>
      <c r="T1750" t="str">
        <f t="shared" si="713"/>
        <v>No fuma</v>
      </c>
      <c r="U1750">
        <v>2115354</v>
      </c>
      <c r="V1750">
        <f t="shared" si="714"/>
        <v>2</v>
      </c>
      <c r="W1750" t="str">
        <f t="shared" si="715"/>
        <v>Siempre</v>
      </c>
      <c r="X1750">
        <v>0</v>
      </c>
      <c r="Y1750" t="str">
        <f t="shared" si="716"/>
        <v>No controla</v>
      </c>
      <c r="Z1750">
        <v>0</v>
      </c>
      <c r="AA1750">
        <f t="shared" si="717"/>
        <v>0</v>
      </c>
      <c r="AB1750" t="str">
        <f t="shared" si="718"/>
        <v>Nunca</v>
      </c>
      <c r="AC1750">
        <v>0.84758699999999998</v>
      </c>
      <c r="AD1750">
        <f t="shared" si="719"/>
        <v>0</v>
      </c>
      <c r="AE1750" t="str">
        <f t="shared" si="720"/>
        <v>Nunca</v>
      </c>
      <c r="AF1750">
        <v>1</v>
      </c>
      <c r="AG1750" t="str">
        <f t="shared" si="721"/>
        <v>A veces</v>
      </c>
      <c r="AH1750">
        <v>1</v>
      </c>
      <c r="AI1750" t="str">
        <f t="shared" si="722"/>
        <v>Usa auto</v>
      </c>
      <c r="AJ1750">
        <v>0</v>
      </c>
      <c r="AK1750" t="str">
        <f t="shared" si="723"/>
        <v>No usa</v>
      </c>
      <c r="AL1750">
        <v>0</v>
      </c>
      <c r="AM1750" t="str">
        <f t="shared" si="724"/>
        <v>No usa</v>
      </c>
      <c r="AN1750">
        <v>0</v>
      </c>
      <c r="AO1750" t="str">
        <f t="shared" si="725"/>
        <v>No usa</v>
      </c>
      <c r="AP1750">
        <v>0</v>
      </c>
      <c r="AQ1750" t="str">
        <f t="shared" si="726"/>
        <v>No camina</v>
      </c>
      <c r="AR1750">
        <v>1</v>
      </c>
      <c r="AS1750" t="str">
        <f t="shared" si="727"/>
        <v>Es Obeso</v>
      </c>
    </row>
    <row r="1751" spans="1:45" x14ac:dyDescent="0.25">
      <c r="A1751">
        <v>1</v>
      </c>
      <c r="B1751" t="str">
        <f t="shared" si="702"/>
        <v>M</v>
      </c>
      <c r="C1751">
        <v>26778684</v>
      </c>
      <c r="D1751">
        <f t="shared" si="703"/>
        <v>73</v>
      </c>
      <c r="E1751">
        <f t="shared" si="704"/>
        <v>73</v>
      </c>
      <c r="F1751" t="str">
        <f t="shared" si="705"/>
        <v>50-75</v>
      </c>
      <c r="G1751">
        <v>1</v>
      </c>
      <c r="H1751" t="str">
        <f t="shared" si="706"/>
        <v>Pariente gordo</v>
      </c>
      <c r="I1751">
        <v>1</v>
      </c>
      <c r="J1751" t="str">
        <f t="shared" si="707"/>
        <v>Hipercaloricos</v>
      </c>
      <c r="K1751">
        <v>2219186</v>
      </c>
      <c r="L1751">
        <f t="shared" si="708"/>
        <v>1</v>
      </c>
      <c r="M1751" t="str">
        <f t="shared" si="709"/>
        <v>Suele comer</v>
      </c>
      <c r="N1751">
        <v>3</v>
      </c>
      <c r="O1751">
        <f t="shared" si="710"/>
        <v>2</v>
      </c>
      <c r="P1751" t="str">
        <f t="shared" si="711"/>
        <v>Mas de 3</v>
      </c>
      <c r="Q1751">
        <v>1</v>
      </c>
      <c r="R1751" t="str">
        <f t="shared" si="712"/>
        <v>A veces</v>
      </c>
      <c r="S1751">
        <v>0</v>
      </c>
      <c r="T1751" t="str">
        <f t="shared" si="713"/>
        <v>No fuma</v>
      </c>
      <c r="U1751">
        <v>2092326</v>
      </c>
      <c r="V1751">
        <f t="shared" si="714"/>
        <v>2</v>
      </c>
      <c r="W1751" t="str">
        <f t="shared" si="715"/>
        <v>Siempre</v>
      </c>
      <c r="X1751">
        <v>0</v>
      </c>
      <c r="Y1751" t="str">
        <f t="shared" si="716"/>
        <v>No controla</v>
      </c>
      <c r="Z1751">
        <v>0.54591900000000004</v>
      </c>
      <c r="AA1751">
        <f t="shared" si="717"/>
        <v>0</v>
      </c>
      <c r="AB1751" t="str">
        <f t="shared" si="718"/>
        <v>Nunca</v>
      </c>
      <c r="AC1751">
        <v>174288</v>
      </c>
      <c r="AD1751">
        <f t="shared" si="719"/>
        <v>1</v>
      </c>
      <c r="AE1751" t="str">
        <f t="shared" si="720"/>
        <v>Usualmente</v>
      </c>
      <c r="AF1751">
        <v>1</v>
      </c>
      <c r="AG1751" t="str">
        <f t="shared" si="721"/>
        <v>A veces</v>
      </c>
      <c r="AH1751">
        <v>1</v>
      </c>
      <c r="AI1751" t="str">
        <f t="shared" si="722"/>
        <v>Usa auto</v>
      </c>
      <c r="AJ1751">
        <v>0</v>
      </c>
      <c r="AK1751" t="str">
        <f t="shared" si="723"/>
        <v>No usa</v>
      </c>
      <c r="AL1751">
        <v>0</v>
      </c>
      <c r="AM1751" t="str">
        <f t="shared" si="724"/>
        <v>No usa</v>
      </c>
      <c r="AN1751">
        <v>0</v>
      </c>
      <c r="AO1751" t="str">
        <f t="shared" si="725"/>
        <v>No usa</v>
      </c>
      <c r="AP1751">
        <v>0</v>
      </c>
      <c r="AQ1751" t="str">
        <f t="shared" si="726"/>
        <v>No camina</v>
      </c>
      <c r="AR1751">
        <v>1</v>
      </c>
      <c r="AS1751" t="str">
        <f t="shared" si="727"/>
        <v>Es Obeso</v>
      </c>
    </row>
    <row r="1752" spans="1:45" x14ac:dyDescent="0.25">
      <c r="A1752">
        <v>1</v>
      </c>
      <c r="B1752" t="str">
        <f t="shared" si="702"/>
        <v>M</v>
      </c>
      <c r="C1752">
        <v>28377958</v>
      </c>
      <c r="D1752">
        <f t="shared" si="703"/>
        <v>77</v>
      </c>
      <c r="E1752">
        <f t="shared" si="704"/>
        <v>77</v>
      </c>
      <c r="F1752" t="str">
        <f t="shared" si="705"/>
        <v>75-100</v>
      </c>
      <c r="G1752">
        <v>1</v>
      </c>
      <c r="H1752" t="str">
        <f t="shared" si="706"/>
        <v>Pariente gordo</v>
      </c>
      <c r="I1752">
        <v>1</v>
      </c>
      <c r="J1752" t="str">
        <f t="shared" si="707"/>
        <v>Hipercaloricos</v>
      </c>
      <c r="K1752">
        <v>2314175</v>
      </c>
      <c r="L1752">
        <f t="shared" si="708"/>
        <v>1</v>
      </c>
      <c r="M1752" t="str">
        <f t="shared" si="709"/>
        <v>Suele comer</v>
      </c>
      <c r="N1752">
        <v>3</v>
      </c>
      <c r="O1752">
        <f t="shared" si="710"/>
        <v>2</v>
      </c>
      <c r="P1752" t="str">
        <f t="shared" si="711"/>
        <v>Mas de 3</v>
      </c>
      <c r="Q1752">
        <v>1</v>
      </c>
      <c r="R1752" t="str">
        <f t="shared" si="712"/>
        <v>A veces</v>
      </c>
      <c r="S1752">
        <v>0</v>
      </c>
      <c r="T1752" t="str">
        <f t="shared" si="713"/>
        <v>No fuma</v>
      </c>
      <c r="U1752">
        <v>2151809</v>
      </c>
      <c r="V1752">
        <f t="shared" si="714"/>
        <v>2</v>
      </c>
      <c r="W1752" t="str">
        <f t="shared" si="715"/>
        <v>Siempre</v>
      </c>
      <c r="X1752">
        <v>0</v>
      </c>
      <c r="Y1752" t="str">
        <f t="shared" si="716"/>
        <v>No controla</v>
      </c>
      <c r="Z1752">
        <v>0</v>
      </c>
      <c r="AA1752">
        <f t="shared" si="717"/>
        <v>0</v>
      </c>
      <c r="AB1752" t="str">
        <f t="shared" si="718"/>
        <v>Nunca</v>
      </c>
      <c r="AC1752">
        <v>1578517</v>
      </c>
      <c r="AD1752">
        <f t="shared" si="719"/>
        <v>2</v>
      </c>
      <c r="AE1752" t="str">
        <f t="shared" si="720"/>
        <v>Siempre</v>
      </c>
      <c r="AF1752">
        <v>1</v>
      </c>
      <c r="AG1752" t="str">
        <f t="shared" si="721"/>
        <v>A veces</v>
      </c>
      <c r="AH1752">
        <v>1</v>
      </c>
      <c r="AI1752" t="str">
        <f t="shared" si="722"/>
        <v>Usa auto</v>
      </c>
      <c r="AJ1752">
        <v>0</v>
      </c>
      <c r="AK1752" t="str">
        <f t="shared" si="723"/>
        <v>No usa</v>
      </c>
      <c r="AL1752">
        <v>0</v>
      </c>
      <c r="AM1752" t="str">
        <f t="shared" si="724"/>
        <v>No usa</v>
      </c>
      <c r="AN1752">
        <v>0</v>
      </c>
      <c r="AO1752" t="str">
        <f t="shared" si="725"/>
        <v>No usa</v>
      </c>
      <c r="AP1752">
        <v>0</v>
      </c>
      <c r="AQ1752" t="str">
        <f t="shared" si="726"/>
        <v>No camina</v>
      </c>
      <c r="AR1752">
        <v>1</v>
      </c>
      <c r="AS1752" t="str">
        <f t="shared" si="727"/>
        <v>Es Obeso</v>
      </c>
    </row>
    <row r="1753" spans="1:45" x14ac:dyDescent="0.25">
      <c r="A1753">
        <v>1</v>
      </c>
      <c r="B1753" t="str">
        <f t="shared" si="702"/>
        <v>M</v>
      </c>
      <c r="C1753">
        <v>26199321</v>
      </c>
      <c r="D1753">
        <f t="shared" si="703"/>
        <v>71</v>
      </c>
      <c r="E1753">
        <f t="shared" si="704"/>
        <v>71</v>
      </c>
      <c r="F1753" t="str">
        <f t="shared" si="705"/>
        <v>50-75</v>
      </c>
      <c r="G1753">
        <v>1</v>
      </c>
      <c r="H1753" t="str">
        <f t="shared" si="706"/>
        <v>Pariente gordo</v>
      </c>
      <c r="I1753">
        <v>1</v>
      </c>
      <c r="J1753" t="str">
        <f t="shared" si="707"/>
        <v>Hipercaloricos</v>
      </c>
      <c r="K1753">
        <v>2423291</v>
      </c>
      <c r="L1753">
        <f t="shared" si="708"/>
        <v>1</v>
      </c>
      <c r="M1753" t="str">
        <f t="shared" si="709"/>
        <v>Suele comer</v>
      </c>
      <c r="N1753">
        <v>3</v>
      </c>
      <c r="O1753">
        <f t="shared" si="710"/>
        <v>2</v>
      </c>
      <c r="P1753" t="str">
        <f t="shared" si="711"/>
        <v>Mas de 3</v>
      </c>
      <c r="Q1753">
        <v>1</v>
      </c>
      <c r="R1753" t="str">
        <f t="shared" si="712"/>
        <v>A veces</v>
      </c>
      <c r="S1753">
        <v>0</v>
      </c>
      <c r="T1753" t="str">
        <f t="shared" si="713"/>
        <v>No fuma</v>
      </c>
      <c r="U1753">
        <v>2902682</v>
      </c>
      <c r="V1753">
        <f t="shared" si="714"/>
        <v>2</v>
      </c>
      <c r="W1753" t="str">
        <f t="shared" si="715"/>
        <v>Siempre</v>
      </c>
      <c r="X1753">
        <v>0</v>
      </c>
      <c r="Y1753" t="str">
        <f t="shared" si="716"/>
        <v>No controla</v>
      </c>
      <c r="Z1753">
        <v>1243567</v>
      </c>
      <c r="AA1753">
        <f t="shared" si="717"/>
        <v>3</v>
      </c>
      <c r="AB1753" t="str">
        <f t="shared" si="718"/>
        <v>Siempre</v>
      </c>
      <c r="AC1753">
        <v>0.55559099999999995</v>
      </c>
      <c r="AD1753">
        <f t="shared" si="719"/>
        <v>0</v>
      </c>
      <c r="AE1753" t="str">
        <f t="shared" si="720"/>
        <v>Nunca</v>
      </c>
      <c r="AF1753">
        <v>1</v>
      </c>
      <c r="AG1753" t="str">
        <f t="shared" si="721"/>
        <v>A veces</v>
      </c>
      <c r="AH1753">
        <v>0</v>
      </c>
      <c r="AI1753" t="str">
        <f t="shared" si="722"/>
        <v>No usa</v>
      </c>
      <c r="AJ1753">
        <v>0</v>
      </c>
      <c r="AK1753" t="str">
        <f t="shared" si="723"/>
        <v>No usa</v>
      </c>
      <c r="AL1753">
        <v>0</v>
      </c>
      <c r="AM1753" t="str">
        <f t="shared" si="724"/>
        <v>No usa</v>
      </c>
      <c r="AN1753">
        <v>1</v>
      </c>
      <c r="AO1753" t="str">
        <f t="shared" si="725"/>
        <v>Usa Transporte</v>
      </c>
      <c r="AP1753">
        <v>0</v>
      </c>
      <c r="AQ1753" t="str">
        <f t="shared" si="726"/>
        <v>No camina</v>
      </c>
      <c r="AR1753">
        <v>1</v>
      </c>
      <c r="AS1753" t="str">
        <f t="shared" si="727"/>
        <v>Es Obeso</v>
      </c>
    </row>
    <row r="1754" spans="1:45" x14ac:dyDescent="0.25">
      <c r="A1754">
        <v>1</v>
      </c>
      <c r="B1754" t="str">
        <f t="shared" si="702"/>
        <v>M</v>
      </c>
      <c r="C1754">
        <v>27266287</v>
      </c>
      <c r="D1754">
        <f t="shared" si="703"/>
        <v>74</v>
      </c>
      <c r="E1754">
        <f t="shared" si="704"/>
        <v>74</v>
      </c>
      <c r="F1754" t="str">
        <f t="shared" si="705"/>
        <v>50-75</v>
      </c>
      <c r="G1754">
        <v>1</v>
      </c>
      <c r="H1754" t="str">
        <f t="shared" si="706"/>
        <v>Pariente gordo</v>
      </c>
      <c r="I1754">
        <v>1</v>
      </c>
      <c r="J1754" t="str">
        <f t="shared" si="707"/>
        <v>Hipercaloricos</v>
      </c>
      <c r="K1754">
        <v>2637202</v>
      </c>
      <c r="L1754">
        <f t="shared" si="708"/>
        <v>1</v>
      </c>
      <c r="M1754" t="str">
        <f t="shared" si="709"/>
        <v>Suele comer</v>
      </c>
      <c r="N1754">
        <v>3</v>
      </c>
      <c r="O1754">
        <f t="shared" si="710"/>
        <v>2</v>
      </c>
      <c r="P1754" t="str">
        <f t="shared" si="711"/>
        <v>Mas de 3</v>
      </c>
      <c r="Q1754">
        <v>1</v>
      </c>
      <c r="R1754" t="str">
        <f t="shared" si="712"/>
        <v>A veces</v>
      </c>
      <c r="S1754">
        <v>0</v>
      </c>
      <c r="T1754" t="str">
        <f t="shared" si="713"/>
        <v>No fuma</v>
      </c>
      <c r="U1754">
        <v>2966647</v>
      </c>
      <c r="V1754">
        <f t="shared" si="714"/>
        <v>2</v>
      </c>
      <c r="W1754" t="str">
        <f t="shared" si="715"/>
        <v>Siempre</v>
      </c>
      <c r="X1754">
        <v>0</v>
      </c>
      <c r="Y1754" t="str">
        <f t="shared" si="716"/>
        <v>No controla</v>
      </c>
      <c r="Z1754">
        <v>1159598</v>
      </c>
      <c r="AA1754">
        <f t="shared" si="717"/>
        <v>3</v>
      </c>
      <c r="AB1754" t="str">
        <f t="shared" si="718"/>
        <v>Siempre</v>
      </c>
      <c r="AC1754">
        <v>0.75889700000000004</v>
      </c>
      <c r="AD1754">
        <f t="shared" si="719"/>
        <v>0</v>
      </c>
      <c r="AE1754" t="str">
        <f t="shared" si="720"/>
        <v>Nunca</v>
      </c>
      <c r="AF1754">
        <v>1</v>
      </c>
      <c r="AG1754" t="str">
        <f t="shared" si="721"/>
        <v>A veces</v>
      </c>
      <c r="AH1754">
        <v>0</v>
      </c>
      <c r="AI1754" t="str">
        <f t="shared" si="722"/>
        <v>No usa</v>
      </c>
      <c r="AJ1754">
        <v>0</v>
      </c>
      <c r="AK1754" t="str">
        <f t="shared" si="723"/>
        <v>No usa</v>
      </c>
      <c r="AL1754">
        <v>0</v>
      </c>
      <c r="AM1754" t="str">
        <f t="shared" si="724"/>
        <v>No usa</v>
      </c>
      <c r="AN1754">
        <v>1</v>
      </c>
      <c r="AO1754" t="str">
        <f t="shared" si="725"/>
        <v>Usa Transporte</v>
      </c>
      <c r="AP1754">
        <v>0</v>
      </c>
      <c r="AQ1754" t="str">
        <f t="shared" si="726"/>
        <v>No camina</v>
      </c>
      <c r="AR1754">
        <v>1</v>
      </c>
      <c r="AS1754" t="str">
        <f t="shared" si="727"/>
        <v>Es Obeso</v>
      </c>
    </row>
    <row r="1755" spans="1:45" x14ac:dyDescent="0.25">
      <c r="A1755">
        <v>1</v>
      </c>
      <c r="B1755" t="str">
        <f t="shared" si="702"/>
        <v>M</v>
      </c>
      <c r="C1755">
        <v>27635029</v>
      </c>
      <c r="D1755">
        <f t="shared" si="703"/>
        <v>75</v>
      </c>
      <c r="E1755">
        <f t="shared" si="704"/>
        <v>75</v>
      </c>
      <c r="F1755" t="str">
        <f t="shared" si="705"/>
        <v>50-75</v>
      </c>
      <c r="G1755">
        <v>1</v>
      </c>
      <c r="H1755" t="str">
        <f t="shared" si="706"/>
        <v>Pariente gordo</v>
      </c>
      <c r="I1755">
        <v>1</v>
      </c>
      <c r="J1755" t="str">
        <f t="shared" si="707"/>
        <v>Hipercaloricos</v>
      </c>
      <c r="K1755">
        <v>2974006</v>
      </c>
      <c r="L1755">
        <f t="shared" si="708"/>
        <v>1</v>
      </c>
      <c r="M1755" t="str">
        <f t="shared" si="709"/>
        <v>Suele comer</v>
      </c>
      <c r="N1755">
        <v>3</v>
      </c>
      <c r="O1755">
        <f t="shared" si="710"/>
        <v>2</v>
      </c>
      <c r="P1755" t="str">
        <f t="shared" si="711"/>
        <v>Mas de 3</v>
      </c>
      <c r="Q1755">
        <v>1</v>
      </c>
      <c r="R1755" t="str">
        <f t="shared" si="712"/>
        <v>A veces</v>
      </c>
      <c r="S1755">
        <v>0</v>
      </c>
      <c r="T1755" t="str">
        <f t="shared" si="713"/>
        <v>No fuma</v>
      </c>
      <c r="U1755">
        <v>2565828</v>
      </c>
      <c r="V1755">
        <f t="shared" si="714"/>
        <v>2</v>
      </c>
      <c r="W1755" t="str">
        <f t="shared" si="715"/>
        <v>Siempre</v>
      </c>
      <c r="X1755">
        <v>0</v>
      </c>
      <c r="Y1755" t="str">
        <f t="shared" si="716"/>
        <v>No controla</v>
      </c>
      <c r="Z1755">
        <v>0.69026900000000002</v>
      </c>
      <c r="AA1755">
        <f t="shared" si="717"/>
        <v>0</v>
      </c>
      <c r="AB1755" t="str">
        <f t="shared" si="718"/>
        <v>Nunca</v>
      </c>
      <c r="AC1755">
        <v>1339691</v>
      </c>
      <c r="AD1755">
        <f t="shared" si="719"/>
        <v>2</v>
      </c>
      <c r="AE1755" t="str">
        <f t="shared" si="720"/>
        <v>Siempre</v>
      </c>
      <c r="AF1755">
        <v>1</v>
      </c>
      <c r="AG1755" t="str">
        <f t="shared" si="721"/>
        <v>A veces</v>
      </c>
      <c r="AH1755">
        <v>0</v>
      </c>
      <c r="AI1755" t="str">
        <f t="shared" si="722"/>
        <v>No usa</v>
      </c>
      <c r="AJ1755">
        <v>0</v>
      </c>
      <c r="AK1755" t="str">
        <f t="shared" si="723"/>
        <v>No usa</v>
      </c>
      <c r="AL1755">
        <v>0</v>
      </c>
      <c r="AM1755" t="str">
        <f t="shared" si="724"/>
        <v>No usa</v>
      </c>
      <c r="AN1755">
        <v>1</v>
      </c>
      <c r="AO1755" t="str">
        <f t="shared" si="725"/>
        <v>Usa Transporte</v>
      </c>
      <c r="AP1755">
        <v>0</v>
      </c>
      <c r="AQ1755" t="str">
        <f t="shared" si="726"/>
        <v>No camina</v>
      </c>
      <c r="AR1755">
        <v>1</v>
      </c>
      <c r="AS1755" t="str">
        <f t="shared" si="727"/>
        <v>Es Obeso</v>
      </c>
    </row>
    <row r="1756" spans="1:45" x14ac:dyDescent="0.25">
      <c r="A1756">
        <v>1</v>
      </c>
      <c r="B1756" t="str">
        <f t="shared" si="702"/>
        <v>M</v>
      </c>
      <c r="C1756">
        <v>26899886</v>
      </c>
      <c r="D1756">
        <f t="shared" si="703"/>
        <v>73</v>
      </c>
      <c r="E1756">
        <f t="shared" si="704"/>
        <v>73</v>
      </c>
      <c r="F1756" t="str">
        <f t="shared" si="705"/>
        <v>50-75</v>
      </c>
      <c r="G1756">
        <v>1</v>
      </c>
      <c r="H1756" t="str">
        <f t="shared" si="706"/>
        <v>Pariente gordo</v>
      </c>
      <c r="I1756">
        <v>1</v>
      </c>
      <c r="J1756" t="str">
        <f t="shared" si="707"/>
        <v>Hipercaloricos</v>
      </c>
      <c r="K1756">
        <v>2347942</v>
      </c>
      <c r="L1756">
        <f t="shared" si="708"/>
        <v>1</v>
      </c>
      <c r="M1756" t="str">
        <f t="shared" si="709"/>
        <v>Suele comer</v>
      </c>
      <c r="N1756">
        <v>3</v>
      </c>
      <c r="O1756">
        <f t="shared" si="710"/>
        <v>2</v>
      </c>
      <c r="P1756" t="str">
        <f t="shared" si="711"/>
        <v>Mas de 3</v>
      </c>
      <c r="Q1756">
        <v>1</v>
      </c>
      <c r="R1756" t="str">
        <f t="shared" si="712"/>
        <v>A veces</v>
      </c>
      <c r="S1756">
        <v>0</v>
      </c>
      <c r="T1756" t="str">
        <f t="shared" si="713"/>
        <v>No fuma</v>
      </c>
      <c r="U1756">
        <v>2730663</v>
      </c>
      <c r="V1756">
        <f t="shared" si="714"/>
        <v>2</v>
      </c>
      <c r="W1756" t="str">
        <f t="shared" si="715"/>
        <v>Siempre</v>
      </c>
      <c r="X1756">
        <v>0</v>
      </c>
      <c r="Y1756" t="str">
        <f t="shared" si="716"/>
        <v>No controla</v>
      </c>
      <c r="Z1756">
        <v>0.68937099999999996</v>
      </c>
      <c r="AA1756">
        <f t="shared" si="717"/>
        <v>0</v>
      </c>
      <c r="AB1756" t="str">
        <f t="shared" si="718"/>
        <v>Nunca</v>
      </c>
      <c r="AC1756">
        <v>0.188693</v>
      </c>
      <c r="AD1756">
        <f t="shared" si="719"/>
        <v>0</v>
      </c>
      <c r="AE1756" t="str">
        <f t="shared" si="720"/>
        <v>Nunca</v>
      </c>
      <c r="AF1756">
        <v>1</v>
      </c>
      <c r="AG1756" t="str">
        <f t="shared" si="721"/>
        <v>A veces</v>
      </c>
      <c r="AH1756">
        <v>0</v>
      </c>
      <c r="AI1756" t="str">
        <f t="shared" si="722"/>
        <v>No usa</v>
      </c>
      <c r="AJ1756">
        <v>0</v>
      </c>
      <c r="AK1756" t="str">
        <f t="shared" si="723"/>
        <v>No usa</v>
      </c>
      <c r="AL1756">
        <v>0</v>
      </c>
      <c r="AM1756" t="str">
        <f t="shared" si="724"/>
        <v>No usa</v>
      </c>
      <c r="AN1756">
        <v>1</v>
      </c>
      <c r="AO1756" t="str">
        <f t="shared" si="725"/>
        <v>Usa Transporte</v>
      </c>
      <c r="AP1756">
        <v>0</v>
      </c>
      <c r="AQ1756" t="str">
        <f t="shared" si="726"/>
        <v>No camina</v>
      </c>
      <c r="AR1756">
        <v>1</v>
      </c>
      <c r="AS1756" t="str">
        <f t="shared" si="727"/>
        <v>Es Obeso</v>
      </c>
    </row>
    <row r="1757" spans="1:45" x14ac:dyDescent="0.25">
      <c r="A1757">
        <v>1</v>
      </c>
      <c r="B1757" t="str">
        <f t="shared" si="702"/>
        <v>M</v>
      </c>
      <c r="C1757">
        <v>22758998</v>
      </c>
      <c r="D1757">
        <f t="shared" si="703"/>
        <v>62</v>
      </c>
      <c r="E1757">
        <f t="shared" si="704"/>
        <v>62</v>
      </c>
      <c r="F1757" t="str">
        <f t="shared" si="705"/>
        <v>50-75</v>
      </c>
      <c r="G1757">
        <v>1</v>
      </c>
      <c r="H1757" t="str">
        <f t="shared" si="706"/>
        <v>Pariente gordo</v>
      </c>
      <c r="I1757">
        <v>1</v>
      </c>
      <c r="J1757" t="str">
        <f t="shared" si="707"/>
        <v>Hipercaloricos</v>
      </c>
      <c r="K1757">
        <v>2654076</v>
      </c>
      <c r="L1757">
        <f t="shared" si="708"/>
        <v>1</v>
      </c>
      <c r="M1757" t="str">
        <f t="shared" si="709"/>
        <v>Suele comer</v>
      </c>
      <c r="N1757">
        <v>2574108</v>
      </c>
      <c r="O1757">
        <f t="shared" si="710"/>
        <v>2</v>
      </c>
      <c r="P1757" t="str">
        <f t="shared" si="711"/>
        <v>Mas de 3</v>
      </c>
      <c r="Q1757">
        <v>1</v>
      </c>
      <c r="R1757" t="str">
        <f t="shared" si="712"/>
        <v>A veces</v>
      </c>
      <c r="S1757">
        <v>0</v>
      </c>
      <c r="T1757" t="str">
        <f t="shared" si="713"/>
        <v>No fuma</v>
      </c>
      <c r="U1757">
        <v>178471</v>
      </c>
      <c r="V1757">
        <f t="shared" si="714"/>
        <v>2</v>
      </c>
      <c r="W1757" t="str">
        <f t="shared" si="715"/>
        <v>Siempre</v>
      </c>
      <c r="X1757">
        <v>0</v>
      </c>
      <c r="Y1757" t="str">
        <f t="shared" si="716"/>
        <v>No controla</v>
      </c>
      <c r="Z1757">
        <v>1170537</v>
      </c>
      <c r="AA1757">
        <f t="shared" si="717"/>
        <v>3</v>
      </c>
      <c r="AB1757" t="str">
        <f t="shared" si="718"/>
        <v>Siempre</v>
      </c>
      <c r="AC1757">
        <v>0</v>
      </c>
      <c r="AD1757">
        <f t="shared" si="719"/>
        <v>0</v>
      </c>
      <c r="AE1757" t="str">
        <f t="shared" si="720"/>
        <v>Nunca</v>
      </c>
      <c r="AF1757">
        <v>1</v>
      </c>
      <c r="AG1757" t="str">
        <f t="shared" si="721"/>
        <v>A veces</v>
      </c>
      <c r="AH1757">
        <v>0</v>
      </c>
      <c r="AI1757" t="str">
        <f t="shared" si="722"/>
        <v>No usa</v>
      </c>
      <c r="AJ1757">
        <v>0</v>
      </c>
      <c r="AK1757" t="str">
        <f t="shared" si="723"/>
        <v>No usa</v>
      </c>
      <c r="AL1757">
        <v>0</v>
      </c>
      <c r="AM1757" t="str">
        <f t="shared" si="724"/>
        <v>No usa</v>
      </c>
      <c r="AN1757">
        <v>1</v>
      </c>
      <c r="AO1757" t="str">
        <f t="shared" si="725"/>
        <v>Usa Transporte</v>
      </c>
      <c r="AP1757">
        <v>0</v>
      </c>
      <c r="AQ1757" t="str">
        <f t="shared" si="726"/>
        <v>No camina</v>
      </c>
      <c r="AR1757">
        <v>1</v>
      </c>
      <c r="AS1757" t="str">
        <f t="shared" si="727"/>
        <v>Es Obeso</v>
      </c>
    </row>
    <row r="1758" spans="1:45" x14ac:dyDescent="0.25">
      <c r="A1758">
        <v>1</v>
      </c>
      <c r="B1758" t="str">
        <f t="shared" si="702"/>
        <v>M</v>
      </c>
      <c r="C1758">
        <v>22771001</v>
      </c>
      <c r="D1758">
        <f t="shared" si="703"/>
        <v>62</v>
      </c>
      <c r="E1758">
        <f t="shared" si="704"/>
        <v>62</v>
      </c>
      <c r="F1758" t="str">
        <f t="shared" si="705"/>
        <v>50-75</v>
      </c>
      <c r="G1758">
        <v>1</v>
      </c>
      <c r="H1758" t="str">
        <f t="shared" si="706"/>
        <v>Pariente gordo</v>
      </c>
      <c r="I1758">
        <v>1</v>
      </c>
      <c r="J1758" t="str">
        <f t="shared" si="707"/>
        <v>Hipercaloricos</v>
      </c>
      <c r="K1758">
        <v>2739</v>
      </c>
      <c r="L1758">
        <f t="shared" si="708"/>
        <v>1</v>
      </c>
      <c r="M1758" t="str">
        <f t="shared" si="709"/>
        <v>Suele comer</v>
      </c>
      <c r="N1758">
        <v>2740492</v>
      </c>
      <c r="O1758">
        <f t="shared" si="710"/>
        <v>2</v>
      </c>
      <c r="P1758" t="str">
        <f t="shared" si="711"/>
        <v>Mas de 3</v>
      </c>
      <c r="Q1758">
        <v>1</v>
      </c>
      <c r="R1758" t="str">
        <f t="shared" si="712"/>
        <v>A veces</v>
      </c>
      <c r="S1758">
        <v>0</v>
      </c>
      <c r="T1758" t="str">
        <f t="shared" si="713"/>
        <v>No fuma</v>
      </c>
      <c r="U1758">
        <v>1824561</v>
      </c>
      <c r="V1758">
        <f t="shared" si="714"/>
        <v>2</v>
      </c>
      <c r="W1758" t="str">
        <f t="shared" si="715"/>
        <v>Siempre</v>
      </c>
      <c r="X1758">
        <v>0</v>
      </c>
      <c r="Y1758" t="str">
        <f t="shared" si="716"/>
        <v>No controla</v>
      </c>
      <c r="Z1758">
        <v>1094839</v>
      </c>
      <c r="AA1758">
        <f t="shared" si="717"/>
        <v>3</v>
      </c>
      <c r="AB1758" t="str">
        <f t="shared" si="718"/>
        <v>Siempre</v>
      </c>
      <c r="AC1758">
        <v>0</v>
      </c>
      <c r="AD1758">
        <f t="shared" si="719"/>
        <v>0</v>
      </c>
      <c r="AE1758" t="str">
        <f t="shared" si="720"/>
        <v>Nunca</v>
      </c>
      <c r="AF1758">
        <v>1</v>
      </c>
      <c r="AG1758" t="str">
        <f t="shared" si="721"/>
        <v>A veces</v>
      </c>
      <c r="AH1758">
        <v>0</v>
      </c>
      <c r="AI1758" t="str">
        <f t="shared" si="722"/>
        <v>No usa</v>
      </c>
      <c r="AJ1758">
        <v>0</v>
      </c>
      <c r="AK1758" t="str">
        <f t="shared" si="723"/>
        <v>No usa</v>
      </c>
      <c r="AL1758">
        <v>0</v>
      </c>
      <c r="AM1758" t="str">
        <f t="shared" si="724"/>
        <v>No usa</v>
      </c>
      <c r="AN1758">
        <v>1</v>
      </c>
      <c r="AO1758" t="str">
        <f t="shared" si="725"/>
        <v>Usa Transporte</v>
      </c>
      <c r="AP1758">
        <v>0</v>
      </c>
      <c r="AQ1758" t="str">
        <f t="shared" si="726"/>
        <v>No camina</v>
      </c>
      <c r="AR1758">
        <v>1</v>
      </c>
      <c r="AS1758" t="str">
        <f t="shared" si="727"/>
        <v>Es Obeso</v>
      </c>
    </row>
    <row r="1759" spans="1:45" x14ac:dyDescent="0.25">
      <c r="A1759">
        <v>1</v>
      </c>
      <c r="B1759" t="str">
        <f t="shared" si="702"/>
        <v>M</v>
      </c>
      <c r="C1759">
        <v>23826684</v>
      </c>
      <c r="D1759">
        <f t="shared" si="703"/>
        <v>65</v>
      </c>
      <c r="E1759">
        <f t="shared" si="704"/>
        <v>65</v>
      </c>
      <c r="F1759" t="str">
        <f t="shared" si="705"/>
        <v>50-75</v>
      </c>
      <c r="G1759">
        <v>1</v>
      </c>
      <c r="H1759" t="str">
        <f t="shared" si="706"/>
        <v>Pariente gordo</v>
      </c>
      <c r="I1759">
        <v>1</v>
      </c>
      <c r="J1759" t="str">
        <f t="shared" si="707"/>
        <v>Hipercaloricos</v>
      </c>
      <c r="K1759">
        <v>2591292</v>
      </c>
      <c r="L1759">
        <f t="shared" si="708"/>
        <v>1</v>
      </c>
      <c r="M1759" t="str">
        <f t="shared" si="709"/>
        <v>Suele comer</v>
      </c>
      <c r="N1759">
        <v>2956422</v>
      </c>
      <c r="O1759">
        <f t="shared" si="710"/>
        <v>2</v>
      </c>
      <c r="P1759" t="str">
        <f t="shared" si="711"/>
        <v>Mas de 3</v>
      </c>
      <c r="Q1759">
        <v>1</v>
      </c>
      <c r="R1759" t="str">
        <f t="shared" si="712"/>
        <v>A veces</v>
      </c>
      <c r="S1759">
        <v>0</v>
      </c>
      <c r="T1759" t="str">
        <f t="shared" si="713"/>
        <v>No fuma</v>
      </c>
      <c r="U1759">
        <v>231083</v>
      </c>
      <c r="V1759">
        <f t="shared" si="714"/>
        <v>2</v>
      </c>
      <c r="W1759" t="str">
        <f t="shared" si="715"/>
        <v>Siempre</v>
      </c>
      <c r="X1759">
        <v>0</v>
      </c>
      <c r="Y1759" t="str">
        <f t="shared" si="716"/>
        <v>No controla</v>
      </c>
      <c r="Z1759">
        <v>148524</v>
      </c>
      <c r="AA1759">
        <f t="shared" si="717"/>
        <v>2</v>
      </c>
      <c r="AB1759" t="str">
        <f t="shared" si="718"/>
        <v>Usualmente</v>
      </c>
      <c r="AC1759">
        <v>0.28181499999999998</v>
      </c>
      <c r="AD1759">
        <f t="shared" si="719"/>
        <v>0</v>
      </c>
      <c r="AE1759" t="str">
        <f t="shared" si="720"/>
        <v>Nunca</v>
      </c>
      <c r="AF1759">
        <v>1</v>
      </c>
      <c r="AG1759" t="str">
        <f t="shared" si="721"/>
        <v>A veces</v>
      </c>
      <c r="AH1759">
        <v>0</v>
      </c>
      <c r="AI1759" t="str">
        <f t="shared" si="722"/>
        <v>No usa</v>
      </c>
      <c r="AJ1759">
        <v>0</v>
      </c>
      <c r="AK1759" t="str">
        <f t="shared" si="723"/>
        <v>No usa</v>
      </c>
      <c r="AL1759">
        <v>0</v>
      </c>
      <c r="AM1759" t="str">
        <f t="shared" si="724"/>
        <v>No usa</v>
      </c>
      <c r="AN1759">
        <v>1</v>
      </c>
      <c r="AO1759" t="str">
        <f t="shared" si="725"/>
        <v>Usa Transporte</v>
      </c>
      <c r="AP1759">
        <v>0</v>
      </c>
      <c r="AQ1759" t="str">
        <f t="shared" si="726"/>
        <v>No camina</v>
      </c>
      <c r="AR1759">
        <v>1</v>
      </c>
      <c r="AS1759" t="str">
        <f t="shared" si="727"/>
        <v>Es Obeso</v>
      </c>
    </row>
    <row r="1760" spans="1:45" x14ac:dyDescent="0.25">
      <c r="A1760">
        <v>1</v>
      </c>
      <c r="B1760" t="str">
        <f t="shared" si="702"/>
        <v>M</v>
      </c>
      <c r="C1760">
        <v>24186273</v>
      </c>
      <c r="D1760">
        <f t="shared" si="703"/>
        <v>66</v>
      </c>
      <c r="E1760">
        <f t="shared" si="704"/>
        <v>66</v>
      </c>
      <c r="F1760" t="str">
        <f t="shared" si="705"/>
        <v>50-75</v>
      </c>
      <c r="G1760">
        <v>1</v>
      </c>
      <c r="H1760" t="str">
        <f t="shared" si="706"/>
        <v>Pariente gordo</v>
      </c>
      <c r="I1760">
        <v>1</v>
      </c>
      <c r="J1760" t="str">
        <f t="shared" si="707"/>
        <v>Hipercaloricos</v>
      </c>
      <c r="K1760">
        <v>2611847</v>
      </c>
      <c r="L1760">
        <f t="shared" si="708"/>
        <v>1</v>
      </c>
      <c r="M1760" t="str">
        <f t="shared" si="709"/>
        <v>Suele comer</v>
      </c>
      <c r="N1760">
        <v>2749334</v>
      </c>
      <c r="O1760">
        <f t="shared" si="710"/>
        <v>2</v>
      </c>
      <c r="P1760" t="str">
        <f t="shared" si="711"/>
        <v>Mas de 3</v>
      </c>
      <c r="Q1760">
        <v>1</v>
      </c>
      <c r="R1760" t="str">
        <f t="shared" si="712"/>
        <v>A veces</v>
      </c>
      <c r="S1760">
        <v>0</v>
      </c>
      <c r="T1760" t="str">
        <f t="shared" si="713"/>
        <v>No fuma</v>
      </c>
      <c r="U1760">
        <v>2364849</v>
      </c>
      <c r="V1760">
        <f t="shared" si="714"/>
        <v>2</v>
      </c>
      <c r="W1760" t="str">
        <f t="shared" si="715"/>
        <v>Siempre</v>
      </c>
      <c r="X1760">
        <v>0</v>
      </c>
      <c r="Y1760" t="str">
        <f t="shared" si="716"/>
        <v>No controla</v>
      </c>
      <c r="Z1760">
        <v>1141708</v>
      </c>
      <c r="AA1760">
        <f t="shared" si="717"/>
        <v>3</v>
      </c>
      <c r="AB1760" t="str">
        <f t="shared" si="718"/>
        <v>Siempre</v>
      </c>
      <c r="AC1760">
        <v>6.3005000000000005E-2</v>
      </c>
      <c r="AD1760">
        <f t="shared" si="719"/>
        <v>0</v>
      </c>
      <c r="AE1760" t="str">
        <f t="shared" si="720"/>
        <v>Nunca</v>
      </c>
      <c r="AF1760">
        <v>1</v>
      </c>
      <c r="AG1760" t="str">
        <f t="shared" si="721"/>
        <v>A veces</v>
      </c>
      <c r="AH1760">
        <v>0</v>
      </c>
      <c r="AI1760" t="str">
        <f t="shared" si="722"/>
        <v>No usa</v>
      </c>
      <c r="AJ1760">
        <v>0</v>
      </c>
      <c r="AK1760" t="str">
        <f t="shared" si="723"/>
        <v>No usa</v>
      </c>
      <c r="AL1760">
        <v>0</v>
      </c>
      <c r="AM1760" t="str">
        <f t="shared" si="724"/>
        <v>No usa</v>
      </c>
      <c r="AN1760">
        <v>1</v>
      </c>
      <c r="AO1760" t="str">
        <f t="shared" si="725"/>
        <v>Usa Transporte</v>
      </c>
      <c r="AP1760">
        <v>0</v>
      </c>
      <c r="AQ1760" t="str">
        <f t="shared" si="726"/>
        <v>No camina</v>
      </c>
      <c r="AR1760">
        <v>1</v>
      </c>
      <c r="AS1760" t="str">
        <f t="shared" si="727"/>
        <v>Es Obeso</v>
      </c>
    </row>
    <row r="1761" spans="1:45" x14ac:dyDescent="0.25">
      <c r="A1761">
        <v>1</v>
      </c>
      <c r="B1761" t="str">
        <f t="shared" si="702"/>
        <v>M</v>
      </c>
      <c r="C1761">
        <v>30945369</v>
      </c>
      <c r="D1761">
        <f t="shared" si="703"/>
        <v>84</v>
      </c>
      <c r="E1761">
        <f t="shared" si="704"/>
        <v>84</v>
      </c>
      <c r="F1761" t="str">
        <f t="shared" si="705"/>
        <v>75-100</v>
      </c>
      <c r="G1761">
        <v>1</v>
      </c>
      <c r="H1761" t="str">
        <f t="shared" si="706"/>
        <v>Pariente gordo</v>
      </c>
      <c r="I1761">
        <v>1</v>
      </c>
      <c r="J1761" t="str">
        <f t="shared" si="707"/>
        <v>Hipercaloricos</v>
      </c>
      <c r="K1761">
        <v>2766612</v>
      </c>
      <c r="L1761">
        <f t="shared" si="708"/>
        <v>1</v>
      </c>
      <c r="M1761" t="str">
        <f t="shared" si="709"/>
        <v>Suele comer</v>
      </c>
      <c r="N1761">
        <v>3</v>
      </c>
      <c r="O1761">
        <f t="shared" si="710"/>
        <v>2</v>
      </c>
      <c r="P1761" t="str">
        <f t="shared" si="711"/>
        <v>Mas de 3</v>
      </c>
      <c r="Q1761">
        <v>1</v>
      </c>
      <c r="R1761" t="str">
        <f t="shared" si="712"/>
        <v>A veces</v>
      </c>
      <c r="S1761">
        <v>0</v>
      </c>
      <c r="T1761" t="str">
        <f t="shared" si="713"/>
        <v>No fuma</v>
      </c>
      <c r="U1761">
        <v>2173417</v>
      </c>
      <c r="V1761">
        <f t="shared" si="714"/>
        <v>2</v>
      </c>
      <c r="W1761" t="str">
        <f t="shared" si="715"/>
        <v>Siempre</v>
      </c>
      <c r="X1761">
        <v>0</v>
      </c>
      <c r="Y1761" t="str">
        <f t="shared" si="716"/>
        <v>No controla</v>
      </c>
      <c r="Z1761">
        <v>1089344</v>
      </c>
      <c r="AA1761">
        <f t="shared" si="717"/>
        <v>3</v>
      </c>
      <c r="AB1761" t="str">
        <f t="shared" si="718"/>
        <v>Siempre</v>
      </c>
      <c r="AC1761">
        <v>1198439</v>
      </c>
      <c r="AD1761">
        <f t="shared" si="719"/>
        <v>2</v>
      </c>
      <c r="AE1761" t="str">
        <f t="shared" si="720"/>
        <v>Siempre</v>
      </c>
      <c r="AF1761">
        <v>1</v>
      </c>
      <c r="AG1761" t="str">
        <f t="shared" si="721"/>
        <v>A veces</v>
      </c>
      <c r="AH1761">
        <v>1</v>
      </c>
      <c r="AI1761" t="str">
        <f t="shared" si="722"/>
        <v>Usa auto</v>
      </c>
      <c r="AJ1761">
        <v>0</v>
      </c>
      <c r="AK1761" t="str">
        <f t="shared" si="723"/>
        <v>No usa</v>
      </c>
      <c r="AL1761">
        <v>0</v>
      </c>
      <c r="AM1761" t="str">
        <f t="shared" si="724"/>
        <v>No usa</v>
      </c>
      <c r="AN1761">
        <v>0</v>
      </c>
      <c r="AO1761" t="str">
        <f t="shared" si="725"/>
        <v>No usa</v>
      </c>
      <c r="AP1761">
        <v>0</v>
      </c>
      <c r="AQ1761" t="str">
        <f t="shared" si="726"/>
        <v>No camina</v>
      </c>
      <c r="AR1761">
        <v>1</v>
      </c>
      <c r="AS1761" t="str">
        <f t="shared" si="727"/>
        <v>Es Obeso</v>
      </c>
    </row>
    <row r="1762" spans="1:45" x14ac:dyDescent="0.25">
      <c r="A1762">
        <v>1</v>
      </c>
      <c r="B1762" t="str">
        <f t="shared" si="702"/>
        <v>M</v>
      </c>
      <c r="C1762">
        <v>31490699</v>
      </c>
      <c r="D1762">
        <f t="shared" si="703"/>
        <v>86</v>
      </c>
      <c r="E1762">
        <f t="shared" si="704"/>
        <v>86</v>
      </c>
      <c r="F1762" t="str">
        <f t="shared" si="705"/>
        <v>75-100</v>
      </c>
      <c r="G1762">
        <v>1</v>
      </c>
      <c r="H1762" t="str">
        <f t="shared" si="706"/>
        <v>Pariente gordo</v>
      </c>
      <c r="I1762">
        <v>1</v>
      </c>
      <c r="J1762" t="str">
        <f t="shared" si="707"/>
        <v>Hipercaloricos</v>
      </c>
      <c r="K1762">
        <v>2777165</v>
      </c>
      <c r="L1762">
        <f t="shared" si="708"/>
        <v>1</v>
      </c>
      <c r="M1762" t="str">
        <f t="shared" si="709"/>
        <v>Suele comer</v>
      </c>
      <c r="N1762">
        <v>3</v>
      </c>
      <c r="O1762">
        <f t="shared" si="710"/>
        <v>2</v>
      </c>
      <c r="P1762" t="str">
        <f t="shared" si="711"/>
        <v>Mas de 3</v>
      </c>
      <c r="Q1762">
        <v>1</v>
      </c>
      <c r="R1762" t="str">
        <f t="shared" si="712"/>
        <v>A veces</v>
      </c>
      <c r="S1762">
        <v>0</v>
      </c>
      <c r="T1762" t="str">
        <f t="shared" si="713"/>
        <v>No fuma</v>
      </c>
      <c r="U1762">
        <v>2106861</v>
      </c>
      <c r="V1762">
        <f t="shared" si="714"/>
        <v>2</v>
      </c>
      <c r="W1762" t="str">
        <f t="shared" si="715"/>
        <v>Siempre</v>
      </c>
      <c r="X1762">
        <v>0</v>
      </c>
      <c r="Y1762" t="str">
        <f t="shared" si="716"/>
        <v>No controla</v>
      </c>
      <c r="Z1762">
        <v>0.92594100000000001</v>
      </c>
      <c r="AA1762">
        <f t="shared" si="717"/>
        <v>0</v>
      </c>
      <c r="AB1762" t="str">
        <f t="shared" si="718"/>
        <v>Nunca</v>
      </c>
      <c r="AC1762">
        <v>0.29160000000000003</v>
      </c>
      <c r="AD1762">
        <f t="shared" si="719"/>
        <v>0</v>
      </c>
      <c r="AE1762" t="str">
        <f t="shared" si="720"/>
        <v>Nunca</v>
      </c>
      <c r="AF1762">
        <v>1</v>
      </c>
      <c r="AG1762" t="str">
        <f t="shared" si="721"/>
        <v>A veces</v>
      </c>
      <c r="AH1762">
        <v>1</v>
      </c>
      <c r="AI1762" t="str">
        <f t="shared" si="722"/>
        <v>Usa auto</v>
      </c>
      <c r="AJ1762">
        <v>0</v>
      </c>
      <c r="AK1762" t="str">
        <f t="shared" si="723"/>
        <v>No usa</v>
      </c>
      <c r="AL1762">
        <v>0</v>
      </c>
      <c r="AM1762" t="str">
        <f t="shared" si="724"/>
        <v>No usa</v>
      </c>
      <c r="AN1762">
        <v>0</v>
      </c>
      <c r="AO1762" t="str">
        <f t="shared" si="725"/>
        <v>No usa</v>
      </c>
      <c r="AP1762">
        <v>0</v>
      </c>
      <c r="AQ1762" t="str">
        <f t="shared" si="726"/>
        <v>No camina</v>
      </c>
      <c r="AR1762">
        <v>1</v>
      </c>
      <c r="AS1762" t="str">
        <f t="shared" si="727"/>
        <v>Es Obeso</v>
      </c>
    </row>
    <row r="1763" spans="1:45" x14ac:dyDescent="0.25">
      <c r="A1763">
        <v>1</v>
      </c>
      <c r="B1763" t="str">
        <f t="shared" si="702"/>
        <v>M</v>
      </c>
      <c r="C1763">
        <v>3156724</v>
      </c>
      <c r="D1763">
        <f t="shared" si="703"/>
        <v>8</v>
      </c>
      <c r="E1763">
        <f t="shared" si="704"/>
        <v>8</v>
      </c>
      <c r="F1763" t="str">
        <f t="shared" si="705"/>
        <v>1-25</v>
      </c>
      <c r="G1763">
        <v>1</v>
      </c>
      <c r="H1763" t="str">
        <f t="shared" si="706"/>
        <v>Pariente gordo</v>
      </c>
      <c r="I1763">
        <v>1</v>
      </c>
      <c r="J1763" t="str">
        <f t="shared" si="707"/>
        <v>Hipercaloricos</v>
      </c>
      <c r="K1763">
        <v>2232836</v>
      </c>
      <c r="L1763">
        <f t="shared" si="708"/>
        <v>1</v>
      </c>
      <c r="M1763" t="str">
        <f t="shared" si="709"/>
        <v>Suele comer</v>
      </c>
      <c r="N1763">
        <v>3</v>
      </c>
      <c r="O1763">
        <f t="shared" si="710"/>
        <v>2</v>
      </c>
      <c r="P1763" t="str">
        <f t="shared" si="711"/>
        <v>Mas de 3</v>
      </c>
      <c r="Q1763">
        <v>1</v>
      </c>
      <c r="R1763" t="str">
        <f t="shared" si="712"/>
        <v>A veces</v>
      </c>
      <c r="S1763">
        <v>0</v>
      </c>
      <c r="T1763" t="str">
        <f t="shared" si="713"/>
        <v>No fuma</v>
      </c>
      <c r="U1763">
        <v>2146398</v>
      </c>
      <c r="V1763">
        <f t="shared" si="714"/>
        <v>2</v>
      </c>
      <c r="W1763" t="str">
        <f t="shared" si="715"/>
        <v>Siempre</v>
      </c>
      <c r="X1763">
        <v>0</v>
      </c>
      <c r="Y1763" t="str">
        <f t="shared" si="716"/>
        <v>No controla</v>
      </c>
      <c r="Z1763">
        <v>0.88681699999999997</v>
      </c>
      <c r="AA1763">
        <f t="shared" si="717"/>
        <v>0</v>
      </c>
      <c r="AB1763" t="str">
        <f t="shared" si="718"/>
        <v>Nunca</v>
      </c>
      <c r="AC1763">
        <v>0.47787000000000002</v>
      </c>
      <c r="AD1763">
        <f t="shared" si="719"/>
        <v>0</v>
      </c>
      <c r="AE1763" t="str">
        <f t="shared" si="720"/>
        <v>Nunca</v>
      </c>
      <c r="AF1763">
        <v>1</v>
      </c>
      <c r="AG1763" t="str">
        <f t="shared" si="721"/>
        <v>A veces</v>
      </c>
      <c r="AH1763">
        <v>1</v>
      </c>
      <c r="AI1763" t="str">
        <f t="shared" si="722"/>
        <v>Usa auto</v>
      </c>
      <c r="AJ1763">
        <v>0</v>
      </c>
      <c r="AK1763" t="str">
        <f t="shared" si="723"/>
        <v>No usa</v>
      </c>
      <c r="AL1763">
        <v>0</v>
      </c>
      <c r="AM1763" t="str">
        <f t="shared" si="724"/>
        <v>No usa</v>
      </c>
      <c r="AN1763">
        <v>0</v>
      </c>
      <c r="AO1763" t="str">
        <f t="shared" si="725"/>
        <v>No usa</v>
      </c>
      <c r="AP1763">
        <v>0</v>
      </c>
      <c r="AQ1763" t="str">
        <f t="shared" si="726"/>
        <v>No camina</v>
      </c>
      <c r="AR1763">
        <v>1</v>
      </c>
      <c r="AS1763" t="str">
        <f t="shared" si="727"/>
        <v>Es Obeso</v>
      </c>
    </row>
    <row r="1764" spans="1:45" x14ac:dyDescent="0.25">
      <c r="A1764">
        <v>1</v>
      </c>
      <c r="B1764" t="str">
        <f t="shared" si="702"/>
        <v>M</v>
      </c>
      <c r="C1764">
        <v>30444081</v>
      </c>
      <c r="D1764">
        <f t="shared" si="703"/>
        <v>83</v>
      </c>
      <c r="E1764">
        <f t="shared" si="704"/>
        <v>83</v>
      </c>
      <c r="F1764" t="str">
        <f t="shared" si="705"/>
        <v>75-100</v>
      </c>
      <c r="G1764">
        <v>1</v>
      </c>
      <c r="H1764" t="str">
        <f t="shared" si="706"/>
        <v>Pariente gordo</v>
      </c>
      <c r="I1764">
        <v>1</v>
      </c>
      <c r="J1764" t="str">
        <f t="shared" si="707"/>
        <v>Hipercaloricos</v>
      </c>
      <c r="K1764">
        <v>2571274</v>
      </c>
      <c r="L1764">
        <f t="shared" si="708"/>
        <v>1</v>
      </c>
      <c r="M1764" t="str">
        <f t="shared" si="709"/>
        <v>Suele comer</v>
      </c>
      <c r="N1764">
        <v>3</v>
      </c>
      <c r="O1764">
        <f t="shared" si="710"/>
        <v>2</v>
      </c>
      <c r="P1764" t="str">
        <f t="shared" si="711"/>
        <v>Mas de 3</v>
      </c>
      <c r="Q1764">
        <v>1</v>
      </c>
      <c r="R1764" t="str">
        <f t="shared" si="712"/>
        <v>A veces</v>
      </c>
      <c r="S1764">
        <v>0</v>
      </c>
      <c r="T1764" t="str">
        <f t="shared" si="713"/>
        <v>No fuma</v>
      </c>
      <c r="U1764">
        <v>2224164</v>
      </c>
      <c r="V1764">
        <f t="shared" si="714"/>
        <v>2</v>
      </c>
      <c r="W1764" t="str">
        <f t="shared" si="715"/>
        <v>Siempre</v>
      </c>
      <c r="X1764">
        <v>0</v>
      </c>
      <c r="Y1764" t="str">
        <f t="shared" si="716"/>
        <v>No controla</v>
      </c>
      <c r="Z1764">
        <v>1018158</v>
      </c>
      <c r="AA1764">
        <f t="shared" si="717"/>
        <v>3</v>
      </c>
      <c r="AB1764" t="str">
        <f t="shared" si="718"/>
        <v>Siempre</v>
      </c>
      <c r="AC1764">
        <v>1152899</v>
      </c>
      <c r="AD1764">
        <f t="shared" si="719"/>
        <v>2</v>
      </c>
      <c r="AE1764" t="str">
        <f t="shared" si="720"/>
        <v>Siempre</v>
      </c>
      <c r="AF1764">
        <v>1</v>
      </c>
      <c r="AG1764" t="str">
        <f t="shared" si="721"/>
        <v>A veces</v>
      </c>
      <c r="AH1764">
        <v>1</v>
      </c>
      <c r="AI1764" t="str">
        <f t="shared" si="722"/>
        <v>Usa auto</v>
      </c>
      <c r="AJ1764">
        <v>0</v>
      </c>
      <c r="AK1764" t="str">
        <f t="shared" si="723"/>
        <v>No usa</v>
      </c>
      <c r="AL1764">
        <v>0</v>
      </c>
      <c r="AM1764" t="str">
        <f t="shared" si="724"/>
        <v>No usa</v>
      </c>
      <c r="AN1764">
        <v>0</v>
      </c>
      <c r="AO1764" t="str">
        <f t="shared" si="725"/>
        <v>No usa</v>
      </c>
      <c r="AP1764">
        <v>0</v>
      </c>
      <c r="AQ1764" t="str">
        <f t="shared" si="726"/>
        <v>No camina</v>
      </c>
      <c r="AR1764">
        <v>1</v>
      </c>
      <c r="AS1764" t="str">
        <f t="shared" si="727"/>
        <v>Es Obeso</v>
      </c>
    </row>
    <row r="1765" spans="1:45" x14ac:dyDescent="0.25">
      <c r="A1765">
        <v>1</v>
      </c>
      <c r="B1765" t="str">
        <f t="shared" si="702"/>
        <v>M</v>
      </c>
      <c r="C1765">
        <v>31199261</v>
      </c>
      <c r="D1765">
        <f t="shared" si="703"/>
        <v>85</v>
      </c>
      <c r="E1765">
        <f t="shared" si="704"/>
        <v>85</v>
      </c>
      <c r="F1765" t="str">
        <f t="shared" si="705"/>
        <v>75-100</v>
      </c>
      <c r="G1765">
        <v>1</v>
      </c>
      <c r="H1765" t="str">
        <f t="shared" si="706"/>
        <v>Pariente gordo</v>
      </c>
      <c r="I1765">
        <v>1</v>
      </c>
      <c r="J1765" t="str">
        <f t="shared" si="707"/>
        <v>Hipercaloricos</v>
      </c>
      <c r="K1765">
        <v>249619</v>
      </c>
      <c r="L1765">
        <f t="shared" si="708"/>
        <v>1</v>
      </c>
      <c r="M1765" t="str">
        <f t="shared" si="709"/>
        <v>Suele comer</v>
      </c>
      <c r="N1765">
        <v>3</v>
      </c>
      <c r="O1765">
        <f t="shared" si="710"/>
        <v>2</v>
      </c>
      <c r="P1765" t="str">
        <f t="shared" si="711"/>
        <v>Mas de 3</v>
      </c>
      <c r="Q1765">
        <v>1</v>
      </c>
      <c r="R1765" t="str">
        <f t="shared" si="712"/>
        <v>A veces</v>
      </c>
      <c r="S1765">
        <v>1</v>
      </c>
      <c r="T1765" t="str">
        <f t="shared" si="713"/>
        <v>Fuma</v>
      </c>
      <c r="U1765">
        <v>1662117</v>
      </c>
      <c r="V1765">
        <f t="shared" si="714"/>
        <v>2</v>
      </c>
      <c r="W1765" t="str">
        <f t="shared" si="715"/>
        <v>Siempre</v>
      </c>
      <c r="X1765">
        <v>0</v>
      </c>
      <c r="Y1765" t="str">
        <f t="shared" si="716"/>
        <v>No controla</v>
      </c>
      <c r="Z1765">
        <v>0.992371</v>
      </c>
      <c r="AA1765">
        <f t="shared" si="717"/>
        <v>0</v>
      </c>
      <c r="AB1765" t="str">
        <f t="shared" si="718"/>
        <v>Nunca</v>
      </c>
      <c r="AC1765">
        <v>0.21763199999999999</v>
      </c>
      <c r="AD1765">
        <f t="shared" si="719"/>
        <v>0</v>
      </c>
      <c r="AE1765" t="str">
        <f t="shared" si="720"/>
        <v>Nunca</v>
      </c>
      <c r="AF1765">
        <v>1</v>
      </c>
      <c r="AG1765" t="str">
        <f t="shared" si="721"/>
        <v>A veces</v>
      </c>
      <c r="AH1765">
        <v>0</v>
      </c>
      <c r="AI1765" t="str">
        <f t="shared" si="722"/>
        <v>No usa</v>
      </c>
      <c r="AJ1765">
        <v>0</v>
      </c>
      <c r="AK1765" t="str">
        <f t="shared" si="723"/>
        <v>No usa</v>
      </c>
      <c r="AL1765">
        <v>0</v>
      </c>
      <c r="AM1765" t="str">
        <f t="shared" si="724"/>
        <v>No usa</v>
      </c>
      <c r="AN1765">
        <v>1</v>
      </c>
      <c r="AO1765" t="str">
        <f t="shared" si="725"/>
        <v>Usa Transporte</v>
      </c>
      <c r="AP1765">
        <v>0</v>
      </c>
      <c r="AQ1765" t="str">
        <f t="shared" si="726"/>
        <v>No camina</v>
      </c>
      <c r="AR1765">
        <v>1</v>
      </c>
      <c r="AS1765" t="str">
        <f t="shared" si="727"/>
        <v>Es Obeso</v>
      </c>
    </row>
    <row r="1766" spans="1:45" x14ac:dyDescent="0.25">
      <c r="A1766">
        <v>1</v>
      </c>
      <c r="B1766" t="str">
        <f t="shared" si="702"/>
        <v>M</v>
      </c>
      <c r="C1766">
        <v>31190219</v>
      </c>
      <c r="D1766">
        <f t="shared" si="703"/>
        <v>85</v>
      </c>
      <c r="E1766">
        <f t="shared" si="704"/>
        <v>85</v>
      </c>
      <c r="F1766" t="str">
        <f t="shared" si="705"/>
        <v>75-100</v>
      </c>
      <c r="G1766">
        <v>1</v>
      </c>
      <c r="H1766" t="str">
        <f t="shared" si="706"/>
        <v>Pariente gordo</v>
      </c>
      <c r="I1766">
        <v>1</v>
      </c>
      <c r="J1766" t="str">
        <f t="shared" si="707"/>
        <v>Hipercaloricos</v>
      </c>
      <c r="K1766">
        <v>2151335</v>
      </c>
      <c r="L1766">
        <f t="shared" si="708"/>
        <v>1</v>
      </c>
      <c r="M1766" t="str">
        <f t="shared" si="709"/>
        <v>Suele comer</v>
      </c>
      <c r="N1766">
        <v>3</v>
      </c>
      <c r="O1766">
        <f t="shared" si="710"/>
        <v>2</v>
      </c>
      <c r="P1766" t="str">
        <f t="shared" si="711"/>
        <v>Mas de 3</v>
      </c>
      <c r="Q1766">
        <v>1</v>
      </c>
      <c r="R1766" t="str">
        <f t="shared" si="712"/>
        <v>A veces</v>
      </c>
      <c r="S1766">
        <v>1</v>
      </c>
      <c r="T1766" t="str">
        <f t="shared" si="713"/>
        <v>Fuma</v>
      </c>
      <c r="U1766">
        <v>1491169</v>
      </c>
      <c r="V1766">
        <f t="shared" si="714"/>
        <v>2</v>
      </c>
      <c r="W1766" t="str">
        <f t="shared" si="715"/>
        <v>Siempre</v>
      </c>
      <c r="X1766">
        <v>0</v>
      </c>
      <c r="Y1766" t="str">
        <f t="shared" si="716"/>
        <v>No controla</v>
      </c>
      <c r="Z1766">
        <v>0.88354200000000005</v>
      </c>
      <c r="AA1766">
        <f t="shared" si="717"/>
        <v>0</v>
      </c>
      <c r="AB1766" t="str">
        <f t="shared" si="718"/>
        <v>Nunca</v>
      </c>
      <c r="AC1766">
        <v>0.52776599999999996</v>
      </c>
      <c r="AD1766">
        <f t="shared" si="719"/>
        <v>0</v>
      </c>
      <c r="AE1766" t="str">
        <f t="shared" si="720"/>
        <v>Nunca</v>
      </c>
      <c r="AF1766">
        <v>1</v>
      </c>
      <c r="AG1766" t="str">
        <f t="shared" si="721"/>
        <v>A veces</v>
      </c>
      <c r="AH1766">
        <v>0</v>
      </c>
      <c r="AI1766" t="str">
        <f t="shared" si="722"/>
        <v>No usa</v>
      </c>
      <c r="AJ1766">
        <v>0</v>
      </c>
      <c r="AK1766" t="str">
        <f t="shared" si="723"/>
        <v>No usa</v>
      </c>
      <c r="AL1766">
        <v>0</v>
      </c>
      <c r="AM1766" t="str">
        <f t="shared" si="724"/>
        <v>No usa</v>
      </c>
      <c r="AN1766">
        <v>1</v>
      </c>
      <c r="AO1766" t="str">
        <f t="shared" si="725"/>
        <v>Usa Transporte</v>
      </c>
      <c r="AP1766">
        <v>0</v>
      </c>
      <c r="AQ1766" t="str">
        <f t="shared" si="726"/>
        <v>No camina</v>
      </c>
      <c r="AR1766">
        <v>1</v>
      </c>
      <c r="AS1766" t="str">
        <f t="shared" si="727"/>
        <v>Es Obeso</v>
      </c>
    </row>
    <row r="1767" spans="1:45" x14ac:dyDescent="0.25">
      <c r="A1767">
        <v>1</v>
      </c>
      <c r="B1767" t="str">
        <f t="shared" si="702"/>
        <v>M</v>
      </c>
      <c r="C1767">
        <v>30575349</v>
      </c>
      <c r="D1767">
        <f t="shared" si="703"/>
        <v>83</v>
      </c>
      <c r="E1767">
        <f t="shared" si="704"/>
        <v>83</v>
      </c>
      <c r="F1767" t="str">
        <f t="shared" si="705"/>
        <v>75-100</v>
      </c>
      <c r="G1767">
        <v>1</v>
      </c>
      <c r="H1767" t="str">
        <f t="shared" si="706"/>
        <v>Pariente gordo</v>
      </c>
      <c r="I1767">
        <v>1</v>
      </c>
      <c r="J1767" t="str">
        <f t="shared" si="707"/>
        <v>Hipercaloricos</v>
      </c>
      <c r="K1767">
        <v>201695</v>
      </c>
      <c r="L1767">
        <f t="shared" si="708"/>
        <v>1</v>
      </c>
      <c r="M1767" t="str">
        <f t="shared" si="709"/>
        <v>Suele comer</v>
      </c>
      <c r="N1767">
        <v>3</v>
      </c>
      <c r="O1767">
        <f t="shared" si="710"/>
        <v>2</v>
      </c>
      <c r="P1767" t="str">
        <f t="shared" si="711"/>
        <v>Mas de 3</v>
      </c>
      <c r="Q1767">
        <v>1</v>
      </c>
      <c r="R1767" t="str">
        <f t="shared" si="712"/>
        <v>A veces</v>
      </c>
      <c r="S1767">
        <v>0</v>
      </c>
      <c r="T1767" t="str">
        <f t="shared" si="713"/>
        <v>No fuma</v>
      </c>
      <c r="U1767">
        <v>183412</v>
      </c>
      <c r="V1767">
        <f t="shared" si="714"/>
        <v>2</v>
      </c>
      <c r="W1767" t="str">
        <f t="shared" si="715"/>
        <v>Siempre</v>
      </c>
      <c r="X1767">
        <v>0</v>
      </c>
      <c r="Y1767" t="str">
        <f t="shared" si="716"/>
        <v>No controla</v>
      </c>
      <c r="Z1767">
        <v>0.79720899999999995</v>
      </c>
      <c r="AA1767">
        <f t="shared" si="717"/>
        <v>0</v>
      </c>
      <c r="AB1767" t="str">
        <f t="shared" si="718"/>
        <v>Nunca</v>
      </c>
      <c r="AC1767">
        <v>0.185499</v>
      </c>
      <c r="AD1767">
        <f t="shared" si="719"/>
        <v>0</v>
      </c>
      <c r="AE1767" t="str">
        <f t="shared" si="720"/>
        <v>Nunca</v>
      </c>
      <c r="AF1767">
        <v>1</v>
      </c>
      <c r="AG1767" t="str">
        <f t="shared" si="721"/>
        <v>A veces</v>
      </c>
      <c r="AH1767">
        <v>0</v>
      </c>
      <c r="AI1767" t="str">
        <f t="shared" si="722"/>
        <v>No usa</v>
      </c>
      <c r="AJ1767">
        <v>0</v>
      </c>
      <c r="AK1767" t="str">
        <f t="shared" si="723"/>
        <v>No usa</v>
      </c>
      <c r="AL1767">
        <v>0</v>
      </c>
      <c r="AM1767" t="str">
        <f t="shared" si="724"/>
        <v>No usa</v>
      </c>
      <c r="AN1767">
        <v>1</v>
      </c>
      <c r="AO1767" t="str">
        <f t="shared" si="725"/>
        <v>Usa Transporte</v>
      </c>
      <c r="AP1767">
        <v>0</v>
      </c>
      <c r="AQ1767" t="str">
        <f t="shared" si="726"/>
        <v>No camina</v>
      </c>
      <c r="AR1767">
        <v>1</v>
      </c>
      <c r="AS1767" t="str">
        <f t="shared" si="727"/>
        <v>Es Obeso</v>
      </c>
    </row>
    <row r="1768" spans="1:45" x14ac:dyDescent="0.25">
      <c r="A1768">
        <v>1</v>
      </c>
      <c r="B1768" t="str">
        <f t="shared" si="702"/>
        <v>M</v>
      </c>
      <c r="C1768">
        <v>30702559</v>
      </c>
      <c r="D1768">
        <f t="shared" si="703"/>
        <v>84</v>
      </c>
      <c r="E1768">
        <f t="shared" si="704"/>
        <v>84</v>
      </c>
      <c r="F1768" t="str">
        <f t="shared" si="705"/>
        <v>75-100</v>
      </c>
      <c r="G1768">
        <v>1</v>
      </c>
      <c r="H1768" t="str">
        <f t="shared" si="706"/>
        <v>Pariente gordo</v>
      </c>
      <c r="I1768">
        <v>1</v>
      </c>
      <c r="J1768" t="str">
        <f t="shared" si="707"/>
        <v>Hipercaloricos</v>
      </c>
      <c r="K1768">
        <v>2927187</v>
      </c>
      <c r="L1768">
        <f t="shared" si="708"/>
        <v>1</v>
      </c>
      <c r="M1768" t="str">
        <f t="shared" si="709"/>
        <v>Suele comer</v>
      </c>
      <c r="N1768">
        <v>3</v>
      </c>
      <c r="O1768">
        <f t="shared" si="710"/>
        <v>2</v>
      </c>
      <c r="P1768" t="str">
        <f t="shared" si="711"/>
        <v>Mas de 3</v>
      </c>
      <c r="Q1768">
        <v>1</v>
      </c>
      <c r="R1768" t="str">
        <f t="shared" si="712"/>
        <v>A veces</v>
      </c>
      <c r="S1768">
        <v>0</v>
      </c>
      <c r="T1768" t="str">
        <f t="shared" si="713"/>
        <v>No fuma</v>
      </c>
      <c r="U1768">
        <v>1508796</v>
      </c>
      <c r="V1768">
        <f t="shared" si="714"/>
        <v>2</v>
      </c>
      <c r="W1768" t="str">
        <f t="shared" si="715"/>
        <v>Siempre</v>
      </c>
      <c r="X1768">
        <v>0</v>
      </c>
      <c r="Y1768" t="str">
        <f t="shared" si="716"/>
        <v>No controla</v>
      </c>
      <c r="Z1768">
        <v>0.90277600000000002</v>
      </c>
      <c r="AA1768">
        <f t="shared" si="717"/>
        <v>0</v>
      </c>
      <c r="AB1768" t="str">
        <f t="shared" si="718"/>
        <v>Nunca</v>
      </c>
      <c r="AC1768">
        <v>1015467</v>
      </c>
      <c r="AD1768">
        <f t="shared" si="719"/>
        <v>2</v>
      </c>
      <c r="AE1768" t="str">
        <f t="shared" si="720"/>
        <v>Siempre</v>
      </c>
      <c r="AF1768">
        <v>1</v>
      </c>
      <c r="AG1768" t="str">
        <f t="shared" si="721"/>
        <v>A veces</v>
      </c>
      <c r="AH1768">
        <v>0</v>
      </c>
      <c r="AI1768" t="str">
        <f t="shared" si="722"/>
        <v>No usa</v>
      </c>
      <c r="AJ1768">
        <v>0</v>
      </c>
      <c r="AK1768" t="str">
        <f t="shared" si="723"/>
        <v>No usa</v>
      </c>
      <c r="AL1768">
        <v>0</v>
      </c>
      <c r="AM1768" t="str">
        <f t="shared" si="724"/>
        <v>No usa</v>
      </c>
      <c r="AN1768">
        <v>1</v>
      </c>
      <c r="AO1768" t="str">
        <f t="shared" si="725"/>
        <v>Usa Transporte</v>
      </c>
      <c r="AP1768">
        <v>0</v>
      </c>
      <c r="AQ1768" t="str">
        <f t="shared" si="726"/>
        <v>No camina</v>
      </c>
      <c r="AR1768">
        <v>1</v>
      </c>
      <c r="AS1768" t="str">
        <f t="shared" si="727"/>
        <v>Es Obeso</v>
      </c>
    </row>
    <row r="1769" spans="1:45" x14ac:dyDescent="0.25">
      <c r="A1769">
        <v>1</v>
      </c>
      <c r="B1769" t="str">
        <f t="shared" si="702"/>
        <v>M</v>
      </c>
      <c r="C1769">
        <v>25057878</v>
      </c>
      <c r="D1769">
        <f t="shared" si="703"/>
        <v>68</v>
      </c>
      <c r="E1769">
        <f t="shared" si="704"/>
        <v>68</v>
      </c>
      <c r="F1769" t="str">
        <f t="shared" si="705"/>
        <v>50-75</v>
      </c>
      <c r="G1769">
        <v>1</v>
      </c>
      <c r="H1769" t="str">
        <f t="shared" si="706"/>
        <v>Pariente gordo</v>
      </c>
      <c r="I1769">
        <v>1</v>
      </c>
      <c r="J1769" t="str">
        <f t="shared" si="707"/>
        <v>Hipercaloricos</v>
      </c>
      <c r="K1769">
        <v>1412566</v>
      </c>
      <c r="L1769">
        <f t="shared" si="708"/>
        <v>1</v>
      </c>
      <c r="M1769" t="str">
        <f t="shared" si="709"/>
        <v>Suele comer</v>
      </c>
      <c r="N1769">
        <v>3</v>
      </c>
      <c r="O1769">
        <f t="shared" si="710"/>
        <v>2</v>
      </c>
      <c r="P1769" t="str">
        <f t="shared" si="711"/>
        <v>Mas de 3</v>
      </c>
      <c r="Q1769">
        <v>1</v>
      </c>
      <c r="R1769" t="str">
        <f t="shared" si="712"/>
        <v>A veces</v>
      </c>
      <c r="S1769">
        <v>0</v>
      </c>
      <c r="T1769" t="str">
        <f t="shared" si="713"/>
        <v>No fuma</v>
      </c>
      <c r="U1769">
        <v>2002495</v>
      </c>
      <c r="V1769">
        <f t="shared" si="714"/>
        <v>2</v>
      </c>
      <c r="W1769" t="str">
        <f t="shared" si="715"/>
        <v>Siempre</v>
      </c>
      <c r="X1769">
        <v>0</v>
      </c>
      <c r="Y1769" t="str">
        <f t="shared" si="716"/>
        <v>No controla</v>
      </c>
      <c r="Z1769">
        <v>1592795</v>
      </c>
      <c r="AA1769">
        <f t="shared" si="717"/>
        <v>3</v>
      </c>
      <c r="AB1769" t="str">
        <f t="shared" si="718"/>
        <v>Siempre</v>
      </c>
      <c r="AC1769">
        <v>1.867E-3</v>
      </c>
      <c r="AD1769">
        <f t="shared" si="719"/>
        <v>0</v>
      </c>
      <c r="AE1769" t="str">
        <f t="shared" si="720"/>
        <v>Nunca</v>
      </c>
      <c r="AF1769">
        <v>1</v>
      </c>
      <c r="AG1769" t="str">
        <f t="shared" si="721"/>
        <v>A veces</v>
      </c>
      <c r="AH1769">
        <v>0</v>
      </c>
      <c r="AI1769" t="str">
        <f t="shared" si="722"/>
        <v>No usa</v>
      </c>
      <c r="AJ1769">
        <v>0</v>
      </c>
      <c r="AK1769" t="str">
        <f t="shared" si="723"/>
        <v>No usa</v>
      </c>
      <c r="AL1769">
        <v>0</v>
      </c>
      <c r="AM1769" t="str">
        <f t="shared" si="724"/>
        <v>No usa</v>
      </c>
      <c r="AN1769">
        <v>1</v>
      </c>
      <c r="AO1769" t="str">
        <f t="shared" si="725"/>
        <v>Usa Transporte</v>
      </c>
      <c r="AP1769">
        <v>0</v>
      </c>
      <c r="AQ1769" t="str">
        <f t="shared" si="726"/>
        <v>No camina</v>
      </c>
      <c r="AR1769">
        <v>1</v>
      </c>
      <c r="AS1769" t="str">
        <f t="shared" si="727"/>
        <v>Es Obeso</v>
      </c>
    </row>
    <row r="1770" spans="1:45" x14ac:dyDescent="0.25">
      <c r="A1770">
        <v>1</v>
      </c>
      <c r="B1770" t="str">
        <f t="shared" si="702"/>
        <v>M</v>
      </c>
      <c r="C1770">
        <v>25151286</v>
      </c>
      <c r="D1770">
        <f t="shared" si="703"/>
        <v>68</v>
      </c>
      <c r="E1770">
        <f t="shared" si="704"/>
        <v>68</v>
      </c>
      <c r="F1770" t="str">
        <f t="shared" si="705"/>
        <v>50-75</v>
      </c>
      <c r="G1770">
        <v>1</v>
      </c>
      <c r="H1770" t="str">
        <f t="shared" si="706"/>
        <v>Pariente gordo</v>
      </c>
      <c r="I1770">
        <v>1</v>
      </c>
      <c r="J1770" t="str">
        <f t="shared" si="707"/>
        <v>Hipercaloricos</v>
      </c>
      <c r="K1770">
        <v>1289315</v>
      </c>
      <c r="L1770">
        <f t="shared" si="708"/>
        <v>1</v>
      </c>
      <c r="M1770" t="str">
        <f t="shared" si="709"/>
        <v>Suele comer</v>
      </c>
      <c r="N1770">
        <v>3</v>
      </c>
      <c r="O1770">
        <f t="shared" si="710"/>
        <v>2</v>
      </c>
      <c r="P1770" t="str">
        <f t="shared" si="711"/>
        <v>Mas de 3</v>
      </c>
      <c r="Q1770">
        <v>1</v>
      </c>
      <c r="R1770" t="str">
        <f t="shared" si="712"/>
        <v>A veces</v>
      </c>
      <c r="S1770">
        <v>0</v>
      </c>
      <c r="T1770" t="str">
        <f t="shared" si="713"/>
        <v>No fuma</v>
      </c>
      <c r="U1770">
        <v>2007348</v>
      </c>
      <c r="V1770">
        <f t="shared" si="714"/>
        <v>2</v>
      </c>
      <c r="W1770" t="str">
        <f t="shared" si="715"/>
        <v>Siempre</v>
      </c>
      <c r="X1770">
        <v>0</v>
      </c>
      <c r="Y1770" t="str">
        <f t="shared" si="716"/>
        <v>No controla</v>
      </c>
      <c r="Z1770">
        <v>1376217</v>
      </c>
      <c r="AA1770">
        <f t="shared" si="717"/>
        <v>3</v>
      </c>
      <c r="AB1770" t="str">
        <f t="shared" si="718"/>
        <v>Siempre</v>
      </c>
      <c r="AC1770">
        <v>1.518E-3</v>
      </c>
      <c r="AD1770">
        <f t="shared" si="719"/>
        <v>0</v>
      </c>
      <c r="AE1770" t="str">
        <f t="shared" si="720"/>
        <v>Nunca</v>
      </c>
      <c r="AF1770">
        <v>1</v>
      </c>
      <c r="AG1770" t="str">
        <f t="shared" si="721"/>
        <v>A veces</v>
      </c>
      <c r="AH1770">
        <v>0</v>
      </c>
      <c r="AI1770" t="str">
        <f t="shared" si="722"/>
        <v>No usa</v>
      </c>
      <c r="AJ1770">
        <v>0</v>
      </c>
      <c r="AK1770" t="str">
        <f t="shared" si="723"/>
        <v>No usa</v>
      </c>
      <c r="AL1770">
        <v>0</v>
      </c>
      <c r="AM1770" t="str">
        <f t="shared" si="724"/>
        <v>No usa</v>
      </c>
      <c r="AN1770">
        <v>1</v>
      </c>
      <c r="AO1770" t="str">
        <f t="shared" si="725"/>
        <v>Usa Transporte</v>
      </c>
      <c r="AP1770">
        <v>0</v>
      </c>
      <c r="AQ1770" t="str">
        <f t="shared" si="726"/>
        <v>No camina</v>
      </c>
      <c r="AR1770">
        <v>1</v>
      </c>
      <c r="AS1770" t="str">
        <f t="shared" si="727"/>
        <v>Es Obeso</v>
      </c>
    </row>
    <row r="1771" spans="1:45" x14ac:dyDescent="0.25">
      <c r="A1771">
        <v>1</v>
      </c>
      <c r="B1771" t="str">
        <f t="shared" si="702"/>
        <v>M</v>
      </c>
      <c r="C1771">
        <v>25137087</v>
      </c>
      <c r="D1771">
        <f t="shared" si="703"/>
        <v>68</v>
      </c>
      <c r="E1771">
        <f t="shared" si="704"/>
        <v>68</v>
      </c>
      <c r="F1771" t="str">
        <f t="shared" si="705"/>
        <v>50-75</v>
      </c>
      <c r="G1771">
        <v>1</v>
      </c>
      <c r="H1771" t="str">
        <f t="shared" si="706"/>
        <v>Pariente gordo</v>
      </c>
      <c r="I1771">
        <v>1</v>
      </c>
      <c r="J1771" t="str">
        <f t="shared" si="707"/>
        <v>Hipercaloricos</v>
      </c>
      <c r="K1771">
        <v>1624366</v>
      </c>
      <c r="L1771">
        <f t="shared" si="708"/>
        <v>1</v>
      </c>
      <c r="M1771" t="str">
        <f t="shared" si="709"/>
        <v>Suele comer</v>
      </c>
      <c r="N1771">
        <v>3</v>
      </c>
      <c r="O1771">
        <f t="shared" si="710"/>
        <v>2</v>
      </c>
      <c r="P1771" t="str">
        <f t="shared" si="711"/>
        <v>Mas de 3</v>
      </c>
      <c r="Q1771">
        <v>1</v>
      </c>
      <c r="R1771" t="str">
        <f t="shared" si="712"/>
        <v>A veces</v>
      </c>
      <c r="S1771">
        <v>0</v>
      </c>
      <c r="T1771" t="str">
        <f t="shared" si="713"/>
        <v>No fuma</v>
      </c>
      <c r="U1771">
        <v>2081719</v>
      </c>
      <c r="V1771">
        <f t="shared" si="714"/>
        <v>2</v>
      </c>
      <c r="W1771" t="str">
        <f t="shared" si="715"/>
        <v>Siempre</v>
      </c>
      <c r="X1771">
        <v>0</v>
      </c>
      <c r="Y1771" t="str">
        <f t="shared" si="716"/>
        <v>No controla</v>
      </c>
      <c r="Z1771">
        <v>1538922</v>
      </c>
      <c r="AA1771">
        <f t="shared" si="717"/>
        <v>3</v>
      </c>
      <c r="AB1771" t="str">
        <f t="shared" si="718"/>
        <v>Siempre</v>
      </c>
      <c r="AC1771">
        <v>0.35686800000000002</v>
      </c>
      <c r="AD1771">
        <f t="shared" si="719"/>
        <v>0</v>
      </c>
      <c r="AE1771" t="str">
        <f t="shared" si="720"/>
        <v>Nunca</v>
      </c>
      <c r="AF1771">
        <v>1</v>
      </c>
      <c r="AG1771" t="str">
        <f t="shared" si="721"/>
        <v>A veces</v>
      </c>
      <c r="AH1771">
        <v>0</v>
      </c>
      <c r="AI1771" t="str">
        <f t="shared" si="722"/>
        <v>No usa</v>
      </c>
      <c r="AJ1771">
        <v>0</v>
      </c>
      <c r="AK1771" t="str">
        <f t="shared" si="723"/>
        <v>No usa</v>
      </c>
      <c r="AL1771">
        <v>0</v>
      </c>
      <c r="AM1771" t="str">
        <f t="shared" si="724"/>
        <v>No usa</v>
      </c>
      <c r="AN1771">
        <v>1</v>
      </c>
      <c r="AO1771" t="str">
        <f t="shared" si="725"/>
        <v>Usa Transporte</v>
      </c>
      <c r="AP1771">
        <v>0</v>
      </c>
      <c r="AQ1771" t="str">
        <f t="shared" si="726"/>
        <v>No camina</v>
      </c>
      <c r="AR1771">
        <v>1</v>
      </c>
      <c r="AS1771" t="str">
        <f t="shared" si="727"/>
        <v>Es Obeso</v>
      </c>
    </row>
    <row r="1772" spans="1:45" x14ac:dyDescent="0.25">
      <c r="A1772">
        <v>1</v>
      </c>
      <c r="B1772" t="str">
        <f t="shared" si="702"/>
        <v>M</v>
      </c>
      <c r="C1772">
        <v>253292</v>
      </c>
      <c r="D1772">
        <f t="shared" si="703"/>
        <v>0</v>
      </c>
      <c r="E1772">
        <f t="shared" si="704"/>
        <v>5</v>
      </c>
      <c r="F1772" t="str">
        <f t="shared" si="705"/>
        <v>1-25</v>
      </c>
      <c r="G1772">
        <v>1</v>
      </c>
      <c r="H1772" t="str">
        <f t="shared" si="706"/>
        <v>Pariente gordo</v>
      </c>
      <c r="I1772">
        <v>1</v>
      </c>
      <c r="J1772" t="str">
        <f t="shared" si="707"/>
        <v>Hipercaloricos</v>
      </c>
      <c r="K1772">
        <v>1528331</v>
      </c>
      <c r="L1772">
        <f t="shared" si="708"/>
        <v>1</v>
      </c>
      <c r="M1772" t="str">
        <f t="shared" si="709"/>
        <v>Suele comer</v>
      </c>
      <c r="N1772">
        <v>3</v>
      </c>
      <c r="O1772">
        <f t="shared" si="710"/>
        <v>2</v>
      </c>
      <c r="P1772" t="str">
        <f t="shared" si="711"/>
        <v>Mas de 3</v>
      </c>
      <c r="Q1772">
        <v>1</v>
      </c>
      <c r="R1772" t="str">
        <f t="shared" si="712"/>
        <v>A veces</v>
      </c>
      <c r="S1772">
        <v>0</v>
      </c>
      <c r="T1772" t="str">
        <f t="shared" si="713"/>
        <v>No fuma</v>
      </c>
      <c r="U1772">
        <v>2079353</v>
      </c>
      <c r="V1772">
        <f t="shared" si="714"/>
        <v>2</v>
      </c>
      <c r="W1772" t="str">
        <f t="shared" si="715"/>
        <v>Siempre</v>
      </c>
      <c r="X1772">
        <v>0</v>
      </c>
      <c r="Y1772" t="str">
        <f t="shared" si="716"/>
        <v>No controla</v>
      </c>
      <c r="Z1772">
        <v>1522429</v>
      </c>
      <c r="AA1772">
        <f t="shared" si="717"/>
        <v>3</v>
      </c>
      <c r="AB1772" t="str">
        <f t="shared" si="718"/>
        <v>Siempre</v>
      </c>
      <c r="AC1772">
        <v>0.228598</v>
      </c>
      <c r="AD1772">
        <f t="shared" si="719"/>
        <v>0</v>
      </c>
      <c r="AE1772" t="str">
        <f t="shared" si="720"/>
        <v>Nunca</v>
      </c>
      <c r="AF1772">
        <v>1</v>
      </c>
      <c r="AG1772" t="str">
        <f t="shared" si="721"/>
        <v>A veces</v>
      </c>
      <c r="AH1772">
        <v>0</v>
      </c>
      <c r="AI1772" t="str">
        <f t="shared" si="722"/>
        <v>No usa</v>
      </c>
      <c r="AJ1772">
        <v>0</v>
      </c>
      <c r="AK1772" t="str">
        <f t="shared" si="723"/>
        <v>No usa</v>
      </c>
      <c r="AL1772">
        <v>0</v>
      </c>
      <c r="AM1772" t="str">
        <f t="shared" si="724"/>
        <v>No usa</v>
      </c>
      <c r="AN1772">
        <v>1</v>
      </c>
      <c r="AO1772" t="str">
        <f t="shared" si="725"/>
        <v>Usa Transporte</v>
      </c>
      <c r="AP1772">
        <v>0</v>
      </c>
      <c r="AQ1772" t="str">
        <f t="shared" si="726"/>
        <v>No camina</v>
      </c>
      <c r="AR1772">
        <v>1</v>
      </c>
      <c r="AS1772" t="str">
        <f t="shared" si="727"/>
        <v>Es Obeso</v>
      </c>
    </row>
    <row r="1773" spans="1:45" x14ac:dyDescent="0.25">
      <c r="A1773">
        <v>1</v>
      </c>
      <c r="B1773" t="str">
        <f t="shared" si="702"/>
        <v>M</v>
      </c>
      <c r="C1773">
        <v>2566668</v>
      </c>
      <c r="D1773">
        <f t="shared" si="703"/>
        <v>7</v>
      </c>
      <c r="E1773">
        <f t="shared" si="704"/>
        <v>7</v>
      </c>
      <c r="F1773" t="str">
        <f t="shared" si="705"/>
        <v>1-25</v>
      </c>
      <c r="G1773">
        <v>1</v>
      </c>
      <c r="H1773" t="str">
        <f t="shared" si="706"/>
        <v>Pariente gordo</v>
      </c>
      <c r="I1773">
        <v>1</v>
      </c>
      <c r="J1773" t="str">
        <f t="shared" si="707"/>
        <v>Hipercaloricos</v>
      </c>
      <c r="K1773">
        <v>2037042</v>
      </c>
      <c r="L1773">
        <f t="shared" si="708"/>
        <v>1</v>
      </c>
      <c r="M1773" t="str">
        <f t="shared" si="709"/>
        <v>Suele comer</v>
      </c>
      <c r="N1773">
        <v>3</v>
      </c>
      <c r="O1773">
        <f t="shared" si="710"/>
        <v>2</v>
      </c>
      <c r="P1773" t="str">
        <f t="shared" si="711"/>
        <v>Mas de 3</v>
      </c>
      <c r="Q1773">
        <v>1</v>
      </c>
      <c r="R1773" t="str">
        <f t="shared" si="712"/>
        <v>A veces</v>
      </c>
      <c r="S1773">
        <v>0</v>
      </c>
      <c r="T1773" t="str">
        <f t="shared" si="713"/>
        <v>No fuma</v>
      </c>
      <c r="U1773">
        <v>243699</v>
      </c>
      <c r="V1773">
        <f t="shared" si="714"/>
        <v>2</v>
      </c>
      <c r="W1773" t="str">
        <f t="shared" si="715"/>
        <v>Siempre</v>
      </c>
      <c r="X1773">
        <v>0</v>
      </c>
      <c r="Y1773" t="str">
        <f t="shared" si="716"/>
        <v>No controla</v>
      </c>
      <c r="Z1773">
        <v>1016254</v>
      </c>
      <c r="AA1773">
        <f t="shared" si="717"/>
        <v>3</v>
      </c>
      <c r="AB1773" t="str">
        <f t="shared" si="718"/>
        <v>Siempre</v>
      </c>
      <c r="AC1773">
        <v>2.0043999999999999E-2</v>
      </c>
      <c r="AD1773">
        <f t="shared" si="719"/>
        <v>0</v>
      </c>
      <c r="AE1773" t="str">
        <f t="shared" si="720"/>
        <v>Nunca</v>
      </c>
      <c r="AF1773">
        <v>1</v>
      </c>
      <c r="AG1773" t="str">
        <f t="shared" si="721"/>
        <v>A veces</v>
      </c>
      <c r="AH1773">
        <v>0</v>
      </c>
      <c r="AI1773" t="str">
        <f t="shared" si="722"/>
        <v>No usa</v>
      </c>
      <c r="AJ1773">
        <v>0</v>
      </c>
      <c r="AK1773" t="str">
        <f t="shared" si="723"/>
        <v>No usa</v>
      </c>
      <c r="AL1773">
        <v>0</v>
      </c>
      <c r="AM1773" t="str">
        <f t="shared" si="724"/>
        <v>No usa</v>
      </c>
      <c r="AN1773">
        <v>1</v>
      </c>
      <c r="AO1773" t="str">
        <f t="shared" si="725"/>
        <v>Usa Transporte</v>
      </c>
      <c r="AP1773">
        <v>0</v>
      </c>
      <c r="AQ1773" t="str">
        <f t="shared" si="726"/>
        <v>No camina</v>
      </c>
      <c r="AR1773">
        <v>1</v>
      </c>
      <c r="AS1773" t="str">
        <f t="shared" si="727"/>
        <v>Es Obeso</v>
      </c>
    </row>
    <row r="1774" spans="1:45" x14ac:dyDescent="0.25">
      <c r="A1774">
        <v>1</v>
      </c>
      <c r="B1774" t="str">
        <f t="shared" si="702"/>
        <v>M</v>
      </c>
      <c r="C1774">
        <v>2501277</v>
      </c>
      <c r="D1774">
        <f t="shared" si="703"/>
        <v>6</v>
      </c>
      <c r="E1774">
        <f t="shared" si="704"/>
        <v>6</v>
      </c>
      <c r="F1774" t="str">
        <f t="shared" si="705"/>
        <v>1-25</v>
      </c>
      <c r="G1774">
        <v>1</v>
      </c>
      <c r="H1774" t="str">
        <f t="shared" si="706"/>
        <v>Pariente gordo</v>
      </c>
      <c r="I1774">
        <v>1</v>
      </c>
      <c r="J1774" t="str">
        <f t="shared" si="707"/>
        <v>Hipercaloricos</v>
      </c>
      <c r="K1774">
        <v>2191108</v>
      </c>
      <c r="L1774">
        <f t="shared" si="708"/>
        <v>1</v>
      </c>
      <c r="M1774" t="str">
        <f t="shared" si="709"/>
        <v>Suele comer</v>
      </c>
      <c r="N1774">
        <v>2993856</v>
      </c>
      <c r="O1774">
        <f t="shared" si="710"/>
        <v>2</v>
      </c>
      <c r="P1774" t="str">
        <f t="shared" si="711"/>
        <v>Mas de 3</v>
      </c>
      <c r="Q1774">
        <v>1</v>
      </c>
      <c r="R1774" t="str">
        <f t="shared" si="712"/>
        <v>A veces</v>
      </c>
      <c r="S1774">
        <v>0</v>
      </c>
      <c r="T1774" t="str">
        <f t="shared" si="713"/>
        <v>No fuma</v>
      </c>
      <c r="U1774">
        <v>2444917</v>
      </c>
      <c r="V1774">
        <f t="shared" si="714"/>
        <v>2</v>
      </c>
      <c r="W1774" t="str">
        <f t="shared" si="715"/>
        <v>Siempre</v>
      </c>
      <c r="X1774">
        <v>0</v>
      </c>
      <c r="Y1774" t="str">
        <f t="shared" si="716"/>
        <v>No controla</v>
      </c>
      <c r="Z1774">
        <v>1055854</v>
      </c>
      <c r="AA1774">
        <f t="shared" si="717"/>
        <v>3</v>
      </c>
      <c r="AB1774" t="str">
        <f t="shared" si="718"/>
        <v>Siempre</v>
      </c>
      <c r="AC1774">
        <v>0.145284</v>
      </c>
      <c r="AD1774">
        <f t="shared" si="719"/>
        <v>0</v>
      </c>
      <c r="AE1774" t="str">
        <f t="shared" si="720"/>
        <v>Nunca</v>
      </c>
      <c r="AF1774">
        <v>1</v>
      </c>
      <c r="AG1774" t="str">
        <f t="shared" si="721"/>
        <v>A veces</v>
      </c>
      <c r="AH1774">
        <v>0</v>
      </c>
      <c r="AI1774" t="str">
        <f t="shared" si="722"/>
        <v>No usa</v>
      </c>
      <c r="AJ1774">
        <v>0</v>
      </c>
      <c r="AK1774" t="str">
        <f t="shared" si="723"/>
        <v>No usa</v>
      </c>
      <c r="AL1774">
        <v>0</v>
      </c>
      <c r="AM1774" t="str">
        <f t="shared" si="724"/>
        <v>No usa</v>
      </c>
      <c r="AN1774">
        <v>1</v>
      </c>
      <c r="AO1774" t="str">
        <f t="shared" si="725"/>
        <v>Usa Transporte</v>
      </c>
      <c r="AP1774">
        <v>0</v>
      </c>
      <c r="AQ1774" t="str">
        <f t="shared" si="726"/>
        <v>No camina</v>
      </c>
      <c r="AR1774">
        <v>1</v>
      </c>
      <c r="AS1774" t="str">
        <f t="shared" si="727"/>
        <v>Es Obeso</v>
      </c>
    </row>
    <row r="1775" spans="1:45" x14ac:dyDescent="0.25">
      <c r="A1775">
        <v>1</v>
      </c>
      <c r="B1775" t="str">
        <f t="shared" si="702"/>
        <v>M</v>
      </c>
      <c r="C1775">
        <v>25047945</v>
      </c>
      <c r="D1775">
        <f t="shared" si="703"/>
        <v>68</v>
      </c>
      <c r="E1775">
        <f t="shared" si="704"/>
        <v>68</v>
      </c>
      <c r="F1775" t="str">
        <f t="shared" si="705"/>
        <v>50-75</v>
      </c>
      <c r="G1775">
        <v>1</v>
      </c>
      <c r="H1775" t="str">
        <f t="shared" si="706"/>
        <v>Pariente gordo</v>
      </c>
      <c r="I1775">
        <v>1</v>
      </c>
      <c r="J1775" t="str">
        <f t="shared" si="707"/>
        <v>Hipercaloricos</v>
      </c>
      <c r="K1775">
        <v>1431346</v>
      </c>
      <c r="L1775">
        <f t="shared" si="708"/>
        <v>1</v>
      </c>
      <c r="M1775" t="str">
        <f t="shared" si="709"/>
        <v>Suele comer</v>
      </c>
      <c r="N1775">
        <v>3</v>
      </c>
      <c r="O1775">
        <f t="shared" si="710"/>
        <v>2</v>
      </c>
      <c r="P1775" t="str">
        <f t="shared" si="711"/>
        <v>Mas de 3</v>
      </c>
      <c r="Q1775">
        <v>1</v>
      </c>
      <c r="R1775" t="str">
        <f t="shared" si="712"/>
        <v>A veces</v>
      </c>
      <c r="S1775">
        <v>0</v>
      </c>
      <c r="T1775" t="str">
        <f t="shared" si="713"/>
        <v>No fuma</v>
      </c>
      <c r="U1775">
        <v>2098959</v>
      </c>
      <c r="V1775">
        <f t="shared" si="714"/>
        <v>2</v>
      </c>
      <c r="W1775" t="str">
        <f t="shared" si="715"/>
        <v>Siempre</v>
      </c>
      <c r="X1775">
        <v>0</v>
      </c>
      <c r="Y1775" t="str">
        <f t="shared" si="716"/>
        <v>No controla</v>
      </c>
      <c r="Z1775">
        <v>1110868</v>
      </c>
      <c r="AA1775">
        <f t="shared" si="717"/>
        <v>3</v>
      </c>
      <c r="AB1775" t="str">
        <f t="shared" si="718"/>
        <v>Siempre</v>
      </c>
      <c r="AC1775">
        <v>0.19695199999999999</v>
      </c>
      <c r="AD1775">
        <f t="shared" si="719"/>
        <v>0</v>
      </c>
      <c r="AE1775" t="str">
        <f t="shared" si="720"/>
        <v>Nunca</v>
      </c>
      <c r="AF1775">
        <v>1</v>
      </c>
      <c r="AG1775" t="str">
        <f t="shared" si="721"/>
        <v>A veces</v>
      </c>
      <c r="AH1775">
        <v>0</v>
      </c>
      <c r="AI1775" t="str">
        <f t="shared" si="722"/>
        <v>No usa</v>
      </c>
      <c r="AJ1775">
        <v>0</v>
      </c>
      <c r="AK1775" t="str">
        <f t="shared" si="723"/>
        <v>No usa</v>
      </c>
      <c r="AL1775">
        <v>0</v>
      </c>
      <c r="AM1775" t="str">
        <f t="shared" si="724"/>
        <v>No usa</v>
      </c>
      <c r="AN1775">
        <v>1</v>
      </c>
      <c r="AO1775" t="str">
        <f t="shared" si="725"/>
        <v>Usa Transporte</v>
      </c>
      <c r="AP1775">
        <v>0</v>
      </c>
      <c r="AQ1775" t="str">
        <f t="shared" si="726"/>
        <v>No camina</v>
      </c>
      <c r="AR1775">
        <v>1</v>
      </c>
      <c r="AS1775" t="str">
        <f t="shared" si="727"/>
        <v>Es Obeso</v>
      </c>
    </row>
    <row r="1776" spans="1:45" x14ac:dyDescent="0.25">
      <c r="A1776">
        <v>1</v>
      </c>
      <c r="B1776" t="str">
        <f t="shared" si="702"/>
        <v>M</v>
      </c>
      <c r="C1776">
        <v>25426457</v>
      </c>
      <c r="D1776">
        <f t="shared" si="703"/>
        <v>69</v>
      </c>
      <c r="E1776">
        <f t="shared" si="704"/>
        <v>69</v>
      </c>
      <c r="F1776" t="str">
        <f t="shared" si="705"/>
        <v>50-75</v>
      </c>
      <c r="G1776">
        <v>1</v>
      </c>
      <c r="H1776" t="str">
        <f t="shared" si="706"/>
        <v>Pariente gordo</v>
      </c>
      <c r="I1776">
        <v>1</v>
      </c>
      <c r="J1776" t="str">
        <f t="shared" si="707"/>
        <v>Hipercaloricos</v>
      </c>
      <c r="K1776">
        <v>184199</v>
      </c>
      <c r="L1776">
        <f t="shared" si="708"/>
        <v>1</v>
      </c>
      <c r="M1776" t="str">
        <f t="shared" si="709"/>
        <v>Suele comer</v>
      </c>
      <c r="N1776">
        <v>3</v>
      </c>
      <c r="O1776">
        <f t="shared" si="710"/>
        <v>2</v>
      </c>
      <c r="P1776" t="str">
        <f t="shared" si="711"/>
        <v>Mas de 3</v>
      </c>
      <c r="Q1776">
        <v>1</v>
      </c>
      <c r="R1776" t="str">
        <f t="shared" si="712"/>
        <v>A veces</v>
      </c>
      <c r="S1776">
        <v>0</v>
      </c>
      <c r="T1776" t="str">
        <f t="shared" si="713"/>
        <v>No fuma</v>
      </c>
      <c r="U1776">
        <v>2503244</v>
      </c>
      <c r="V1776">
        <f t="shared" si="714"/>
        <v>2</v>
      </c>
      <c r="W1776" t="str">
        <f t="shared" si="715"/>
        <v>Siempre</v>
      </c>
      <c r="X1776">
        <v>0</v>
      </c>
      <c r="Y1776" t="str">
        <f t="shared" si="716"/>
        <v>No controla</v>
      </c>
      <c r="Z1776">
        <v>1226019</v>
      </c>
      <c r="AA1776">
        <f t="shared" si="717"/>
        <v>3</v>
      </c>
      <c r="AB1776" t="str">
        <f t="shared" si="718"/>
        <v>Siempre</v>
      </c>
      <c r="AC1776">
        <v>7.8206999999999999E-2</v>
      </c>
      <c r="AD1776">
        <f t="shared" si="719"/>
        <v>0</v>
      </c>
      <c r="AE1776" t="str">
        <f t="shared" si="720"/>
        <v>Nunca</v>
      </c>
      <c r="AF1776">
        <v>1</v>
      </c>
      <c r="AG1776" t="str">
        <f t="shared" si="721"/>
        <v>A veces</v>
      </c>
      <c r="AH1776">
        <v>0</v>
      </c>
      <c r="AI1776" t="str">
        <f t="shared" si="722"/>
        <v>No usa</v>
      </c>
      <c r="AJ1776">
        <v>0</v>
      </c>
      <c r="AK1776" t="str">
        <f t="shared" si="723"/>
        <v>No usa</v>
      </c>
      <c r="AL1776">
        <v>0</v>
      </c>
      <c r="AM1776" t="str">
        <f t="shared" si="724"/>
        <v>No usa</v>
      </c>
      <c r="AN1776">
        <v>1</v>
      </c>
      <c r="AO1776" t="str">
        <f t="shared" si="725"/>
        <v>Usa Transporte</v>
      </c>
      <c r="AP1776">
        <v>0</v>
      </c>
      <c r="AQ1776" t="str">
        <f t="shared" si="726"/>
        <v>No camina</v>
      </c>
      <c r="AR1776">
        <v>1</v>
      </c>
      <c r="AS1776" t="str">
        <f t="shared" si="727"/>
        <v>Es Obeso</v>
      </c>
    </row>
    <row r="1777" spans="1:45" x14ac:dyDescent="0.25">
      <c r="A1777">
        <v>1</v>
      </c>
      <c r="B1777" t="str">
        <f t="shared" si="702"/>
        <v>M</v>
      </c>
      <c r="C1777">
        <v>37207082</v>
      </c>
      <c r="D1777">
        <f t="shared" si="703"/>
        <v>101</v>
      </c>
      <c r="E1777">
        <f t="shared" si="704"/>
        <v>100</v>
      </c>
      <c r="F1777" t="str">
        <f t="shared" si="705"/>
        <v>75-100</v>
      </c>
      <c r="G1777">
        <v>1</v>
      </c>
      <c r="H1777" t="str">
        <f t="shared" si="706"/>
        <v>Pariente gordo</v>
      </c>
      <c r="I1777">
        <v>1</v>
      </c>
      <c r="J1777" t="str">
        <f t="shared" si="707"/>
        <v>Hipercaloricos</v>
      </c>
      <c r="K1777">
        <v>213683</v>
      </c>
      <c r="L1777">
        <f t="shared" si="708"/>
        <v>1</v>
      </c>
      <c r="M1777" t="str">
        <f t="shared" si="709"/>
        <v>Suele comer</v>
      </c>
      <c r="N1777">
        <v>2993084</v>
      </c>
      <c r="O1777">
        <f t="shared" si="710"/>
        <v>2</v>
      </c>
      <c r="P1777" t="str">
        <f t="shared" si="711"/>
        <v>Mas de 3</v>
      </c>
      <c r="Q1777">
        <v>1</v>
      </c>
      <c r="R1777" t="str">
        <f t="shared" si="712"/>
        <v>A veces</v>
      </c>
      <c r="S1777">
        <v>0</v>
      </c>
      <c r="T1777" t="str">
        <f t="shared" si="713"/>
        <v>No fuma</v>
      </c>
      <c r="U1777">
        <v>1885926</v>
      </c>
      <c r="V1777">
        <f t="shared" si="714"/>
        <v>2</v>
      </c>
      <c r="W1777" t="str">
        <f t="shared" si="715"/>
        <v>Siempre</v>
      </c>
      <c r="X1777">
        <v>0</v>
      </c>
      <c r="Y1777" t="str">
        <f t="shared" si="716"/>
        <v>No controla</v>
      </c>
      <c r="Z1777">
        <v>0.61529800000000001</v>
      </c>
      <c r="AA1777">
        <f t="shared" si="717"/>
        <v>0</v>
      </c>
      <c r="AB1777" t="str">
        <f t="shared" si="718"/>
        <v>Nunca</v>
      </c>
      <c r="AC1777">
        <v>0</v>
      </c>
      <c r="AD1777">
        <f t="shared" si="719"/>
        <v>0</v>
      </c>
      <c r="AE1777" t="str">
        <f t="shared" si="720"/>
        <v>Nunca</v>
      </c>
      <c r="AF1777">
        <v>1</v>
      </c>
      <c r="AG1777" t="str">
        <f t="shared" si="721"/>
        <v>A veces</v>
      </c>
      <c r="AH1777">
        <v>1</v>
      </c>
      <c r="AI1777" t="str">
        <f t="shared" si="722"/>
        <v>Usa auto</v>
      </c>
      <c r="AJ1777">
        <v>0</v>
      </c>
      <c r="AK1777" t="str">
        <f t="shared" si="723"/>
        <v>No usa</v>
      </c>
      <c r="AL1777">
        <v>0</v>
      </c>
      <c r="AM1777" t="str">
        <f t="shared" si="724"/>
        <v>No usa</v>
      </c>
      <c r="AN1777">
        <v>0</v>
      </c>
      <c r="AO1777" t="str">
        <f t="shared" si="725"/>
        <v>No usa</v>
      </c>
      <c r="AP1777">
        <v>0</v>
      </c>
      <c r="AQ1777" t="str">
        <f t="shared" si="726"/>
        <v>No camina</v>
      </c>
      <c r="AR1777">
        <v>1</v>
      </c>
      <c r="AS1777" t="str">
        <f t="shared" si="727"/>
        <v>Es Obeso</v>
      </c>
    </row>
    <row r="1778" spans="1:45" x14ac:dyDescent="0.25">
      <c r="A1778">
        <v>1</v>
      </c>
      <c r="B1778" t="str">
        <f t="shared" si="702"/>
        <v>M</v>
      </c>
      <c r="C1778">
        <v>3810894</v>
      </c>
      <c r="D1778">
        <f t="shared" si="703"/>
        <v>10</v>
      </c>
      <c r="E1778">
        <f t="shared" si="704"/>
        <v>10</v>
      </c>
      <c r="F1778" t="str">
        <f t="shared" si="705"/>
        <v>1-25</v>
      </c>
      <c r="G1778">
        <v>1</v>
      </c>
      <c r="H1778" t="str">
        <f t="shared" si="706"/>
        <v>Pariente gordo</v>
      </c>
      <c r="I1778">
        <v>1</v>
      </c>
      <c r="J1778" t="str">
        <f t="shared" si="707"/>
        <v>Hipercaloricos</v>
      </c>
      <c r="K1778">
        <v>2499388</v>
      </c>
      <c r="L1778">
        <f t="shared" si="708"/>
        <v>1</v>
      </c>
      <c r="M1778" t="str">
        <f t="shared" si="709"/>
        <v>Suele comer</v>
      </c>
      <c r="N1778">
        <v>2989791</v>
      </c>
      <c r="O1778">
        <f t="shared" si="710"/>
        <v>2</v>
      </c>
      <c r="P1778" t="str">
        <f t="shared" si="711"/>
        <v>Mas de 3</v>
      </c>
      <c r="Q1778">
        <v>1</v>
      </c>
      <c r="R1778" t="str">
        <f t="shared" si="712"/>
        <v>A veces</v>
      </c>
      <c r="S1778">
        <v>0</v>
      </c>
      <c r="T1778" t="str">
        <f t="shared" si="713"/>
        <v>No fuma</v>
      </c>
      <c r="U1778">
        <v>1959777</v>
      </c>
      <c r="V1778">
        <f t="shared" si="714"/>
        <v>2</v>
      </c>
      <c r="W1778" t="str">
        <f t="shared" si="715"/>
        <v>Siempre</v>
      </c>
      <c r="X1778">
        <v>0</v>
      </c>
      <c r="Y1778" t="str">
        <f t="shared" si="716"/>
        <v>No controla</v>
      </c>
      <c r="Z1778">
        <v>0.60809999999999997</v>
      </c>
      <c r="AA1778">
        <f t="shared" si="717"/>
        <v>0</v>
      </c>
      <c r="AB1778" t="str">
        <f t="shared" si="718"/>
        <v>Nunca</v>
      </c>
      <c r="AC1778">
        <v>0.64676</v>
      </c>
      <c r="AD1778">
        <f t="shared" si="719"/>
        <v>0</v>
      </c>
      <c r="AE1778" t="str">
        <f t="shared" si="720"/>
        <v>Nunca</v>
      </c>
      <c r="AF1778">
        <v>1</v>
      </c>
      <c r="AG1778" t="str">
        <f t="shared" si="721"/>
        <v>A veces</v>
      </c>
      <c r="AH1778">
        <v>1</v>
      </c>
      <c r="AI1778" t="str">
        <f t="shared" si="722"/>
        <v>Usa auto</v>
      </c>
      <c r="AJ1778">
        <v>0</v>
      </c>
      <c r="AK1778" t="str">
        <f t="shared" si="723"/>
        <v>No usa</v>
      </c>
      <c r="AL1778">
        <v>0</v>
      </c>
      <c r="AM1778" t="str">
        <f t="shared" si="724"/>
        <v>No usa</v>
      </c>
      <c r="AN1778">
        <v>0</v>
      </c>
      <c r="AO1778" t="str">
        <f t="shared" si="725"/>
        <v>No usa</v>
      </c>
      <c r="AP1778">
        <v>0</v>
      </c>
      <c r="AQ1778" t="str">
        <f t="shared" si="726"/>
        <v>No camina</v>
      </c>
      <c r="AR1778">
        <v>1</v>
      </c>
      <c r="AS1778" t="str">
        <f t="shared" si="727"/>
        <v>Es Obeso</v>
      </c>
    </row>
    <row r="1779" spans="1:45" x14ac:dyDescent="0.25">
      <c r="A1779">
        <v>1</v>
      </c>
      <c r="B1779" t="str">
        <f t="shared" si="702"/>
        <v>M</v>
      </c>
      <c r="C1779">
        <v>38644441</v>
      </c>
      <c r="D1779">
        <f t="shared" si="703"/>
        <v>105</v>
      </c>
      <c r="E1779">
        <f t="shared" si="704"/>
        <v>100</v>
      </c>
      <c r="F1779" t="str">
        <f t="shared" si="705"/>
        <v>75-100</v>
      </c>
      <c r="G1779">
        <v>1</v>
      </c>
      <c r="H1779" t="str">
        <f t="shared" si="706"/>
        <v>Pariente gordo</v>
      </c>
      <c r="I1779">
        <v>1</v>
      </c>
      <c r="J1779" t="str">
        <f t="shared" si="707"/>
        <v>Hipercaloricos</v>
      </c>
      <c r="K1779">
        <v>2230742</v>
      </c>
      <c r="L1779">
        <f t="shared" si="708"/>
        <v>1</v>
      </c>
      <c r="M1779" t="str">
        <f t="shared" si="709"/>
        <v>Suele comer</v>
      </c>
      <c r="N1779">
        <v>2920373</v>
      </c>
      <c r="O1779">
        <f t="shared" si="710"/>
        <v>2</v>
      </c>
      <c r="P1779" t="str">
        <f t="shared" si="711"/>
        <v>Mas de 3</v>
      </c>
      <c r="Q1779">
        <v>1</v>
      </c>
      <c r="R1779" t="str">
        <f t="shared" si="712"/>
        <v>A veces</v>
      </c>
      <c r="S1779">
        <v>0</v>
      </c>
      <c r="T1779" t="str">
        <f t="shared" si="713"/>
        <v>No fuma</v>
      </c>
      <c r="U1779">
        <v>1831187</v>
      </c>
      <c r="V1779">
        <f t="shared" si="714"/>
        <v>2</v>
      </c>
      <c r="W1779" t="str">
        <f t="shared" si="715"/>
        <v>Siempre</v>
      </c>
      <c r="X1779">
        <v>0</v>
      </c>
      <c r="Y1779" t="str">
        <f t="shared" si="716"/>
        <v>No controla</v>
      </c>
      <c r="Z1779">
        <v>0.75627699999999998</v>
      </c>
      <c r="AA1779">
        <f t="shared" si="717"/>
        <v>0</v>
      </c>
      <c r="AB1779" t="str">
        <f t="shared" si="718"/>
        <v>Nunca</v>
      </c>
      <c r="AC1779">
        <v>0</v>
      </c>
      <c r="AD1779">
        <f t="shared" si="719"/>
        <v>0</v>
      </c>
      <c r="AE1779" t="str">
        <f t="shared" si="720"/>
        <v>Nunca</v>
      </c>
      <c r="AF1779">
        <v>1</v>
      </c>
      <c r="AG1779" t="str">
        <f t="shared" si="721"/>
        <v>A veces</v>
      </c>
      <c r="AH1779">
        <v>1</v>
      </c>
      <c r="AI1779" t="str">
        <f t="shared" si="722"/>
        <v>Usa auto</v>
      </c>
      <c r="AJ1779">
        <v>0</v>
      </c>
      <c r="AK1779" t="str">
        <f t="shared" si="723"/>
        <v>No usa</v>
      </c>
      <c r="AL1779">
        <v>0</v>
      </c>
      <c r="AM1779" t="str">
        <f t="shared" si="724"/>
        <v>No usa</v>
      </c>
      <c r="AN1779">
        <v>0</v>
      </c>
      <c r="AO1779" t="str">
        <f t="shared" si="725"/>
        <v>No usa</v>
      </c>
      <c r="AP1779">
        <v>0</v>
      </c>
      <c r="AQ1779" t="str">
        <f t="shared" si="726"/>
        <v>No camina</v>
      </c>
      <c r="AR1779">
        <v>1</v>
      </c>
      <c r="AS1779" t="str">
        <f t="shared" si="727"/>
        <v>Es Obeso</v>
      </c>
    </row>
    <row r="1780" spans="1:45" x14ac:dyDescent="0.25">
      <c r="A1780">
        <v>1</v>
      </c>
      <c r="B1780" t="str">
        <f t="shared" si="702"/>
        <v>M</v>
      </c>
      <c r="C1780">
        <v>38112989</v>
      </c>
      <c r="D1780">
        <f t="shared" si="703"/>
        <v>104</v>
      </c>
      <c r="E1780">
        <f t="shared" si="704"/>
        <v>100</v>
      </c>
      <c r="F1780" t="str">
        <f t="shared" si="705"/>
        <v>75-100</v>
      </c>
      <c r="G1780">
        <v>1</v>
      </c>
      <c r="H1780" t="str">
        <f t="shared" si="706"/>
        <v>Pariente gordo</v>
      </c>
      <c r="I1780">
        <v>1</v>
      </c>
      <c r="J1780" t="str">
        <f t="shared" si="707"/>
        <v>Hipercaloricos</v>
      </c>
      <c r="K1780">
        <v>2240757</v>
      </c>
      <c r="L1780">
        <f t="shared" si="708"/>
        <v>1</v>
      </c>
      <c r="M1780" t="str">
        <f t="shared" si="709"/>
        <v>Suele comer</v>
      </c>
      <c r="N1780">
        <v>2911568</v>
      </c>
      <c r="O1780">
        <f t="shared" si="710"/>
        <v>2</v>
      </c>
      <c r="P1780" t="str">
        <f t="shared" si="711"/>
        <v>Mas de 3</v>
      </c>
      <c r="Q1780">
        <v>1</v>
      </c>
      <c r="R1780" t="str">
        <f t="shared" si="712"/>
        <v>A veces</v>
      </c>
      <c r="S1780">
        <v>0</v>
      </c>
      <c r="T1780" t="str">
        <f t="shared" si="713"/>
        <v>No fuma</v>
      </c>
      <c r="U1780">
        <v>1895876</v>
      </c>
      <c r="V1780">
        <f t="shared" si="714"/>
        <v>2</v>
      </c>
      <c r="W1780" t="str">
        <f t="shared" si="715"/>
        <v>Siempre</v>
      </c>
      <c r="X1780">
        <v>0</v>
      </c>
      <c r="Y1780" t="str">
        <f t="shared" si="716"/>
        <v>No controla</v>
      </c>
      <c r="Z1780">
        <v>0.82218599999999997</v>
      </c>
      <c r="AA1780">
        <f t="shared" si="717"/>
        <v>0</v>
      </c>
      <c r="AB1780" t="str">
        <f t="shared" si="718"/>
        <v>Nunca</v>
      </c>
      <c r="AC1780">
        <v>0</v>
      </c>
      <c r="AD1780">
        <f t="shared" si="719"/>
        <v>0</v>
      </c>
      <c r="AE1780" t="str">
        <f t="shared" si="720"/>
        <v>Nunca</v>
      </c>
      <c r="AF1780">
        <v>1</v>
      </c>
      <c r="AG1780" t="str">
        <f t="shared" si="721"/>
        <v>A veces</v>
      </c>
      <c r="AH1780">
        <v>1</v>
      </c>
      <c r="AI1780" t="str">
        <f t="shared" si="722"/>
        <v>Usa auto</v>
      </c>
      <c r="AJ1780">
        <v>0</v>
      </c>
      <c r="AK1780" t="str">
        <f t="shared" si="723"/>
        <v>No usa</v>
      </c>
      <c r="AL1780">
        <v>0</v>
      </c>
      <c r="AM1780" t="str">
        <f t="shared" si="724"/>
        <v>No usa</v>
      </c>
      <c r="AN1780">
        <v>0</v>
      </c>
      <c r="AO1780" t="str">
        <f t="shared" si="725"/>
        <v>No usa</v>
      </c>
      <c r="AP1780">
        <v>0</v>
      </c>
      <c r="AQ1780" t="str">
        <f t="shared" si="726"/>
        <v>No camina</v>
      </c>
      <c r="AR1780">
        <v>1</v>
      </c>
      <c r="AS1780" t="str">
        <f t="shared" si="727"/>
        <v>Es Obeso</v>
      </c>
    </row>
    <row r="1781" spans="1:45" x14ac:dyDescent="0.25">
      <c r="A1781">
        <v>1</v>
      </c>
      <c r="B1781" t="str">
        <f t="shared" si="702"/>
        <v>M</v>
      </c>
      <c r="C1781">
        <v>24825393</v>
      </c>
      <c r="D1781">
        <f t="shared" si="703"/>
        <v>68</v>
      </c>
      <c r="E1781">
        <f t="shared" si="704"/>
        <v>68</v>
      </c>
      <c r="F1781" t="str">
        <f t="shared" si="705"/>
        <v>50-75</v>
      </c>
      <c r="G1781">
        <v>1</v>
      </c>
      <c r="H1781" t="str">
        <f t="shared" si="706"/>
        <v>Pariente gordo</v>
      </c>
      <c r="I1781">
        <v>1</v>
      </c>
      <c r="J1781" t="str">
        <f t="shared" si="707"/>
        <v>Hipercaloricos</v>
      </c>
      <c r="K1781">
        <v>2996186</v>
      </c>
      <c r="L1781">
        <f t="shared" si="708"/>
        <v>1</v>
      </c>
      <c r="M1781" t="str">
        <f t="shared" si="709"/>
        <v>Suele comer</v>
      </c>
      <c r="N1781">
        <v>1134042</v>
      </c>
      <c r="O1781">
        <f t="shared" si="710"/>
        <v>2</v>
      </c>
      <c r="P1781" t="str">
        <f t="shared" si="711"/>
        <v>Mas de 3</v>
      </c>
      <c r="Q1781">
        <v>1</v>
      </c>
      <c r="R1781" t="str">
        <f t="shared" si="712"/>
        <v>A veces</v>
      </c>
      <c r="S1781">
        <v>0</v>
      </c>
      <c r="T1781" t="str">
        <f t="shared" si="713"/>
        <v>No fuma</v>
      </c>
      <c r="U1781">
        <v>1270166</v>
      </c>
      <c r="V1781">
        <f t="shared" si="714"/>
        <v>2</v>
      </c>
      <c r="W1781" t="str">
        <f t="shared" si="715"/>
        <v>Siempre</v>
      </c>
      <c r="X1781">
        <v>0</v>
      </c>
      <c r="Y1781" t="str">
        <f t="shared" si="716"/>
        <v>No controla</v>
      </c>
      <c r="Z1781">
        <v>7.3065000000000005E-2</v>
      </c>
      <c r="AA1781">
        <f t="shared" si="717"/>
        <v>0</v>
      </c>
      <c r="AB1781" t="str">
        <f t="shared" si="718"/>
        <v>Nunca</v>
      </c>
      <c r="AC1781">
        <v>1551934</v>
      </c>
      <c r="AD1781">
        <f t="shared" si="719"/>
        <v>2</v>
      </c>
      <c r="AE1781" t="str">
        <f t="shared" si="720"/>
        <v>Siempre</v>
      </c>
      <c r="AF1781">
        <v>0</v>
      </c>
      <c r="AG1781" t="str">
        <f t="shared" si="721"/>
        <v>Nunca</v>
      </c>
      <c r="AH1781">
        <v>0</v>
      </c>
      <c r="AI1781" t="str">
        <f t="shared" si="722"/>
        <v>No usa</v>
      </c>
      <c r="AJ1781">
        <v>0</v>
      </c>
      <c r="AK1781" t="str">
        <f t="shared" si="723"/>
        <v>No usa</v>
      </c>
      <c r="AL1781">
        <v>0</v>
      </c>
      <c r="AM1781" t="str">
        <f t="shared" si="724"/>
        <v>No usa</v>
      </c>
      <c r="AN1781">
        <v>1</v>
      </c>
      <c r="AO1781" t="str">
        <f t="shared" si="725"/>
        <v>Usa Transporte</v>
      </c>
      <c r="AP1781">
        <v>0</v>
      </c>
      <c r="AQ1781" t="str">
        <f t="shared" si="726"/>
        <v>No camina</v>
      </c>
      <c r="AR1781">
        <v>1</v>
      </c>
      <c r="AS1781" t="str">
        <f t="shared" si="727"/>
        <v>Es Obeso</v>
      </c>
    </row>
    <row r="1782" spans="1:45" x14ac:dyDescent="0.25">
      <c r="A1782">
        <v>1</v>
      </c>
      <c r="B1782" t="str">
        <f t="shared" si="702"/>
        <v>M</v>
      </c>
      <c r="C1782">
        <v>26624342</v>
      </c>
      <c r="D1782">
        <f t="shared" si="703"/>
        <v>72</v>
      </c>
      <c r="E1782">
        <f t="shared" si="704"/>
        <v>72</v>
      </c>
      <c r="F1782" t="str">
        <f t="shared" si="705"/>
        <v>50-75</v>
      </c>
      <c r="G1782">
        <v>1</v>
      </c>
      <c r="H1782" t="str">
        <f t="shared" si="706"/>
        <v>Pariente gordo</v>
      </c>
      <c r="I1782">
        <v>1</v>
      </c>
      <c r="J1782" t="str">
        <f t="shared" si="707"/>
        <v>Hipercaloricos</v>
      </c>
      <c r="K1782">
        <v>2649406</v>
      </c>
      <c r="L1782">
        <f t="shared" si="708"/>
        <v>1</v>
      </c>
      <c r="M1782" t="str">
        <f t="shared" si="709"/>
        <v>Suele comer</v>
      </c>
      <c r="N1782">
        <v>1120102</v>
      </c>
      <c r="O1782">
        <f t="shared" si="710"/>
        <v>2</v>
      </c>
      <c r="P1782" t="str">
        <f t="shared" si="711"/>
        <v>Mas de 3</v>
      </c>
      <c r="Q1782">
        <v>1</v>
      </c>
      <c r="R1782" t="str">
        <f t="shared" si="712"/>
        <v>A veces</v>
      </c>
      <c r="S1782">
        <v>0</v>
      </c>
      <c r="T1782" t="str">
        <f t="shared" si="713"/>
        <v>No fuma</v>
      </c>
      <c r="U1782">
        <v>1153286</v>
      </c>
      <c r="V1782">
        <f t="shared" si="714"/>
        <v>2</v>
      </c>
      <c r="W1782" t="str">
        <f t="shared" si="715"/>
        <v>Siempre</v>
      </c>
      <c r="X1782">
        <v>0</v>
      </c>
      <c r="Y1782" t="str">
        <f t="shared" si="716"/>
        <v>No controla</v>
      </c>
      <c r="Z1782">
        <v>0.21690799999999999</v>
      </c>
      <c r="AA1782">
        <f t="shared" si="717"/>
        <v>0</v>
      </c>
      <c r="AB1782" t="str">
        <f t="shared" si="718"/>
        <v>Nunca</v>
      </c>
      <c r="AC1782">
        <v>0.61901200000000001</v>
      </c>
      <c r="AD1782">
        <f t="shared" si="719"/>
        <v>0</v>
      </c>
      <c r="AE1782" t="str">
        <f t="shared" si="720"/>
        <v>Nunca</v>
      </c>
      <c r="AF1782">
        <v>0</v>
      </c>
      <c r="AG1782" t="str">
        <f t="shared" si="721"/>
        <v>Nunca</v>
      </c>
      <c r="AH1782">
        <v>0</v>
      </c>
      <c r="AI1782" t="str">
        <f t="shared" si="722"/>
        <v>No usa</v>
      </c>
      <c r="AJ1782">
        <v>0</v>
      </c>
      <c r="AK1782" t="str">
        <f t="shared" si="723"/>
        <v>No usa</v>
      </c>
      <c r="AL1782">
        <v>0</v>
      </c>
      <c r="AM1782" t="str">
        <f t="shared" si="724"/>
        <v>No usa</v>
      </c>
      <c r="AN1782">
        <v>1</v>
      </c>
      <c r="AO1782" t="str">
        <f t="shared" si="725"/>
        <v>Usa Transporte</v>
      </c>
      <c r="AP1782">
        <v>0</v>
      </c>
      <c r="AQ1782" t="str">
        <f t="shared" si="726"/>
        <v>No camina</v>
      </c>
      <c r="AR1782">
        <v>1</v>
      </c>
      <c r="AS1782" t="str">
        <f t="shared" si="727"/>
        <v>Es Obeso</v>
      </c>
    </row>
    <row r="1783" spans="1:45" x14ac:dyDescent="0.25">
      <c r="A1783">
        <v>1</v>
      </c>
      <c r="B1783" t="str">
        <f t="shared" si="702"/>
        <v>M</v>
      </c>
      <c r="C1783">
        <v>33722449</v>
      </c>
      <c r="D1783">
        <f t="shared" si="703"/>
        <v>92</v>
      </c>
      <c r="E1783">
        <f t="shared" si="704"/>
        <v>92</v>
      </c>
      <c r="F1783" t="str">
        <f t="shared" si="705"/>
        <v>75-100</v>
      </c>
      <c r="G1783">
        <v>1</v>
      </c>
      <c r="H1783" t="str">
        <f t="shared" si="706"/>
        <v>Pariente gordo</v>
      </c>
      <c r="I1783">
        <v>1</v>
      </c>
      <c r="J1783" t="str">
        <f t="shared" si="707"/>
        <v>Hipercaloricos</v>
      </c>
      <c r="K1783">
        <v>2525884</v>
      </c>
      <c r="L1783">
        <f t="shared" si="708"/>
        <v>1</v>
      </c>
      <c r="M1783" t="str">
        <f t="shared" si="709"/>
        <v>Suele comer</v>
      </c>
      <c r="N1783">
        <v>2040582</v>
      </c>
      <c r="O1783">
        <f t="shared" si="710"/>
        <v>2</v>
      </c>
      <c r="P1783" t="str">
        <f t="shared" si="711"/>
        <v>Mas de 3</v>
      </c>
      <c r="Q1783">
        <v>1</v>
      </c>
      <c r="R1783" t="str">
        <f t="shared" si="712"/>
        <v>A veces</v>
      </c>
      <c r="S1783">
        <v>0</v>
      </c>
      <c r="T1783" t="str">
        <f t="shared" si="713"/>
        <v>No fuma</v>
      </c>
      <c r="U1783">
        <v>1</v>
      </c>
      <c r="V1783">
        <f t="shared" si="714"/>
        <v>1</v>
      </c>
      <c r="W1783" t="str">
        <f t="shared" si="715"/>
        <v>Usualmente</v>
      </c>
      <c r="X1783">
        <v>0</v>
      </c>
      <c r="Y1783" t="str">
        <f t="shared" si="716"/>
        <v>No controla</v>
      </c>
      <c r="Z1783">
        <v>167036</v>
      </c>
      <c r="AA1783">
        <f t="shared" si="717"/>
        <v>2</v>
      </c>
      <c r="AB1783" t="str">
        <f t="shared" si="718"/>
        <v>Usualmente</v>
      </c>
      <c r="AC1783">
        <v>2.3959000000000001E-2</v>
      </c>
      <c r="AD1783">
        <f t="shared" si="719"/>
        <v>0</v>
      </c>
      <c r="AE1783" t="str">
        <f t="shared" si="720"/>
        <v>Nunca</v>
      </c>
      <c r="AF1783">
        <v>0</v>
      </c>
      <c r="AG1783" t="str">
        <f t="shared" si="721"/>
        <v>Nunca</v>
      </c>
      <c r="AH1783">
        <v>0</v>
      </c>
      <c r="AI1783" t="str">
        <f t="shared" si="722"/>
        <v>No usa</v>
      </c>
      <c r="AJ1783">
        <v>0</v>
      </c>
      <c r="AK1783" t="str">
        <f t="shared" si="723"/>
        <v>No usa</v>
      </c>
      <c r="AL1783">
        <v>0</v>
      </c>
      <c r="AM1783" t="str">
        <f t="shared" si="724"/>
        <v>No usa</v>
      </c>
      <c r="AN1783">
        <v>1</v>
      </c>
      <c r="AO1783" t="str">
        <f t="shared" si="725"/>
        <v>Usa Transporte</v>
      </c>
      <c r="AP1783">
        <v>0</v>
      </c>
      <c r="AQ1783" t="str">
        <f t="shared" si="726"/>
        <v>No camina</v>
      </c>
      <c r="AR1783">
        <v>1</v>
      </c>
      <c r="AS1783" t="str">
        <f t="shared" si="727"/>
        <v>Es Obeso</v>
      </c>
    </row>
    <row r="1784" spans="1:45" x14ac:dyDescent="0.25">
      <c r="A1784">
        <v>1</v>
      </c>
      <c r="B1784" t="str">
        <f t="shared" si="702"/>
        <v>M</v>
      </c>
      <c r="C1784">
        <v>32516469</v>
      </c>
      <c r="D1784">
        <f t="shared" si="703"/>
        <v>89</v>
      </c>
      <c r="E1784">
        <f t="shared" si="704"/>
        <v>89</v>
      </c>
      <c r="F1784" t="str">
        <f t="shared" si="705"/>
        <v>75-100</v>
      </c>
      <c r="G1784">
        <v>1</v>
      </c>
      <c r="H1784" t="str">
        <f t="shared" si="706"/>
        <v>Pariente gordo</v>
      </c>
      <c r="I1784">
        <v>1</v>
      </c>
      <c r="J1784" t="str">
        <f t="shared" si="707"/>
        <v>Hipercaloricos</v>
      </c>
      <c r="K1784">
        <v>2736647</v>
      </c>
      <c r="L1784">
        <f t="shared" si="708"/>
        <v>1</v>
      </c>
      <c r="M1784" t="str">
        <f t="shared" si="709"/>
        <v>Suele comer</v>
      </c>
      <c r="N1784">
        <v>2015675</v>
      </c>
      <c r="O1784">
        <f t="shared" si="710"/>
        <v>2</v>
      </c>
      <c r="P1784" t="str">
        <f t="shared" si="711"/>
        <v>Mas de 3</v>
      </c>
      <c r="Q1784">
        <v>1</v>
      </c>
      <c r="R1784" t="str">
        <f t="shared" si="712"/>
        <v>A veces</v>
      </c>
      <c r="S1784">
        <v>0</v>
      </c>
      <c r="T1784" t="str">
        <f t="shared" si="713"/>
        <v>No fuma</v>
      </c>
      <c r="U1784">
        <v>1</v>
      </c>
      <c r="V1784">
        <f t="shared" si="714"/>
        <v>1</v>
      </c>
      <c r="W1784" t="str">
        <f t="shared" si="715"/>
        <v>Usualmente</v>
      </c>
      <c r="X1784">
        <v>0</v>
      </c>
      <c r="Y1784" t="str">
        <f t="shared" si="716"/>
        <v>No controla</v>
      </c>
      <c r="Z1784">
        <v>1977918</v>
      </c>
      <c r="AA1784">
        <f t="shared" si="717"/>
        <v>3</v>
      </c>
      <c r="AB1784" t="str">
        <f t="shared" si="718"/>
        <v>Siempre</v>
      </c>
      <c r="AC1784">
        <v>5.6350999999999998E-2</v>
      </c>
      <c r="AD1784">
        <f t="shared" si="719"/>
        <v>0</v>
      </c>
      <c r="AE1784" t="str">
        <f t="shared" si="720"/>
        <v>Nunca</v>
      </c>
      <c r="AF1784">
        <v>0</v>
      </c>
      <c r="AG1784" t="str">
        <f t="shared" si="721"/>
        <v>Nunca</v>
      </c>
      <c r="AH1784">
        <v>0</v>
      </c>
      <c r="AI1784" t="str">
        <f t="shared" si="722"/>
        <v>No usa</v>
      </c>
      <c r="AJ1784">
        <v>0</v>
      </c>
      <c r="AK1784" t="str">
        <f t="shared" si="723"/>
        <v>No usa</v>
      </c>
      <c r="AL1784">
        <v>0</v>
      </c>
      <c r="AM1784" t="str">
        <f t="shared" si="724"/>
        <v>No usa</v>
      </c>
      <c r="AN1784">
        <v>1</v>
      </c>
      <c r="AO1784" t="str">
        <f t="shared" si="725"/>
        <v>Usa Transporte</v>
      </c>
      <c r="AP1784">
        <v>0</v>
      </c>
      <c r="AQ1784" t="str">
        <f t="shared" si="726"/>
        <v>No camina</v>
      </c>
      <c r="AR1784">
        <v>1</v>
      </c>
      <c r="AS1784" t="str">
        <f t="shared" si="727"/>
        <v>Es Obeso</v>
      </c>
    </row>
    <row r="1785" spans="1:45" x14ac:dyDescent="0.25">
      <c r="A1785">
        <v>1</v>
      </c>
      <c r="B1785" t="str">
        <f t="shared" si="702"/>
        <v>M</v>
      </c>
      <c r="C1785">
        <v>23881938</v>
      </c>
      <c r="D1785">
        <f t="shared" si="703"/>
        <v>65</v>
      </c>
      <c r="E1785">
        <f t="shared" si="704"/>
        <v>65</v>
      </c>
      <c r="F1785" t="str">
        <f t="shared" si="705"/>
        <v>50-75</v>
      </c>
      <c r="G1785">
        <v>1</v>
      </c>
      <c r="H1785" t="str">
        <f t="shared" si="706"/>
        <v>Pariente gordo</v>
      </c>
      <c r="I1785">
        <v>1</v>
      </c>
      <c r="J1785" t="str">
        <f t="shared" si="707"/>
        <v>Hipercaloricos</v>
      </c>
      <c r="K1785">
        <v>2684335</v>
      </c>
      <c r="L1785">
        <f t="shared" si="708"/>
        <v>1</v>
      </c>
      <c r="M1785" t="str">
        <f t="shared" si="709"/>
        <v>Suele comer</v>
      </c>
      <c r="N1785">
        <v>2711238</v>
      </c>
      <c r="O1785">
        <f t="shared" si="710"/>
        <v>2</v>
      </c>
      <c r="P1785" t="str">
        <f t="shared" si="711"/>
        <v>Mas de 3</v>
      </c>
      <c r="Q1785">
        <v>1</v>
      </c>
      <c r="R1785" t="str">
        <f t="shared" si="712"/>
        <v>A veces</v>
      </c>
      <c r="S1785">
        <v>0</v>
      </c>
      <c r="T1785" t="str">
        <f t="shared" si="713"/>
        <v>No fuma</v>
      </c>
      <c r="U1785">
        <v>2732331</v>
      </c>
      <c r="V1785">
        <f t="shared" si="714"/>
        <v>2</v>
      </c>
      <c r="W1785" t="str">
        <f t="shared" si="715"/>
        <v>Siempre</v>
      </c>
      <c r="X1785">
        <v>0</v>
      </c>
      <c r="Y1785" t="str">
        <f t="shared" si="716"/>
        <v>No controla</v>
      </c>
      <c r="Z1785">
        <v>1156024</v>
      </c>
      <c r="AA1785">
        <f t="shared" si="717"/>
        <v>3</v>
      </c>
      <c r="AB1785" t="str">
        <f t="shared" si="718"/>
        <v>Siempre</v>
      </c>
      <c r="AC1785">
        <v>0.44245600000000002</v>
      </c>
      <c r="AD1785">
        <f t="shared" si="719"/>
        <v>0</v>
      </c>
      <c r="AE1785" t="str">
        <f t="shared" si="720"/>
        <v>Nunca</v>
      </c>
      <c r="AF1785">
        <v>1</v>
      </c>
      <c r="AG1785" t="str">
        <f t="shared" si="721"/>
        <v>A veces</v>
      </c>
      <c r="AH1785">
        <v>0</v>
      </c>
      <c r="AI1785" t="str">
        <f t="shared" si="722"/>
        <v>No usa</v>
      </c>
      <c r="AJ1785">
        <v>0</v>
      </c>
      <c r="AK1785" t="str">
        <f t="shared" si="723"/>
        <v>No usa</v>
      </c>
      <c r="AL1785">
        <v>0</v>
      </c>
      <c r="AM1785" t="str">
        <f t="shared" si="724"/>
        <v>No usa</v>
      </c>
      <c r="AN1785">
        <v>1</v>
      </c>
      <c r="AO1785" t="str">
        <f t="shared" si="725"/>
        <v>Usa Transporte</v>
      </c>
      <c r="AP1785">
        <v>0</v>
      </c>
      <c r="AQ1785" t="str">
        <f t="shared" si="726"/>
        <v>No camina</v>
      </c>
      <c r="AR1785">
        <v>1</v>
      </c>
      <c r="AS1785" t="str">
        <f t="shared" si="727"/>
        <v>Es Obeso</v>
      </c>
    </row>
    <row r="1786" spans="1:45" x14ac:dyDescent="0.25">
      <c r="A1786">
        <v>1</v>
      </c>
      <c r="B1786" t="str">
        <f t="shared" si="702"/>
        <v>M</v>
      </c>
      <c r="C1786">
        <v>23319635</v>
      </c>
      <c r="D1786">
        <f t="shared" si="703"/>
        <v>63</v>
      </c>
      <c r="E1786">
        <f t="shared" si="704"/>
        <v>63</v>
      </c>
      <c r="F1786" t="str">
        <f t="shared" si="705"/>
        <v>50-75</v>
      </c>
      <c r="G1786">
        <v>1</v>
      </c>
      <c r="H1786" t="str">
        <f t="shared" si="706"/>
        <v>Pariente gordo</v>
      </c>
      <c r="I1786">
        <v>1</v>
      </c>
      <c r="J1786" t="str">
        <f t="shared" si="707"/>
        <v>Hipercaloricos</v>
      </c>
      <c r="K1786">
        <v>3</v>
      </c>
      <c r="L1786">
        <f t="shared" si="708"/>
        <v>1</v>
      </c>
      <c r="M1786" t="str">
        <f t="shared" si="709"/>
        <v>Suele comer</v>
      </c>
      <c r="N1786">
        <v>2695396</v>
      </c>
      <c r="O1786">
        <f t="shared" si="710"/>
        <v>2</v>
      </c>
      <c r="P1786" t="str">
        <f t="shared" si="711"/>
        <v>Mas de 3</v>
      </c>
      <c r="Q1786">
        <v>1</v>
      </c>
      <c r="R1786" t="str">
        <f t="shared" si="712"/>
        <v>A veces</v>
      </c>
      <c r="S1786">
        <v>0</v>
      </c>
      <c r="T1786" t="str">
        <f t="shared" si="713"/>
        <v>No fuma</v>
      </c>
      <c r="U1786">
        <v>2628816</v>
      </c>
      <c r="V1786">
        <f t="shared" si="714"/>
        <v>2</v>
      </c>
      <c r="W1786" t="str">
        <f t="shared" si="715"/>
        <v>Siempre</v>
      </c>
      <c r="X1786">
        <v>0</v>
      </c>
      <c r="Y1786" t="str">
        <f t="shared" si="716"/>
        <v>No controla</v>
      </c>
      <c r="Z1786">
        <v>0.97538400000000003</v>
      </c>
      <c r="AA1786">
        <f t="shared" si="717"/>
        <v>0</v>
      </c>
      <c r="AB1786" t="str">
        <f t="shared" si="718"/>
        <v>Nunca</v>
      </c>
      <c r="AC1786">
        <v>0</v>
      </c>
      <c r="AD1786">
        <f t="shared" si="719"/>
        <v>0</v>
      </c>
      <c r="AE1786" t="str">
        <f t="shared" si="720"/>
        <v>Nunca</v>
      </c>
      <c r="AF1786">
        <v>1</v>
      </c>
      <c r="AG1786" t="str">
        <f t="shared" si="721"/>
        <v>A veces</v>
      </c>
      <c r="AH1786">
        <v>0</v>
      </c>
      <c r="AI1786" t="str">
        <f t="shared" si="722"/>
        <v>No usa</v>
      </c>
      <c r="AJ1786">
        <v>0</v>
      </c>
      <c r="AK1786" t="str">
        <f t="shared" si="723"/>
        <v>No usa</v>
      </c>
      <c r="AL1786">
        <v>0</v>
      </c>
      <c r="AM1786" t="str">
        <f t="shared" si="724"/>
        <v>No usa</v>
      </c>
      <c r="AN1786">
        <v>1</v>
      </c>
      <c r="AO1786" t="str">
        <f t="shared" si="725"/>
        <v>Usa Transporte</v>
      </c>
      <c r="AP1786">
        <v>0</v>
      </c>
      <c r="AQ1786" t="str">
        <f t="shared" si="726"/>
        <v>No camina</v>
      </c>
      <c r="AR1786">
        <v>1</v>
      </c>
      <c r="AS1786" t="str">
        <f t="shared" si="727"/>
        <v>Es Obeso</v>
      </c>
    </row>
    <row r="1787" spans="1:45" x14ac:dyDescent="0.25">
      <c r="A1787">
        <v>1</v>
      </c>
      <c r="B1787" t="str">
        <f t="shared" si="702"/>
        <v>M</v>
      </c>
      <c r="C1787">
        <v>23912387</v>
      </c>
      <c r="D1787">
        <f t="shared" si="703"/>
        <v>65</v>
      </c>
      <c r="E1787">
        <f t="shared" si="704"/>
        <v>65</v>
      </c>
      <c r="F1787" t="str">
        <f t="shared" si="705"/>
        <v>50-75</v>
      </c>
      <c r="G1787">
        <v>1</v>
      </c>
      <c r="H1787" t="str">
        <f t="shared" si="706"/>
        <v>Pariente gordo</v>
      </c>
      <c r="I1787">
        <v>1</v>
      </c>
      <c r="J1787" t="str">
        <f t="shared" si="707"/>
        <v>Hipercaloricos</v>
      </c>
      <c r="K1787">
        <v>2425503</v>
      </c>
      <c r="L1787">
        <f t="shared" si="708"/>
        <v>1</v>
      </c>
      <c r="M1787" t="str">
        <f t="shared" si="709"/>
        <v>Suele comer</v>
      </c>
      <c r="N1787">
        <v>2996834</v>
      </c>
      <c r="O1787">
        <f t="shared" si="710"/>
        <v>2</v>
      </c>
      <c r="P1787" t="str">
        <f t="shared" si="711"/>
        <v>Mas de 3</v>
      </c>
      <c r="Q1787">
        <v>1</v>
      </c>
      <c r="R1787" t="str">
        <f t="shared" si="712"/>
        <v>A veces</v>
      </c>
      <c r="S1787">
        <v>0</v>
      </c>
      <c r="T1787" t="str">
        <f t="shared" si="713"/>
        <v>No fuma</v>
      </c>
      <c r="U1787">
        <v>2017602</v>
      </c>
      <c r="V1787">
        <f t="shared" si="714"/>
        <v>2</v>
      </c>
      <c r="W1787" t="str">
        <f t="shared" si="715"/>
        <v>Siempre</v>
      </c>
      <c r="X1787">
        <v>0</v>
      </c>
      <c r="Y1787" t="str">
        <f t="shared" si="716"/>
        <v>No controla</v>
      </c>
      <c r="Z1787">
        <v>1580263</v>
      </c>
      <c r="AA1787">
        <f t="shared" si="717"/>
        <v>3</v>
      </c>
      <c r="AB1787" t="str">
        <f t="shared" si="718"/>
        <v>Siempre</v>
      </c>
      <c r="AC1787">
        <v>0.53176900000000005</v>
      </c>
      <c r="AD1787">
        <f t="shared" si="719"/>
        <v>0</v>
      </c>
      <c r="AE1787" t="str">
        <f t="shared" si="720"/>
        <v>Nunca</v>
      </c>
      <c r="AF1787">
        <v>1</v>
      </c>
      <c r="AG1787" t="str">
        <f t="shared" si="721"/>
        <v>A veces</v>
      </c>
      <c r="AH1787">
        <v>0</v>
      </c>
      <c r="AI1787" t="str">
        <f t="shared" si="722"/>
        <v>No usa</v>
      </c>
      <c r="AJ1787">
        <v>0</v>
      </c>
      <c r="AK1787" t="str">
        <f t="shared" si="723"/>
        <v>No usa</v>
      </c>
      <c r="AL1787">
        <v>0</v>
      </c>
      <c r="AM1787" t="str">
        <f t="shared" si="724"/>
        <v>No usa</v>
      </c>
      <c r="AN1787">
        <v>1</v>
      </c>
      <c r="AO1787" t="str">
        <f t="shared" si="725"/>
        <v>Usa Transporte</v>
      </c>
      <c r="AP1787">
        <v>0</v>
      </c>
      <c r="AQ1787" t="str">
        <f t="shared" si="726"/>
        <v>No camina</v>
      </c>
      <c r="AR1787">
        <v>1</v>
      </c>
      <c r="AS1787" t="str">
        <f t="shared" si="727"/>
        <v>Es Obeso</v>
      </c>
    </row>
    <row r="1788" spans="1:45" x14ac:dyDescent="0.25">
      <c r="A1788">
        <v>1</v>
      </c>
      <c r="B1788" t="str">
        <f t="shared" si="702"/>
        <v>M</v>
      </c>
      <c r="C1788">
        <v>24982997</v>
      </c>
      <c r="D1788">
        <f t="shared" si="703"/>
        <v>68</v>
      </c>
      <c r="E1788">
        <f t="shared" si="704"/>
        <v>68</v>
      </c>
      <c r="F1788" t="str">
        <f t="shared" si="705"/>
        <v>50-75</v>
      </c>
      <c r="G1788">
        <v>1</v>
      </c>
      <c r="H1788" t="str">
        <f t="shared" si="706"/>
        <v>Pariente gordo</v>
      </c>
      <c r="I1788">
        <v>1</v>
      </c>
      <c r="J1788" t="str">
        <f t="shared" si="707"/>
        <v>Hipercaloricos</v>
      </c>
      <c r="K1788">
        <v>1469384</v>
      </c>
      <c r="L1788">
        <f t="shared" si="708"/>
        <v>1</v>
      </c>
      <c r="M1788" t="str">
        <f t="shared" si="709"/>
        <v>Suele comer</v>
      </c>
      <c r="N1788">
        <v>2996444</v>
      </c>
      <c r="O1788">
        <f t="shared" si="710"/>
        <v>2</v>
      </c>
      <c r="P1788" t="str">
        <f t="shared" si="711"/>
        <v>Mas de 3</v>
      </c>
      <c r="Q1788">
        <v>1</v>
      </c>
      <c r="R1788" t="str">
        <f t="shared" si="712"/>
        <v>A veces</v>
      </c>
      <c r="S1788">
        <v>0</v>
      </c>
      <c r="T1788" t="str">
        <f t="shared" si="713"/>
        <v>No fuma</v>
      </c>
      <c r="U1788">
        <v>2067741</v>
      </c>
      <c r="V1788">
        <f t="shared" si="714"/>
        <v>2</v>
      </c>
      <c r="W1788" t="str">
        <f t="shared" si="715"/>
        <v>Siempre</v>
      </c>
      <c r="X1788">
        <v>0</v>
      </c>
      <c r="Y1788" t="str">
        <f t="shared" si="716"/>
        <v>No controla</v>
      </c>
      <c r="Z1788">
        <v>1082236</v>
      </c>
      <c r="AA1788">
        <f t="shared" si="717"/>
        <v>3</v>
      </c>
      <c r="AB1788" t="str">
        <f t="shared" si="718"/>
        <v>Siempre</v>
      </c>
      <c r="AC1788">
        <v>0.15054400000000001</v>
      </c>
      <c r="AD1788">
        <f t="shared" si="719"/>
        <v>0</v>
      </c>
      <c r="AE1788" t="str">
        <f t="shared" si="720"/>
        <v>Nunca</v>
      </c>
      <c r="AF1788">
        <v>1</v>
      </c>
      <c r="AG1788" t="str">
        <f t="shared" si="721"/>
        <v>A veces</v>
      </c>
      <c r="AH1788">
        <v>0</v>
      </c>
      <c r="AI1788" t="str">
        <f t="shared" si="722"/>
        <v>No usa</v>
      </c>
      <c r="AJ1788">
        <v>0</v>
      </c>
      <c r="AK1788" t="str">
        <f t="shared" si="723"/>
        <v>No usa</v>
      </c>
      <c r="AL1788">
        <v>0</v>
      </c>
      <c r="AM1788" t="str">
        <f t="shared" si="724"/>
        <v>No usa</v>
      </c>
      <c r="AN1788">
        <v>1</v>
      </c>
      <c r="AO1788" t="str">
        <f t="shared" si="725"/>
        <v>Usa Transporte</v>
      </c>
      <c r="AP1788">
        <v>0</v>
      </c>
      <c r="AQ1788" t="str">
        <f t="shared" si="726"/>
        <v>No camina</v>
      </c>
      <c r="AR1788">
        <v>1</v>
      </c>
      <c r="AS1788" t="str">
        <f t="shared" si="727"/>
        <v>Es Obeso</v>
      </c>
    </row>
    <row r="1789" spans="1:45" x14ac:dyDescent="0.25">
      <c r="A1789">
        <v>1</v>
      </c>
      <c r="B1789" t="str">
        <f t="shared" si="702"/>
        <v>M</v>
      </c>
      <c r="C1789">
        <v>24511445</v>
      </c>
      <c r="D1789">
        <f t="shared" si="703"/>
        <v>67</v>
      </c>
      <c r="E1789">
        <f t="shared" si="704"/>
        <v>67</v>
      </c>
      <c r="F1789" t="str">
        <f t="shared" si="705"/>
        <v>50-75</v>
      </c>
      <c r="G1789">
        <v>1</v>
      </c>
      <c r="H1789" t="str">
        <f t="shared" si="706"/>
        <v>Pariente gordo</v>
      </c>
      <c r="I1789">
        <v>1</v>
      </c>
      <c r="J1789" t="str">
        <f t="shared" si="707"/>
        <v>Hipercaloricos</v>
      </c>
      <c r="K1789">
        <v>2906269</v>
      </c>
      <c r="L1789">
        <f t="shared" si="708"/>
        <v>1</v>
      </c>
      <c r="M1789" t="str">
        <f t="shared" si="709"/>
        <v>Suele comer</v>
      </c>
      <c r="N1789">
        <v>2894142</v>
      </c>
      <c r="O1789">
        <f t="shared" si="710"/>
        <v>2</v>
      </c>
      <c r="P1789" t="str">
        <f t="shared" si="711"/>
        <v>Mas de 3</v>
      </c>
      <c r="Q1789">
        <v>1</v>
      </c>
      <c r="R1789" t="str">
        <f t="shared" si="712"/>
        <v>A veces</v>
      </c>
      <c r="S1789">
        <v>0</v>
      </c>
      <c r="T1789" t="str">
        <f t="shared" si="713"/>
        <v>No fuma</v>
      </c>
      <c r="U1789">
        <v>2435489</v>
      </c>
      <c r="V1789">
        <f t="shared" si="714"/>
        <v>2</v>
      </c>
      <c r="W1789" t="str">
        <f t="shared" si="715"/>
        <v>Siempre</v>
      </c>
      <c r="X1789">
        <v>0</v>
      </c>
      <c r="Y1789" t="str">
        <f t="shared" si="716"/>
        <v>No controla</v>
      </c>
      <c r="Z1789">
        <v>1266739</v>
      </c>
      <c r="AA1789">
        <f t="shared" si="717"/>
        <v>3</v>
      </c>
      <c r="AB1789" t="str">
        <f t="shared" si="718"/>
        <v>Siempre</v>
      </c>
      <c r="AC1789">
        <v>0.36215999999999998</v>
      </c>
      <c r="AD1789">
        <f t="shared" si="719"/>
        <v>0</v>
      </c>
      <c r="AE1789" t="str">
        <f t="shared" si="720"/>
        <v>Nunca</v>
      </c>
      <c r="AF1789">
        <v>1</v>
      </c>
      <c r="AG1789" t="str">
        <f t="shared" si="721"/>
        <v>A veces</v>
      </c>
      <c r="AH1789">
        <v>0</v>
      </c>
      <c r="AI1789" t="str">
        <f t="shared" si="722"/>
        <v>No usa</v>
      </c>
      <c r="AJ1789">
        <v>0</v>
      </c>
      <c r="AK1789" t="str">
        <f t="shared" si="723"/>
        <v>No usa</v>
      </c>
      <c r="AL1789">
        <v>0</v>
      </c>
      <c r="AM1789" t="str">
        <f t="shared" si="724"/>
        <v>No usa</v>
      </c>
      <c r="AN1789">
        <v>1</v>
      </c>
      <c r="AO1789" t="str">
        <f t="shared" si="725"/>
        <v>Usa Transporte</v>
      </c>
      <c r="AP1789">
        <v>0</v>
      </c>
      <c r="AQ1789" t="str">
        <f t="shared" si="726"/>
        <v>No camina</v>
      </c>
      <c r="AR1789">
        <v>1</v>
      </c>
      <c r="AS1789" t="str">
        <f t="shared" si="727"/>
        <v>Es Obeso</v>
      </c>
    </row>
    <row r="1790" spans="1:45" x14ac:dyDescent="0.25">
      <c r="A1790">
        <v>1</v>
      </c>
      <c r="B1790" t="str">
        <f t="shared" si="702"/>
        <v>M</v>
      </c>
      <c r="C1790">
        <v>2405331</v>
      </c>
      <c r="D1790">
        <f t="shared" si="703"/>
        <v>6</v>
      </c>
      <c r="E1790">
        <f t="shared" si="704"/>
        <v>6</v>
      </c>
      <c r="F1790" t="str">
        <f t="shared" si="705"/>
        <v>1-25</v>
      </c>
      <c r="G1790">
        <v>1</v>
      </c>
      <c r="H1790" t="str">
        <f t="shared" si="706"/>
        <v>Pariente gordo</v>
      </c>
      <c r="I1790">
        <v>1</v>
      </c>
      <c r="J1790" t="str">
        <f t="shared" si="707"/>
        <v>Hipercaloricos</v>
      </c>
      <c r="K1790">
        <v>2808027</v>
      </c>
      <c r="L1790">
        <f t="shared" si="708"/>
        <v>1</v>
      </c>
      <c r="M1790" t="str">
        <f t="shared" si="709"/>
        <v>Suele comer</v>
      </c>
      <c r="N1790">
        <v>2683061</v>
      </c>
      <c r="O1790">
        <f t="shared" si="710"/>
        <v>2</v>
      </c>
      <c r="P1790" t="str">
        <f t="shared" si="711"/>
        <v>Mas de 3</v>
      </c>
      <c r="Q1790">
        <v>1</v>
      </c>
      <c r="R1790" t="str">
        <f t="shared" si="712"/>
        <v>A veces</v>
      </c>
      <c r="S1790">
        <v>0</v>
      </c>
      <c r="T1790" t="str">
        <f t="shared" si="713"/>
        <v>No fuma</v>
      </c>
      <c r="U1790">
        <v>2640483</v>
      </c>
      <c r="V1790">
        <f t="shared" si="714"/>
        <v>2</v>
      </c>
      <c r="W1790" t="str">
        <f t="shared" si="715"/>
        <v>Siempre</v>
      </c>
      <c r="X1790">
        <v>0</v>
      </c>
      <c r="Y1790" t="str">
        <f t="shared" si="716"/>
        <v>No controla</v>
      </c>
      <c r="Z1790">
        <v>1280191</v>
      </c>
      <c r="AA1790">
        <f t="shared" si="717"/>
        <v>3</v>
      </c>
      <c r="AB1790" t="str">
        <f t="shared" si="718"/>
        <v>Siempre</v>
      </c>
      <c r="AC1790">
        <v>0</v>
      </c>
      <c r="AD1790">
        <f t="shared" si="719"/>
        <v>0</v>
      </c>
      <c r="AE1790" t="str">
        <f t="shared" si="720"/>
        <v>Nunca</v>
      </c>
      <c r="AF1790">
        <v>1</v>
      </c>
      <c r="AG1790" t="str">
        <f t="shared" si="721"/>
        <v>A veces</v>
      </c>
      <c r="AH1790">
        <v>0</v>
      </c>
      <c r="AI1790" t="str">
        <f t="shared" si="722"/>
        <v>No usa</v>
      </c>
      <c r="AJ1790">
        <v>0</v>
      </c>
      <c r="AK1790" t="str">
        <f t="shared" si="723"/>
        <v>No usa</v>
      </c>
      <c r="AL1790">
        <v>0</v>
      </c>
      <c r="AM1790" t="str">
        <f t="shared" si="724"/>
        <v>No usa</v>
      </c>
      <c r="AN1790">
        <v>1</v>
      </c>
      <c r="AO1790" t="str">
        <f t="shared" si="725"/>
        <v>Usa Transporte</v>
      </c>
      <c r="AP1790">
        <v>0</v>
      </c>
      <c r="AQ1790" t="str">
        <f t="shared" si="726"/>
        <v>No camina</v>
      </c>
      <c r="AR1790">
        <v>1</v>
      </c>
      <c r="AS1790" t="str">
        <f t="shared" si="727"/>
        <v>Es Obeso</v>
      </c>
    </row>
    <row r="1791" spans="1:45" x14ac:dyDescent="0.25">
      <c r="A1791">
        <v>1</v>
      </c>
      <c r="B1791" t="str">
        <f t="shared" si="702"/>
        <v>M</v>
      </c>
      <c r="C1791">
        <v>22906886</v>
      </c>
      <c r="D1791">
        <f t="shared" si="703"/>
        <v>62</v>
      </c>
      <c r="E1791">
        <f t="shared" si="704"/>
        <v>62</v>
      </c>
      <c r="F1791" t="str">
        <f t="shared" si="705"/>
        <v>50-75</v>
      </c>
      <c r="G1791">
        <v>1</v>
      </c>
      <c r="H1791" t="str">
        <f t="shared" si="706"/>
        <v>Pariente gordo</v>
      </c>
      <c r="I1791">
        <v>1</v>
      </c>
      <c r="J1791" t="str">
        <f t="shared" si="707"/>
        <v>Hipercaloricos</v>
      </c>
      <c r="K1791">
        <v>2636719</v>
      </c>
      <c r="L1791">
        <f t="shared" si="708"/>
        <v>1</v>
      </c>
      <c r="M1791" t="str">
        <f t="shared" si="709"/>
        <v>Suele comer</v>
      </c>
      <c r="N1791">
        <v>2806341</v>
      </c>
      <c r="O1791">
        <f t="shared" si="710"/>
        <v>2</v>
      </c>
      <c r="P1791" t="str">
        <f t="shared" si="711"/>
        <v>Mas de 3</v>
      </c>
      <c r="Q1791">
        <v>1</v>
      </c>
      <c r="R1791" t="str">
        <f t="shared" si="712"/>
        <v>A veces</v>
      </c>
      <c r="S1791">
        <v>0</v>
      </c>
      <c r="T1791" t="str">
        <f t="shared" si="713"/>
        <v>No fuma</v>
      </c>
      <c r="U1791">
        <v>1967591</v>
      </c>
      <c r="V1791">
        <f t="shared" si="714"/>
        <v>2</v>
      </c>
      <c r="W1791" t="str">
        <f t="shared" si="715"/>
        <v>Siempre</v>
      </c>
      <c r="X1791">
        <v>0</v>
      </c>
      <c r="Y1791" t="str">
        <f t="shared" si="716"/>
        <v>No controla</v>
      </c>
      <c r="Z1791">
        <v>1525384</v>
      </c>
      <c r="AA1791">
        <f t="shared" si="717"/>
        <v>3</v>
      </c>
      <c r="AB1791" t="str">
        <f t="shared" si="718"/>
        <v>Siempre</v>
      </c>
      <c r="AC1791">
        <v>0.31559500000000001</v>
      </c>
      <c r="AD1791">
        <f t="shared" si="719"/>
        <v>0</v>
      </c>
      <c r="AE1791" t="str">
        <f t="shared" si="720"/>
        <v>Nunca</v>
      </c>
      <c r="AF1791">
        <v>1</v>
      </c>
      <c r="AG1791" t="str">
        <f t="shared" si="721"/>
        <v>A veces</v>
      </c>
      <c r="AH1791">
        <v>0</v>
      </c>
      <c r="AI1791" t="str">
        <f t="shared" si="722"/>
        <v>No usa</v>
      </c>
      <c r="AJ1791">
        <v>0</v>
      </c>
      <c r="AK1791" t="str">
        <f t="shared" si="723"/>
        <v>No usa</v>
      </c>
      <c r="AL1791">
        <v>0</v>
      </c>
      <c r="AM1791" t="str">
        <f t="shared" si="724"/>
        <v>No usa</v>
      </c>
      <c r="AN1791">
        <v>1</v>
      </c>
      <c r="AO1791" t="str">
        <f t="shared" si="725"/>
        <v>Usa Transporte</v>
      </c>
      <c r="AP1791">
        <v>0</v>
      </c>
      <c r="AQ1791" t="str">
        <f t="shared" si="726"/>
        <v>No camina</v>
      </c>
      <c r="AR1791">
        <v>1</v>
      </c>
      <c r="AS1791" t="str">
        <f t="shared" si="727"/>
        <v>Es Obeso</v>
      </c>
    </row>
    <row r="1792" spans="1:45" x14ac:dyDescent="0.25">
      <c r="A1792">
        <v>1</v>
      </c>
      <c r="B1792" t="str">
        <f t="shared" si="702"/>
        <v>M</v>
      </c>
      <c r="C1792">
        <v>23147644</v>
      </c>
      <c r="D1792">
        <f t="shared" si="703"/>
        <v>63</v>
      </c>
      <c r="E1792">
        <f t="shared" si="704"/>
        <v>63</v>
      </c>
      <c r="F1792" t="str">
        <f t="shared" si="705"/>
        <v>50-75</v>
      </c>
      <c r="G1792">
        <v>1</v>
      </c>
      <c r="H1792" t="str">
        <f t="shared" si="706"/>
        <v>Pariente gordo</v>
      </c>
      <c r="I1792">
        <v>1</v>
      </c>
      <c r="J1792" t="str">
        <f t="shared" si="707"/>
        <v>Hipercaloricos</v>
      </c>
      <c r="K1792">
        <v>2996717</v>
      </c>
      <c r="L1792">
        <f t="shared" si="708"/>
        <v>1</v>
      </c>
      <c r="M1792" t="str">
        <f t="shared" si="709"/>
        <v>Suele comer</v>
      </c>
      <c r="N1792">
        <v>2791366</v>
      </c>
      <c r="O1792">
        <f t="shared" si="710"/>
        <v>2</v>
      </c>
      <c r="P1792" t="str">
        <f t="shared" si="711"/>
        <v>Mas de 3</v>
      </c>
      <c r="Q1792">
        <v>1</v>
      </c>
      <c r="R1792" t="str">
        <f t="shared" si="712"/>
        <v>A veces</v>
      </c>
      <c r="S1792">
        <v>0</v>
      </c>
      <c r="T1792" t="str">
        <f t="shared" si="713"/>
        <v>No fuma</v>
      </c>
      <c r="U1792">
        <v>2626309</v>
      </c>
      <c r="V1792">
        <f t="shared" si="714"/>
        <v>2</v>
      </c>
      <c r="W1792" t="str">
        <f t="shared" si="715"/>
        <v>Siempre</v>
      </c>
      <c r="X1792">
        <v>0</v>
      </c>
      <c r="Y1792" t="str">
        <f t="shared" si="716"/>
        <v>No controla</v>
      </c>
      <c r="Z1792">
        <v>1194898</v>
      </c>
      <c r="AA1792">
        <f t="shared" si="717"/>
        <v>3</v>
      </c>
      <c r="AB1792" t="str">
        <f t="shared" si="718"/>
        <v>Siempre</v>
      </c>
      <c r="AC1792">
        <v>3.4896999999999997E-2</v>
      </c>
      <c r="AD1792">
        <f t="shared" si="719"/>
        <v>0</v>
      </c>
      <c r="AE1792" t="str">
        <f t="shared" si="720"/>
        <v>Nunca</v>
      </c>
      <c r="AF1792">
        <v>1</v>
      </c>
      <c r="AG1792" t="str">
        <f t="shared" si="721"/>
        <v>A veces</v>
      </c>
      <c r="AH1792">
        <v>0</v>
      </c>
      <c r="AI1792" t="str">
        <f t="shared" si="722"/>
        <v>No usa</v>
      </c>
      <c r="AJ1792">
        <v>0</v>
      </c>
      <c r="AK1792" t="str">
        <f t="shared" si="723"/>
        <v>No usa</v>
      </c>
      <c r="AL1792">
        <v>0</v>
      </c>
      <c r="AM1792" t="str">
        <f t="shared" si="724"/>
        <v>No usa</v>
      </c>
      <c r="AN1792">
        <v>1</v>
      </c>
      <c r="AO1792" t="str">
        <f t="shared" si="725"/>
        <v>Usa Transporte</v>
      </c>
      <c r="AP1792">
        <v>0</v>
      </c>
      <c r="AQ1792" t="str">
        <f t="shared" si="726"/>
        <v>No camina</v>
      </c>
      <c r="AR1792">
        <v>1</v>
      </c>
      <c r="AS1792" t="str">
        <f t="shared" si="727"/>
        <v>Es Obeso</v>
      </c>
    </row>
    <row r="1793" spans="1:45" x14ac:dyDescent="0.25">
      <c r="A1793">
        <v>1</v>
      </c>
      <c r="B1793" t="str">
        <f t="shared" si="702"/>
        <v>M</v>
      </c>
      <c r="C1793">
        <v>24001889</v>
      </c>
      <c r="D1793">
        <f t="shared" si="703"/>
        <v>65</v>
      </c>
      <c r="E1793">
        <f t="shared" si="704"/>
        <v>65</v>
      </c>
      <c r="F1793" t="str">
        <f t="shared" si="705"/>
        <v>50-75</v>
      </c>
      <c r="G1793">
        <v>1</v>
      </c>
      <c r="H1793" t="str">
        <f t="shared" si="706"/>
        <v>Pariente gordo</v>
      </c>
      <c r="I1793">
        <v>1</v>
      </c>
      <c r="J1793" t="str">
        <f t="shared" si="707"/>
        <v>Hipercaloricos</v>
      </c>
      <c r="K1793">
        <v>2880483</v>
      </c>
      <c r="L1793">
        <f t="shared" si="708"/>
        <v>1</v>
      </c>
      <c r="M1793" t="str">
        <f t="shared" si="709"/>
        <v>Suele comer</v>
      </c>
      <c r="N1793">
        <v>1703299</v>
      </c>
      <c r="O1793">
        <f t="shared" si="710"/>
        <v>2</v>
      </c>
      <c r="P1793" t="str">
        <f t="shared" si="711"/>
        <v>Mas de 3</v>
      </c>
      <c r="Q1793">
        <v>1</v>
      </c>
      <c r="R1793" t="str">
        <f t="shared" si="712"/>
        <v>A veces</v>
      </c>
      <c r="S1793">
        <v>0</v>
      </c>
      <c r="T1793" t="str">
        <f t="shared" si="713"/>
        <v>No fuma</v>
      </c>
      <c r="U1793">
        <v>1006378</v>
      </c>
      <c r="V1793">
        <f t="shared" si="714"/>
        <v>2</v>
      </c>
      <c r="W1793" t="str">
        <f t="shared" si="715"/>
        <v>Siempre</v>
      </c>
      <c r="X1793">
        <v>0</v>
      </c>
      <c r="Y1793" t="str">
        <f t="shared" si="716"/>
        <v>No controla</v>
      </c>
      <c r="Z1793">
        <v>1076729</v>
      </c>
      <c r="AA1793">
        <f t="shared" si="717"/>
        <v>3</v>
      </c>
      <c r="AB1793" t="str">
        <f t="shared" si="718"/>
        <v>Siempre</v>
      </c>
      <c r="AC1793">
        <v>1058007</v>
      </c>
      <c r="AD1793">
        <f t="shared" si="719"/>
        <v>2</v>
      </c>
      <c r="AE1793" t="str">
        <f t="shared" si="720"/>
        <v>Siempre</v>
      </c>
      <c r="AF1793">
        <v>0</v>
      </c>
      <c r="AG1793" t="str">
        <f t="shared" si="721"/>
        <v>Nunca</v>
      </c>
      <c r="AH1793">
        <v>0</v>
      </c>
      <c r="AI1793" t="str">
        <f t="shared" si="722"/>
        <v>No usa</v>
      </c>
      <c r="AJ1793">
        <v>0</v>
      </c>
      <c r="AK1793" t="str">
        <f t="shared" si="723"/>
        <v>No usa</v>
      </c>
      <c r="AL1793">
        <v>0</v>
      </c>
      <c r="AM1793" t="str">
        <f t="shared" si="724"/>
        <v>No usa</v>
      </c>
      <c r="AN1793">
        <v>1</v>
      </c>
      <c r="AO1793" t="str">
        <f t="shared" si="725"/>
        <v>Usa Transporte</v>
      </c>
      <c r="AP1793">
        <v>0</v>
      </c>
      <c r="AQ1793" t="str">
        <f t="shared" si="726"/>
        <v>No camina</v>
      </c>
      <c r="AR1793">
        <v>1</v>
      </c>
      <c r="AS1793" t="str">
        <f t="shared" si="727"/>
        <v>Es Obeso</v>
      </c>
    </row>
    <row r="1794" spans="1:45" x14ac:dyDescent="0.25">
      <c r="A1794">
        <v>1</v>
      </c>
      <c r="B1794" t="str">
        <f t="shared" si="702"/>
        <v>M</v>
      </c>
      <c r="C1794">
        <v>24002404</v>
      </c>
      <c r="D1794">
        <f t="shared" si="703"/>
        <v>65</v>
      </c>
      <c r="E1794">
        <f t="shared" si="704"/>
        <v>65</v>
      </c>
      <c r="F1794" t="str">
        <f t="shared" si="705"/>
        <v>50-75</v>
      </c>
      <c r="G1794">
        <v>1</v>
      </c>
      <c r="H1794" t="str">
        <f t="shared" si="706"/>
        <v>Pariente gordo</v>
      </c>
      <c r="I1794">
        <v>1</v>
      </c>
      <c r="J1794" t="str">
        <f t="shared" si="707"/>
        <v>Hipercaloricos</v>
      </c>
      <c r="K1794">
        <v>2885693</v>
      </c>
      <c r="L1794">
        <f t="shared" si="708"/>
        <v>1</v>
      </c>
      <c r="M1794" t="str">
        <f t="shared" si="709"/>
        <v>Suele comer</v>
      </c>
      <c r="N1794">
        <v>1685134</v>
      </c>
      <c r="O1794">
        <f t="shared" si="710"/>
        <v>2</v>
      </c>
      <c r="P1794" t="str">
        <f t="shared" si="711"/>
        <v>Mas de 3</v>
      </c>
      <c r="Q1794">
        <v>1</v>
      </c>
      <c r="R1794" t="str">
        <f t="shared" si="712"/>
        <v>A veces</v>
      </c>
      <c r="S1794">
        <v>0</v>
      </c>
      <c r="T1794" t="str">
        <f t="shared" si="713"/>
        <v>No fuma</v>
      </c>
      <c r="U1794">
        <v>1011849</v>
      </c>
      <c r="V1794">
        <f t="shared" si="714"/>
        <v>2</v>
      </c>
      <c r="W1794" t="str">
        <f t="shared" si="715"/>
        <v>Siempre</v>
      </c>
      <c r="X1794">
        <v>0</v>
      </c>
      <c r="Y1794" t="str">
        <f t="shared" si="716"/>
        <v>No controla</v>
      </c>
      <c r="Z1794">
        <v>0.50310500000000002</v>
      </c>
      <c r="AA1794">
        <f t="shared" si="717"/>
        <v>0</v>
      </c>
      <c r="AB1794" t="str">
        <f t="shared" si="718"/>
        <v>Nunca</v>
      </c>
      <c r="AC1794">
        <v>1217929</v>
      </c>
      <c r="AD1794">
        <f t="shared" si="719"/>
        <v>2</v>
      </c>
      <c r="AE1794" t="str">
        <f t="shared" si="720"/>
        <v>Siempre</v>
      </c>
      <c r="AF1794">
        <v>0</v>
      </c>
      <c r="AG1794" t="str">
        <f t="shared" si="721"/>
        <v>Nunca</v>
      </c>
      <c r="AH1794">
        <v>0</v>
      </c>
      <c r="AI1794" t="str">
        <f t="shared" si="722"/>
        <v>No usa</v>
      </c>
      <c r="AJ1794">
        <v>0</v>
      </c>
      <c r="AK1794" t="str">
        <f t="shared" si="723"/>
        <v>No usa</v>
      </c>
      <c r="AL1794">
        <v>0</v>
      </c>
      <c r="AM1794" t="str">
        <f t="shared" si="724"/>
        <v>No usa</v>
      </c>
      <c r="AN1794">
        <v>1</v>
      </c>
      <c r="AO1794" t="str">
        <f t="shared" si="725"/>
        <v>Usa Transporte</v>
      </c>
      <c r="AP1794">
        <v>0</v>
      </c>
      <c r="AQ1794" t="str">
        <f t="shared" si="726"/>
        <v>No camina</v>
      </c>
      <c r="AR1794">
        <v>1</v>
      </c>
      <c r="AS1794" t="str">
        <f t="shared" si="727"/>
        <v>Es Obeso</v>
      </c>
    </row>
    <row r="1795" spans="1:45" x14ac:dyDescent="0.25">
      <c r="A1795">
        <v>1</v>
      </c>
      <c r="B1795" t="str">
        <f t="shared" ref="B1795:B1858" si="728">IF(A1795=1,"M","F")</f>
        <v>M</v>
      </c>
      <c r="C1795">
        <v>3071516</v>
      </c>
      <c r="D1795">
        <f t="shared" ref="D1795:D1858" si="729">IF(C1795&lt;100,C1795,ROUNDDOWN((C1795/1000)/365,0))</f>
        <v>8</v>
      </c>
      <c r="E1795">
        <f t="shared" ref="E1795:E1858" si="730">IF(AND(D1795&gt;1,D1795&lt;=100),D1795,IF(D1795&gt;100,100,5))</f>
        <v>8</v>
      </c>
      <c r="F1795" t="str">
        <f t="shared" ref="F1795:F1858" si="731">IF(AND(E1795&gt;=1,E1795&lt;=25),"1-25",IF(AND(E1795&gt;25,E1795&lt;=50),"25-50",IF(AND(E1795&gt;50,E1795&lt;=75),"50-75","75-100")))</f>
        <v>1-25</v>
      </c>
      <c r="G1795">
        <v>1</v>
      </c>
      <c r="H1795" t="str">
        <f t="shared" ref="H1795:H1858" si="732">IF(G1795=1,"Pariente gordo","Pariente normal")</f>
        <v>Pariente gordo</v>
      </c>
      <c r="I1795">
        <v>1</v>
      </c>
      <c r="J1795" t="str">
        <f t="shared" ref="J1795:J1858" si="733">IF(I1795=1,"Hipercaloricos","Saludables")</f>
        <v>Hipercaloricos</v>
      </c>
      <c r="K1795">
        <v>2913452</v>
      </c>
      <c r="L1795">
        <f t="shared" ref="L1795:L1858" si="734">IF(AND(K1795&gt;=1,K1795&lt;=3),1,IF(AND(K1795&gt;3,K1795&lt;3000000),1))</f>
        <v>1</v>
      </c>
      <c r="M1795" t="str">
        <f t="shared" ref="M1795:M1858" si="735">IF(L1795=1,"Suele comer","No come")</f>
        <v>Suele comer</v>
      </c>
      <c r="N1795">
        <v>2269799</v>
      </c>
      <c r="O1795">
        <f t="shared" ref="O1795:O1858" si="736">IF(N1795=1,N1795,IF(AND(N1795&gt;=2,N1795&lt;4000000),2))</f>
        <v>2</v>
      </c>
      <c r="P1795" t="str">
        <f t="shared" ref="P1795:P1858" si="737">IF(O1795=0,"1-2",IF(O1795=1,3,"Mas de 3"))</f>
        <v>Mas de 3</v>
      </c>
      <c r="Q1795">
        <v>1</v>
      </c>
      <c r="R1795" t="str">
        <f t="shared" ref="R1795:R1858" si="738">IF(Q1795=0,"Nunca",IF(Q1795=1,"A veces",IF(Q1795=2,"Usualmente","Siempre")))</f>
        <v>A veces</v>
      </c>
      <c r="S1795">
        <v>0</v>
      </c>
      <c r="T1795" t="str">
        <f t="shared" ref="T1795:T1858" si="739">IF(S1795=1,"Fuma","No fuma")</f>
        <v>No fuma</v>
      </c>
      <c r="U1795">
        <v>1</v>
      </c>
      <c r="V1795">
        <f t="shared" ref="V1795:V1858" si="740">IF(U1795=1,U1795,IF(U1795=2,U1795,IF(AND(U1795&gt;=3,U1795&lt;3000000),2)))</f>
        <v>1</v>
      </c>
      <c r="W1795" t="str">
        <f t="shared" ref="W1795:W1858" si="741">IF(V1795=0,"Nunca",IF(V1795=1,"Usualmente","Siempre"))</f>
        <v>Usualmente</v>
      </c>
      <c r="X1795">
        <v>0</v>
      </c>
      <c r="Y1795" t="str">
        <f t="shared" ref="Y1795:Y1858" si="742">IF(X1795=1,"Controla","No controla")</f>
        <v>No controla</v>
      </c>
      <c r="Z1795">
        <v>1889937</v>
      </c>
      <c r="AA1795">
        <f t="shared" ref="AA1795:AA1858" si="743">IF(Z1795=0,Z1795,IF(Z1795=1,Z1795,IF(Z1795=2,Z1795,IF(Z1795=3,Z1795,IF(AND(Z1795&gt;3,Z1795&lt;300000),2,IF(AND(Z1795&gt;300000,Z1795&lt;3000000),3,IF(AND(Z1795&gt;0,Z1795&lt;1),0)))))))</f>
        <v>3</v>
      </c>
      <c r="AB1795" t="str">
        <f t="shared" ref="AB1795:AB1858" si="744">IF(AA1795=0,"Nunca",IF(AA1795=1,"A veces",IF(AA1795=2,"Usualmente","Siempre")))</f>
        <v>Siempre</v>
      </c>
      <c r="AC1795">
        <v>0.37881799999999999</v>
      </c>
      <c r="AD1795">
        <f t="shared" ref="AD1795:AD1858" si="745">IF(AC1795= 0,AC1795,IF(AC1795=1,AC1795,IF(AC1795=2,AC1795,IF(AND(AC1795&gt;2,AC1795&lt;200000),1,IF(AND(AC1795&gt;200000,AC1795&lt;2000000),2,IF(AND(AC1795&gt;0,AC1795&lt;1),0))))))</f>
        <v>0</v>
      </c>
      <c r="AE1795" t="str">
        <f t="shared" ref="AE1795:AE1858" si="746">IF(AD1795=0,"Nunca",IF(AD1795=1,"Usualmente","Siempre"))</f>
        <v>Nunca</v>
      </c>
      <c r="AF1795">
        <v>0</v>
      </c>
      <c r="AG1795" t="str">
        <f t="shared" ref="AG1795:AG1858" si="747">IF(AF1795=0,"Nunca",IF(AF1795=1,"A veces",IF(AF1795=2,"Usualmente","Siempre")))</f>
        <v>Nunca</v>
      </c>
      <c r="AH1795">
        <v>0</v>
      </c>
      <c r="AI1795" t="str">
        <f t="shared" ref="AI1795:AI1858" si="748">IF(AH1795=1,"Usa auto","No usa")</f>
        <v>No usa</v>
      </c>
      <c r="AJ1795">
        <v>0</v>
      </c>
      <c r="AK1795" t="str">
        <f t="shared" ref="AK1795:AK1858" si="749">IF(AJ1795=1,"Usa Bici","No usa")</f>
        <v>No usa</v>
      </c>
      <c r="AL1795">
        <v>0</v>
      </c>
      <c r="AM1795" t="str">
        <f t="shared" ref="AM1795:AM1858" si="750">IF(AL1795=1,"Usa Moto","No usa")</f>
        <v>No usa</v>
      </c>
      <c r="AN1795">
        <v>1</v>
      </c>
      <c r="AO1795" t="str">
        <f t="shared" ref="AO1795:AO1858" si="751">IF(AN1795=1,"Usa Transporte","No usa")</f>
        <v>Usa Transporte</v>
      </c>
      <c r="AP1795">
        <v>0</v>
      </c>
      <c r="AQ1795" t="str">
        <f t="shared" ref="AQ1795:AQ1858" si="752">IF(AP1795=1,"Camina","No camina")</f>
        <v>No camina</v>
      </c>
      <c r="AR1795">
        <v>1</v>
      </c>
      <c r="AS1795" t="str">
        <f t="shared" ref="AS1795:AS1858" si="753">IF(AR1795=1,"Es Obeso","No es obeso")</f>
        <v>Es Obeso</v>
      </c>
    </row>
    <row r="1796" spans="1:45" x14ac:dyDescent="0.25">
      <c r="A1796">
        <v>1</v>
      </c>
      <c r="B1796" t="str">
        <f t="shared" si="728"/>
        <v>M</v>
      </c>
      <c r="C1796">
        <v>3064243</v>
      </c>
      <c r="D1796">
        <f t="shared" si="729"/>
        <v>8</v>
      </c>
      <c r="E1796">
        <f t="shared" si="730"/>
        <v>8</v>
      </c>
      <c r="F1796" t="str">
        <f t="shared" si="731"/>
        <v>1-25</v>
      </c>
      <c r="G1796">
        <v>1</v>
      </c>
      <c r="H1796" t="str">
        <f t="shared" si="732"/>
        <v>Pariente gordo</v>
      </c>
      <c r="I1796">
        <v>1</v>
      </c>
      <c r="J1796" t="str">
        <f t="shared" si="733"/>
        <v>Hipercaloricos</v>
      </c>
      <c r="K1796">
        <v>2919526</v>
      </c>
      <c r="L1796">
        <f t="shared" si="734"/>
        <v>1</v>
      </c>
      <c r="M1796" t="str">
        <f t="shared" si="735"/>
        <v>Suele comer</v>
      </c>
      <c r="N1796">
        <v>2142328</v>
      </c>
      <c r="O1796">
        <f t="shared" si="736"/>
        <v>2</v>
      </c>
      <c r="P1796" t="str">
        <f t="shared" si="737"/>
        <v>Mas de 3</v>
      </c>
      <c r="Q1796">
        <v>1</v>
      </c>
      <c r="R1796" t="str">
        <f t="shared" si="738"/>
        <v>A veces</v>
      </c>
      <c r="S1796">
        <v>0</v>
      </c>
      <c r="T1796" t="str">
        <f t="shared" si="739"/>
        <v>No fuma</v>
      </c>
      <c r="U1796">
        <v>1175714</v>
      </c>
      <c r="V1796">
        <f t="shared" si="740"/>
        <v>2</v>
      </c>
      <c r="W1796" t="str">
        <f t="shared" si="741"/>
        <v>Siempre</v>
      </c>
      <c r="X1796">
        <v>0</v>
      </c>
      <c r="Y1796" t="str">
        <f t="shared" si="742"/>
        <v>No controla</v>
      </c>
      <c r="Z1796">
        <v>0.95855500000000005</v>
      </c>
      <c r="AA1796">
        <f t="shared" si="743"/>
        <v>0</v>
      </c>
      <c r="AB1796" t="str">
        <f t="shared" si="744"/>
        <v>Nunca</v>
      </c>
      <c r="AC1796">
        <v>0.63628899999999999</v>
      </c>
      <c r="AD1796">
        <f t="shared" si="745"/>
        <v>0</v>
      </c>
      <c r="AE1796" t="str">
        <f t="shared" si="746"/>
        <v>Nunca</v>
      </c>
      <c r="AF1796">
        <v>0</v>
      </c>
      <c r="AG1796" t="str">
        <f t="shared" si="747"/>
        <v>Nunca</v>
      </c>
      <c r="AH1796">
        <v>0</v>
      </c>
      <c r="AI1796" t="str">
        <f t="shared" si="748"/>
        <v>No usa</v>
      </c>
      <c r="AJ1796">
        <v>0</v>
      </c>
      <c r="AK1796" t="str">
        <f t="shared" si="749"/>
        <v>No usa</v>
      </c>
      <c r="AL1796">
        <v>0</v>
      </c>
      <c r="AM1796" t="str">
        <f t="shared" si="750"/>
        <v>No usa</v>
      </c>
      <c r="AN1796">
        <v>1</v>
      </c>
      <c r="AO1796" t="str">
        <f t="shared" si="751"/>
        <v>Usa Transporte</v>
      </c>
      <c r="AP1796">
        <v>0</v>
      </c>
      <c r="AQ1796" t="str">
        <f t="shared" si="752"/>
        <v>No camina</v>
      </c>
      <c r="AR1796">
        <v>1</v>
      </c>
      <c r="AS1796" t="str">
        <f t="shared" si="753"/>
        <v>Es Obeso</v>
      </c>
    </row>
    <row r="1797" spans="1:45" x14ac:dyDescent="0.25">
      <c r="A1797">
        <v>1</v>
      </c>
      <c r="B1797" t="str">
        <f t="shared" si="728"/>
        <v>M</v>
      </c>
      <c r="C1797">
        <v>20068432</v>
      </c>
      <c r="D1797">
        <f t="shared" si="729"/>
        <v>54</v>
      </c>
      <c r="E1797">
        <f t="shared" si="730"/>
        <v>54</v>
      </c>
      <c r="F1797" t="str">
        <f t="shared" si="731"/>
        <v>50-75</v>
      </c>
      <c r="G1797">
        <v>1</v>
      </c>
      <c r="H1797" t="str">
        <f t="shared" si="732"/>
        <v>Pariente gordo</v>
      </c>
      <c r="I1797">
        <v>1</v>
      </c>
      <c r="J1797" t="str">
        <f t="shared" si="733"/>
        <v>Hipercaloricos</v>
      </c>
      <c r="K1797">
        <v>2724121</v>
      </c>
      <c r="L1797">
        <f t="shared" si="734"/>
        <v>1</v>
      </c>
      <c r="M1797" t="str">
        <f t="shared" si="735"/>
        <v>Suele comer</v>
      </c>
      <c r="N1797">
        <v>1437959</v>
      </c>
      <c r="O1797">
        <f t="shared" si="736"/>
        <v>2</v>
      </c>
      <c r="P1797" t="str">
        <f t="shared" si="737"/>
        <v>Mas de 3</v>
      </c>
      <c r="Q1797">
        <v>1</v>
      </c>
      <c r="R1797" t="str">
        <f t="shared" si="738"/>
        <v>A veces</v>
      </c>
      <c r="S1797">
        <v>0</v>
      </c>
      <c r="T1797" t="str">
        <f t="shared" si="739"/>
        <v>No fuma</v>
      </c>
      <c r="U1797">
        <v>1590418</v>
      </c>
      <c r="V1797">
        <f t="shared" si="740"/>
        <v>2</v>
      </c>
      <c r="W1797" t="str">
        <f t="shared" si="741"/>
        <v>Siempre</v>
      </c>
      <c r="X1797">
        <v>0</v>
      </c>
      <c r="Y1797" t="str">
        <f t="shared" si="742"/>
        <v>No controla</v>
      </c>
      <c r="Z1797">
        <v>2.9603000000000001E-2</v>
      </c>
      <c r="AA1797">
        <f t="shared" si="743"/>
        <v>0</v>
      </c>
      <c r="AB1797" t="str">
        <f t="shared" si="744"/>
        <v>Nunca</v>
      </c>
      <c r="AC1797">
        <v>1122118</v>
      </c>
      <c r="AD1797">
        <f t="shared" si="745"/>
        <v>2</v>
      </c>
      <c r="AE1797" t="str">
        <f t="shared" si="746"/>
        <v>Siempre</v>
      </c>
      <c r="AF1797">
        <v>0</v>
      </c>
      <c r="AG1797" t="str">
        <f t="shared" si="747"/>
        <v>Nunca</v>
      </c>
      <c r="AH1797">
        <v>0</v>
      </c>
      <c r="AI1797" t="str">
        <f t="shared" si="748"/>
        <v>No usa</v>
      </c>
      <c r="AJ1797">
        <v>0</v>
      </c>
      <c r="AK1797" t="str">
        <f t="shared" si="749"/>
        <v>No usa</v>
      </c>
      <c r="AL1797">
        <v>0</v>
      </c>
      <c r="AM1797" t="str">
        <f t="shared" si="750"/>
        <v>No usa</v>
      </c>
      <c r="AN1797">
        <v>1</v>
      </c>
      <c r="AO1797" t="str">
        <f t="shared" si="751"/>
        <v>Usa Transporte</v>
      </c>
      <c r="AP1797">
        <v>0</v>
      </c>
      <c r="AQ1797" t="str">
        <f t="shared" si="752"/>
        <v>No camina</v>
      </c>
      <c r="AR1797">
        <v>1</v>
      </c>
      <c r="AS1797" t="str">
        <f t="shared" si="753"/>
        <v>Es Obeso</v>
      </c>
    </row>
    <row r="1798" spans="1:45" x14ac:dyDescent="0.25">
      <c r="A1798">
        <v>1</v>
      </c>
      <c r="B1798" t="str">
        <f t="shared" si="728"/>
        <v>M</v>
      </c>
      <c r="C1798">
        <v>20914366</v>
      </c>
      <c r="D1798">
        <f t="shared" si="729"/>
        <v>57</v>
      </c>
      <c r="E1798">
        <f t="shared" si="730"/>
        <v>57</v>
      </c>
      <c r="F1798" t="str">
        <f t="shared" si="731"/>
        <v>50-75</v>
      </c>
      <c r="G1798">
        <v>1</v>
      </c>
      <c r="H1798" t="str">
        <f t="shared" si="732"/>
        <v>Pariente gordo</v>
      </c>
      <c r="I1798">
        <v>1</v>
      </c>
      <c r="J1798" t="str">
        <f t="shared" si="733"/>
        <v>Hipercaloricos</v>
      </c>
      <c r="K1798">
        <v>2801992</v>
      </c>
      <c r="L1798">
        <f t="shared" si="734"/>
        <v>1</v>
      </c>
      <c r="M1798" t="str">
        <f t="shared" si="735"/>
        <v>Suele comer</v>
      </c>
      <c r="N1798">
        <v>1343117</v>
      </c>
      <c r="O1798">
        <f t="shared" si="736"/>
        <v>2</v>
      </c>
      <c r="P1798" t="str">
        <f t="shared" si="737"/>
        <v>Mas de 3</v>
      </c>
      <c r="Q1798">
        <v>1</v>
      </c>
      <c r="R1798" t="str">
        <f t="shared" si="738"/>
        <v>A veces</v>
      </c>
      <c r="S1798">
        <v>0</v>
      </c>
      <c r="T1798" t="str">
        <f t="shared" si="739"/>
        <v>No fuma</v>
      </c>
      <c r="U1798">
        <v>1128942</v>
      </c>
      <c r="V1798">
        <f t="shared" si="740"/>
        <v>2</v>
      </c>
      <c r="W1798" t="str">
        <f t="shared" si="741"/>
        <v>Siempre</v>
      </c>
      <c r="X1798">
        <v>0</v>
      </c>
      <c r="Y1798" t="str">
        <f t="shared" si="742"/>
        <v>No controla</v>
      </c>
      <c r="Z1798">
        <v>0.233987</v>
      </c>
      <c r="AA1798">
        <f t="shared" si="743"/>
        <v>0</v>
      </c>
      <c r="AB1798" t="str">
        <f t="shared" si="744"/>
        <v>Nunca</v>
      </c>
      <c r="AC1798">
        <v>0.81998000000000004</v>
      </c>
      <c r="AD1798">
        <f t="shared" si="745"/>
        <v>0</v>
      </c>
      <c r="AE1798" t="str">
        <f t="shared" si="746"/>
        <v>Nunca</v>
      </c>
      <c r="AF1798">
        <v>0</v>
      </c>
      <c r="AG1798" t="str">
        <f t="shared" si="747"/>
        <v>Nunca</v>
      </c>
      <c r="AH1798">
        <v>0</v>
      </c>
      <c r="AI1798" t="str">
        <f t="shared" si="748"/>
        <v>No usa</v>
      </c>
      <c r="AJ1798">
        <v>0</v>
      </c>
      <c r="AK1798" t="str">
        <f t="shared" si="749"/>
        <v>No usa</v>
      </c>
      <c r="AL1798">
        <v>0</v>
      </c>
      <c r="AM1798" t="str">
        <f t="shared" si="750"/>
        <v>No usa</v>
      </c>
      <c r="AN1798">
        <v>1</v>
      </c>
      <c r="AO1798" t="str">
        <f t="shared" si="751"/>
        <v>Usa Transporte</v>
      </c>
      <c r="AP1798">
        <v>0</v>
      </c>
      <c r="AQ1798" t="str">
        <f t="shared" si="752"/>
        <v>No camina</v>
      </c>
      <c r="AR1798">
        <v>1</v>
      </c>
      <c r="AS1798" t="str">
        <f t="shared" si="753"/>
        <v>Es Obeso</v>
      </c>
    </row>
    <row r="1799" spans="1:45" x14ac:dyDescent="0.25">
      <c r="A1799">
        <v>1</v>
      </c>
      <c r="B1799" t="str">
        <f t="shared" si="728"/>
        <v>M</v>
      </c>
      <c r="C1799">
        <v>25512048</v>
      </c>
      <c r="D1799">
        <f t="shared" si="729"/>
        <v>69</v>
      </c>
      <c r="E1799">
        <f t="shared" si="730"/>
        <v>69</v>
      </c>
      <c r="F1799" t="str">
        <f t="shared" si="731"/>
        <v>50-75</v>
      </c>
      <c r="G1799">
        <v>1</v>
      </c>
      <c r="H1799" t="str">
        <f t="shared" si="732"/>
        <v>Pariente gordo</v>
      </c>
      <c r="I1799">
        <v>1</v>
      </c>
      <c r="J1799" t="str">
        <f t="shared" si="733"/>
        <v>Hipercaloricos</v>
      </c>
      <c r="K1799">
        <v>2748971</v>
      </c>
      <c r="L1799">
        <f t="shared" si="734"/>
        <v>1</v>
      </c>
      <c r="M1799" t="str">
        <f t="shared" si="735"/>
        <v>Suele comer</v>
      </c>
      <c r="N1799">
        <v>1213431</v>
      </c>
      <c r="O1799">
        <f t="shared" si="736"/>
        <v>2</v>
      </c>
      <c r="P1799" t="str">
        <f t="shared" si="737"/>
        <v>Mas de 3</v>
      </c>
      <c r="Q1799">
        <v>1</v>
      </c>
      <c r="R1799" t="str">
        <f t="shared" si="738"/>
        <v>A veces</v>
      </c>
      <c r="S1799">
        <v>0</v>
      </c>
      <c r="T1799" t="str">
        <f t="shared" si="739"/>
        <v>No fuma</v>
      </c>
      <c r="U1799">
        <v>1448875</v>
      </c>
      <c r="V1799">
        <f t="shared" si="740"/>
        <v>2</v>
      </c>
      <c r="W1799" t="str">
        <f t="shared" si="741"/>
        <v>Siempre</v>
      </c>
      <c r="X1799">
        <v>0</v>
      </c>
      <c r="Y1799" t="str">
        <f t="shared" si="742"/>
        <v>No controla</v>
      </c>
      <c r="Z1799">
        <v>0.128548</v>
      </c>
      <c r="AA1799">
        <f t="shared" si="743"/>
        <v>0</v>
      </c>
      <c r="AB1799" t="str">
        <f t="shared" si="744"/>
        <v>Nunca</v>
      </c>
      <c r="AC1799">
        <v>1239038</v>
      </c>
      <c r="AD1799">
        <f t="shared" si="745"/>
        <v>2</v>
      </c>
      <c r="AE1799" t="str">
        <f t="shared" si="746"/>
        <v>Siempre</v>
      </c>
      <c r="AF1799">
        <v>0</v>
      </c>
      <c r="AG1799" t="str">
        <f t="shared" si="747"/>
        <v>Nunca</v>
      </c>
      <c r="AH1799">
        <v>0</v>
      </c>
      <c r="AI1799" t="str">
        <f t="shared" si="748"/>
        <v>No usa</v>
      </c>
      <c r="AJ1799">
        <v>0</v>
      </c>
      <c r="AK1799" t="str">
        <f t="shared" si="749"/>
        <v>No usa</v>
      </c>
      <c r="AL1799">
        <v>0</v>
      </c>
      <c r="AM1799" t="str">
        <f t="shared" si="750"/>
        <v>No usa</v>
      </c>
      <c r="AN1799">
        <v>1</v>
      </c>
      <c r="AO1799" t="str">
        <f t="shared" si="751"/>
        <v>Usa Transporte</v>
      </c>
      <c r="AP1799">
        <v>0</v>
      </c>
      <c r="AQ1799" t="str">
        <f t="shared" si="752"/>
        <v>No camina</v>
      </c>
      <c r="AR1799">
        <v>1</v>
      </c>
      <c r="AS1799" t="str">
        <f t="shared" si="753"/>
        <v>Es Obeso</v>
      </c>
    </row>
    <row r="1800" spans="1:45" x14ac:dyDescent="0.25">
      <c r="A1800">
        <v>1</v>
      </c>
      <c r="B1800" t="str">
        <f t="shared" si="728"/>
        <v>M</v>
      </c>
      <c r="C1800">
        <v>26844812</v>
      </c>
      <c r="D1800">
        <f t="shared" si="729"/>
        <v>73</v>
      </c>
      <c r="E1800">
        <f t="shared" si="730"/>
        <v>73</v>
      </c>
      <c r="F1800" t="str">
        <f t="shared" si="731"/>
        <v>50-75</v>
      </c>
      <c r="G1800">
        <v>1</v>
      </c>
      <c r="H1800" t="str">
        <f t="shared" si="732"/>
        <v>Pariente gordo</v>
      </c>
      <c r="I1800">
        <v>1</v>
      </c>
      <c r="J1800" t="str">
        <f t="shared" si="733"/>
        <v>Hipercaloricos</v>
      </c>
      <c r="K1800">
        <v>2680375</v>
      </c>
      <c r="L1800">
        <f t="shared" si="734"/>
        <v>1</v>
      </c>
      <c r="M1800" t="str">
        <f t="shared" si="735"/>
        <v>Suele comer</v>
      </c>
      <c r="N1800">
        <v>1089048</v>
      </c>
      <c r="O1800">
        <f t="shared" si="736"/>
        <v>2</v>
      </c>
      <c r="P1800" t="str">
        <f t="shared" si="737"/>
        <v>Mas de 3</v>
      </c>
      <c r="Q1800">
        <v>1</v>
      </c>
      <c r="R1800" t="str">
        <f t="shared" si="738"/>
        <v>A veces</v>
      </c>
      <c r="S1800">
        <v>0</v>
      </c>
      <c r="T1800" t="str">
        <f t="shared" si="739"/>
        <v>No fuma</v>
      </c>
      <c r="U1800">
        <v>1366238</v>
      </c>
      <c r="V1800">
        <f t="shared" si="740"/>
        <v>2</v>
      </c>
      <c r="W1800" t="str">
        <f t="shared" si="741"/>
        <v>Siempre</v>
      </c>
      <c r="X1800">
        <v>0</v>
      </c>
      <c r="Y1800" t="str">
        <f t="shared" si="742"/>
        <v>No controla</v>
      </c>
      <c r="Z1800">
        <v>0.18132400000000001</v>
      </c>
      <c r="AA1800">
        <f t="shared" si="743"/>
        <v>0</v>
      </c>
      <c r="AB1800" t="str">
        <f t="shared" si="744"/>
        <v>Nunca</v>
      </c>
      <c r="AC1800">
        <v>1041677</v>
      </c>
      <c r="AD1800">
        <f t="shared" si="745"/>
        <v>2</v>
      </c>
      <c r="AE1800" t="str">
        <f t="shared" si="746"/>
        <v>Siempre</v>
      </c>
      <c r="AF1800">
        <v>0</v>
      </c>
      <c r="AG1800" t="str">
        <f t="shared" si="747"/>
        <v>Nunca</v>
      </c>
      <c r="AH1800">
        <v>0</v>
      </c>
      <c r="AI1800" t="str">
        <f t="shared" si="748"/>
        <v>No usa</v>
      </c>
      <c r="AJ1800">
        <v>0</v>
      </c>
      <c r="AK1800" t="str">
        <f t="shared" si="749"/>
        <v>No usa</v>
      </c>
      <c r="AL1800">
        <v>0</v>
      </c>
      <c r="AM1800" t="str">
        <f t="shared" si="750"/>
        <v>No usa</v>
      </c>
      <c r="AN1800">
        <v>1</v>
      </c>
      <c r="AO1800" t="str">
        <f t="shared" si="751"/>
        <v>Usa Transporte</v>
      </c>
      <c r="AP1800">
        <v>0</v>
      </c>
      <c r="AQ1800" t="str">
        <f t="shared" si="752"/>
        <v>No camina</v>
      </c>
      <c r="AR1800">
        <v>1</v>
      </c>
      <c r="AS1800" t="str">
        <f t="shared" si="753"/>
        <v>Es Obeso</v>
      </c>
    </row>
    <row r="1801" spans="1:45" x14ac:dyDescent="0.25">
      <c r="A1801">
        <v>0</v>
      </c>
      <c r="B1801" t="str">
        <f t="shared" si="728"/>
        <v>F</v>
      </c>
      <c r="C1801">
        <v>25919241</v>
      </c>
      <c r="D1801">
        <f t="shared" si="729"/>
        <v>71</v>
      </c>
      <c r="E1801">
        <f t="shared" si="730"/>
        <v>71</v>
      </c>
      <c r="F1801" t="str">
        <f t="shared" si="731"/>
        <v>50-75</v>
      </c>
      <c r="G1801">
        <v>1</v>
      </c>
      <c r="H1801" t="str">
        <f t="shared" si="732"/>
        <v>Pariente gordo</v>
      </c>
      <c r="I1801">
        <v>1</v>
      </c>
      <c r="J1801" t="str">
        <f t="shared" si="733"/>
        <v>Hipercaloricos</v>
      </c>
      <c r="K1801">
        <v>3</v>
      </c>
      <c r="L1801">
        <f t="shared" si="734"/>
        <v>1</v>
      </c>
      <c r="M1801" t="str">
        <f t="shared" si="735"/>
        <v>Suele comer</v>
      </c>
      <c r="N1801">
        <v>3</v>
      </c>
      <c r="O1801">
        <f t="shared" si="736"/>
        <v>2</v>
      </c>
      <c r="P1801" t="str">
        <f t="shared" si="737"/>
        <v>Mas de 3</v>
      </c>
      <c r="Q1801">
        <v>1</v>
      </c>
      <c r="R1801" t="str">
        <f t="shared" si="738"/>
        <v>A veces</v>
      </c>
      <c r="S1801">
        <v>0</v>
      </c>
      <c r="T1801" t="str">
        <f t="shared" si="739"/>
        <v>No fuma</v>
      </c>
      <c r="U1801">
        <v>1023328</v>
      </c>
      <c r="V1801">
        <f t="shared" si="740"/>
        <v>2</v>
      </c>
      <c r="W1801" t="str">
        <f t="shared" si="741"/>
        <v>Siempre</v>
      </c>
      <c r="X1801">
        <v>0</v>
      </c>
      <c r="Y1801" t="str">
        <f t="shared" si="742"/>
        <v>No controla</v>
      </c>
      <c r="Z1801">
        <v>5.0930000000000003E-2</v>
      </c>
      <c r="AA1801">
        <f t="shared" si="743"/>
        <v>0</v>
      </c>
      <c r="AB1801" t="str">
        <f t="shared" si="744"/>
        <v>Nunca</v>
      </c>
      <c r="AC1801">
        <v>1</v>
      </c>
      <c r="AD1801">
        <f t="shared" si="745"/>
        <v>1</v>
      </c>
      <c r="AE1801" t="str">
        <f t="shared" si="746"/>
        <v>Usualmente</v>
      </c>
      <c r="AF1801">
        <v>1</v>
      </c>
      <c r="AG1801" t="str">
        <f t="shared" si="747"/>
        <v>A veces</v>
      </c>
      <c r="AH1801">
        <v>0</v>
      </c>
      <c r="AI1801" t="str">
        <f t="shared" si="748"/>
        <v>No usa</v>
      </c>
      <c r="AJ1801">
        <v>0</v>
      </c>
      <c r="AK1801" t="str">
        <f t="shared" si="749"/>
        <v>No usa</v>
      </c>
      <c r="AL1801">
        <v>0</v>
      </c>
      <c r="AM1801" t="str">
        <f t="shared" si="750"/>
        <v>No usa</v>
      </c>
      <c r="AN1801">
        <v>1</v>
      </c>
      <c r="AO1801" t="str">
        <f t="shared" si="751"/>
        <v>Usa Transporte</v>
      </c>
      <c r="AP1801">
        <v>0</v>
      </c>
      <c r="AQ1801" t="str">
        <f t="shared" si="752"/>
        <v>No camina</v>
      </c>
      <c r="AR1801">
        <v>1</v>
      </c>
      <c r="AS1801" t="str">
        <f t="shared" si="753"/>
        <v>Es Obeso</v>
      </c>
    </row>
    <row r="1802" spans="1:45" x14ac:dyDescent="0.25">
      <c r="A1802">
        <v>0</v>
      </c>
      <c r="B1802" t="str">
        <f t="shared" si="728"/>
        <v>F</v>
      </c>
      <c r="C1802">
        <v>26</v>
      </c>
      <c r="D1802">
        <f t="shared" si="729"/>
        <v>26</v>
      </c>
      <c r="E1802">
        <f t="shared" si="730"/>
        <v>26</v>
      </c>
      <c r="F1802" t="str">
        <f t="shared" si="731"/>
        <v>25-50</v>
      </c>
      <c r="G1802">
        <v>1</v>
      </c>
      <c r="H1802" t="str">
        <f t="shared" si="732"/>
        <v>Pariente gordo</v>
      </c>
      <c r="I1802">
        <v>1</v>
      </c>
      <c r="J1802" t="str">
        <f t="shared" si="733"/>
        <v>Hipercaloricos</v>
      </c>
      <c r="K1802">
        <v>3</v>
      </c>
      <c r="L1802">
        <f t="shared" si="734"/>
        <v>1</v>
      </c>
      <c r="M1802" t="str">
        <f t="shared" si="735"/>
        <v>Suele comer</v>
      </c>
      <c r="N1802">
        <v>3</v>
      </c>
      <c r="O1802">
        <f t="shared" si="736"/>
        <v>2</v>
      </c>
      <c r="P1802" t="str">
        <f t="shared" si="737"/>
        <v>Mas de 3</v>
      </c>
      <c r="Q1802">
        <v>1</v>
      </c>
      <c r="R1802" t="str">
        <f t="shared" si="738"/>
        <v>A veces</v>
      </c>
      <c r="S1802">
        <v>0</v>
      </c>
      <c r="T1802" t="str">
        <f t="shared" si="739"/>
        <v>No fuma</v>
      </c>
      <c r="U1802">
        <v>1197667</v>
      </c>
      <c r="V1802">
        <f t="shared" si="740"/>
        <v>2</v>
      </c>
      <c r="W1802" t="str">
        <f t="shared" si="741"/>
        <v>Siempre</v>
      </c>
      <c r="X1802">
        <v>0</v>
      </c>
      <c r="Y1802" t="str">
        <f t="shared" si="742"/>
        <v>No controla</v>
      </c>
      <c r="Z1802">
        <v>0</v>
      </c>
      <c r="AA1802">
        <f t="shared" si="743"/>
        <v>0</v>
      </c>
      <c r="AB1802" t="str">
        <f t="shared" si="744"/>
        <v>Nunca</v>
      </c>
      <c r="AC1802">
        <v>0.53476900000000005</v>
      </c>
      <c r="AD1802">
        <f t="shared" si="745"/>
        <v>0</v>
      </c>
      <c r="AE1802" t="str">
        <f t="shared" si="746"/>
        <v>Nunca</v>
      </c>
      <c r="AF1802">
        <v>1</v>
      </c>
      <c r="AG1802" t="str">
        <f t="shared" si="747"/>
        <v>A veces</v>
      </c>
      <c r="AH1802">
        <v>0</v>
      </c>
      <c r="AI1802" t="str">
        <f t="shared" si="748"/>
        <v>No usa</v>
      </c>
      <c r="AJ1802">
        <v>0</v>
      </c>
      <c r="AK1802" t="str">
        <f t="shared" si="749"/>
        <v>No usa</v>
      </c>
      <c r="AL1802">
        <v>0</v>
      </c>
      <c r="AM1802" t="str">
        <f t="shared" si="750"/>
        <v>No usa</v>
      </c>
      <c r="AN1802">
        <v>1</v>
      </c>
      <c r="AO1802" t="str">
        <f t="shared" si="751"/>
        <v>Usa Transporte</v>
      </c>
      <c r="AP1802">
        <v>0</v>
      </c>
      <c r="AQ1802" t="str">
        <f t="shared" si="752"/>
        <v>No camina</v>
      </c>
      <c r="AR1802">
        <v>1</v>
      </c>
      <c r="AS1802" t="str">
        <f t="shared" si="753"/>
        <v>Es Obeso</v>
      </c>
    </row>
    <row r="1803" spans="1:45" x14ac:dyDescent="0.25">
      <c r="A1803">
        <v>0</v>
      </c>
      <c r="B1803" t="str">
        <f t="shared" si="728"/>
        <v>F</v>
      </c>
      <c r="C1803">
        <v>18233541</v>
      </c>
      <c r="D1803">
        <f t="shared" si="729"/>
        <v>49</v>
      </c>
      <c r="E1803">
        <f t="shared" si="730"/>
        <v>49</v>
      </c>
      <c r="F1803" t="str">
        <f t="shared" si="731"/>
        <v>25-50</v>
      </c>
      <c r="G1803">
        <v>1</v>
      </c>
      <c r="H1803" t="str">
        <f t="shared" si="732"/>
        <v>Pariente gordo</v>
      </c>
      <c r="I1803">
        <v>1</v>
      </c>
      <c r="J1803" t="str">
        <f t="shared" si="733"/>
        <v>Hipercaloricos</v>
      </c>
      <c r="K1803">
        <v>3</v>
      </c>
      <c r="L1803">
        <f t="shared" si="734"/>
        <v>1</v>
      </c>
      <c r="M1803" t="str">
        <f t="shared" si="735"/>
        <v>Suele comer</v>
      </c>
      <c r="N1803">
        <v>3</v>
      </c>
      <c r="O1803">
        <f t="shared" si="736"/>
        <v>2</v>
      </c>
      <c r="P1803" t="str">
        <f t="shared" si="737"/>
        <v>Mas de 3</v>
      </c>
      <c r="Q1803">
        <v>1</v>
      </c>
      <c r="R1803" t="str">
        <f t="shared" si="738"/>
        <v>A veces</v>
      </c>
      <c r="S1803">
        <v>0</v>
      </c>
      <c r="T1803" t="str">
        <f t="shared" si="739"/>
        <v>No fuma</v>
      </c>
      <c r="U1803">
        <v>2838893</v>
      </c>
      <c r="V1803">
        <f t="shared" si="740"/>
        <v>2</v>
      </c>
      <c r="W1803" t="str">
        <f t="shared" si="741"/>
        <v>Siempre</v>
      </c>
      <c r="X1803">
        <v>0</v>
      </c>
      <c r="Y1803" t="str">
        <f t="shared" si="742"/>
        <v>No controla</v>
      </c>
      <c r="Z1803">
        <v>1990317</v>
      </c>
      <c r="AA1803">
        <f t="shared" si="743"/>
        <v>3</v>
      </c>
      <c r="AB1803" t="str">
        <f t="shared" si="744"/>
        <v>Siempre</v>
      </c>
      <c r="AC1803">
        <v>0.73586799999999997</v>
      </c>
      <c r="AD1803">
        <f t="shared" si="745"/>
        <v>0</v>
      </c>
      <c r="AE1803" t="str">
        <f t="shared" si="746"/>
        <v>Nunca</v>
      </c>
      <c r="AF1803">
        <v>1</v>
      </c>
      <c r="AG1803" t="str">
        <f t="shared" si="747"/>
        <v>A veces</v>
      </c>
      <c r="AH1803">
        <v>0</v>
      </c>
      <c r="AI1803" t="str">
        <f t="shared" si="748"/>
        <v>No usa</v>
      </c>
      <c r="AJ1803">
        <v>0</v>
      </c>
      <c r="AK1803" t="str">
        <f t="shared" si="749"/>
        <v>No usa</v>
      </c>
      <c r="AL1803">
        <v>0</v>
      </c>
      <c r="AM1803" t="str">
        <f t="shared" si="750"/>
        <v>No usa</v>
      </c>
      <c r="AN1803">
        <v>1</v>
      </c>
      <c r="AO1803" t="str">
        <f t="shared" si="751"/>
        <v>Usa Transporte</v>
      </c>
      <c r="AP1803">
        <v>0</v>
      </c>
      <c r="AQ1803" t="str">
        <f t="shared" si="752"/>
        <v>No camina</v>
      </c>
      <c r="AR1803">
        <v>1</v>
      </c>
      <c r="AS1803" t="str">
        <f t="shared" si="753"/>
        <v>Es Obeso</v>
      </c>
    </row>
    <row r="1804" spans="1:45" x14ac:dyDescent="0.25">
      <c r="A1804">
        <v>0</v>
      </c>
      <c r="B1804" t="str">
        <f t="shared" si="728"/>
        <v>F</v>
      </c>
      <c r="C1804">
        <v>18147705</v>
      </c>
      <c r="D1804">
        <f t="shared" si="729"/>
        <v>49</v>
      </c>
      <c r="E1804">
        <f t="shared" si="730"/>
        <v>49</v>
      </c>
      <c r="F1804" t="str">
        <f t="shared" si="731"/>
        <v>25-50</v>
      </c>
      <c r="G1804">
        <v>1</v>
      </c>
      <c r="H1804" t="str">
        <f t="shared" si="732"/>
        <v>Pariente gordo</v>
      </c>
      <c r="I1804">
        <v>1</v>
      </c>
      <c r="J1804" t="str">
        <f t="shared" si="733"/>
        <v>Hipercaloricos</v>
      </c>
      <c r="K1804">
        <v>3</v>
      </c>
      <c r="L1804">
        <f t="shared" si="734"/>
        <v>1</v>
      </c>
      <c r="M1804" t="str">
        <f t="shared" si="735"/>
        <v>Suele comer</v>
      </c>
      <c r="N1804">
        <v>3</v>
      </c>
      <c r="O1804">
        <f t="shared" si="736"/>
        <v>2</v>
      </c>
      <c r="P1804" t="str">
        <f t="shared" si="737"/>
        <v>Mas de 3</v>
      </c>
      <c r="Q1804">
        <v>1</v>
      </c>
      <c r="R1804" t="str">
        <f t="shared" si="738"/>
        <v>A veces</v>
      </c>
      <c r="S1804">
        <v>0</v>
      </c>
      <c r="T1804" t="str">
        <f t="shared" si="739"/>
        <v>No fuma</v>
      </c>
      <c r="U1804">
        <v>2181811</v>
      </c>
      <c r="V1804">
        <f t="shared" si="740"/>
        <v>2</v>
      </c>
      <c r="W1804" t="str">
        <f t="shared" si="741"/>
        <v>Siempre</v>
      </c>
      <c r="X1804">
        <v>0</v>
      </c>
      <c r="Y1804" t="str">
        <f t="shared" si="742"/>
        <v>No controla</v>
      </c>
      <c r="Z1804">
        <v>1995582</v>
      </c>
      <c r="AA1804">
        <f t="shared" si="743"/>
        <v>3</v>
      </c>
      <c r="AB1804" t="str">
        <f t="shared" si="744"/>
        <v>Siempre</v>
      </c>
      <c r="AC1804">
        <v>0.93966499999999997</v>
      </c>
      <c r="AD1804">
        <f t="shared" si="745"/>
        <v>0</v>
      </c>
      <c r="AE1804" t="str">
        <f t="shared" si="746"/>
        <v>Nunca</v>
      </c>
      <c r="AF1804">
        <v>1</v>
      </c>
      <c r="AG1804" t="str">
        <f t="shared" si="747"/>
        <v>A veces</v>
      </c>
      <c r="AH1804">
        <v>0</v>
      </c>
      <c r="AI1804" t="str">
        <f t="shared" si="748"/>
        <v>No usa</v>
      </c>
      <c r="AJ1804">
        <v>0</v>
      </c>
      <c r="AK1804" t="str">
        <f t="shared" si="749"/>
        <v>No usa</v>
      </c>
      <c r="AL1804">
        <v>0</v>
      </c>
      <c r="AM1804" t="str">
        <f t="shared" si="750"/>
        <v>No usa</v>
      </c>
      <c r="AN1804">
        <v>1</v>
      </c>
      <c r="AO1804" t="str">
        <f t="shared" si="751"/>
        <v>Usa Transporte</v>
      </c>
      <c r="AP1804">
        <v>0</v>
      </c>
      <c r="AQ1804" t="str">
        <f t="shared" si="752"/>
        <v>No camina</v>
      </c>
      <c r="AR1804">
        <v>1</v>
      </c>
      <c r="AS1804" t="str">
        <f t="shared" si="753"/>
        <v>Es Obeso</v>
      </c>
    </row>
    <row r="1805" spans="1:45" x14ac:dyDescent="0.25">
      <c r="A1805">
        <v>0</v>
      </c>
      <c r="B1805" t="str">
        <f t="shared" si="728"/>
        <v>F</v>
      </c>
      <c r="C1805">
        <v>26</v>
      </c>
      <c r="D1805">
        <f t="shared" si="729"/>
        <v>26</v>
      </c>
      <c r="E1805">
        <f t="shared" si="730"/>
        <v>26</v>
      </c>
      <c r="F1805" t="str">
        <f t="shared" si="731"/>
        <v>25-50</v>
      </c>
      <c r="G1805">
        <v>1</v>
      </c>
      <c r="H1805" t="str">
        <f t="shared" si="732"/>
        <v>Pariente gordo</v>
      </c>
      <c r="I1805">
        <v>1</v>
      </c>
      <c r="J1805" t="str">
        <f t="shared" si="733"/>
        <v>Hipercaloricos</v>
      </c>
      <c r="K1805">
        <v>3</v>
      </c>
      <c r="L1805">
        <f t="shared" si="734"/>
        <v>1</v>
      </c>
      <c r="M1805" t="str">
        <f t="shared" si="735"/>
        <v>Suele comer</v>
      </c>
      <c r="N1805">
        <v>3</v>
      </c>
      <c r="O1805">
        <f t="shared" si="736"/>
        <v>2</v>
      </c>
      <c r="P1805" t="str">
        <f t="shared" si="737"/>
        <v>Mas de 3</v>
      </c>
      <c r="Q1805">
        <v>1</v>
      </c>
      <c r="R1805" t="str">
        <f t="shared" si="738"/>
        <v>A veces</v>
      </c>
      <c r="S1805">
        <v>0</v>
      </c>
      <c r="T1805" t="str">
        <f t="shared" si="739"/>
        <v>No fuma</v>
      </c>
      <c r="U1805">
        <v>2774014</v>
      </c>
      <c r="V1805">
        <f t="shared" si="740"/>
        <v>2</v>
      </c>
      <c r="W1805" t="str">
        <f t="shared" si="741"/>
        <v>Siempre</v>
      </c>
      <c r="X1805">
        <v>0</v>
      </c>
      <c r="Y1805" t="str">
        <f t="shared" si="742"/>
        <v>No controla</v>
      </c>
      <c r="Z1805">
        <v>0</v>
      </c>
      <c r="AA1805">
        <f t="shared" si="743"/>
        <v>0</v>
      </c>
      <c r="AB1805" t="str">
        <f t="shared" si="744"/>
        <v>Nunca</v>
      </c>
      <c r="AC1805">
        <v>0.13841800000000001</v>
      </c>
      <c r="AD1805">
        <f t="shared" si="745"/>
        <v>0</v>
      </c>
      <c r="AE1805" t="str">
        <f t="shared" si="746"/>
        <v>Nunca</v>
      </c>
      <c r="AF1805">
        <v>1</v>
      </c>
      <c r="AG1805" t="str">
        <f t="shared" si="747"/>
        <v>A veces</v>
      </c>
      <c r="AH1805">
        <v>0</v>
      </c>
      <c r="AI1805" t="str">
        <f t="shared" si="748"/>
        <v>No usa</v>
      </c>
      <c r="AJ1805">
        <v>0</v>
      </c>
      <c r="AK1805" t="str">
        <f t="shared" si="749"/>
        <v>No usa</v>
      </c>
      <c r="AL1805">
        <v>0</v>
      </c>
      <c r="AM1805" t="str">
        <f t="shared" si="750"/>
        <v>No usa</v>
      </c>
      <c r="AN1805">
        <v>1</v>
      </c>
      <c r="AO1805" t="str">
        <f t="shared" si="751"/>
        <v>Usa Transporte</v>
      </c>
      <c r="AP1805">
        <v>0</v>
      </c>
      <c r="AQ1805" t="str">
        <f t="shared" si="752"/>
        <v>No camina</v>
      </c>
      <c r="AR1805">
        <v>1</v>
      </c>
      <c r="AS1805" t="str">
        <f t="shared" si="753"/>
        <v>Es Obeso</v>
      </c>
    </row>
    <row r="1806" spans="1:45" x14ac:dyDescent="0.25">
      <c r="A1806">
        <v>0</v>
      </c>
      <c r="B1806" t="str">
        <f t="shared" si="728"/>
        <v>F</v>
      </c>
      <c r="C1806">
        <v>26</v>
      </c>
      <c r="D1806">
        <f t="shared" si="729"/>
        <v>26</v>
      </c>
      <c r="E1806">
        <f t="shared" si="730"/>
        <v>26</v>
      </c>
      <c r="F1806" t="str">
        <f t="shared" si="731"/>
        <v>25-50</v>
      </c>
      <c r="G1806">
        <v>1</v>
      </c>
      <c r="H1806" t="str">
        <f t="shared" si="732"/>
        <v>Pariente gordo</v>
      </c>
      <c r="I1806">
        <v>1</v>
      </c>
      <c r="J1806" t="str">
        <f t="shared" si="733"/>
        <v>Hipercaloricos</v>
      </c>
      <c r="K1806">
        <v>3</v>
      </c>
      <c r="L1806">
        <f t="shared" si="734"/>
        <v>1</v>
      </c>
      <c r="M1806" t="str">
        <f t="shared" si="735"/>
        <v>Suele comer</v>
      </c>
      <c r="N1806">
        <v>3</v>
      </c>
      <c r="O1806">
        <f t="shared" si="736"/>
        <v>2</v>
      </c>
      <c r="P1806" t="str">
        <f t="shared" si="737"/>
        <v>Mas de 3</v>
      </c>
      <c r="Q1806">
        <v>1</v>
      </c>
      <c r="R1806" t="str">
        <f t="shared" si="738"/>
        <v>A veces</v>
      </c>
      <c r="S1806">
        <v>0</v>
      </c>
      <c r="T1806" t="str">
        <f t="shared" si="739"/>
        <v>No fuma</v>
      </c>
      <c r="U1806">
        <v>1031354</v>
      </c>
      <c r="V1806">
        <f t="shared" si="740"/>
        <v>2</v>
      </c>
      <c r="W1806" t="str">
        <f t="shared" si="741"/>
        <v>Siempre</v>
      </c>
      <c r="X1806">
        <v>0</v>
      </c>
      <c r="Y1806" t="str">
        <f t="shared" si="742"/>
        <v>No controla</v>
      </c>
      <c r="Z1806">
        <v>0</v>
      </c>
      <c r="AA1806">
        <f t="shared" si="743"/>
        <v>0</v>
      </c>
      <c r="AB1806" t="str">
        <f t="shared" si="744"/>
        <v>Nunca</v>
      </c>
      <c r="AC1806">
        <v>0.37464999999999998</v>
      </c>
      <c r="AD1806">
        <f t="shared" si="745"/>
        <v>0</v>
      </c>
      <c r="AE1806" t="str">
        <f t="shared" si="746"/>
        <v>Nunca</v>
      </c>
      <c r="AF1806">
        <v>1</v>
      </c>
      <c r="AG1806" t="str">
        <f t="shared" si="747"/>
        <v>A veces</v>
      </c>
      <c r="AH1806">
        <v>0</v>
      </c>
      <c r="AI1806" t="str">
        <f t="shared" si="748"/>
        <v>No usa</v>
      </c>
      <c r="AJ1806">
        <v>0</v>
      </c>
      <c r="AK1806" t="str">
        <f t="shared" si="749"/>
        <v>No usa</v>
      </c>
      <c r="AL1806">
        <v>0</v>
      </c>
      <c r="AM1806" t="str">
        <f t="shared" si="750"/>
        <v>No usa</v>
      </c>
      <c r="AN1806">
        <v>1</v>
      </c>
      <c r="AO1806" t="str">
        <f t="shared" si="751"/>
        <v>Usa Transporte</v>
      </c>
      <c r="AP1806">
        <v>0</v>
      </c>
      <c r="AQ1806" t="str">
        <f t="shared" si="752"/>
        <v>No camina</v>
      </c>
      <c r="AR1806">
        <v>1</v>
      </c>
      <c r="AS1806" t="str">
        <f t="shared" si="753"/>
        <v>Es Obeso</v>
      </c>
    </row>
    <row r="1807" spans="1:45" x14ac:dyDescent="0.25">
      <c r="A1807">
        <v>0</v>
      </c>
      <c r="B1807" t="str">
        <f t="shared" si="728"/>
        <v>F</v>
      </c>
      <c r="C1807">
        <v>25902283</v>
      </c>
      <c r="D1807">
        <f t="shared" si="729"/>
        <v>70</v>
      </c>
      <c r="E1807">
        <f t="shared" si="730"/>
        <v>70</v>
      </c>
      <c r="F1807" t="str">
        <f t="shared" si="731"/>
        <v>50-75</v>
      </c>
      <c r="G1807">
        <v>1</v>
      </c>
      <c r="H1807" t="str">
        <f t="shared" si="732"/>
        <v>Pariente gordo</v>
      </c>
      <c r="I1807">
        <v>1</v>
      </c>
      <c r="J1807" t="str">
        <f t="shared" si="733"/>
        <v>Hipercaloricos</v>
      </c>
      <c r="K1807">
        <v>3</v>
      </c>
      <c r="L1807">
        <f t="shared" si="734"/>
        <v>1</v>
      </c>
      <c r="M1807" t="str">
        <f t="shared" si="735"/>
        <v>Suele comer</v>
      </c>
      <c r="N1807">
        <v>3</v>
      </c>
      <c r="O1807">
        <f t="shared" si="736"/>
        <v>2</v>
      </c>
      <c r="P1807" t="str">
        <f t="shared" si="737"/>
        <v>Mas de 3</v>
      </c>
      <c r="Q1807">
        <v>1</v>
      </c>
      <c r="R1807" t="str">
        <f t="shared" si="738"/>
        <v>A veces</v>
      </c>
      <c r="S1807">
        <v>0</v>
      </c>
      <c r="T1807" t="str">
        <f t="shared" si="739"/>
        <v>No fuma</v>
      </c>
      <c r="U1807">
        <v>166616</v>
      </c>
      <c r="V1807">
        <f t="shared" si="740"/>
        <v>2</v>
      </c>
      <c r="W1807" t="str">
        <f t="shared" si="741"/>
        <v>Siempre</v>
      </c>
      <c r="X1807">
        <v>0</v>
      </c>
      <c r="Y1807" t="str">
        <f t="shared" si="742"/>
        <v>No controla</v>
      </c>
      <c r="Z1807">
        <v>0.21035100000000001</v>
      </c>
      <c r="AA1807">
        <f t="shared" si="743"/>
        <v>0</v>
      </c>
      <c r="AB1807" t="str">
        <f t="shared" si="744"/>
        <v>Nunca</v>
      </c>
      <c r="AC1807">
        <v>0.73421000000000003</v>
      </c>
      <c r="AD1807">
        <f t="shared" si="745"/>
        <v>0</v>
      </c>
      <c r="AE1807" t="str">
        <f t="shared" si="746"/>
        <v>Nunca</v>
      </c>
      <c r="AF1807">
        <v>1</v>
      </c>
      <c r="AG1807" t="str">
        <f t="shared" si="747"/>
        <v>A veces</v>
      </c>
      <c r="AH1807">
        <v>0</v>
      </c>
      <c r="AI1807" t="str">
        <f t="shared" si="748"/>
        <v>No usa</v>
      </c>
      <c r="AJ1807">
        <v>0</v>
      </c>
      <c r="AK1807" t="str">
        <f t="shared" si="749"/>
        <v>No usa</v>
      </c>
      <c r="AL1807">
        <v>0</v>
      </c>
      <c r="AM1807" t="str">
        <f t="shared" si="750"/>
        <v>No usa</v>
      </c>
      <c r="AN1807">
        <v>1</v>
      </c>
      <c r="AO1807" t="str">
        <f t="shared" si="751"/>
        <v>Usa Transporte</v>
      </c>
      <c r="AP1807">
        <v>0</v>
      </c>
      <c r="AQ1807" t="str">
        <f t="shared" si="752"/>
        <v>No camina</v>
      </c>
      <c r="AR1807">
        <v>1</v>
      </c>
      <c r="AS1807" t="str">
        <f t="shared" si="753"/>
        <v>Es Obeso</v>
      </c>
    </row>
    <row r="1808" spans="1:45" x14ac:dyDescent="0.25">
      <c r="A1808">
        <v>0</v>
      </c>
      <c r="B1808" t="str">
        <f t="shared" si="728"/>
        <v>F</v>
      </c>
      <c r="C1808">
        <v>25540865</v>
      </c>
      <c r="D1808">
        <f t="shared" si="729"/>
        <v>69</v>
      </c>
      <c r="E1808">
        <f t="shared" si="730"/>
        <v>69</v>
      </c>
      <c r="F1808" t="str">
        <f t="shared" si="731"/>
        <v>50-75</v>
      </c>
      <c r="G1808">
        <v>1</v>
      </c>
      <c r="H1808" t="str">
        <f t="shared" si="732"/>
        <v>Pariente gordo</v>
      </c>
      <c r="I1808">
        <v>1</v>
      </c>
      <c r="J1808" t="str">
        <f t="shared" si="733"/>
        <v>Hipercaloricos</v>
      </c>
      <c r="K1808">
        <v>3</v>
      </c>
      <c r="L1808">
        <f t="shared" si="734"/>
        <v>1</v>
      </c>
      <c r="M1808" t="str">
        <f t="shared" si="735"/>
        <v>Suele comer</v>
      </c>
      <c r="N1808">
        <v>3</v>
      </c>
      <c r="O1808">
        <f t="shared" si="736"/>
        <v>2</v>
      </c>
      <c r="P1808" t="str">
        <f t="shared" si="737"/>
        <v>Mas de 3</v>
      </c>
      <c r="Q1808">
        <v>1</v>
      </c>
      <c r="R1808" t="str">
        <f t="shared" si="738"/>
        <v>A veces</v>
      </c>
      <c r="S1808">
        <v>0</v>
      </c>
      <c r="T1808" t="str">
        <f t="shared" si="739"/>
        <v>No fuma</v>
      </c>
      <c r="U1808">
        <v>1471664</v>
      </c>
      <c r="V1808">
        <f t="shared" si="740"/>
        <v>2</v>
      </c>
      <c r="W1808" t="str">
        <f t="shared" si="741"/>
        <v>Siempre</v>
      </c>
      <c r="X1808">
        <v>0</v>
      </c>
      <c r="Y1808" t="str">
        <f t="shared" si="742"/>
        <v>No controla</v>
      </c>
      <c r="Z1808">
        <v>0.143955</v>
      </c>
      <c r="AA1808">
        <f t="shared" si="743"/>
        <v>0</v>
      </c>
      <c r="AB1808" t="str">
        <f t="shared" si="744"/>
        <v>Nunca</v>
      </c>
      <c r="AC1808">
        <v>0.44453199999999998</v>
      </c>
      <c r="AD1808">
        <f t="shared" si="745"/>
        <v>0</v>
      </c>
      <c r="AE1808" t="str">
        <f t="shared" si="746"/>
        <v>Nunca</v>
      </c>
      <c r="AF1808">
        <v>1</v>
      </c>
      <c r="AG1808" t="str">
        <f t="shared" si="747"/>
        <v>A veces</v>
      </c>
      <c r="AH1808">
        <v>0</v>
      </c>
      <c r="AI1808" t="str">
        <f t="shared" si="748"/>
        <v>No usa</v>
      </c>
      <c r="AJ1808">
        <v>0</v>
      </c>
      <c r="AK1808" t="str">
        <f t="shared" si="749"/>
        <v>No usa</v>
      </c>
      <c r="AL1808">
        <v>0</v>
      </c>
      <c r="AM1808" t="str">
        <f t="shared" si="750"/>
        <v>No usa</v>
      </c>
      <c r="AN1808">
        <v>1</v>
      </c>
      <c r="AO1808" t="str">
        <f t="shared" si="751"/>
        <v>Usa Transporte</v>
      </c>
      <c r="AP1808">
        <v>0</v>
      </c>
      <c r="AQ1808" t="str">
        <f t="shared" si="752"/>
        <v>No camina</v>
      </c>
      <c r="AR1808">
        <v>1</v>
      </c>
      <c r="AS1808" t="str">
        <f t="shared" si="753"/>
        <v>Es Obeso</v>
      </c>
    </row>
    <row r="1809" spans="1:45" x14ac:dyDescent="0.25">
      <c r="A1809">
        <v>0</v>
      </c>
      <c r="B1809" t="str">
        <f t="shared" si="728"/>
        <v>F</v>
      </c>
      <c r="C1809">
        <v>2239251</v>
      </c>
      <c r="D1809">
        <f t="shared" si="729"/>
        <v>6</v>
      </c>
      <c r="E1809">
        <f t="shared" si="730"/>
        <v>6</v>
      </c>
      <c r="F1809" t="str">
        <f t="shared" si="731"/>
        <v>1-25</v>
      </c>
      <c r="G1809">
        <v>1</v>
      </c>
      <c r="H1809" t="str">
        <f t="shared" si="732"/>
        <v>Pariente gordo</v>
      </c>
      <c r="I1809">
        <v>1</v>
      </c>
      <c r="J1809" t="str">
        <f t="shared" si="733"/>
        <v>Hipercaloricos</v>
      </c>
      <c r="K1809">
        <v>3</v>
      </c>
      <c r="L1809">
        <f t="shared" si="734"/>
        <v>1</v>
      </c>
      <c r="M1809" t="str">
        <f t="shared" si="735"/>
        <v>Suele comer</v>
      </c>
      <c r="N1809">
        <v>3</v>
      </c>
      <c r="O1809">
        <f t="shared" si="736"/>
        <v>2</v>
      </c>
      <c r="P1809" t="str">
        <f t="shared" si="737"/>
        <v>Mas de 3</v>
      </c>
      <c r="Q1809">
        <v>1</v>
      </c>
      <c r="R1809" t="str">
        <f t="shared" si="738"/>
        <v>A veces</v>
      </c>
      <c r="S1809">
        <v>0</v>
      </c>
      <c r="T1809" t="str">
        <f t="shared" si="739"/>
        <v>No fuma</v>
      </c>
      <c r="U1809">
        <v>1347559</v>
      </c>
      <c r="V1809">
        <f t="shared" si="740"/>
        <v>2</v>
      </c>
      <c r="W1809" t="str">
        <f t="shared" si="741"/>
        <v>Siempre</v>
      </c>
      <c r="X1809">
        <v>0</v>
      </c>
      <c r="Y1809" t="str">
        <f t="shared" si="742"/>
        <v>No controla</v>
      </c>
      <c r="Z1809">
        <v>0.462951</v>
      </c>
      <c r="AA1809">
        <f t="shared" si="743"/>
        <v>0</v>
      </c>
      <c r="AB1809" t="str">
        <f t="shared" si="744"/>
        <v>Nunca</v>
      </c>
      <c r="AC1809">
        <v>0.31794</v>
      </c>
      <c r="AD1809">
        <f t="shared" si="745"/>
        <v>0</v>
      </c>
      <c r="AE1809" t="str">
        <f t="shared" si="746"/>
        <v>Nunca</v>
      </c>
      <c r="AF1809">
        <v>1</v>
      </c>
      <c r="AG1809" t="str">
        <f t="shared" si="747"/>
        <v>A veces</v>
      </c>
      <c r="AH1809">
        <v>0</v>
      </c>
      <c r="AI1809" t="str">
        <f t="shared" si="748"/>
        <v>No usa</v>
      </c>
      <c r="AJ1809">
        <v>0</v>
      </c>
      <c r="AK1809" t="str">
        <f t="shared" si="749"/>
        <v>No usa</v>
      </c>
      <c r="AL1809">
        <v>0</v>
      </c>
      <c r="AM1809" t="str">
        <f t="shared" si="750"/>
        <v>No usa</v>
      </c>
      <c r="AN1809">
        <v>1</v>
      </c>
      <c r="AO1809" t="str">
        <f t="shared" si="751"/>
        <v>Usa Transporte</v>
      </c>
      <c r="AP1809">
        <v>0</v>
      </c>
      <c r="AQ1809" t="str">
        <f t="shared" si="752"/>
        <v>No camina</v>
      </c>
      <c r="AR1809">
        <v>1</v>
      </c>
      <c r="AS1809" t="str">
        <f t="shared" si="753"/>
        <v>Es Obeso</v>
      </c>
    </row>
    <row r="1810" spans="1:45" x14ac:dyDescent="0.25">
      <c r="A1810">
        <v>0</v>
      </c>
      <c r="B1810" t="str">
        <f t="shared" si="728"/>
        <v>F</v>
      </c>
      <c r="C1810">
        <v>21305402</v>
      </c>
      <c r="D1810">
        <f t="shared" si="729"/>
        <v>58</v>
      </c>
      <c r="E1810">
        <f t="shared" si="730"/>
        <v>58</v>
      </c>
      <c r="F1810" t="str">
        <f t="shared" si="731"/>
        <v>50-75</v>
      </c>
      <c r="G1810">
        <v>1</v>
      </c>
      <c r="H1810" t="str">
        <f t="shared" si="732"/>
        <v>Pariente gordo</v>
      </c>
      <c r="I1810">
        <v>1</v>
      </c>
      <c r="J1810" t="str">
        <f t="shared" si="733"/>
        <v>Hipercaloricos</v>
      </c>
      <c r="K1810">
        <v>3</v>
      </c>
      <c r="L1810">
        <f t="shared" si="734"/>
        <v>1</v>
      </c>
      <c r="M1810" t="str">
        <f t="shared" si="735"/>
        <v>Suele comer</v>
      </c>
      <c r="N1810">
        <v>3</v>
      </c>
      <c r="O1810">
        <f t="shared" si="736"/>
        <v>2</v>
      </c>
      <c r="P1810" t="str">
        <f t="shared" si="737"/>
        <v>Mas de 3</v>
      </c>
      <c r="Q1810">
        <v>1</v>
      </c>
      <c r="R1810" t="str">
        <f t="shared" si="738"/>
        <v>A veces</v>
      </c>
      <c r="S1810">
        <v>0</v>
      </c>
      <c r="T1810" t="str">
        <f t="shared" si="739"/>
        <v>No fuma</v>
      </c>
      <c r="U1810">
        <v>1338241</v>
      </c>
      <c r="V1810">
        <f t="shared" si="740"/>
        <v>2</v>
      </c>
      <c r="W1810" t="str">
        <f t="shared" si="741"/>
        <v>Siempre</v>
      </c>
      <c r="X1810">
        <v>0</v>
      </c>
      <c r="Y1810" t="str">
        <f t="shared" si="742"/>
        <v>No controla</v>
      </c>
      <c r="Z1810">
        <v>192628</v>
      </c>
      <c r="AA1810">
        <f t="shared" si="743"/>
        <v>2</v>
      </c>
      <c r="AB1810" t="str">
        <f t="shared" si="744"/>
        <v>Usualmente</v>
      </c>
      <c r="AC1810">
        <v>0.88613500000000001</v>
      </c>
      <c r="AD1810">
        <f t="shared" si="745"/>
        <v>0</v>
      </c>
      <c r="AE1810" t="str">
        <f t="shared" si="746"/>
        <v>Nunca</v>
      </c>
      <c r="AF1810">
        <v>1</v>
      </c>
      <c r="AG1810" t="str">
        <f t="shared" si="747"/>
        <v>A veces</v>
      </c>
      <c r="AH1810">
        <v>0</v>
      </c>
      <c r="AI1810" t="str">
        <f t="shared" si="748"/>
        <v>No usa</v>
      </c>
      <c r="AJ1810">
        <v>0</v>
      </c>
      <c r="AK1810" t="str">
        <f t="shared" si="749"/>
        <v>No usa</v>
      </c>
      <c r="AL1810">
        <v>0</v>
      </c>
      <c r="AM1810" t="str">
        <f t="shared" si="750"/>
        <v>No usa</v>
      </c>
      <c r="AN1810">
        <v>1</v>
      </c>
      <c r="AO1810" t="str">
        <f t="shared" si="751"/>
        <v>Usa Transporte</v>
      </c>
      <c r="AP1810">
        <v>0</v>
      </c>
      <c r="AQ1810" t="str">
        <f t="shared" si="752"/>
        <v>No camina</v>
      </c>
      <c r="AR1810">
        <v>1</v>
      </c>
      <c r="AS1810" t="str">
        <f t="shared" si="753"/>
        <v>Es Obeso</v>
      </c>
    </row>
    <row r="1811" spans="1:45" x14ac:dyDescent="0.25">
      <c r="A1811">
        <v>0</v>
      </c>
      <c r="B1811" t="str">
        <f t="shared" si="728"/>
        <v>F</v>
      </c>
      <c r="C1811">
        <v>26</v>
      </c>
      <c r="D1811">
        <f t="shared" si="729"/>
        <v>26</v>
      </c>
      <c r="E1811">
        <f t="shared" si="730"/>
        <v>26</v>
      </c>
      <c r="F1811" t="str">
        <f t="shared" si="731"/>
        <v>25-50</v>
      </c>
      <c r="G1811">
        <v>1</v>
      </c>
      <c r="H1811" t="str">
        <f t="shared" si="732"/>
        <v>Pariente gordo</v>
      </c>
      <c r="I1811">
        <v>1</v>
      </c>
      <c r="J1811" t="str">
        <f t="shared" si="733"/>
        <v>Hipercaloricos</v>
      </c>
      <c r="K1811">
        <v>3</v>
      </c>
      <c r="L1811">
        <f t="shared" si="734"/>
        <v>1</v>
      </c>
      <c r="M1811" t="str">
        <f t="shared" si="735"/>
        <v>Suele comer</v>
      </c>
      <c r="N1811">
        <v>3</v>
      </c>
      <c r="O1811">
        <f t="shared" si="736"/>
        <v>2</v>
      </c>
      <c r="P1811" t="str">
        <f t="shared" si="737"/>
        <v>Mas de 3</v>
      </c>
      <c r="Q1811">
        <v>1</v>
      </c>
      <c r="R1811" t="str">
        <f t="shared" si="738"/>
        <v>A veces</v>
      </c>
      <c r="S1811">
        <v>0</v>
      </c>
      <c r="T1811" t="str">
        <f t="shared" si="739"/>
        <v>No fuma</v>
      </c>
      <c r="U1811">
        <v>2679137</v>
      </c>
      <c r="V1811">
        <f t="shared" si="740"/>
        <v>2</v>
      </c>
      <c r="W1811" t="str">
        <f t="shared" si="741"/>
        <v>Siempre</v>
      </c>
      <c r="X1811">
        <v>0</v>
      </c>
      <c r="Y1811" t="str">
        <f t="shared" si="742"/>
        <v>No controla</v>
      </c>
      <c r="Z1811">
        <v>0</v>
      </c>
      <c r="AA1811">
        <f t="shared" si="743"/>
        <v>0</v>
      </c>
      <c r="AB1811" t="str">
        <f t="shared" si="744"/>
        <v>Nunca</v>
      </c>
      <c r="AC1811">
        <v>0.479348</v>
      </c>
      <c r="AD1811">
        <f t="shared" si="745"/>
        <v>0</v>
      </c>
      <c r="AE1811" t="str">
        <f t="shared" si="746"/>
        <v>Nunca</v>
      </c>
      <c r="AF1811">
        <v>1</v>
      </c>
      <c r="AG1811" t="str">
        <f t="shared" si="747"/>
        <v>A veces</v>
      </c>
      <c r="AH1811">
        <v>0</v>
      </c>
      <c r="AI1811" t="str">
        <f t="shared" si="748"/>
        <v>No usa</v>
      </c>
      <c r="AJ1811">
        <v>0</v>
      </c>
      <c r="AK1811" t="str">
        <f t="shared" si="749"/>
        <v>No usa</v>
      </c>
      <c r="AL1811">
        <v>0</v>
      </c>
      <c r="AM1811" t="str">
        <f t="shared" si="750"/>
        <v>No usa</v>
      </c>
      <c r="AN1811">
        <v>1</v>
      </c>
      <c r="AO1811" t="str">
        <f t="shared" si="751"/>
        <v>Usa Transporte</v>
      </c>
      <c r="AP1811">
        <v>0</v>
      </c>
      <c r="AQ1811" t="str">
        <f t="shared" si="752"/>
        <v>No camina</v>
      </c>
      <c r="AR1811">
        <v>1</v>
      </c>
      <c r="AS1811" t="str">
        <f t="shared" si="753"/>
        <v>Es Obeso</v>
      </c>
    </row>
    <row r="1812" spans="1:45" x14ac:dyDescent="0.25">
      <c r="A1812">
        <v>0</v>
      </c>
      <c r="B1812" t="str">
        <f t="shared" si="728"/>
        <v>F</v>
      </c>
      <c r="C1812">
        <v>26</v>
      </c>
      <c r="D1812">
        <f t="shared" si="729"/>
        <v>26</v>
      </c>
      <c r="E1812">
        <f t="shared" si="730"/>
        <v>26</v>
      </c>
      <c r="F1812" t="str">
        <f t="shared" si="731"/>
        <v>25-50</v>
      </c>
      <c r="G1812">
        <v>1</v>
      </c>
      <c r="H1812" t="str">
        <f t="shared" si="732"/>
        <v>Pariente gordo</v>
      </c>
      <c r="I1812">
        <v>1</v>
      </c>
      <c r="J1812" t="str">
        <f t="shared" si="733"/>
        <v>Hipercaloricos</v>
      </c>
      <c r="K1812">
        <v>3</v>
      </c>
      <c r="L1812">
        <f t="shared" si="734"/>
        <v>1</v>
      </c>
      <c r="M1812" t="str">
        <f t="shared" si="735"/>
        <v>Suele comer</v>
      </c>
      <c r="N1812">
        <v>3</v>
      </c>
      <c r="O1812">
        <f t="shared" si="736"/>
        <v>2</v>
      </c>
      <c r="P1812" t="str">
        <f t="shared" si="737"/>
        <v>Mas de 3</v>
      </c>
      <c r="Q1812">
        <v>1</v>
      </c>
      <c r="R1812" t="str">
        <f t="shared" si="738"/>
        <v>A veces</v>
      </c>
      <c r="S1812">
        <v>0</v>
      </c>
      <c r="T1812" t="str">
        <f t="shared" si="739"/>
        <v>No fuma</v>
      </c>
      <c r="U1812">
        <v>2578292</v>
      </c>
      <c r="V1812">
        <f t="shared" si="740"/>
        <v>2</v>
      </c>
      <c r="W1812" t="str">
        <f t="shared" si="741"/>
        <v>Siempre</v>
      </c>
      <c r="X1812">
        <v>0</v>
      </c>
      <c r="Y1812" t="str">
        <f t="shared" si="742"/>
        <v>No controla</v>
      </c>
      <c r="Z1812">
        <v>0</v>
      </c>
      <c r="AA1812">
        <f t="shared" si="743"/>
        <v>0</v>
      </c>
      <c r="AB1812" t="str">
        <f t="shared" si="744"/>
        <v>Nunca</v>
      </c>
      <c r="AC1812">
        <v>0.492394</v>
      </c>
      <c r="AD1812">
        <f t="shared" si="745"/>
        <v>0</v>
      </c>
      <c r="AE1812" t="str">
        <f t="shared" si="746"/>
        <v>Nunca</v>
      </c>
      <c r="AF1812">
        <v>1</v>
      </c>
      <c r="AG1812" t="str">
        <f t="shared" si="747"/>
        <v>A veces</v>
      </c>
      <c r="AH1812">
        <v>0</v>
      </c>
      <c r="AI1812" t="str">
        <f t="shared" si="748"/>
        <v>No usa</v>
      </c>
      <c r="AJ1812">
        <v>0</v>
      </c>
      <c r="AK1812" t="str">
        <f t="shared" si="749"/>
        <v>No usa</v>
      </c>
      <c r="AL1812">
        <v>0</v>
      </c>
      <c r="AM1812" t="str">
        <f t="shared" si="750"/>
        <v>No usa</v>
      </c>
      <c r="AN1812">
        <v>1</v>
      </c>
      <c r="AO1812" t="str">
        <f t="shared" si="751"/>
        <v>Usa Transporte</v>
      </c>
      <c r="AP1812">
        <v>0</v>
      </c>
      <c r="AQ1812" t="str">
        <f t="shared" si="752"/>
        <v>No camina</v>
      </c>
      <c r="AR1812">
        <v>1</v>
      </c>
      <c r="AS1812" t="str">
        <f t="shared" si="753"/>
        <v>Es Obeso</v>
      </c>
    </row>
    <row r="1813" spans="1:45" x14ac:dyDescent="0.25">
      <c r="A1813">
        <v>0</v>
      </c>
      <c r="B1813" t="str">
        <f t="shared" si="728"/>
        <v>F</v>
      </c>
      <c r="C1813">
        <v>21334585</v>
      </c>
      <c r="D1813">
        <f t="shared" si="729"/>
        <v>58</v>
      </c>
      <c r="E1813">
        <f t="shared" si="730"/>
        <v>58</v>
      </c>
      <c r="F1813" t="str">
        <f t="shared" si="731"/>
        <v>50-75</v>
      </c>
      <c r="G1813">
        <v>1</v>
      </c>
      <c r="H1813" t="str">
        <f t="shared" si="732"/>
        <v>Pariente gordo</v>
      </c>
      <c r="I1813">
        <v>1</v>
      </c>
      <c r="J1813" t="str">
        <f t="shared" si="733"/>
        <v>Hipercaloricos</v>
      </c>
      <c r="K1813">
        <v>3</v>
      </c>
      <c r="L1813">
        <f t="shared" si="734"/>
        <v>1</v>
      </c>
      <c r="M1813" t="str">
        <f t="shared" si="735"/>
        <v>Suele comer</v>
      </c>
      <c r="N1813">
        <v>3</v>
      </c>
      <c r="O1813">
        <f t="shared" si="736"/>
        <v>2</v>
      </c>
      <c r="P1813" t="str">
        <f t="shared" si="737"/>
        <v>Mas de 3</v>
      </c>
      <c r="Q1813">
        <v>1</v>
      </c>
      <c r="R1813" t="str">
        <f t="shared" si="738"/>
        <v>A veces</v>
      </c>
      <c r="S1813">
        <v>0</v>
      </c>
      <c r="T1813" t="str">
        <f t="shared" si="739"/>
        <v>No fuma</v>
      </c>
      <c r="U1813">
        <v>1302193</v>
      </c>
      <c r="V1813">
        <f t="shared" si="740"/>
        <v>2</v>
      </c>
      <c r="W1813" t="str">
        <f t="shared" si="741"/>
        <v>Siempre</v>
      </c>
      <c r="X1813">
        <v>0</v>
      </c>
      <c r="Y1813" t="str">
        <f t="shared" si="742"/>
        <v>No controla</v>
      </c>
      <c r="Z1813">
        <v>1742453</v>
      </c>
      <c r="AA1813">
        <f t="shared" si="743"/>
        <v>3</v>
      </c>
      <c r="AB1813" t="str">
        <f t="shared" si="744"/>
        <v>Siempre</v>
      </c>
      <c r="AC1813">
        <v>0.94232000000000005</v>
      </c>
      <c r="AD1813">
        <f t="shared" si="745"/>
        <v>0</v>
      </c>
      <c r="AE1813" t="str">
        <f t="shared" si="746"/>
        <v>Nunca</v>
      </c>
      <c r="AF1813">
        <v>1</v>
      </c>
      <c r="AG1813" t="str">
        <f t="shared" si="747"/>
        <v>A veces</v>
      </c>
      <c r="AH1813">
        <v>0</v>
      </c>
      <c r="AI1813" t="str">
        <f t="shared" si="748"/>
        <v>No usa</v>
      </c>
      <c r="AJ1813">
        <v>0</v>
      </c>
      <c r="AK1813" t="str">
        <f t="shared" si="749"/>
        <v>No usa</v>
      </c>
      <c r="AL1813">
        <v>0</v>
      </c>
      <c r="AM1813" t="str">
        <f t="shared" si="750"/>
        <v>No usa</v>
      </c>
      <c r="AN1813">
        <v>1</v>
      </c>
      <c r="AO1813" t="str">
        <f t="shared" si="751"/>
        <v>Usa Transporte</v>
      </c>
      <c r="AP1813">
        <v>0</v>
      </c>
      <c r="AQ1813" t="str">
        <f t="shared" si="752"/>
        <v>No camina</v>
      </c>
      <c r="AR1813">
        <v>1</v>
      </c>
      <c r="AS1813" t="str">
        <f t="shared" si="753"/>
        <v>Es Obeso</v>
      </c>
    </row>
    <row r="1814" spans="1:45" x14ac:dyDescent="0.25">
      <c r="A1814">
        <v>0</v>
      </c>
      <c r="B1814" t="str">
        <f t="shared" si="728"/>
        <v>F</v>
      </c>
      <c r="C1814">
        <v>22978655</v>
      </c>
      <c r="D1814">
        <f t="shared" si="729"/>
        <v>62</v>
      </c>
      <c r="E1814">
        <f t="shared" si="730"/>
        <v>62</v>
      </c>
      <c r="F1814" t="str">
        <f t="shared" si="731"/>
        <v>50-75</v>
      </c>
      <c r="G1814">
        <v>1</v>
      </c>
      <c r="H1814" t="str">
        <f t="shared" si="732"/>
        <v>Pariente gordo</v>
      </c>
      <c r="I1814">
        <v>1</v>
      </c>
      <c r="J1814" t="str">
        <f t="shared" si="733"/>
        <v>Hipercaloricos</v>
      </c>
      <c r="K1814">
        <v>3</v>
      </c>
      <c r="L1814">
        <f t="shared" si="734"/>
        <v>1</v>
      </c>
      <c r="M1814" t="str">
        <f t="shared" si="735"/>
        <v>Suele comer</v>
      </c>
      <c r="N1814">
        <v>3</v>
      </c>
      <c r="O1814">
        <f t="shared" si="736"/>
        <v>2</v>
      </c>
      <c r="P1814" t="str">
        <f t="shared" si="737"/>
        <v>Mas de 3</v>
      </c>
      <c r="Q1814">
        <v>1</v>
      </c>
      <c r="R1814" t="str">
        <f t="shared" si="738"/>
        <v>A veces</v>
      </c>
      <c r="S1814">
        <v>0</v>
      </c>
      <c r="T1814" t="str">
        <f t="shared" si="739"/>
        <v>No fuma</v>
      </c>
      <c r="U1814">
        <v>2408442</v>
      </c>
      <c r="V1814">
        <f t="shared" si="740"/>
        <v>2</v>
      </c>
      <c r="W1814" t="str">
        <f t="shared" si="741"/>
        <v>Siempre</v>
      </c>
      <c r="X1814">
        <v>0</v>
      </c>
      <c r="Y1814" t="str">
        <f t="shared" si="742"/>
        <v>No controla</v>
      </c>
      <c r="Z1814">
        <v>0.19405600000000001</v>
      </c>
      <c r="AA1814">
        <f t="shared" si="743"/>
        <v>0</v>
      </c>
      <c r="AB1814" t="str">
        <f t="shared" si="744"/>
        <v>Nunca</v>
      </c>
      <c r="AC1814">
        <v>0.80314099999999999</v>
      </c>
      <c r="AD1814">
        <f t="shared" si="745"/>
        <v>0</v>
      </c>
      <c r="AE1814" t="str">
        <f t="shared" si="746"/>
        <v>Nunca</v>
      </c>
      <c r="AF1814">
        <v>1</v>
      </c>
      <c r="AG1814" t="str">
        <f t="shared" si="747"/>
        <v>A veces</v>
      </c>
      <c r="AH1814">
        <v>0</v>
      </c>
      <c r="AI1814" t="str">
        <f t="shared" si="748"/>
        <v>No usa</v>
      </c>
      <c r="AJ1814">
        <v>0</v>
      </c>
      <c r="AK1814" t="str">
        <f t="shared" si="749"/>
        <v>No usa</v>
      </c>
      <c r="AL1814">
        <v>0</v>
      </c>
      <c r="AM1814" t="str">
        <f t="shared" si="750"/>
        <v>No usa</v>
      </c>
      <c r="AN1814">
        <v>1</v>
      </c>
      <c r="AO1814" t="str">
        <f t="shared" si="751"/>
        <v>Usa Transporte</v>
      </c>
      <c r="AP1814">
        <v>0</v>
      </c>
      <c r="AQ1814" t="str">
        <f t="shared" si="752"/>
        <v>No camina</v>
      </c>
      <c r="AR1814">
        <v>1</v>
      </c>
      <c r="AS1814" t="str">
        <f t="shared" si="753"/>
        <v>Es Obeso</v>
      </c>
    </row>
    <row r="1815" spans="1:45" x14ac:dyDescent="0.25">
      <c r="A1815">
        <v>0</v>
      </c>
      <c r="B1815" t="str">
        <f t="shared" si="728"/>
        <v>F</v>
      </c>
      <c r="C1815">
        <v>2101245</v>
      </c>
      <c r="D1815">
        <f t="shared" si="729"/>
        <v>5</v>
      </c>
      <c r="E1815">
        <f t="shared" si="730"/>
        <v>5</v>
      </c>
      <c r="F1815" t="str">
        <f t="shared" si="731"/>
        <v>1-25</v>
      </c>
      <c r="G1815">
        <v>1</v>
      </c>
      <c r="H1815" t="str">
        <f t="shared" si="732"/>
        <v>Pariente gordo</v>
      </c>
      <c r="I1815">
        <v>1</v>
      </c>
      <c r="J1815" t="str">
        <f t="shared" si="733"/>
        <v>Hipercaloricos</v>
      </c>
      <c r="K1815">
        <v>3</v>
      </c>
      <c r="L1815">
        <f t="shared" si="734"/>
        <v>1</v>
      </c>
      <c r="M1815" t="str">
        <f t="shared" si="735"/>
        <v>Suele comer</v>
      </c>
      <c r="N1815">
        <v>3</v>
      </c>
      <c r="O1815">
        <f t="shared" si="736"/>
        <v>2</v>
      </c>
      <c r="P1815" t="str">
        <f t="shared" si="737"/>
        <v>Mas de 3</v>
      </c>
      <c r="Q1815">
        <v>1</v>
      </c>
      <c r="R1815" t="str">
        <f t="shared" si="738"/>
        <v>A veces</v>
      </c>
      <c r="S1815">
        <v>0</v>
      </c>
      <c r="T1815" t="str">
        <f t="shared" si="739"/>
        <v>No fuma</v>
      </c>
      <c r="U1815">
        <v>1705218</v>
      </c>
      <c r="V1815">
        <f t="shared" si="740"/>
        <v>2</v>
      </c>
      <c r="W1815" t="str">
        <f t="shared" si="741"/>
        <v>Siempre</v>
      </c>
      <c r="X1815">
        <v>0</v>
      </c>
      <c r="Y1815" t="str">
        <f t="shared" si="742"/>
        <v>No controla</v>
      </c>
      <c r="Z1815">
        <v>0.39093699999999998</v>
      </c>
      <c r="AA1815">
        <f t="shared" si="743"/>
        <v>0</v>
      </c>
      <c r="AB1815" t="str">
        <f t="shared" si="744"/>
        <v>Nunca</v>
      </c>
      <c r="AC1815">
        <v>0.99864600000000003</v>
      </c>
      <c r="AD1815">
        <f t="shared" si="745"/>
        <v>0</v>
      </c>
      <c r="AE1815" t="str">
        <f t="shared" si="746"/>
        <v>Nunca</v>
      </c>
      <c r="AF1815">
        <v>1</v>
      </c>
      <c r="AG1815" t="str">
        <f t="shared" si="747"/>
        <v>A veces</v>
      </c>
      <c r="AH1815">
        <v>0</v>
      </c>
      <c r="AI1815" t="str">
        <f t="shared" si="748"/>
        <v>No usa</v>
      </c>
      <c r="AJ1815">
        <v>0</v>
      </c>
      <c r="AK1815" t="str">
        <f t="shared" si="749"/>
        <v>No usa</v>
      </c>
      <c r="AL1815">
        <v>0</v>
      </c>
      <c r="AM1815" t="str">
        <f t="shared" si="750"/>
        <v>No usa</v>
      </c>
      <c r="AN1815">
        <v>1</v>
      </c>
      <c r="AO1815" t="str">
        <f t="shared" si="751"/>
        <v>Usa Transporte</v>
      </c>
      <c r="AP1815">
        <v>0</v>
      </c>
      <c r="AQ1815" t="str">
        <f t="shared" si="752"/>
        <v>No camina</v>
      </c>
      <c r="AR1815">
        <v>1</v>
      </c>
      <c r="AS1815" t="str">
        <f t="shared" si="753"/>
        <v>Es Obeso</v>
      </c>
    </row>
    <row r="1816" spans="1:45" x14ac:dyDescent="0.25">
      <c r="A1816">
        <v>0</v>
      </c>
      <c r="B1816" t="str">
        <f t="shared" si="728"/>
        <v>F</v>
      </c>
      <c r="C1816">
        <v>21056059</v>
      </c>
      <c r="D1816">
        <f t="shared" si="729"/>
        <v>57</v>
      </c>
      <c r="E1816">
        <f t="shared" si="730"/>
        <v>57</v>
      </c>
      <c r="F1816" t="str">
        <f t="shared" si="731"/>
        <v>50-75</v>
      </c>
      <c r="G1816">
        <v>1</v>
      </c>
      <c r="H1816" t="str">
        <f t="shared" si="732"/>
        <v>Pariente gordo</v>
      </c>
      <c r="I1816">
        <v>1</v>
      </c>
      <c r="J1816" t="str">
        <f t="shared" si="733"/>
        <v>Hipercaloricos</v>
      </c>
      <c r="K1816">
        <v>3</v>
      </c>
      <c r="L1816">
        <f t="shared" si="734"/>
        <v>1</v>
      </c>
      <c r="M1816" t="str">
        <f t="shared" si="735"/>
        <v>Suele comer</v>
      </c>
      <c r="N1816">
        <v>3</v>
      </c>
      <c r="O1816">
        <f t="shared" si="736"/>
        <v>2</v>
      </c>
      <c r="P1816" t="str">
        <f t="shared" si="737"/>
        <v>Mas de 3</v>
      </c>
      <c r="Q1816">
        <v>1</v>
      </c>
      <c r="R1816" t="str">
        <f t="shared" si="738"/>
        <v>A veces</v>
      </c>
      <c r="S1816">
        <v>0</v>
      </c>
      <c r="T1816" t="str">
        <f t="shared" si="739"/>
        <v>No fuma</v>
      </c>
      <c r="U1816">
        <v>2374958</v>
      </c>
      <c r="V1816">
        <f t="shared" si="740"/>
        <v>2</v>
      </c>
      <c r="W1816" t="str">
        <f t="shared" si="741"/>
        <v>Siempre</v>
      </c>
      <c r="X1816">
        <v>0</v>
      </c>
      <c r="Y1816" t="str">
        <f t="shared" si="742"/>
        <v>No controla</v>
      </c>
      <c r="Z1816">
        <v>0.75011099999999997</v>
      </c>
      <c r="AA1816">
        <f t="shared" si="743"/>
        <v>0</v>
      </c>
      <c r="AB1816" t="str">
        <f t="shared" si="744"/>
        <v>Nunca</v>
      </c>
      <c r="AC1816">
        <v>0.671458</v>
      </c>
      <c r="AD1816">
        <f t="shared" si="745"/>
        <v>0</v>
      </c>
      <c r="AE1816" t="str">
        <f t="shared" si="746"/>
        <v>Nunca</v>
      </c>
      <c r="AF1816">
        <v>1</v>
      </c>
      <c r="AG1816" t="str">
        <f t="shared" si="747"/>
        <v>A veces</v>
      </c>
      <c r="AH1816">
        <v>0</v>
      </c>
      <c r="AI1816" t="str">
        <f t="shared" si="748"/>
        <v>No usa</v>
      </c>
      <c r="AJ1816">
        <v>0</v>
      </c>
      <c r="AK1816" t="str">
        <f t="shared" si="749"/>
        <v>No usa</v>
      </c>
      <c r="AL1816">
        <v>0</v>
      </c>
      <c r="AM1816" t="str">
        <f t="shared" si="750"/>
        <v>No usa</v>
      </c>
      <c r="AN1816">
        <v>1</v>
      </c>
      <c r="AO1816" t="str">
        <f t="shared" si="751"/>
        <v>Usa Transporte</v>
      </c>
      <c r="AP1816">
        <v>0</v>
      </c>
      <c r="AQ1816" t="str">
        <f t="shared" si="752"/>
        <v>No camina</v>
      </c>
      <c r="AR1816">
        <v>1</v>
      </c>
      <c r="AS1816" t="str">
        <f t="shared" si="753"/>
        <v>Es Obeso</v>
      </c>
    </row>
    <row r="1817" spans="1:45" x14ac:dyDescent="0.25">
      <c r="A1817">
        <v>0</v>
      </c>
      <c r="B1817" t="str">
        <f t="shared" si="728"/>
        <v>F</v>
      </c>
      <c r="C1817">
        <v>18771001</v>
      </c>
      <c r="D1817">
        <f t="shared" si="729"/>
        <v>51</v>
      </c>
      <c r="E1817">
        <f t="shared" si="730"/>
        <v>51</v>
      </c>
      <c r="F1817" t="str">
        <f t="shared" si="731"/>
        <v>50-75</v>
      </c>
      <c r="G1817">
        <v>1</v>
      </c>
      <c r="H1817" t="str">
        <f t="shared" si="732"/>
        <v>Pariente gordo</v>
      </c>
      <c r="I1817">
        <v>1</v>
      </c>
      <c r="J1817" t="str">
        <f t="shared" si="733"/>
        <v>Hipercaloricos</v>
      </c>
      <c r="K1817">
        <v>3</v>
      </c>
      <c r="L1817">
        <f t="shared" si="734"/>
        <v>1</v>
      </c>
      <c r="M1817" t="str">
        <f t="shared" si="735"/>
        <v>Suele comer</v>
      </c>
      <c r="N1817">
        <v>3</v>
      </c>
      <c r="O1817">
        <f t="shared" si="736"/>
        <v>2</v>
      </c>
      <c r="P1817" t="str">
        <f t="shared" si="737"/>
        <v>Mas de 3</v>
      </c>
      <c r="Q1817">
        <v>1</v>
      </c>
      <c r="R1817" t="str">
        <f t="shared" si="738"/>
        <v>A veces</v>
      </c>
      <c r="S1817">
        <v>0</v>
      </c>
      <c r="T1817" t="str">
        <f t="shared" si="739"/>
        <v>No fuma</v>
      </c>
      <c r="U1817">
        <v>2869234</v>
      </c>
      <c r="V1817">
        <f t="shared" si="740"/>
        <v>2</v>
      </c>
      <c r="W1817" t="str">
        <f t="shared" si="741"/>
        <v>Siempre</v>
      </c>
      <c r="X1817">
        <v>0</v>
      </c>
      <c r="Y1817" t="str">
        <f t="shared" si="742"/>
        <v>No controla</v>
      </c>
      <c r="Z1817">
        <v>1465931</v>
      </c>
      <c r="AA1817">
        <f t="shared" si="743"/>
        <v>3</v>
      </c>
      <c r="AB1817" t="str">
        <f t="shared" si="744"/>
        <v>Siempre</v>
      </c>
      <c r="AC1817">
        <v>0.62788600000000006</v>
      </c>
      <c r="AD1817">
        <f t="shared" si="745"/>
        <v>0</v>
      </c>
      <c r="AE1817" t="str">
        <f t="shared" si="746"/>
        <v>Nunca</v>
      </c>
      <c r="AF1817">
        <v>1</v>
      </c>
      <c r="AG1817" t="str">
        <f t="shared" si="747"/>
        <v>A veces</v>
      </c>
      <c r="AH1817">
        <v>0</v>
      </c>
      <c r="AI1817" t="str">
        <f t="shared" si="748"/>
        <v>No usa</v>
      </c>
      <c r="AJ1817">
        <v>0</v>
      </c>
      <c r="AK1817" t="str">
        <f t="shared" si="749"/>
        <v>No usa</v>
      </c>
      <c r="AL1817">
        <v>0</v>
      </c>
      <c r="AM1817" t="str">
        <f t="shared" si="750"/>
        <v>No usa</v>
      </c>
      <c r="AN1817">
        <v>1</v>
      </c>
      <c r="AO1817" t="str">
        <f t="shared" si="751"/>
        <v>Usa Transporte</v>
      </c>
      <c r="AP1817">
        <v>0</v>
      </c>
      <c r="AQ1817" t="str">
        <f t="shared" si="752"/>
        <v>No camina</v>
      </c>
      <c r="AR1817">
        <v>1</v>
      </c>
      <c r="AS1817" t="str">
        <f t="shared" si="753"/>
        <v>Es Obeso</v>
      </c>
    </row>
    <row r="1818" spans="1:45" x14ac:dyDescent="0.25">
      <c r="A1818">
        <v>0</v>
      </c>
      <c r="B1818" t="str">
        <f t="shared" si="728"/>
        <v>F</v>
      </c>
      <c r="C1818">
        <v>24265943</v>
      </c>
      <c r="D1818">
        <f t="shared" si="729"/>
        <v>66</v>
      </c>
      <c r="E1818">
        <f t="shared" si="730"/>
        <v>66</v>
      </c>
      <c r="F1818" t="str">
        <f t="shared" si="731"/>
        <v>50-75</v>
      </c>
      <c r="G1818">
        <v>1</v>
      </c>
      <c r="H1818" t="str">
        <f t="shared" si="732"/>
        <v>Pariente gordo</v>
      </c>
      <c r="I1818">
        <v>1</v>
      </c>
      <c r="J1818" t="str">
        <f t="shared" si="733"/>
        <v>Hipercaloricos</v>
      </c>
      <c r="K1818">
        <v>3</v>
      </c>
      <c r="L1818">
        <f t="shared" si="734"/>
        <v>1</v>
      </c>
      <c r="M1818" t="str">
        <f t="shared" si="735"/>
        <v>Suele comer</v>
      </c>
      <c r="N1818">
        <v>3</v>
      </c>
      <c r="O1818">
        <f t="shared" si="736"/>
        <v>2</v>
      </c>
      <c r="P1818" t="str">
        <f t="shared" si="737"/>
        <v>Mas de 3</v>
      </c>
      <c r="Q1818">
        <v>1</v>
      </c>
      <c r="R1818" t="str">
        <f t="shared" si="738"/>
        <v>A veces</v>
      </c>
      <c r="S1818">
        <v>0</v>
      </c>
      <c r="T1818" t="str">
        <f t="shared" si="739"/>
        <v>No fuma</v>
      </c>
      <c r="U1818">
        <v>2987406</v>
      </c>
      <c r="V1818">
        <f t="shared" si="740"/>
        <v>2</v>
      </c>
      <c r="W1818" t="str">
        <f t="shared" si="741"/>
        <v>Siempre</v>
      </c>
      <c r="X1818">
        <v>0</v>
      </c>
      <c r="Y1818" t="str">
        <f t="shared" si="742"/>
        <v>No controla</v>
      </c>
      <c r="Z1818">
        <v>0.38925999999999999</v>
      </c>
      <c r="AA1818">
        <f t="shared" si="743"/>
        <v>0</v>
      </c>
      <c r="AB1818" t="str">
        <f t="shared" si="744"/>
        <v>Nunca</v>
      </c>
      <c r="AC1818">
        <v>0.52677600000000002</v>
      </c>
      <c r="AD1818">
        <f t="shared" si="745"/>
        <v>0</v>
      </c>
      <c r="AE1818" t="str">
        <f t="shared" si="746"/>
        <v>Nunca</v>
      </c>
      <c r="AF1818">
        <v>1</v>
      </c>
      <c r="AG1818" t="str">
        <f t="shared" si="747"/>
        <v>A veces</v>
      </c>
      <c r="AH1818">
        <v>0</v>
      </c>
      <c r="AI1818" t="str">
        <f t="shared" si="748"/>
        <v>No usa</v>
      </c>
      <c r="AJ1818">
        <v>0</v>
      </c>
      <c r="AK1818" t="str">
        <f t="shared" si="749"/>
        <v>No usa</v>
      </c>
      <c r="AL1818">
        <v>0</v>
      </c>
      <c r="AM1818" t="str">
        <f t="shared" si="750"/>
        <v>No usa</v>
      </c>
      <c r="AN1818">
        <v>1</v>
      </c>
      <c r="AO1818" t="str">
        <f t="shared" si="751"/>
        <v>Usa Transporte</v>
      </c>
      <c r="AP1818">
        <v>0</v>
      </c>
      <c r="AQ1818" t="str">
        <f t="shared" si="752"/>
        <v>No camina</v>
      </c>
      <c r="AR1818">
        <v>1</v>
      </c>
      <c r="AS1818" t="str">
        <f t="shared" si="753"/>
        <v>Es Obeso</v>
      </c>
    </row>
    <row r="1819" spans="1:45" x14ac:dyDescent="0.25">
      <c r="A1819">
        <v>0</v>
      </c>
      <c r="B1819" t="str">
        <f t="shared" si="728"/>
        <v>F</v>
      </c>
      <c r="C1819">
        <v>26</v>
      </c>
      <c r="D1819">
        <f t="shared" si="729"/>
        <v>26</v>
      </c>
      <c r="E1819">
        <f t="shared" si="730"/>
        <v>26</v>
      </c>
      <c r="F1819" t="str">
        <f t="shared" si="731"/>
        <v>25-50</v>
      </c>
      <c r="G1819">
        <v>1</v>
      </c>
      <c r="H1819" t="str">
        <f t="shared" si="732"/>
        <v>Pariente gordo</v>
      </c>
      <c r="I1819">
        <v>1</v>
      </c>
      <c r="J1819" t="str">
        <f t="shared" si="733"/>
        <v>Hipercaloricos</v>
      </c>
      <c r="K1819">
        <v>3</v>
      </c>
      <c r="L1819">
        <f t="shared" si="734"/>
        <v>1</v>
      </c>
      <c r="M1819" t="str">
        <f t="shared" si="735"/>
        <v>Suele comer</v>
      </c>
      <c r="N1819">
        <v>3</v>
      </c>
      <c r="O1819">
        <f t="shared" si="736"/>
        <v>2</v>
      </c>
      <c r="P1819" t="str">
        <f t="shared" si="737"/>
        <v>Mas de 3</v>
      </c>
      <c r="Q1819">
        <v>1</v>
      </c>
      <c r="R1819" t="str">
        <f t="shared" si="738"/>
        <v>A veces</v>
      </c>
      <c r="S1819">
        <v>0</v>
      </c>
      <c r="T1819" t="str">
        <f t="shared" si="739"/>
        <v>No fuma</v>
      </c>
      <c r="U1819">
        <v>2737091</v>
      </c>
      <c r="V1819">
        <f t="shared" si="740"/>
        <v>2</v>
      </c>
      <c r="W1819" t="str">
        <f t="shared" si="741"/>
        <v>Siempre</v>
      </c>
      <c r="X1819">
        <v>0</v>
      </c>
      <c r="Y1819" t="str">
        <f t="shared" si="742"/>
        <v>No controla</v>
      </c>
      <c r="Z1819">
        <v>0</v>
      </c>
      <c r="AA1819">
        <f t="shared" si="743"/>
        <v>0</v>
      </c>
      <c r="AB1819" t="str">
        <f t="shared" si="744"/>
        <v>Nunca</v>
      </c>
      <c r="AC1819">
        <v>3.7078E-2</v>
      </c>
      <c r="AD1819">
        <f t="shared" si="745"/>
        <v>0</v>
      </c>
      <c r="AE1819" t="str">
        <f t="shared" si="746"/>
        <v>Nunca</v>
      </c>
      <c r="AF1819">
        <v>1</v>
      </c>
      <c r="AG1819" t="str">
        <f t="shared" si="747"/>
        <v>A veces</v>
      </c>
      <c r="AH1819">
        <v>0</v>
      </c>
      <c r="AI1819" t="str">
        <f t="shared" si="748"/>
        <v>No usa</v>
      </c>
      <c r="AJ1819">
        <v>0</v>
      </c>
      <c r="AK1819" t="str">
        <f t="shared" si="749"/>
        <v>No usa</v>
      </c>
      <c r="AL1819">
        <v>0</v>
      </c>
      <c r="AM1819" t="str">
        <f t="shared" si="750"/>
        <v>No usa</v>
      </c>
      <c r="AN1819">
        <v>1</v>
      </c>
      <c r="AO1819" t="str">
        <f t="shared" si="751"/>
        <v>Usa Transporte</v>
      </c>
      <c r="AP1819">
        <v>0</v>
      </c>
      <c r="AQ1819" t="str">
        <f t="shared" si="752"/>
        <v>No camina</v>
      </c>
      <c r="AR1819">
        <v>1</v>
      </c>
      <c r="AS1819" t="str">
        <f t="shared" si="753"/>
        <v>Es Obeso</v>
      </c>
    </row>
    <row r="1820" spans="1:45" x14ac:dyDescent="0.25">
      <c r="A1820">
        <v>0</v>
      </c>
      <c r="B1820" t="str">
        <f t="shared" si="728"/>
        <v>F</v>
      </c>
      <c r="C1820">
        <v>26</v>
      </c>
      <c r="D1820">
        <f t="shared" si="729"/>
        <v>26</v>
      </c>
      <c r="E1820">
        <f t="shared" si="730"/>
        <v>26</v>
      </c>
      <c r="F1820" t="str">
        <f t="shared" si="731"/>
        <v>25-50</v>
      </c>
      <c r="G1820">
        <v>1</v>
      </c>
      <c r="H1820" t="str">
        <f t="shared" si="732"/>
        <v>Pariente gordo</v>
      </c>
      <c r="I1820">
        <v>1</v>
      </c>
      <c r="J1820" t="str">
        <f t="shared" si="733"/>
        <v>Hipercaloricos</v>
      </c>
      <c r="K1820">
        <v>3</v>
      </c>
      <c r="L1820">
        <f t="shared" si="734"/>
        <v>1</v>
      </c>
      <c r="M1820" t="str">
        <f t="shared" si="735"/>
        <v>Suele comer</v>
      </c>
      <c r="N1820">
        <v>3</v>
      </c>
      <c r="O1820">
        <f t="shared" si="736"/>
        <v>2</v>
      </c>
      <c r="P1820" t="str">
        <f t="shared" si="737"/>
        <v>Mas de 3</v>
      </c>
      <c r="Q1820">
        <v>1</v>
      </c>
      <c r="R1820" t="str">
        <f t="shared" si="738"/>
        <v>A veces</v>
      </c>
      <c r="S1820">
        <v>0</v>
      </c>
      <c r="T1820" t="str">
        <f t="shared" si="739"/>
        <v>No fuma</v>
      </c>
      <c r="U1820">
        <v>2623489</v>
      </c>
      <c r="V1820">
        <f t="shared" si="740"/>
        <v>2</v>
      </c>
      <c r="W1820" t="str">
        <f t="shared" si="741"/>
        <v>Siempre</v>
      </c>
      <c r="X1820">
        <v>0</v>
      </c>
      <c r="Y1820" t="str">
        <f t="shared" si="742"/>
        <v>No controla</v>
      </c>
      <c r="Z1820">
        <v>0</v>
      </c>
      <c r="AA1820">
        <f t="shared" si="743"/>
        <v>0</v>
      </c>
      <c r="AB1820" t="str">
        <f t="shared" si="744"/>
        <v>Nunca</v>
      </c>
      <c r="AC1820">
        <v>0.13856299999999999</v>
      </c>
      <c r="AD1820">
        <f t="shared" si="745"/>
        <v>0</v>
      </c>
      <c r="AE1820" t="str">
        <f t="shared" si="746"/>
        <v>Nunca</v>
      </c>
      <c r="AF1820">
        <v>1</v>
      </c>
      <c r="AG1820" t="str">
        <f t="shared" si="747"/>
        <v>A veces</v>
      </c>
      <c r="AH1820">
        <v>0</v>
      </c>
      <c r="AI1820" t="str">
        <f t="shared" si="748"/>
        <v>No usa</v>
      </c>
      <c r="AJ1820">
        <v>0</v>
      </c>
      <c r="AK1820" t="str">
        <f t="shared" si="749"/>
        <v>No usa</v>
      </c>
      <c r="AL1820">
        <v>0</v>
      </c>
      <c r="AM1820" t="str">
        <f t="shared" si="750"/>
        <v>No usa</v>
      </c>
      <c r="AN1820">
        <v>1</v>
      </c>
      <c r="AO1820" t="str">
        <f t="shared" si="751"/>
        <v>Usa Transporte</v>
      </c>
      <c r="AP1820">
        <v>0</v>
      </c>
      <c r="AQ1820" t="str">
        <f t="shared" si="752"/>
        <v>No camina</v>
      </c>
      <c r="AR1820">
        <v>1</v>
      </c>
      <c r="AS1820" t="str">
        <f t="shared" si="753"/>
        <v>Es Obeso</v>
      </c>
    </row>
    <row r="1821" spans="1:45" x14ac:dyDescent="0.25">
      <c r="A1821">
        <v>0</v>
      </c>
      <c r="B1821" t="str">
        <f t="shared" si="728"/>
        <v>F</v>
      </c>
      <c r="C1821">
        <v>2596701</v>
      </c>
      <c r="D1821">
        <f t="shared" si="729"/>
        <v>7</v>
      </c>
      <c r="E1821">
        <f t="shared" si="730"/>
        <v>7</v>
      </c>
      <c r="F1821" t="str">
        <f t="shared" si="731"/>
        <v>1-25</v>
      </c>
      <c r="G1821">
        <v>1</v>
      </c>
      <c r="H1821" t="str">
        <f t="shared" si="732"/>
        <v>Pariente gordo</v>
      </c>
      <c r="I1821">
        <v>1</v>
      </c>
      <c r="J1821" t="str">
        <f t="shared" si="733"/>
        <v>Hipercaloricos</v>
      </c>
      <c r="K1821">
        <v>3</v>
      </c>
      <c r="L1821">
        <f t="shared" si="734"/>
        <v>1</v>
      </c>
      <c r="M1821" t="str">
        <f t="shared" si="735"/>
        <v>Suele comer</v>
      </c>
      <c r="N1821">
        <v>3</v>
      </c>
      <c r="O1821">
        <f t="shared" si="736"/>
        <v>2</v>
      </c>
      <c r="P1821" t="str">
        <f t="shared" si="737"/>
        <v>Mas de 3</v>
      </c>
      <c r="Q1821">
        <v>1</v>
      </c>
      <c r="R1821" t="str">
        <f t="shared" si="738"/>
        <v>A veces</v>
      </c>
      <c r="S1821">
        <v>0</v>
      </c>
      <c r="T1821" t="str">
        <f t="shared" si="739"/>
        <v>No fuma</v>
      </c>
      <c r="U1821">
        <v>2612758</v>
      </c>
      <c r="V1821">
        <f t="shared" si="740"/>
        <v>2</v>
      </c>
      <c r="W1821" t="str">
        <f t="shared" si="741"/>
        <v>Siempre</v>
      </c>
      <c r="X1821">
        <v>0</v>
      </c>
      <c r="Y1821" t="str">
        <f t="shared" si="742"/>
        <v>No controla</v>
      </c>
      <c r="Z1821">
        <v>0.24629000000000001</v>
      </c>
      <c r="AA1821">
        <f t="shared" si="743"/>
        <v>0</v>
      </c>
      <c r="AB1821" t="str">
        <f t="shared" si="744"/>
        <v>Nunca</v>
      </c>
      <c r="AC1821">
        <v>0.80213599999999996</v>
      </c>
      <c r="AD1821">
        <f t="shared" si="745"/>
        <v>0</v>
      </c>
      <c r="AE1821" t="str">
        <f t="shared" si="746"/>
        <v>Nunca</v>
      </c>
      <c r="AF1821">
        <v>1</v>
      </c>
      <c r="AG1821" t="str">
        <f t="shared" si="747"/>
        <v>A veces</v>
      </c>
      <c r="AH1821">
        <v>0</v>
      </c>
      <c r="AI1821" t="str">
        <f t="shared" si="748"/>
        <v>No usa</v>
      </c>
      <c r="AJ1821">
        <v>0</v>
      </c>
      <c r="AK1821" t="str">
        <f t="shared" si="749"/>
        <v>No usa</v>
      </c>
      <c r="AL1821">
        <v>0</v>
      </c>
      <c r="AM1821" t="str">
        <f t="shared" si="750"/>
        <v>No usa</v>
      </c>
      <c r="AN1821">
        <v>1</v>
      </c>
      <c r="AO1821" t="str">
        <f t="shared" si="751"/>
        <v>Usa Transporte</v>
      </c>
      <c r="AP1821">
        <v>0</v>
      </c>
      <c r="AQ1821" t="str">
        <f t="shared" si="752"/>
        <v>No camina</v>
      </c>
      <c r="AR1821">
        <v>1</v>
      </c>
      <c r="AS1821" t="str">
        <f t="shared" si="753"/>
        <v>Es Obeso</v>
      </c>
    </row>
    <row r="1822" spans="1:45" x14ac:dyDescent="0.25">
      <c r="A1822">
        <v>0</v>
      </c>
      <c r="B1822" t="str">
        <f t="shared" si="728"/>
        <v>F</v>
      </c>
      <c r="C1822">
        <v>26</v>
      </c>
      <c r="D1822">
        <f t="shared" si="729"/>
        <v>26</v>
      </c>
      <c r="E1822">
        <f t="shared" si="730"/>
        <v>26</v>
      </c>
      <c r="F1822" t="str">
        <f t="shared" si="731"/>
        <v>25-50</v>
      </c>
      <c r="G1822">
        <v>1</v>
      </c>
      <c r="H1822" t="str">
        <f t="shared" si="732"/>
        <v>Pariente gordo</v>
      </c>
      <c r="I1822">
        <v>1</v>
      </c>
      <c r="J1822" t="str">
        <f t="shared" si="733"/>
        <v>Hipercaloricos</v>
      </c>
      <c r="K1822">
        <v>3</v>
      </c>
      <c r="L1822">
        <f t="shared" si="734"/>
        <v>1</v>
      </c>
      <c r="M1822" t="str">
        <f t="shared" si="735"/>
        <v>Suele comer</v>
      </c>
      <c r="N1822">
        <v>3</v>
      </c>
      <c r="O1822">
        <f t="shared" si="736"/>
        <v>2</v>
      </c>
      <c r="P1822" t="str">
        <f t="shared" si="737"/>
        <v>Mas de 3</v>
      </c>
      <c r="Q1822">
        <v>1</v>
      </c>
      <c r="R1822" t="str">
        <f t="shared" si="738"/>
        <v>A veces</v>
      </c>
      <c r="S1822">
        <v>0</v>
      </c>
      <c r="T1822" t="str">
        <f t="shared" si="739"/>
        <v>No fuma</v>
      </c>
      <c r="U1822">
        <v>2687378</v>
      </c>
      <c r="V1822">
        <f t="shared" si="740"/>
        <v>2</v>
      </c>
      <c r="W1822" t="str">
        <f t="shared" si="741"/>
        <v>Siempre</v>
      </c>
      <c r="X1822">
        <v>0</v>
      </c>
      <c r="Y1822" t="str">
        <f t="shared" si="742"/>
        <v>No controla</v>
      </c>
      <c r="Z1822">
        <v>0</v>
      </c>
      <c r="AA1822">
        <f t="shared" si="743"/>
        <v>0</v>
      </c>
      <c r="AB1822" t="str">
        <f t="shared" si="744"/>
        <v>Nunca</v>
      </c>
      <c r="AC1822">
        <v>0.41065099999999999</v>
      </c>
      <c r="AD1822">
        <f t="shared" si="745"/>
        <v>0</v>
      </c>
      <c r="AE1822" t="str">
        <f t="shared" si="746"/>
        <v>Nunca</v>
      </c>
      <c r="AF1822">
        <v>1</v>
      </c>
      <c r="AG1822" t="str">
        <f t="shared" si="747"/>
        <v>A veces</v>
      </c>
      <c r="AH1822">
        <v>0</v>
      </c>
      <c r="AI1822" t="str">
        <f t="shared" si="748"/>
        <v>No usa</v>
      </c>
      <c r="AJ1822">
        <v>0</v>
      </c>
      <c r="AK1822" t="str">
        <f t="shared" si="749"/>
        <v>No usa</v>
      </c>
      <c r="AL1822">
        <v>0</v>
      </c>
      <c r="AM1822" t="str">
        <f t="shared" si="750"/>
        <v>No usa</v>
      </c>
      <c r="AN1822">
        <v>1</v>
      </c>
      <c r="AO1822" t="str">
        <f t="shared" si="751"/>
        <v>Usa Transporte</v>
      </c>
      <c r="AP1822">
        <v>0</v>
      </c>
      <c r="AQ1822" t="str">
        <f t="shared" si="752"/>
        <v>No camina</v>
      </c>
      <c r="AR1822">
        <v>1</v>
      </c>
      <c r="AS1822" t="str">
        <f t="shared" si="753"/>
        <v>Es Obeso</v>
      </c>
    </row>
    <row r="1823" spans="1:45" x14ac:dyDescent="0.25">
      <c r="A1823">
        <v>0</v>
      </c>
      <c r="B1823" t="str">
        <f t="shared" si="728"/>
        <v>F</v>
      </c>
      <c r="C1823">
        <v>20590046</v>
      </c>
      <c r="D1823">
        <f t="shared" si="729"/>
        <v>56</v>
      </c>
      <c r="E1823">
        <f t="shared" si="730"/>
        <v>56</v>
      </c>
      <c r="F1823" t="str">
        <f t="shared" si="731"/>
        <v>50-75</v>
      </c>
      <c r="G1823">
        <v>1</v>
      </c>
      <c r="H1823" t="str">
        <f t="shared" si="732"/>
        <v>Pariente gordo</v>
      </c>
      <c r="I1823">
        <v>1</v>
      </c>
      <c r="J1823" t="str">
        <f t="shared" si="733"/>
        <v>Hipercaloricos</v>
      </c>
      <c r="K1823">
        <v>3</v>
      </c>
      <c r="L1823">
        <f t="shared" si="734"/>
        <v>1</v>
      </c>
      <c r="M1823" t="str">
        <f t="shared" si="735"/>
        <v>Suele comer</v>
      </c>
      <c r="N1823">
        <v>3</v>
      </c>
      <c r="O1823">
        <f t="shared" si="736"/>
        <v>2</v>
      </c>
      <c r="P1823" t="str">
        <f t="shared" si="737"/>
        <v>Mas de 3</v>
      </c>
      <c r="Q1823">
        <v>1</v>
      </c>
      <c r="R1823" t="str">
        <f t="shared" si="738"/>
        <v>A veces</v>
      </c>
      <c r="S1823">
        <v>0</v>
      </c>
      <c r="T1823" t="str">
        <f t="shared" si="739"/>
        <v>No fuma</v>
      </c>
      <c r="U1823">
        <v>1852692</v>
      </c>
      <c r="V1823">
        <f t="shared" si="740"/>
        <v>2</v>
      </c>
      <c r="W1823" t="str">
        <f t="shared" si="741"/>
        <v>Siempre</v>
      </c>
      <c r="X1823">
        <v>0</v>
      </c>
      <c r="Y1823" t="str">
        <f t="shared" si="742"/>
        <v>No controla</v>
      </c>
      <c r="Z1823">
        <v>146361</v>
      </c>
      <c r="AA1823">
        <f t="shared" si="743"/>
        <v>2</v>
      </c>
      <c r="AB1823" t="str">
        <f t="shared" si="744"/>
        <v>Usualmente</v>
      </c>
      <c r="AC1823">
        <v>0.96233599999999997</v>
      </c>
      <c r="AD1823">
        <f t="shared" si="745"/>
        <v>0</v>
      </c>
      <c r="AE1823" t="str">
        <f t="shared" si="746"/>
        <v>Nunca</v>
      </c>
      <c r="AF1823">
        <v>1</v>
      </c>
      <c r="AG1823" t="str">
        <f t="shared" si="747"/>
        <v>A veces</v>
      </c>
      <c r="AH1823">
        <v>0</v>
      </c>
      <c r="AI1823" t="str">
        <f t="shared" si="748"/>
        <v>No usa</v>
      </c>
      <c r="AJ1823">
        <v>0</v>
      </c>
      <c r="AK1823" t="str">
        <f t="shared" si="749"/>
        <v>No usa</v>
      </c>
      <c r="AL1823">
        <v>0</v>
      </c>
      <c r="AM1823" t="str">
        <f t="shared" si="750"/>
        <v>No usa</v>
      </c>
      <c r="AN1823">
        <v>1</v>
      </c>
      <c r="AO1823" t="str">
        <f t="shared" si="751"/>
        <v>Usa Transporte</v>
      </c>
      <c r="AP1823">
        <v>0</v>
      </c>
      <c r="AQ1823" t="str">
        <f t="shared" si="752"/>
        <v>No camina</v>
      </c>
      <c r="AR1823">
        <v>1</v>
      </c>
      <c r="AS1823" t="str">
        <f t="shared" si="753"/>
        <v>Es Obeso</v>
      </c>
    </row>
    <row r="1824" spans="1:45" x14ac:dyDescent="0.25">
      <c r="A1824">
        <v>0</v>
      </c>
      <c r="B1824" t="str">
        <f t="shared" si="728"/>
        <v>F</v>
      </c>
      <c r="C1824">
        <v>24497373</v>
      </c>
      <c r="D1824">
        <f t="shared" si="729"/>
        <v>67</v>
      </c>
      <c r="E1824">
        <f t="shared" si="730"/>
        <v>67</v>
      </c>
      <c r="F1824" t="str">
        <f t="shared" si="731"/>
        <v>50-75</v>
      </c>
      <c r="G1824">
        <v>1</v>
      </c>
      <c r="H1824" t="str">
        <f t="shared" si="732"/>
        <v>Pariente gordo</v>
      </c>
      <c r="I1824">
        <v>1</v>
      </c>
      <c r="J1824" t="str">
        <f t="shared" si="733"/>
        <v>Hipercaloricos</v>
      </c>
      <c r="K1824">
        <v>3</v>
      </c>
      <c r="L1824">
        <f t="shared" si="734"/>
        <v>1</v>
      </c>
      <c r="M1824" t="str">
        <f t="shared" si="735"/>
        <v>Suele comer</v>
      </c>
      <c r="N1824">
        <v>3</v>
      </c>
      <c r="O1824">
        <f t="shared" si="736"/>
        <v>2</v>
      </c>
      <c r="P1824" t="str">
        <f t="shared" si="737"/>
        <v>Mas de 3</v>
      </c>
      <c r="Q1824">
        <v>1</v>
      </c>
      <c r="R1824" t="str">
        <f t="shared" si="738"/>
        <v>A veces</v>
      </c>
      <c r="S1824">
        <v>0</v>
      </c>
      <c r="T1824" t="str">
        <f t="shared" si="739"/>
        <v>No fuma</v>
      </c>
      <c r="U1824">
        <v>286559</v>
      </c>
      <c r="V1824">
        <f t="shared" si="740"/>
        <v>2</v>
      </c>
      <c r="W1824" t="str">
        <f t="shared" si="741"/>
        <v>Siempre</v>
      </c>
      <c r="X1824">
        <v>0</v>
      </c>
      <c r="Y1824" t="str">
        <f t="shared" si="742"/>
        <v>No controla</v>
      </c>
      <c r="Z1824">
        <v>0.97386399999999995</v>
      </c>
      <c r="AA1824">
        <f t="shared" si="743"/>
        <v>0</v>
      </c>
      <c r="AB1824" t="str">
        <f t="shared" si="744"/>
        <v>Nunca</v>
      </c>
      <c r="AC1824">
        <v>0.58345000000000002</v>
      </c>
      <c r="AD1824">
        <f t="shared" si="745"/>
        <v>0</v>
      </c>
      <c r="AE1824" t="str">
        <f t="shared" si="746"/>
        <v>Nunca</v>
      </c>
      <c r="AF1824">
        <v>1</v>
      </c>
      <c r="AG1824" t="str">
        <f t="shared" si="747"/>
        <v>A veces</v>
      </c>
      <c r="AH1824">
        <v>0</v>
      </c>
      <c r="AI1824" t="str">
        <f t="shared" si="748"/>
        <v>No usa</v>
      </c>
      <c r="AJ1824">
        <v>0</v>
      </c>
      <c r="AK1824" t="str">
        <f t="shared" si="749"/>
        <v>No usa</v>
      </c>
      <c r="AL1824">
        <v>0</v>
      </c>
      <c r="AM1824" t="str">
        <f t="shared" si="750"/>
        <v>No usa</v>
      </c>
      <c r="AN1824">
        <v>1</v>
      </c>
      <c r="AO1824" t="str">
        <f t="shared" si="751"/>
        <v>Usa Transporte</v>
      </c>
      <c r="AP1824">
        <v>0</v>
      </c>
      <c r="AQ1824" t="str">
        <f t="shared" si="752"/>
        <v>No camina</v>
      </c>
      <c r="AR1824">
        <v>1</v>
      </c>
      <c r="AS1824" t="str">
        <f t="shared" si="753"/>
        <v>Es Obeso</v>
      </c>
    </row>
    <row r="1825" spans="1:45" x14ac:dyDescent="0.25">
      <c r="A1825">
        <v>0</v>
      </c>
      <c r="B1825" t="str">
        <f t="shared" si="728"/>
        <v>F</v>
      </c>
      <c r="C1825">
        <v>25991886</v>
      </c>
      <c r="D1825">
        <f t="shared" si="729"/>
        <v>71</v>
      </c>
      <c r="E1825">
        <f t="shared" si="730"/>
        <v>71</v>
      </c>
      <c r="F1825" t="str">
        <f t="shared" si="731"/>
        <v>50-75</v>
      </c>
      <c r="G1825">
        <v>1</v>
      </c>
      <c r="H1825" t="str">
        <f t="shared" si="732"/>
        <v>Pariente gordo</v>
      </c>
      <c r="I1825">
        <v>1</v>
      </c>
      <c r="J1825" t="str">
        <f t="shared" si="733"/>
        <v>Hipercaloricos</v>
      </c>
      <c r="K1825">
        <v>3</v>
      </c>
      <c r="L1825">
        <f t="shared" si="734"/>
        <v>1</v>
      </c>
      <c r="M1825" t="str">
        <f t="shared" si="735"/>
        <v>Suele comer</v>
      </c>
      <c r="N1825">
        <v>3</v>
      </c>
      <c r="O1825">
        <f t="shared" si="736"/>
        <v>2</v>
      </c>
      <c r="P1825" t="str">
        <f t="shared" si="737"/>
        <v>Mas de 3</v>
      </c>
      <c r="Q1825">
        <v>1</v>
      </c>
      <c r="R1825" t="str">
        <f t="shared" si="738"/>
        <v>A veces</v>
      </c>
      <c r="S1825">
        <v>0</v>
      </c>
      <c r="T1825" t="str">
        <f t="shared" si="739"/>
        <v>No fuma</v>
      </c>
      <c r="U1825">
        <v>1003563</v>
      </c>
      <c r="V1825">
        <f t="shared" si="740"/>
        <v>2</v>
      </c>
      <c r="W1825" t="str">
        <f t="shared" si="741"/>
        <v>Siempre</v>
      </c>
      <c r="X1825">
        <v>0</v>
      </c>
      <c r="Y1825" t="str">
        <f t="shared" si="742"/>
        <v>No controla</v>
      </c>
      <c r="Z1825">
        <v>8.1270000000000005E-3</v>
      </c>
      <c r="AA1825">
        <f t="shared" si="743"/>
        <v>0</v>
      </c>
      <c r="AB1825" t="str">
        <f t="shared" si="744"/>
        <v>Nunca</v>
      </c>
      <c r="AC1825">
        <v>1</v>
      </c>
      <c r="AD1825">
        <f t="shared" si="745"/>
        <v>1</v>
      </c>
      <c r="AE1825" t="str">
        <f t="shared" si="746"/>
        <v>Usualmente</v>
      </c>
      <c r="AF1825">
        <v>1</v>
      </c>
      <c r="AG1825" t="str">
        <f t="shared" si="747"/>
        <v>A veces</v>
      </c>
      <c r="AH1825">
        <v>0</v>
      </c>
      <c r="AI1825" t="str">
        <f t="shared" si="748"/>
        <v>No usa</v>
      </c>
      <c r="AJ1825">
        <v>0</v>
      </c>
      <c r="AK1825" t="str">
        <f t="shared" si="749"/>
        <v>No usa</v>
      </c>
      <c r="AL1825">
        <v>0</v>
      </c>
      <c r="AM1825" t="str">
        <f t="shared" si="750"/>
        <v>No usa</v>
      </c>
      <c r="AN1825">
        <v>1</v>
      </c>
      <c r="AO1825" t="str">
        <f t="shared" si="751"/>
        <v>Usa Transporte</v>
      </c>
      <c r="AP1825">
        <v>0</v>
      </c>
      <c r="AQ1825" t="str">
        <f t="shared" si="752"/>
        <v>No camina</v>
      </c>
      <c r="AR1825">
        <v>1</v>
      </c>
      <c r="AS1825" t="str">
        <f t="shared" si="753"/>
        <v>Es Obeso</v>
      </c>
    </row>
    <row r="1826" spans="1:45" x14ac:dyDescent="0.25">
      <c r="A1826">
        <v>0</v>
      </c>
      <c r="B1826" t="str">
        <f t="shared" si="728"/>
        <v>F</v>
      </c>
      <c r="C1826">
        <v>25908431</v>
      </c>
      <c r="D1826">
        <f t="shared" si="729"/>
        <v>70</v>
      </c>
      <c r="E1826">
        <f t="shared" si="730"/>
        <v>70</v>
      </c>
      <c r="F1826" t="str">
        <f t="shared" si="731"/>
        <v>50-75</v>
      </c>
      <c r="G1826">
        <v>1</v>
      </c>
      <c r="H1826" t="str">
        <f t="shared" si="732"/>
        <v>Pariente gordo</v>
      </c>
      <c r="I1826">
        <v>1</v>
      </c>
      <c r="J1826" t="str">
        <f t="shared" si="733"/>
        <v>Hipercaloricos</v>
      </c>
      <c r="K1826">
        <v>3</v>
      </c>
      <c r="L1826">
        <f t="shared" si="734"/>
        <v>1</v>
      </c>
      <c r="M1826" t="str">
        <f t="shared" si="735"/>
        <v>Suele comer</v>
      </c>
      <c r="N1826">
        <v>3</v>
      </c>
      <c r="O1826">
        <f t="shared" si="736"/>
        <v>2</v>
      </c>
      <c r="P1826" t="str">
        <f t="shared" si="737"/>
        <v>Mas de 3</v>
      </c>
      <c r="Q1826">
        <v>1</v>
      </c>
      <c r="R1826" t="str">
        <f t="shared" si="738"/>
        <v>A veces</v>
      </c>
      <c r="S1826">
        <v>0</v>
      </c>
      <c r="T1826" t="str">
        <f t="shared" si="739"/>
        <v>No fuma</v>
      </c>
      <c r="U1826">
        <v>1077253</v>
      </c>
      <c r="V1826">
        <f t="shared" si="740"/>
        <v>2</v>
      </c>
      <c r="W1826" t="str">
        <f t="shared" si="741"/>
        <v>Siempre</v>
      </c>
      <c r="X1826">
        <v>0</v>
      </c>
      <c r="Y1826" t="str">
        <f t="shared" si="742"/>
        <v>No controla</v>
      </c>
      <c r="Z1826">
        <v>0.162083</v>
      </c>
      <c r="AA1826">
        <f t="shared" si="743"/>
        <v>0</v>
      </c>
      <c r="AB1826" t="str">
        <f t="shared" si="744"/>
        <v>Nunca</v>
      </c>
      <c r="AC1826">
        <v>0.82460699999999998</v>
      </c>
      <c r="AD1826">
        <f t="shared" si="745"/>
        <v>0</v>
      </c>
      <c r="AE1826" t="str">
        <f t="shared" si="746"/>
        <v>Nunca</v>
      </c>
      <c r="AF1826">
        <v>1</v>
      </c>
      <c r="AG1826" t="str">
        <f t="shared" si="747"/>
        <v>A veces</v>
      </c>
      <c r="AH1826">
        <v>0</v>
      </c>
      <c r="AI1826" t="str">
        <f t="shared" si="748"/>
        <v>No usa</v>
      </c>
      <c r="AJ1826">
        <v>0</v>
      </c>
      <c r="AK1826" t="str">
        <f t="shared" si="749"/>
        <v>No usa</v>
      </c>
      <c r="AL1826">
        <v>0</v>
      </c>
      <c r="AM1826" t="str">
        <f t="shared" si="750"/>
        <v>No usa</v>
      </c>
      <c r="AN1826">
        <v>1</v>
      </c>
      <c r="AO1826" t="str">
        <f t="shared" si="751"/>
        <v>Usa Transporte</v>
      </c>
      <c r="AP1826">
        <v>0</v>
      </c>
      <c r="AQ1826" t="str">
        <f t="shared" si="752"/>
        <v>No camina</v>
      </c>
      <c r="AR1826">
        <v>1</v>
      </c>
      <c r="AS1826" t="str">
        <f t="shared" si="753"/>
        <v>Es Obeso</v>
      </c>
    </row>
    <row r="1827" spans="1:45" x14ac:dyDescent="0.25">
      <c r="A1827">
        <v>0</v>
      </c>
      <c r="B1827" t="str">
        <f t="shared" si="728"/>
        <v>F</v>
      </c>
      <c r="C1827">
        <v>18177882</v>
      </c>
      <c r="D1827">
        <f t="shared" si="729"/>
        <v>49</v>
      </c>
      <c r="E1827">
        <f t="shared" si="730"/>
        <v>49</v>
      </c>
      <c r="F1827" t="str">
        <f t="shared" si="731"/>
        <v>25-50</v>
      </c>
      <c r="G1827">
        <v>1</v>
      </c>
      <c r="H1827" t="str">
        <f t="shared" si="732"/>
        <v>Pariente gordo</v>
      </c>
      <c r="I1827">
        <v>1</v>
      </c>
      <c r="J1827" t="str">
        <f t="shared" si="733"/>
        <v>Hipercaloricos</v>
      </c>
      <c r="K1827">
        <v>3</v>
      </c>
      <c r="L1827">
        <f t="shared" si="734"/>
        <v>1</v>
      </c>
      <c r="M1827" t="str">
        <f t="shared" si="735"/>
        <v>Suele comer</v>
      </c>
      <c r="N1827">
        <v>3</v>
      </c>
      <c r="O1827">
        <f t="shared" si="736"/>
        <v>2</v>
      </c>
      <c r="P1827" t="str">
        <f t="shared" si="737"/>
        <v>Mas de 3</v>
      </c>
      <c r="Q1827">
        <v>1</v>
      </c>
      <c r="R1827" t="str">
        <f t="shared" si="738"/>
        <v>A veces</v>
      </c>
      <c r="S1827">
        <v>0</v>
      </c>
      <c r="T1827" t="str">
        <f t="shared" si="739"/>
        <v>No fuma</v>
      </c>
      <c r="U1827">
        <v>2714949</v>
      </c>
      <c r="V1827">
        <f t="shared" si="740"/>
        <v>2</v>
      </c>
      <c r="W1827" t="str">
        <f t="shared" si="741"/>
        <v>Siempre</v>
      </c>
      <c r="X1827">
        <v>0</v>
      </c>
      <c r="Y1827" t="str">
        <f t="shared" si="742"/>
        <v>No controla</v>
      </c>
      <c r="Z1827">
        <v>1999773</v>
      </c>
      <c r="AA1827">
        <f t="shared" si="743"/>
        <v>3</v>
      </c>
      <c r="AB1827" t="str">
        <f t="shared" si="744"/>
        <v>Siempre</v>
      </c>
      <c r="AC1827">
        <v>0.81378399999999995</v>
      </c>
      <c r="AD1827">
        <f t="shared" si="745"/>
        <v>0</v>
      </c>
      <c r="AE1827" t="str">
        <f t="shared" si="746"/>
        <v>Nunca</v>
      </c>
      <c r="AF1827">
        <v>1</v>
      </c>
      <c r="AG1827" t="str">
        <f t="shared" si="747"/>
        <v>A veces</v>
      </c>
      <c r="AH1827">
        <v>0</v>
      </c>
      <c r="AI1827" t="str">
        <f t="shared" si="748"/>
        <v>No usa</v>
      </c>
      <c r="AJ1827">
        <v>0</v>
      </c>
      <c r="AK1827" t="str">
        <f t="shared" si="749"/>
        <v>No usa</v>
      </c>
      <c r="AL1827">
        <v>0</v>
      </c>
      <c r="AM1827" t="str">
        <f t="shared" si="750"/>
        <v>No usa</v>
      </c>
      <c r="AN1827">
        <v>1</v>
      </c>
      <c r="AO1827" t="str">
        <f t="shared" si="751"/>
        <v>Usa Transporte</v>
      </c>
      <c r="AP1827">
        <v>0</v>
      </c>
      <c r="AQ1827" t="str">
        <f t="shared" si="752"/>
        <v>No camina</v>
      </c>
      <c r="AR1827">
        <v>1</v>
      </c>
      <c r="AS1827" t="str">
        <f t="shared" si="753"/>
        <v>Es Obeso</v>
      </c>
    </row>
    <row r="1828" spans="1:45" x14ac:dyDescent="0.25">
      <c r="A1828">
        <v>0</v>
      </c>
      <c r="B1828" t="str">
        <f t="shared" si="728"/>
        <v>F</v>
      </c>
      <c r="C1828">
        <v>18112503</v>
      </c>
      <c r="D1828">
        <f t="shared" si="729"/>
        <v>49</v>
      </c>
      <c r="E1828">
        <f t="shared" si="730"/>
        <v>49</v>
      </c>
      <c r="F1828" t="str">
        <f t="shared" si="731"/>
        <v>25-50</v>
      </c>
      <c r="G1828">
        <v>1</v>
      </c>
      <c r="H1828" t="str">
        <f t="shared" si="732"/>
        <v>Pariente gordo</v>
      </c>
      <c r="I1828">
        <v>1</v>
      </c>
      <c r="J1828" t="str">
        <f t="shared" si="733"/>
        <v>Hipercaloricos</v>
      </c>
      <c r="K1828">
        <v>3</v>
      </c>
      <c r="L1828">
        <f t="shared" si="734"/>
        <v>1</v>
      </c>
      <c r="M1828" t="str">
        <f t="shared" si="735"/>
        <v>Suele comer</v>
      </c>
      <c r="N1828">
        <v>3</v>
      </c>
      <c r="O1828">
        <f t="shared" si="736"/>
        <v>2</v>
      </c>
      <c r="P1828" t="str">
        <f t="shared" si="737"/>
        <v>Mas de 3</v>
      </c>
      <c r="Q1828">
        <v>1</v>
      </c>
      <c r="R1828" t="str">
        <f t="shared" si="738"/>
        <v>A veces</v>
      </c>
      <c r="S1828">
        <v>0</v>
      </c>
      <c r="T1828" t="str">
        <f t="shared" si="739"/>
        <v>No fuma</v>
      </c>
      <c r="U1828">
        <v>2154949</v>
      </c>
      <c r="V1828">
        <f t="shared" si="740"/>
        <v>2</v>
      </c>
      <c r="W1828" t="str">
        <f t="shared" si="741"/>
        <v>Siempre</v>
      </c>
      <c r="X1828">
        <v>0</v>
      </c>
      <c r="Y1828" t="str">
        <f t="shared" si="742"/>
        <v>No controla</v>
      </c>
      <c r="Z1828">
        <v>1999897</v>
      </c>
      <c r="AA1828">
        <f t="shared" si="743"/>
        <v>3</v>
      </c>
      <c r="AB1828" t="str">
        <f t="shared" si="744"/>
        <v>Siempre</v>
      </c>
      <c r="AC1828">
        <v>0.95746299999999995</v>
      </c>
      <c r="AD1828">
        <f t="shared" si="745"/>
        <v>0</v>
      </c>
      <c r="AE1828" t="str">
        <f t="shared" si="746"/>
        <v>Nunca</v>
      </c>
      <c r="AF1828">
        <v>1</v>
      </c>
      <c r="AG1828" t="str">
        <f t="shared" si="747"/>
        <v>A veces</v>
      </c>
      <c r="AH1828">
        <v>0</v>
      </c>
      <c r="AI1828" t="str">
        <f t="shared" si="748"/>
        <v>No usa</v>
      </c>
      <c r="AJ1828">
        <v>0</v>
      </c>
      <c r="AK1828" t="str">
        <f t="shared" si="749"/>
        <v>No usa</v>
      </c>
      <c r="AL1828">
        <v>0</v>
      </c>
      <c r="AM1828" t="str">
        <f t="shared" si="750"/>
        <v>No usa</v>
      </c>
      <c r="AN1828">
        <v>1</v>
      </c>
      <c r="AO1828" t="str">
        <f t="shared" si="751"/>
        <v>Usa Transporte</v>
      </c>
      <c r="AP1828">
        <v>0</v>
      </c>
      <c r="AQ1828" t="str">
        <f t="shared" si="752"/>
        <v>No camina</v>
      </c>
      <c r="AR1828">
        <v>1</v>
      </c>
      <c r="AS1828" t="str">
        <f t="shared" si="753"/>
        <v>Es Obeso</v>
      </c>
    </row>
    <row r="1829" spans="1:45" x14ac:dyDescent="0.25">
      <c r="A1829">
        <v>0</v>
      </c>
      <c r="B1829" t="str">
        <f t="shared" si="728"/>
        <v>F</v>
      </c>
      <c r="C1829">
        <v>26</v>
      </c>
      <c r="D1829">
        <f t="shared" si="729"/>
        <v>26</v>
      </c>
      <c r="E1829">
        <f t="shared" si="730"/>
        <v>26</v>
      </c>
      <c r="F1829" t="str">
        <f t="shared" si="731"/>
        <v>25-50</v>
      </c>
      <c r="G1829">
        <v>1</v>
      </c>
      <c r="H1829" t="str">
        <f t="shared" si="732"/>
        <v>Pariente gordo</v>
      </c>
      <c r="I1829">
        <v>1</v>
      </c>
      <c r="J1829" t="str">
        <f t="shared" si="733"/>
        <v>Hipercaloricos</v>
      </c>
      <c r="K1829">
        <v>3</v>
      </c>
      <c r="L1829">
        <f t="shared" si="734"/>
        <v>1</v>
      </c>
      <c r="M1829" t="str">
        <f t="shared" si="735"/>
        <v>Suele comer</v>
      </c>
      <c r="N1829">
        <v>3</v>
      </c>
      <c r="O1829">
        <f t="shared" si="736"/>
        <v>2</v>
      </c>
      <c r="P1829" t="str">
        <f t="shared" si="737"/>
        <v>Mas de 3</v>
      </c>
      <c r="Q1829">
        <v>1</v>
      </c>
      <c r="R1829" t="str">
        <f t="shared" si="738"/>
        <v>A veces</v>
      </c>
      <c r="S1829">
        <v>0</v>
      </c>
      <c r="T1829" t="str">
        <f t="shared" si="739"/>
        <v>No fuma</v>
      </c>
      <c r="U1829">
        <v>2893117</v>
      </c>
      <c r="V1829">
        <f t="shared" si="740"/>
        <v>2</v>
      </c>
      <c r="W1829" t="str">
        <f t="shared" si="741"/>
        <v>Siempre</v>
      </c>
      <c r="X1829">
        <v>0</v>
      </c>
      <c r="Y1829" t="str">
        <f t="shared" si="742"/>
        <v>No controla</v>
      </c>
      <c r="Z1829">
        <v>0</v>
      </c>
      <c r="AA1829">
        <f t="shared" si="743"/>
        <v>0</v>
      </c>
      <c r="AB1829" t="str">
        <f t="shared" si="744"/>
        <v>Nunca</v>
      </c>
      <c r="AC1829">
        <v>1.9310000000000001E-2</v>
      </c>
      <c r="AD1829">
        <f t="shared" si="745"/>
        <v>0</v>
      </c>
      <c r="AE1829" t="str">
        <f t="shared" si="746"/>
        <v>Nunca</v>
      </c>
      <c r="AF1829">
        <v>1</v>
      </c>
      <c r="AG1829" t="str">
        <f t="shared" si="747"/>
        <v>A veces</v>
      </c>
      <c r="AH1829">
        <v>0</v>
      </c>
      <c r="AI1829" t="str">
        <f t="shared" si="748"/>
        <v>No usa</v>
      </c>
      <c r="AJ1829">
        <v>0</v>
      </c>
      <c r="AK1829" t="str">
        <f t="shared" si="749"/>
        <v>No usa</v>
      </c>
      <c r="AL1829">
        <v>0</v>
      </c>
      <c r="AM1829" t="str">
        <f t="shared" si="750"/>
        <v>No usa</v>
      </c>
      <c r="AN1829">
        <v>1</v>
      </c>
      <c r="AO1829" t="str">
        <f t="shared" si="751"/>
        <v>Usa Transporte</v>
      </c>
      <c r="AP1829">
        <v>0</v>
      </c>
      <c r="AQ1829" t="str">
        <f t="shared" si="752"/>
        <v>No camina</v>
      </c>
      <c r="AR1829">
        <v>1</v>
      </c>
      <c r="AS1829" t="str">
        <f t="shared" si="753"/>
        <v>Es Obeso</v>
      </c>
    </row>
    <row r="1830" spans="1:45" x14ac:dyDescent="0.25">
      <c r="A1830">
        <v>0</v>
      </c>
      <c r="B1830" t="str">
        <f t="shared" si="728"/>
        <v>F</v>
      </c>
      <c r="C1830">
        <v>26</v>
      </c>
      <c r="D1830">
        <f t="shared" si="729"/>
        <v>26</v>
      </c>
      <c r="E1830">
        <f t="shared" si="730"/>
        <v>26</v>
      </c>
      <c r="F1830" t="str">
        <f t="shared" si="731"/>
        <v>25-50</v>
      </c>
      <c r="G1830">
        <v>1</v>
      </c>
      <c r="H1830" t="str">
        <f t="shared" si="732"/>
        <v>Pariente gordo</v>
      </c>
      <c r="I1830">
        <v>1</v>
      </c>
      <c r="J1830" t="str">
        <f t="shared" si="733"/>
        <v>Hipercaloricos</v>
      </c>
      <c r="K1830">
        <v>3</v>
      </c>
      <c r="L1830">
        <f t="shared" si="734"/>
        <v>1</v>
      </c>
      <c r="M1830" t="str">
        <f t="shared" si="735"/>
        <v>Suele comer</v>
      </c>
      <c r="N1830">
        <v>3</v>
      </c>
      <c r="O1830">
        <f t="shared" si="736"/>
        <v>2</v>
      </c>
      <c r="P1830" t="str">
        <f t="shared" si="737"/>
        <v>Mas de 3</v>
      </c>
      <c r="Q1830">
        <v>1</v>
      </c>
      <c r="R1830" t="str">
        <f t="shared" si="738"/>
        <v>A veces</v>
      </c>
      <c r="S1830">
        <v>0</v>
      </c>
      <c r="T1830" t="str">
        <f t="shared" si="739"/>
        <v>No fuma</v>
      </c>
      <c r="U1830">
        <v>270914</v>
      </c>
      <c r="V1830">
        <f t="shared" si="740"/>
        <v>2</v>
      </c>
      <c r="W1830" t="str">
        <f t="shared" si="741"/>
        <v>Siempre</v>
      </c>
      <c r="X1830">
        <v>0</v>
      </c>
      <c r="Y1830" t="str">
        <f t="shared" si="742"/>
        <v>No controla</v>
      </c>
      <c r="Z1830">
        <v>0</v>
      </c>
      <c r="AA1830">
        <f t="shared" si="743"/>
        <v>0</v>
      </c>
      <c r="AB1830" t="str">
        <f t="shared" si="744"/>
        <v>Nunca</v>
      </c>
      <c r="AC1830">
        <v>0.11051800000000001</v>
      </c>
      <c r="AD1830">
        <f t="shared" si="745"/>
        <v>0</v>
      </c>
      <c r="AE1830" t="str">
        <f t="shared" si="746"/>
        <v>Nunca</v>
      </c>
      <c r="AF1830">
        <v>1</v>
      </c>
      <c r="AG1830" t="str">
        <f t="shared" si="747"/>
        <v>A veces</v>
      </c>
      <c r="AH1830">
        <v>0</v>
      </c>
      <c r="AI1830" t="str">
        <f t="shared" si="748"/>
        <v>No usa</v>
      </c>
      <c r="AJ1830">
        <v>0</v>
      </c>
      <c r="AK1830" t="str">
        <f t="shared" si="749"/>
        <v>No usa</v>
      </c>
      <c r="AL1830">
        <v>0</v>
      </c>
      <c r="AM1830" t="str">
        <f t="shared" si="750"/>
        <v>No usa</v>
      </c>
      <c r="AN1830">
        <v>1</v>
      </c>
      <c r="AO1830" t="str">
        <f t="shared" si="751"/>
        <v>Usa Transporte</v>
      </c>
      <c r="AP1830">
        <v>0</v>
      </c>
      <c r="AQ1830" t="str">
        <f t="shared" si="752"/>
        <v>No camina</v>
      </c>
      <c r="AR1830">
        <v>1</v>
      </c>
      <c r="AS1830" t="str">
        <f t="shared" si="753"/>
        <v>Es Obeso</v>
      </c>
    </row>
    <row r="1831" spans="1:45" x14ac:dyDescent="0.25">
      <c r="A1831">
        <v>0</v>
      </c>
      <c r="B1831" t="str">
        <f t="shared" si="728"/>
        <v>F</v>
      </c>
      <c r="C1831">
        <v>25902283</v>
      </c>
      <c r="D1831">
        <f t="shared" si="729"/>
        <v>70</v>
      </c>
      <c r="E1831">
        <f t="shared" si="730"/>
        <v>70</v>
      </c>
      <c r="F1831" t="str">
        <f t="shared" si="731"/>
        <v>50-75</v>
      </c>
      <c r="G1831">
        <v>1</v>
      </c>
      <c r="H1831" t="str">
        <f t="shared" si="732"/>
        <v>Pariente gordo</v>
      </c>
      <c r="I1831">
        <v>1</v>
      </c>
      <c r="J1831" t="str">
        <f t="shared" si="733"/>
        <v>Hipercaloricos</v>
      </c>
      <c r="K1831">
        <v>3</v>
      </c>
      <c r="L1831">
        <f t="shared" si="734"/>
        <v>1</v>
      </c>
      <c r="M1831" t="str">
        <f t="shared" si="735"/>
        <v>Suele comer</v>
      </c>
      <c r="N1831">
        <v>3</v>
      </c>
      <c r="O1831">
        <f t="shared" si="736"/>
        <v>2</v>
      </c>
      <c r="P1831" t="str">
        <f t="shared" si="737"/>
        <v>Mas de 3</v>
      </c>
      <c r="Q1831">
        <v>1</v>
      </c>
      <c r="R1831" t="str">
        <f t="shared" si="738"/>
        <v>A veces</v>
      </c>
      <c r="S1831">
        <v>0</v>
      </c>
      <c r="T1831" t="str">
        <f t="shared" si="739"/>
        <v>No fuma</v>
      </c>
      <c r="U1831">
        <v>1570188</v>
      </c>
      <c r="V1831">
        <f t="shared" si="740"/>
        <v>2</v>
      </c>
      <c r="W1831" t="str">
        <f t="shared" si="741"/>
        <v>Siempre</v>
      </c>
      <c r="X1831">
        <v>0</v>
      </c>
      <c r="Y1831" t="str">
        <f t="shared" si="742"/>
        <v>No controla</v>
      </c>
      <c r="Z1831">
        <v>0.21035100000000001</v>
      </c>
      <c r="AA1831">
        <f t="shared" si="743"/>
        <v>0</v>
      </c>
      <c r="AB1831" t="str">
        <f t="shared" si="744"/>
        <v>Nunca</v>
      </c>
      <c r="AC1831">
        <v>0.88184799999999997</v>
      </c>
      <c r="AD1831">
        <f t="shared" si="745"/>
        <v>0</v>
      </c>
      <c r="AE1831" t="str">
        <f t="shared" si="746"/>
        <v>Nunca</v>
      </c>
      <c r="AF1831">
        <v>1</v>
      </c>
      <c r="AG1831" t="str">
        <f t="shared" si="747"/>
        <v>A veces</v>
      </c>
      <c r="AH1831">
        <v>0</v>
      </c>
      <c r="AI1831" t="str">
        <f t="shared" si="748"/>
        <v>No usa</v>
      </c>
      <c r="AJ1831">
        <v>0</v>
      </c>
      <c r="AK1831" t="str">
        <f t="shared" si="749"/>
        <v>No usa</v>
      </c>
      <c r="AL1831">
        <v>0</v>
      </c>
      <c r="AM1831" t="str">
        <f t="shared" si="750"/>
        <v>No usa</v>
      </c>
      <c r="AN1831">
        <v>1</v>
      </c>
      <c r="AO1831" t="str">
        <f t="shared" si="751"/>
        <v>Usa Transporte</v>
      </c>
      <c r="AP1831">
        <v>0</v>
      </c>
      <c r="AQ1831" t="str">
        <f t="shared" si="752"/>
        <v>No camina</v>
      </c>
      <c r="AR1831">
        <v>1</v>
      </c>
      <c r="AS1831" t="str">
        <f t="shared" si="753"/>
        <v>Es Obeso</v>
      </c>
    </row>
    <row r="1832" spans="1:45" x14ac:dyDescent="0.25">
      <c r="A1832">
        <v>0</v>
      </c>
      <c r="B1832" t="str">
        <f t="shared" si="728"/>
        <v>F</v>
      </c>
      <c r="C1832">
        <v>25540865</v>
      </c>
      <c r="D1832">
        <f t="shared" si="729"/>
        <v>69</v>
      </c>
      <c r="E1832">
        <f t="shared" si="730"/>
        <v>69</v>
      </c>
      <c r="F1832" t="str">
        <f t="shared" si="731"/>
        <v>50-75</v>
      </c>
      <c r="G1832">
        <v>1</v>
      </c>
      <c r="H1832" t="str">
        <f t="shared" si="732"/>
        <v>Pariente gordo</v>
      </c>
      <c r="I1832">
        <v>1</v>
      </c>
      <c r="J1832" t="str">
        <f t="shared" si="733"/>
        <v>Hipercaloricos</v>
      </c>
      <c r="K1832">
        <v>3</v>
      </c>
      <c r="L1832">
        <f t="shared" si="734"/>
        <v>1</v>
      </c>
      <c r="M1832" t="str">
        <f t="shared" si="735"/>
        <v>Suele comer</v>
      </c>
      <c r="N1832">
        <v>3</v>
      </c>
      <c r="O1832">
        <f t="shared" si="736"/>
        <v>2</v>
      </c>
      <c r="P1832" t="str">
        <f t="shared" si="737"/>
        <v>Mas de 3</v>
      </c>
      <c r="Q1832">
        <v>1</v>
      </c>
      <c r="R1832" t="str">
        <f t="shared" si="738"/>
        <v>A veces</v>
      </c>
      <c r="S1832">
        <v>0</v>
      </c>
      <c r="T1832" t="str">
        <f t="shared" si="739"/>
        <v>No fuma</v>
      </c>
      <c r="U1832">
        <v>1412049</v>
      </c>
      <c r="V1832">
        <f t="shared" si="740"/>
        <v>2</v>
      </c>
      <c r="W1832" t="str">
        <f t="shared" si="741"/>
        <v>Siempre</v>
      </c>
      <c r="X1832">
        <v>0</v>
      </c>
      <c r="Y1832" t="str">
        <f t="shared" si="742"/>
        <v>No controla</v>
      </c>
      <c r="Z1832">
        <v>0.143955</v>
      </c>
      <c r="AA1832">
        <f t="shared" si="743"/>
        <v>0</v>
      </c>
      <c r="AB1832" t="str">
        <f t="shared" si="744"/>
        <v>Nunca</v>
      </c>
      <c r="AC1832">
        <v>0.753077</v>
      </c>
      <c r="AD1832">
        <f t="shared" si="745"/>
        <v>0</v>
      </c>
      <c r="AE1832" t="str">
        <f t="shared" si="746"/>
        <v>Nunca</v>
      </c>
      <c r="AF1832">
        <v>1</v>
      </c>
      <c r="AG1832" t="str">
        <f t="shared" si="747"/>
        <v>A veces</v>
      </c>
      <c r="AH1832">
        <v>0</v>
      </c>
      <c r="AI1832" t="str">
        <f t="shared" si="748"/>
        <v>No usa</v>
      </c>
      <c r="AJ1832">
        <v>0</v>
      </c>
      <c r="AK1832" t="str">
        <f t="shared" si="749"/>
        <v>No usa</v>
      </c>
      <c r="AL1832">
        <v>0</v>
      </c>
      <c r="AM1832" t="str">
        <f t="shared" si="750"/>
        <v>No usa</v>
      </c>
      <c r="AN1832">
        <v>1</v>
      </c>
      <c r="AO1832" t="str">
        <f t="shared" si="751"/>
        <v>Usa Transporte</v>
      </c>
      <c r="AP1832">
        <v>0</v>
      </c>
      <c r="AQ1832" t="str">
        <f t="shared" si="752"/>
        <v>No camina</v>
      </c>
      <c r="AR1832">
        <v>1</v>
      </c>
      <c r="AS1832" t="str">
        <f t="shared" si="753"/>
        <v>Es Obeso</v>
      </c>
    </row>
    <row r="1833" spans="1:45" x14ac:dyDescent="0.25">
      <c r="A1833">
        <v>0</v>
      </c>
      <c r="B1833" t="str">
        <f t="shared" si="728"/>
        <v>F</v>
      </c>
      <c r="C1833">
        <v>20520992</v>
      </c>
      <c r="D1833">
        <f t="shared" si="729"/>
        <v>56</v>
      </c>
      <c r="E1833">
        <f t="shared" si="730"/>
        <v>56</v>
      </c>
      <c r="F1833" t="str">
        <f t="shared" si="731"/>
        <v>50-75</v>
      </c>
      <c r="G1833">
        <v>1</v>
      </c>
      <c r="H1833" t="str">
        <f t="shared" si="732"/>
        <v>Pariente gordo</v>
      </c>
      <c r="I1833">
        <v>1</v>
      </c>
      <c r="J1833" t="str">
        <f t="shared" si="733"/>
        <v>Hipercaloricos</v>
      </c>
      <c r="K1833">
        <v>3</v>
      </c>
      <c r="L1833">
        <f t="shared" si="734"/>
        <v>1</v>
      </c>
      <c r="M1833" t="str">
        <f t="shared" si="735"/>
        <v>Suele comer</v>
      </c>
      <c r="N1833">
        <v>3</v>
      </c>
      <c r="O1833">
        <f t="shared" si="736"/>
        <v>2</v>
      </c>
      <c r="P1833" t="str">
        <f t="shared" si="737"/>
        <v>Mas de 3</v>
      </c>
      <c r="Q1833">
        <v>1</v>
      </c>
      <c r="R1833" t="str">
        <f t="shared" si="738"/>
        <v>A veces</v>
      </c>
      <c r="S1833">
        <v>0</v>
      </c>
      <c r="T1833" t="str">
        <f t="shared" si="739"/>
        <v>No fuma</v>
      </c>
      <c r="U1833">
        <v>115635</v>
      </c>
      <c r="V1833">
        <f t="shared" si="740"/>
        <v>2</v>
      </c>
      <c r="W1833" t="str">
        <f t="shared" si="741"/>
        <v>Siempre</v>
      </c>
      <c r="X1833">
        <v>0</v>
      </c>
      <c r="Y1833" t="str">
        <f t="shared" si="742"/>
        <v>No controla</v>
      </c>
      <c r="Z1833">
        <v>0.78682799999999997</v>
      </c>
      <c r="AA1833">
        <f t="shared" si="743"/>
        <v>0</v>
      </c>
      <c r="AB1833" t="str">
        <f t="shared" si="744"/>
        <v>Nunca</v>
      </c>
      <c r="AC1833">
        <v>0.36638500000000002</v>
      </c>
      <c r="AD1833">
        <f t="shared" si="745"/>
        <v>0</v>
      </c>
      <c r="AE1833" t="str">
        <f t="shared" si="746"/>
        <v>Nunca</v>
      </c>
      <c r="AF1833">
        <v>1</v>
      </c>
      <c r="AG1833" t="str">
        <f t="shared" si="747"/>
        <v>A veces</v>
      </c>
      <c r="AH1833">
        <v>0</v>
      </c>
      <c r="AI1833" t="str">
        <f t="shared" si="748"/>
        <v>No usa</v>
      </c>
      <c r="AJ1833">
        <v>0</v>
      </c>
      <c r="AK1833" t="str">
        <f t="shared" si="749"/>
        <v>No usa</v>
      </c>
      <c r="AL1833">
        <v>0</v>
      </c>
      <c r="AM1833" t="str">
        <f t="shared" si="750"/>
        <v>No usa</v>
      </c>
      <c r="AN1833">
        <v>1</v>
      </c>
      <c r="AO1833" t="str">
        <f t="shared" si="751"/>
        <v>Usa Transporte</v>
      </c>
      <c r="AP1833">
        <v>0</v>
      </c>
      <c r="AQ1833" t="str">
        <f t="shared" si="752"/>
        <v>No camina</v>
      </c>
      <c r="AR1833">
        <v>1</v>
      </c>
      <c r="AS1833" t="str">
        <f t="shared" si="753"/>
        <v>Es Obeso</v>
      </c>
    </row>
    <row r="1834" spans="1:45" x14ac:dyDescent="0.25">
      <c r="A1834">
        <v>0</v>
      </c>
      <c r="B1834" t="str">
        <f t="shared" si="728"/>
        <v>F</v>
      </c>
      <c r="C1834">
        <v>20871153</v>
      </c>
      <c r="D1834">
        <f t="shared" si="729"/>
        <v>57</v>
      </c>
      <c r="E1834">
        <f t="shared" si="730"/>
        <v>57</v>
      </c>
      <c r="F1834" t="str">
        <f t="shared" si="731"/>
        <v>50-75</v>
      </c>
      <c r="G1834">
        <v>1</v>
      </c>
      <c r="H1834" t="str">
        <f t="shared" si="732"/>
        <v>Pariente gordo</v>
      </c>
      <c r="I1834">
        <v>1</v>
      </c>
      <c r="J1834" t="str">
        <f t="shared" si="733"/>
        <v>Hipercaloricos</v>
      </c>
      <c r="K1834">
        <v>3</v>
      </c>
      <c r="L1834">
        <f t="shared" si="734"/>
        <v>1</v>
      </c>
      <c r="M1834" t="str">
        <f t="shared" si="735"/>
        <v>Suele comer</v>
      </c>
      <c r="N1834">
        <v>3</v>
      </c>
      <c r="O1834">
        <f t="shared" si="736"/>
        <v>2</v>
      </c>
      <c r="P1834" t="str">
        <f t="shared" si="737"/>
        <v>Mas de 3</v>
      </c>
      <c r="Q1834">
        <v>1</v>
      </c>
      <c r="R1834" t="str">
        <f t="shared" si="738"/>
        <v>A veces</v>
      </c>
      <c r="S1834">
        <v>0</v>
      </c>
      <c r="T1834" t="str">
        <f t="shared" si="739"/>
        <v>No fuma</v>
      </c>
      <c r="U1834">
        <v>1154698</v>
      </c>
      <c r="V1834">
        <f t="shared" si="740"/>
        <v>2</v>
      </c>
      <c r="W1834" t="str">
        <f t="shared" si="741"/>
        <v>Siempre</v>
      </c>
      <c r="X1834">
        <v>0</v>
      </c>
      <c r="Y1834" t="str">
        <f t="shared" si="742"/>
        <v>No controla</v>
      </c>
      <c r="Z1834">
        <v>171836</v>
      </c>
      <c r="AA1834">
        <f t="shared" si="743"/>
        <v>2</v>
      </c>
      <c r="AB1834" t="str">
        <f t="shared" si="744"/>
        <v>Usualmente</v>
      </c>
      <c r="AC1834">
        <v>0.95921800000000002</v>
      </c>
      <c r="AD1834">
        <f t="shared" si="745"/>
        <v>0</v>
      </c>
      <c r="AE1834" t="str">
        <f t="shared" si="746"/>
        <v>Nunca</v>
      </c>
      <c r="AF1834">
        <v>1</v>
      </c>
      <c r="AG1834" t="str">
        <f t="shared" si="747"/>
        <v>A veces</v>
      </c>
      <c r="AH1834">
        <v>0</v>
      </c>
      <c r="AI1834" t="str">
        <f t="shared" si="748"/>
        <v>No usa</v>
      </c>
      <c r="AJ1834">
        <v>0</v>
      </c>
      <c r="AK1834" t="str">
        <f t="shared" si="749"/>
        <v>No usa</v>
      </c>
      <c r="AL1834">
        <v>0</v>
      </c>
      <c r="AM1834" t="str">
        <f t="shared" si="750"/>
        <v>No usa</v>
      </c>
      <c r="AN1834">
        <v>1</v>
      </c>
      <c r="AO1834" t="str">
        <f t="shared" si="751"/>
        <v>Usa Transporte</v>
      </c>
      <c r="AP1834">
        <v>0</v>
      </c>
      <c r="AQ1834" t="str">
        <f t="shared" si="752"/>
        <v>No camina</v>
      </c>
      <c r="AR1834">
        <v>1</v>
      </c>
      <c r="AS1834" t="str">
        <f t="shared" si="753"/>
        <v>Es Obeso</v>
      </c>
    </row>
    <row r="1835" spans="1:45" x14ac:dyDescent="0.25">
      <c r="A1835">
        <v>0</v>
      </c>
      <c r="B1835" t="str">
        <f t="shared" si="728"/>
        <v>F</v>
      </c>
      <c r="C1835">
        <v>26</v>
      </c>
      <c r="D1835">
        <f t="shared" si="729"/>
        <v>26</v>
      </c>
      <c r="E1835">
        <f t="shared" si="730"/>
        <v>26</v>
      </c>
      <c r="F1835" t="str">
        <f t="shared" si="731"/>
        <v>25-50</v>
      </c>
      <c r="G1835">
        <v>1</v>
      </c>
      <c r="H1835" t="str">
        <f t="shared" si="732"/>
        <v>Pariente gordo</v>
      </c>
      <c r="I1835">
        <v>1</v>
      </c>
      <c r="J1835" t="str">
        <f t="shared" si="733"/>
        <v>Hipercaloricos</v>
      </c>
      <c r="K1835">
        <v>3</v>
      </c>
      <c r="L1835">
        <f t="shared" si="734"/>
        <v>1</v>
      </c>
      <c r="M1835" t="str">
        <f t="shared" si="735"/>
        <v>Suele comer</v>
      </c>
      <c r="N1835">
        <v>3</v>
      </c>
      <c r="O1835">
        <f t="shared" si="736"/>
        <v>2</v>
      </c>
      <c r="P1835" t="str">
        <f t="shared" si="737"/>
        <v>Mas de 3</v>
      </c>
      <c r="Q1835">
        <v>1</v>
      </c>
      <c r="R1835" t="str">
        <f t="shared" si="738"/>
        <v>A veces</v>
      </c>
      <c r="S1835">
        <v>0</v>
      </c>
      <c r="T1835" t="str">
        <f t="shared" si="739"/>
        <v>No fuma</v>
      </c>
      <c r="U1835">
        <v>2691584</v>
      </c>
      <c r="V1835">
        <f t="shared" si="740"/>
        <v>2</v>
      </c>
      <c r="W1835" t="str">
        <f t="shared" si="741"/>
        <v>Siempre</v>
      </c>
      <c r="X1835">
        <v>0</v>
      </c>
      <c r="Y1835" t="str">
        <f t="shared" si="742"/>
        <v>No controla</v>
      </c>
      <c r="Z1835">
        <v>0</v>
      </c>
      <c r="AA1835">
        <f t="shared" si="743"/>
        <v>0</v>
      </c>
      <c r="AB1835" t="str">
        <f t="shared" si="744"/>
        <v>Nunca</v>
      </c>
      <c r="AC1835">
        <v>0.42547299999999999</v>
      </c>
      <c r="AD1835">
        <f t="shared" si="745"/>
        <v>0</v>
      </c>
      <c r="AE1835" t="str">
        <f t="shared" si="746"/>
        <v>Nunca</v>
      </c>
      <c r="AF1835">
        <v>1</v>
      </c>
      <c r="AG1835" t="str">
        <f t="shared" si="747"/>
        <v>A veces</v>
      </c>
      <c r="AH1835">
        <v>0</v>
      </c>
      <c r="AI1835" t="str">
        <f t="shared" si="748"/>
        <v>No usa</v>
      </c>
      <c r="AJ1835">
        <v>0</v>
      </c>
      <c r="AK1835" t="str">
        <f t="shared" si="749"/>
        <v>No usa</v>
      </c>
      <c r="AL1835">
        <v>0</v>
      </c>
      <c r="AM1835" t="str">
        <f t="shared" si="750"/>
        <v>No usa</v>
      </c>
      <c r="AN1835">
        <v>1</v>
      </c>
      <c r="AO1835" t="str">
        <f t="shared" si="751"/>
        <v>Usa Transporte</v>
      </c>
      <c r="AP1835">
        <v>0</v>
      </c>
      <c r="AQ1835" t="str">
        <f t="shared" si="752"/>
        <v>No camina</v>
      </c>
      <c r="AR1835">
        <v>1</v>
      </c>
      <c r="AS1835" t="str">
        <f t="shared" si="753"/>
        <v>Es Obeso</v>
      </c>
    </row>
    <row r="1836" spans="1:45" x14ac:dyDescent="0.25">
      <c r="A1836">
        <v>0</v>
      </c>
      <c r="B1836" t="str">
        <f t="shared" si="728"/>
        <v>F</v>
      </c>
      <c r="C1836">
        <v>26</v>
      </c>
      <c r="D1836">
        <f t="shared" si="729"/>
        <v>26</v>
      </c>
      <c r="E1836">
        <f t="shared" si="730"/>
        <v>26</v>
      </c>
      <c r="F1836" t="str">
        <f t="shared" si="731"/>
        <v>25-50</v>
      </c>
      <c r="G1836">
        <v>1</v>
      </c>
      <c r="H1836" t="str">
        <f t="shared" si="732"/>
        <v>Pariente gordo</v>
      </c>
      <c r="I1836">
        <v>1</v>
      </c>
      <c r="J1836" t="str">
        <f t="shared" si="733"/>
        <v>Hipercaloricos</v>
      </c>
      <c r="K1836">
        <v>3</v>
      </c>
      <c r="L1836">
        <f t="shared" si="734"/>
        <v>1</v>
      </c>
      <c r="M1836" t="str">
        <f t="shared" si="735"/>
        <v>Suele comer</v>
      </c>
      <c r="N1836">
        <v>3</v>
      </c>
      <c r="O1836">
        <f t="shared" si="736"/>
        <v>2</v>
      </c>
      <c r="P1836" t="str">
        <f t="shared" si="737"/>
        <v>Mas de 3</v>
      </c>
      <c r="Q1836">
        <v>1</v>
      </c>
      <c r="R1836" t="str">
        <f t="shared" si="738"/>
        <v>A veces</v>
      </c>
      <c r="S1836">
        <v>0</v>
      </c>
      <c r="T1836" t="str">
        <f t="shared" si="739"/>
        <v>No fuma</v>
      </c>
      <c r="U1836">
        <v>2709654</v>
      </c>
      <c r="V1836">
        <f t="shared" si="740"/>
        <v>2</v>
      </c>
      <c r="W1836" t="str">
        <f t="shared" si="741"/>
        <v>Siempre</v>
      </c>
      <c r="X1836">
        <v>0</v>
      </c>
      <c r="Y1836" t="str">
        <f t="shared" si="742"/>
        <v>No controla</v>
      </c>
      <c r="Z1836">
        <v>0</v>
      </c>
      <c r="AA1836">
        <f t="shared" si="743"/>
        <v>0</v>
      </c>
      <c r="AB1836" t="str">
        <f t="shared" si="744"/>
        <v>Nunca</v>
      </c>
      <c r="AC1836">
        <v>0.25114999999999998</v>
      </c>
      <c r="AD1836">
        <f t="shared" si="745"/>
        <v>0</v>
      </c>
      <c r="AE1836" t="str">
        <f t="shared" si="746"/>
        <v>Nunca</v>
      </c>
      <c r="AF1836">
        <v>1</v>
      </c>
      <c r="AG1836" t="str">
        <f t="shared" si="747"/>
        <v>A veces</v>
      </c>
      <c r="AH1836">
        <v>0</v>
      </c>
      <c r="AI1836" t="str">
        <f t="shared" si="748"/>
        <v>No usa</v>
      </c>
      <c r="AJ1836">
        <v>0</v>
      </c>
      <c r="AK1836" t="str">
        <f t="shared" si="749"/>
        <v>No usa</v>
      </c>
      <c r="AL1836">
        <v>0</v>
      </c>
      <c r="AM1836" t="str">
        <f t="shared" si="750"/>
        <v>No usa</v>
      </c>
      <c r="AN1836">
        <v>1</v>
      </c>
      <c r="AO1836" t="str">
        <f t="shared" si="751"/>
        <v>Usa Transporte</v>
      </c>
      <c r="AP1836">
        <v>0</v>
      </c>
      <c r="AQ1836" t="str">
        <f t="shared" si="752"/>
        <v>No camina</v>
      </c>
      <c r="AR1836">
        <v>1</v>
      </c>
      <c r="AS1836" t="str">
        <f t="shared" si="753"/>
        <v>Es Obeso</v>
      </c>
    </row>
    <row r="1837" spans="1:45" x14ac:dyDescent="0.25">
      <c r="A1837">
        <v>0</v>
      </c>
      <c r="B1837" t="str">
        <f t="shared" si="728"/>
        <v>F</v>
      </c>
      <c r="C1837">
        <v>21768834</v>
      </c>
      <c r="D1837">
        <f t="shared" si="729"/>
        <v>59</v>
      </c>
      <c r="E1837">
        <f t="shared" si="730"/>
        <v>59</v>
      </c>
      <c r="F1837" t="str">
        <f t="shared" si="731"/>
        <v>50-75</v>
      </c>
      <c r="G1837">
        <v>1</v>
      </c>
      <c r="H1837" t="str">
        <f t="shared" si="732"/>
        <v>Pariente gordo</v>
      </c>
      <c r="I1837">
        <v>1</v>
      </c>
      <c r="J1837" t="str">
        <f t="shared" si="733"/>
        <v>Hipercaloricos</v>
      </c>
      <c r="K1837">
        <v>3</v>
      </c>
      <c r="L1837">
        <f t="shared" si="734"/>
        <v>1</v>
      </c>
      <c r="M1837" t="str">
        <f t="shared" si="735"/>
        <v>Suele comer</v>
      </c>
      <c r="N1837">
        <v>3</v>
      </c>
      <c r="O1837">
        <f t="shared" si="736"/>
        <v>2</v>
      </c>
      <c r="P1837" t="str">
        <f t="shared" si="737"/>
        <v>Mas de 3</v>
      </c>
      <c r="Q1837">
        <v>1</v>
      </c>
      <c r="R1837" t="str">
        <f t="shared" si="738"/>
        <v>A veces</v>
      </c>
      <c r="S1837">
        <v>0</v>
      </c>
      <c r="T1837" t="str">
        <f t="shared" si="739"/>
        <v>No fuma</v>
      </c>
      <c r="U1837">
        <v>1485736</v>
      </c>
      <c r="V1837">
        <f t="shared" si="740"/>
        <v>2</v>
      </c>
      <c r="W1837" t="str">
        <f t="shared" si="741"/>
        <v>Siempre</v>
      </c>
      <c r="X1837">
        <v>0</v>
      </c>
      <c r="Y1837" t="str">
        <f t="shared" si="742"/>
        <v>No controla</v>
      </c>
      <c r="Z1837">
        <v>1950374</v>
      </c>
      <c r="AA1837">
        <f t="shared" si="743"/>
        <v>3</v>
      </c>
      <c r="AB1837" t="str">
        <f t="shared" si="744"/>
        <v>Siempre</v>
      </c>
      <c r="AC1837">
        <v>0.86923799999999996</v>
      </c>
      <c r="AD1837">
        <f t="shared" si="745"/>
        <v>0</v>
      </c>
      <c r="AE1837" t="str">
        <f t="shared" si="746"/>
        <v>Nunca</v>
      </c>
      <c r="AF1837">
        <v>1</v>
      </c>
      <c r="AG1837" t="str">
        <f t="shared" si="747"/>
        <v>A veces</v>
      </c>
      <c r="AH1837">
        <v>0</v>
      </c>
      <c r="AI1837" t="str">
        <f t="shared" si="748"/>
        <v>No usa</v>
      </c>
      <c r="AJ1837">
        <v>0</v>
      </c>
      <c r="AK1837" t="str">
        <f t="shared" si="749"/>
        <v>No usa</v>
      </c>
      <c r="AL1837">
        <v>0</v>
      </c>
      <c r="AM1837" t="str">
        <f t="shared" si="750"/>
        <v>No usa</v>
      </c>
      <c r="AN1837">
        <v>1</v>
      </c>
      <c r="AO1837" t="str">
        <f t="shared" si="751"/>
        <v>Usa Transporte</v>
      </c>
      <c r="AP1837">
        <v>0</v>
      </c>
      <c r="AQ1837" t="str">
        <f t="shared" si="752"/>
        <v>No camina</v>
      </c>
      <c r="AR1837">
        <v>1</v>
      </c>
      <c r="AS1837" t="str">
        <f t="shared" si="753"/>
        <v>Es Obeso</v>
      </c>
    </row>
    <row r="1838" spans="1:45" x14ac:dyDescent="0.25">
      <c r="A1838">
        <v>0</v>
      </c>
      <c r="B1838" t="str">
        <f t="shared" si="728"/>
        <v>F</v>
      </c>
      <c r="C1838">
        <v>20891491</v>
      </c>
      <c r="D1838">
        <f t="shared" si="729"/>
        <v>57</v>
      </c>
      <c r="E1838">
        <f t="shared" si="730"/>
        <v>57</v>
      </c>
      <c r="F1838" t="str">
        <f t="shared" si="731"/>
        <v>50-75</v>
      </c>
      <c r="G1838">
        <v>1</v>
      </c>
      <c r="H1838" t="str">
        <f t="shared" si="732"/>
        <v>Pariente gordo</v>
      </c>
      <c r="I1838">
        <v>1</v>
      </c>
      <c r="J1838" t="str">
        <f t="shared" si="733"/>
        <v>Hipercaloricos</v>
      </c>
      <c r="K1838">
        <v>3</v>
      </c>
      <c r="L1838">
        <f t="shared" si="734"/>
        <v>1</v>
      </c>
      <c r="M1838" t="str">
        <f t="shared" si="735"/>
        <v>Suele comer</v>
      </c>
      <c r="N1838">
        <v>3</v>
      </c>
      <c r="O1838">
        <f t="shared" si="736"/>
        <v>2</v>
      </c>
      <c r="P1838" t="str">
        <f t="shared" si="737"/>
        <v>Mas de 3</v>
      </c>
      <c r="Q1838">
        <v>1</v>
      </c>
      <c r="R1838" t="str">
        <f t="shared" si="738"/>
        <v>A veces</v>
      </c>
      <c r="S1838">
        <v>0</v>
      </c>
      <c r="T1838" t="str">
        <f t="shared" si="739"/>
        <v>No fuma</v>
      </c>
      <c r="U1838">
        <v>2874336</v>
      </c>
      <c r="V1838">
        <f t="shared" si="740"/>
        <v>2</v>
      </c>
      <c r="W1838" t="str">
        <f t="shared" si="741"/>
        <v>Siempre</v>
      </c>
      <c r="X1838">
        <v>0</v>
      </c>
      <c r="Y1838" t="str">
        <f t="shared" si="742"/>
        <v>No controla</v>
      </c>
      <c r="Z1838">
        <v>1624981</v>
      </c>
      <c r="AA1838">
        <f t="shared" si="743"/>
        <v>3</v>
      </c>
      <c r="AB1838" t="str">
        <f t="shared" si="744"/>
        <v>Siempre</v>
      </c>
      <c r="AC1838">
        <v>0.82560900000000004</v>
      </c>
      <c r="AD1838">
        <f t="shared" si="745"/>
        <v>0</v>
      </c>
      <c r="AE1838" t="str">
        <f t="shared" si="746"/>
        <v>Nunca</v>
      </c>
      <c r="AF1838">
        <v>1</v>
      </c>
      <c r="AG1838" t="str">
        <f t="shared" si="747"/>
        <v>A veces</v>
      </c>
      <c r="AH1838">
        <v>0</v>
      </c>
      <c r="AI1838" t="str">
        <f t="shared" si="748"/>
        <v>No usa</v>
      </c>
      <c r="AJ1838">
        <v>0</v>
      </c>
      <c r="AK1838" t="str">
        <f t="shared" si="749"/>
        <v>No usa</v>
      </c>
      <c r="AL1838">
        <v>0</v>
      </c>
      <c r="AM1838" t="str">
        <f t="shared" si="750"/>
        <v>No usa</v>
      </c>
      <c r="AN1838">
        <v>1</v>
      </c>
      <c r="AO1838" t="str">
        <f t="shared" si="751"/>
        <v>Usa Transporte</v>
      </c>
      <c r="AP1838">
        <v>0</v>
      </c>
      <c r="AQ1838" t="str">
        <f t="shared" si="752"/>
        <v>No camina</v>
      </c>
      <c r="AR1838">
        <v>1</v>
      </c>
      <c r="AS1838" t="str">
        <f t="shared" si="753"/>
        <v>Es Obeso</v>
      </c>
    </row>
    <row r="1839" spans="1:45" x14ac:dyDescent="0.25">
      <c r="A1839">
        <v>0</v>
      </c>
      <c r="B1839" t="str">
        <f t="shared" si="728"/>
        <v>F</v>
      </c>
      <c r="C1839">
        <v>20941943</v>
      </c>
      <c r="D1839">
        <f t="shared" si="729"/>
        <v>57</v>
      </c>
      <c r="E1839">
        <f t="shared" si="730"/>
        <v>57</v>
      </c>
      <c r="F1839" t="str">
        <f t="shared" si="731"/>
        <v>50-75</v>
      </c>
      <c r="G1839">
        <v>1</v>
      </c>
      <c r="H1839" t="str">
        <f t="shared" si="732"/>
        <v>Pariente gordo</v>
      </c>
      <c r="I1839">
        <v>1</v>
      </c>
      <c r="J1839" t="str">
        <f t="shared" si="733"/>
        <v>Hipercaloricos</v>
      </c>
      <c r="K1839">
        <v>3</v>
      </c>
      <c r="L1839">
        <f t="shared" si="734"/>
        <v>1</v>
      </c>
      <c r="M1839" t="str">
        <f t="shared" si="735"/>
        <v>Suele comer</v>
      </c>
      <c r="N1839">
        <v>3</v>
      </c>
      <c r="O1839">
        <f t="shared" si="736"/>
        <v>2</v>
      </c>
      <c r="P1839" t="str">
        <f t="shared" si="737"/>
        <v>Mas de 3</v>
      </c>
      <c r="Q1839">
        <v>1</v>
      </c>
      <c r="R1839" t="str">
        <f t="shared" si="738"/>
        <v>A veces</v>
      </c>
      <c r="S1839">
        <v>0</v>
      </c>
      <c r="T1839" t="str">
        <f t="shared" si="739"/>
        <v>No fuma</v>
      </c>
      <c r="U1839">
        <v>2641489</v>
      </c>
      <c r="V1839">
        <f t="shared" si="740"/>
        <v>2</v>
      </c>
      <c r="W1839" t="str">
        <f t="shared" si="741"/>
        <v>Siempre</v>
      </c>
      <c r="X1839">
        <v>0</v>
      </c>
      <c r="Y1839" t="str">
        <f t="shared" si="742"/>
        <v>No controla</v>
      </c>
      <c r="Z1839">
        <v>0.48155500000000001</v>
      </c>
      <c r="AA1839">
        <f t="shared" si="743"/>
        <v>0</v>
      </c>
      <c r="AB1839" t="str">
        <f t="shared" si="744"/>
        <v>Nunca</v>
      </c>
      <c r="AC1839">
        <v>0.73520099999999999</v>
      </c>
      <c r="AD1839">
        <f t="shared" si="745"/>
        <v>0</v>
      </c>
      <c r="AE1839" t="str">
        <f t="shared" si="746"/>
        <v>Nunca</v>
      </c>
      <c r="AF1839">
        <v>1</v>
      </c>
      <c r="AG1839" t="str">
        <f t="shared" si="747"/>
        <v>A veces</v>
      </c>
      <c r="AH1839">
        <v>0</v>
      </c>
      <c r="AI1839" t="str">
        <f t="shared" si="748"/>
        <v>No usa</v>
      </c>
      <c r="AJ1839">
        <v>0</v>
      </c>
      <c r="AK1839" t="str">
        <f t="shared" si="749"/>
        <v>No usa</v>
      </c>
      <c r="AL1839">
        <v>0</v>
      </c>
      <c r="AM1839" t="str">
        <f t="shared" si="750"/>
        <v>No usa</v>
      </c>
      <c r="AN1839">
        <v>1</v>
      </c>
      <c r="AO1839" t="str">
        <f t="shared" si="751"/>
        <v>Usa Transporte</v>
      </c>
      <c r="AP1839">
        <v>0</v>
      </c>
      <c r="AQ1839" t="str">
        <f t="shared" si="752"/>
        <v>No camina</v>
      </c>
      <c r="AR1839">
        <v>1</v>
      </c>
      <c r="AS1839" t="str">
        <f t="shared" si="753"/>
        <v>Es Obeso</v>
      </c>
    </row>
    <row r="1840" spans="1:45" x14ac:dyDescent="0.25">
      <c r="A1840">
        <v>0</v>
      </c>
      <c r="B1840" t="str">
        <f t="shared" si="728"/>
        <v>F</v>
      </c>
      <c r="C1840">
        <v>20989016</v>
      </c>
      <c r="D1840">
        <f t="shared" si="729"/>
        <v>57</v>
      </c>
      <c r="E1840">
        <f t="shared" si="730"/>
        <v>57</v>
      </c>
      <c r="F1840" t="str">
        <f t="shared" si="731"/>
        <v>50-75</v>
      </c>
      <c r="G1840">
        <v>1</v>
      </c>
      <c r="H1840" t="str">
        <f t="shared" si="732"/>
        <v>Pariente gordo</v>
      </c>
      <c r="I1840">
        <v>1</v>
      </c>
      <c r="J1840" t="str">
        <f t="shared" si="733"/>
        <v>Hipercaloricos</v>
      </c>
      <c r="K1840">
        <v>3</v>
      </c>
      <c r="L1840">
        <f t="shared" si="734"/>
        <v>1</v>
      </c>
      <c r="M1840" t="str">
        <f t="shared" si="735"/>
        <v>Suele comer</v>
      </c>
      <c r="N1840">
        <v>3</v>
      </c>
      <c r="O1840">
        <f t="shared" si="736"/>
        <v>2</v>
      </c>
      <c r="P1840" t="str">
        <f t="shared" si="737"/>
        <v>Mas de 3</v>
      </c>
      <c r="Q1840">
        <v>1</v>
      </c>
      <c r="R1840" t="str">
        <f t="shared" si="738"/>
        <v>A veces</v>
      </c>
      <c r="S1840">
        <v>0</v>
      </c>
      <c r="T1840" t="str">
        <f t="shared" si="739"/>
        <v>No fuma</v>
      </c>
      <c r="U1840">
        <v>2417122</v>
      </c>
      <c r="V1840">
        <f t="shared" si="740"/>
        <v>2</v>
      </c>
      <c r="W1840" t="str">
        <f t="shared" si="741"/>
        <v>Siempre</v>
      </c>
      <c r="X1840">
        <v>0</v>
      </c>
      <c r="Y1840" t="str">
        <f t="shared" si="742"/>
        <v>No controla</v>
      </c>
      <c r="Z1840">
        <v>0.95272500000000004</v>
      </c>
      <c r="AA1840">
        <f t="shared" si="743"/>
        <v>0</v>
      </c>
      <c r="AB1840" t="str">
        <f t="shared" si="744"/>
        <v>Nunca</v>
      </c>
      <c r="AC1840">
        <v>0.57395799999999997</v>
      </c>
      <c r="AD1840">
        <f t="shared" si="745"/>
        <v>0</v>
      </c>
      <c r="AE1840" t="str">
        <f t="shared" si="746"/>
        <v>Nunca</v>
      </c>
      <c r="AF1840">
        <v>1</v>
      </c>
      <c r="AG1840" t="str">
        <f t="shared" si="747"/>
        <v>A veces</v>
      </c>
      <c r="AH1840">
        <v>0</v>
      </c>
      <c r="AI1840" t="str">
        <f t="shared" si="748"/>
        <v>No usa</v>
      </c>
      <c r="AJ1840">
        <v>0</v>
      </c>
      <c r="AK1840" t="str">
        <f t="shared" si="749"/>
        <v>No usa</v>
      </c>
      <c r="AL1840">
        <v>0</v>
      </c>
      <c r="AM1840" t="str">
        <f t="shared" si="750"/>
        <v>No usa</v>
      </c>
      <c r="AN1840">
        <v>1</v>
      </c>
      <c r="AO1840" t="str">
        <f t="shared" si="751"/>
        <v>Usa Transporte</v>
      </c>
      <c r="AP1840">
        <v>0</v>
      </c>
      <c r="AQ1840" t="str">
        <f t="shared" si="752"/>
        <v>No camina</v>
      </c>
      <c r="AR1840">
        <v>1</v>
      </c>
      <c r="AS1840" t="str">
        <f t="shared" si="753"/>
        <v>Es Obeso</v>
      </c>
    </row>
    <row r="1841" spans="1:45" x14ac:dyDescent="0.25">
      <c r="A1841">
        <v>0</v>
      </c>
      <c r="B1841" t="str">
        <f t="shared" si="728"/>
        <v>F</v>
      </c>
      <c r="C1841">
        <v>18367481</v>
      </c>
      <c r="D1841">
        <f t="shared" si="729"/>
        <v>50</v>
      </c>
      <c r="E1841">
        <f t="shared" si="730"/>
        <v>50</v>
      </c>
      <c r="F1841" t="str">
        <f t="shared" si="731"/>
        <v>25-50</v>
      </c>
      <c r="G1841">
        <v>1</v>
      </c>
      <c r="H1841" t="str">
        <f t="shared" si="732"/>
        <v>Pariente gordo</v>
      </c>
      <c r="I1841">
        <v>1</v>
      </c>
      <c r="J1841" t="str">
        <f t="shared" si="733"/>
        <v>Hipercaloricos</v>
      </c>
      <c r="K1841">
        <v>3</v>
      </c>
      <c r="L1841">
        <f t="shared" si="734"/>
        <v>1</v>
      </c>
      <c r="M1841" t="str">
        <f t="shared" si="735"/>
        <v>Suele comer</v>
      </c>
      <c r="N1841">
        <v>3</v>
      </c>
      <c r="O1841">
        <f t="shared" si="736"/>
        <v>2</v>
      </c>
      <c r="P1841" t="str">
        <f t="shared" si="737"/>
        <v>Mas de 3</v>
      </c>
      <c r="Q1841">
        <v>1</v>
      </c>
      <c r="R1841" t="str">
        <f t="shared" si="738"/>
        <v>A veces</v>
      </c>
      <c r="S1841">
        <v>0</v>
      </c>
      <c r="T1841" t="str">
        <f t="shared" si="739"/>
        <v>No fuma</v>
      </c>
      <c r="U1841">
        <v>2900857</v>
      </c>
      <c r="V1841">
        <f t="shared" si="740"/>
        <v>2</v>
      </c>
      <c r="W1841" t="str">
        <f t="shared" si="741"/>
        <v>Siempre</v>
      </c>
      <c r="X1841">
        <v>0</v>
      </c>
      <c r="Y1841" t="str">
        <f t="shared" si="742"/>
        <v>No controla</v>
      </c>
      <c r="Z1841">
        <v>1508897</v>
      </c>
      <c r="AA1841">
        <f t="shared" si="743"/>
        <v>3</v>
      </c>
      <c r="AB1841" t="str">
        <f t="shared" si="744"/>
        <v>Siempre</v>
      </c>
      <c r="AC1841">
        <v>0.62537100000000001</v>
      </c>
      <c r="AD1841">
        <f t="shared" si="745"/>
        <v>0</v>
      </c>
      <c r="AE1841" t="str">
        <f t="shared" si="746"/>
        <v>Nunca</v>
      </c>
      <c r="AF1841">
        <v>1</v>
      </c>
      <c r="AG1841" t="str">
        <f t="shared" si="747"/>
        <v>A veces</v>
      </c>
      <c r="AH1841">
        <v>0</v>
      </c>
      <c r="AI1841" t="str">
        <f t="shared" si="748"/>
        <v>No usa</v>
      </c>
      <c r="AJ1841">
        <v>0</v>
      </c>
      <c r="AK1841" t="str">
        <f t="shared" si="749"/>
        <v>No usa</v>
      </c>
      <c r="AL1841">
        <v>0</v>
      </c>
      <c r="AM1841" t="str">
        <f t="shared" si="750"/>
        <v>No usa</v>
      </c>
      <c r="AN1841">
        <v>1</v>
      </c>
      <c r="AO1841" t="str">
        <f t="shared" si="751"/>
        <v>Usa Transporte</v>
      </c>
      <c r="AP1841">
        <v>0</v>
      </c>
      <c r="AQ1841" t="str">
        <f t="shared" si="752"/>
        <v>No camina</v>
      </c>
      <c r="AR1841">
        <v>1</v>
      </c>
      <c r="AS1841" t="str">
        <f t="shared" si="753"/>
        <v>Es Obeso</v>
      </c>
    </row>
    <row r="1842" spans="1:45" x14ac:dyDescent="0.25">
      <c r="A1842">
        <v>0</v>
      </c>
      <c r="B1842" t="str">
        <f t="shared" si="728"/>
        <v>F</v>
      </c>
      <c r="C1842">
        <v>21051107</v>
      </c>
      <c r="D1842">
        <f t="shared" si="729"/>
        <v>57</v>
      </c>
      <c r="E1842">
        <f t="shared" si="730"/>
        <v>57</v>
      </c>
      <c r="F1842" t="str">
        <f t="shared" si="731"/>
        <v>50-75</v>
      </c>
      <c r="G1842">
        <v>1</v>
      </c>
      <c r="H1842" t="str">
        <f t="shared" si="732"/>
        <v>Pariente gordo</v>
      </c>
      <c r="I1842">
        <v>1</v>
      </c>
      <c r="J1842" t="str">
        <f t="shared" si="733"/>
        <v>Hipercaloricos</v>
      </c>
      <c r="K1842">
        <v>3</v>
      </c>
      <c r="L1842">
        <f t="shared" si="734"/>
        <v>1</v>
      </c>
      <c r="M1842" t="str">
        <f t="shared" si="735"/>
        <v>Suele comer</v>
      </c>
      <c r="N1842">
        <v>3</v>
      </c>
      <c r="O1842">
        <f t="shared" si="736"/>
        <v>2</v>
      </c>
      <c r="P1842" t="str">
        <f t="shared" si="737"/>
        <v>Mas de 3</v>
      </c>
      <c r="Q1842">
        <v>1</v>
      </c>
      <c r="R1842" t="str">
        <f t="shared" si="738"/>
        <v>A veces</v>
      </c>
      <c r="S1842">
        <v>0</v>
      </c>
      <c r="T1842" t="str">
        <f t="shared" si="739"/>
        <v>No fuma</v>
      </c>
      <c r="U1842">
        <v>295311</v>
      </c>
      <c r="V1842">
        <f t="shared" si="740"/>
        <v>2</v>
      </c>
      <c r="W1842" t="str">
        <f t="shared" si="741"/>
        <v>Siempre</v>
      </c>
      <c r="X1842">
        <v>0</v>
      </c>
      <c r="Y1842" t="str">
        <f t="shared" si="742"/>
        <v>No controla</v>
      </c>
      <c r="Z1842">
        <v>1445148</v>
      </c>
      <c r="AA1842">
        <f t="shared" si="743"/>
        <v>3</v>
      </c>
      <c r="AB1842" t="str">
        <f t="shared" si="744"/>
        <v>Siempre</v>
      </c>
      <c r="AC1842">
        <v>0.67320999999999998</v>
      </c>
      <c r="AD1842">
        <f t="shared" si="745"/>
        <v>0</v>
      </c>
      <c r="AE1842" t="str">
        <f t="shared" si="746"/>
        <v>Nunca</v>
      </c>
      <c r="AF1842">
        <v>1</v>
      </c>
      <c r="AG1842" t="str">
        <f t="shared" si="747"/>
        <v>A veces</v>
      </c>
      <c r="AH1842">
        <v>0</v>
      </c>
      <c r="AI1842" t="str">
        <f t="shared" si="748"/>
        <v>No usa</v>
      </c>
      <c r="AJ1842">
        <v>0</v>
      </c>
      <c r="AK1842" t="str">
        <f t="shared" si="749"/>
        <v>No usa</v>
      </c>
      <c r="AL1842">
        <v>0</v>
      </c>
      <c r="AM1842" t="str">
        <f t="shared" si="750"/>
        <v>No usa</v>
      </c>
      <c r="AN1842">
        <v>1</v>
      </c>
      <c r="AO1842" t="str">
        <f t="shared" si="751"/>
        <v>Usa Transporte</v>
      </c>
      <c r="AP1842">
        <v>0</v>
      </c>
      <c r="AQ1842" t="str">
        <f t="shared" si="752"/>
        <v>No camina</v>
      </c>
      <c r="AR1842">
        <v>1</v>
      </c>
      <c r="AS1842" t="str">
        <f t="shared" si="753"/>
        <v>Es Obeso</v>
      </c>
    </row>
    <row r="1843" spans="1:45" x14ac:dyDescent="0.25">
      <c r="A1843">
        <v>0</v>
      </c>
      <c r="B1843" t="str">
        <f t="shared" si="728"/>
        <v>F</v>
      </c>
      <c r="C1843">
        <v>26</v>
      </c>
      <c r="D1843">
        <f t="shared" si="729"/>
        <v>26</v>
      </c>
      <c r="E1843">
        <f t="shared" si="730"/>
        <v>26</v>
      </c>
      <c r="F1843" t="str">
        <f t="shared" si="731"/>
        <v>25-50</v>
      </c>
      <c r="G1843">
        <v>1</v>
      </c>
      <c r="H1843" t="str">
        <f t="shared" si="732"/>
        <v>Pariente gordo</v>
      </c>
      <c r="I1843">
        <v>1</v>
      </c>
      <c r="J1843" t="str">
        <f t="shared" si="733"/>
        <v>Hipercaloricos</v>
      </c>
      <c r="K1843">
        <v>3</v>
      </c>
      <c r="L1843">
        <f t="shared" si="734"/>
        <v>1</v>
      </c>
      <c r="M1843" t="str">
        <f t="shared" si="735"/>
        <v>Suele comer</v>
      </c>
      <c r="N1843">
        <v>3</v>
      </c>
      <c r="O1843">
        <f t="shared" si="736"/>
        <v>2</v>
      </c>
      <c r="P1843" t="str">
        <f t="shared" si="737"/>
        <v>Mas de 3</v>
      </c>
      <c r="Q1843">
        <v>1</v>
      </c>
      <c r="R1843" t="str">
        <f t="shared" si="738"/>
        <v>A veces</v>
      </c>
      <c r="S1843">
        <v>0</v>
      </c>
      <c r="T1843" t="str">
        <f t="shared" si="739"/>
        <v>No fuma</v>
      </c>
      <c r="U1843">
        <v>2617988</v>
      </c>
      <c r="V1843">
        <f t="shared" si="740"/>
        <v>2</v>
      </c>
      <c r="W1843" t="str">
        <f t="shared" si="741"/>
        <v>Siempre</v>
      </c>
      <c r="X1843">
        <v>0</v>
      </c>
      <c r="Y1843" t="str">
        <f t="shared" si="742"/>
        <v>No controla</v>
      </c>
      <c r="Z1843">
        <v>0</v>
      </c>
      <c r="AA1843">
        <f t="shared" si="743"/>
        <v>0</v>
      </c>
      <c r="AB1843" t="str">
        <f t="shared" si="744"/>
        <v>Nunca</v>
      </c>
      <c r="AC1843">
        <v>0.15618699999999999</v>
      </c>
      <c r="AD1843">
        <f t="shared" si="745"/>
        <v>0</v>
      </c>
      <c r="AE1843" t="str">
        <f t="shared" si="746"/>
        <v>Nunca</v>
      </c>
      <c r="AF1843">
        <v>1</v>
      </c>
      <c r="AG1843" t="str">
        <f t="shared" si="747"/>
        <v>A veces</v>
      </c>
      <c r="AH1843">
        <v>0</v>
      </c>
      <c r="AI1843" t="str">
        <f t="shared" si="748"/>
        <v>No usa</v>
      </c>
      <c r="AJ1843">
        <v>0</v>
      </c>
      <c r="AK1843" t="str">
        <f t="shared" si="749"/>
        <v>No usa</v>
      </c>
      <c r="AL1843">
        <v>0</v>
      </c>
      <c r="AM1843" t="str">
        <f t="shared" si="750"/>
        <v>No usa</v>
      </c>
      <c r="AN1843">
        <v>1</v>
      </c>
      <c r="AO1843" t="str">
        <f t="shared" si="751"/>
        <v>Usa Transporte</v>
      </c>
      <c r="AP1843">
        <v>0</v>
      </c>
      <c r="AQ1843" t="str">
        <f t="shared" si="752"/>
        <v>No camina</v>
      </c>
      <c r="AR1843">
        <v>1</v>
      </c>
      <c r="AS1843" t="str">
        <f t="shared" si="753"/>
        <v>Es Obeso</v>
      </c>
    </row>
    <row r="1844" spans="1:45" x14ac:dyDescent="0.25">
      <c r="A1844">
        <v>0</v>
      </c>
      <c r="B1844" t="str">
        <f t="shared" si="728"/>
        <v>F</v>
      </c>
      <c r="C1844">
        <v>26</v>
      </c>
      <c r="D1844">
        <f t="shared" si="729"/>
        <v>26</v>
      </c>
      <c r="E1844">
        <f t="shared" si="730"/>
        <v>26</v>
      </c>
      <c r="F1844" t="str">
        <f t="shared" si="731"/>
        <v>25-50</v>
      </c>
      <c r="G1844">
        <v>1</v>
      </c>
      <c r="H1844" t="str">
        <f t="shared" si="732"/>
        <v>Pariente gordo</v>
      </c>
      <c r="I1844">
        <v>1</v>
      </c>
      <c r="J1844" t="str">
        <f t="shared" si="733"/>
        <v>Hipercaloricos</v>
      </c>
      <c r="K1844">
        <v>3</v>
      </c>
      <c r="L1844">
        <f t="shared" si="734"/>
        <v>1</v>
      </c>
      <c r="M1844" t="str">
        <f t="shared" si="735"/>
        <v>Suele comer</v>
      </c>
      <c r="N1844">
        <v>3</v>
      </c>
      <c r="O1844">
        <f t="shared" si="736"/>
        <v>2</v>
      </c>
      <c r="P1844" t="str">
        <f t="shared" si="737"/>
        <v>Mas de 3</v>
      </c>
      <c r="Q1844">
        <v>1</v>
      </c>
      <c r="R1844" t="str">
        <f t="shared" si="738"/>
        <v>A veces</v>
      </c>
      <c r="S1844">
        <v>0</v>
      </c>
      <c r="T1844" t="str">
        <f t="shared" si="739"/>
        <v>No fuma</v>
      </c>
      <c r="U1844">
        <v>255057</v>
      </c>
      <c r="V1844">
        <f t="shared" si="740"/>
        <v>2</v>
      </c>
      <c r="W1844" t="str">
        <f t="shared" si="741"/>
        <v>Siempre</v>
      </c>
      <c r="X1844">
        <v>0</v>
      </c>
      <c r="Y1844" t="str">
        <f t="shared" si="742"/>
        <v>No controla</v>
      </c>
      <c r="Z1844">
        <v>0</v>
      </c>
      <c r="AA1844">
        <f t="shared" si="743"/>
        <v>0</v>
      </c>
      <c r="AB1844" t="str">
        <f t="shared" si="744"/>
        <v>Nunca</v>
      </c>
      <c r="AC1844">
        <v>0.20482</v>
      </c>
      <c r="AD1844">
        <f t="shared" si="745"/>
        <v>0</v>
      </c>
      <c r="AE1844" t="str">
        <f t="shared" si="746"/>
        <v>Nunca</v>
      </c>
      <c r="AF1844">
        <v>1</v>
      </c>
      <c r="AG1844" t="str">
        <f t="shared" si="747"/>
        <v>A veces</v>
      </c>
      <c r="AH1844">
        <v>0</v>
      </c>
      <c r="AI1844" t="str">
        <f t="shared" si="748"/>
        <v>No usa</v>
      </c>
      <c r="AJ1844">
        <v>0</v>
      </c>
      <c r="AK1844" t="str">
        <f t="shared" si="749"/>
        <v>No usa</v>
      </c>
      <c r="AL1844">
        <v>0</v>
      </c>
      <c r="AM1844" t="str">
        <f t="shared" si="750"/>
        <v>No usa</v>
      </c>
      <c r="AN1844">
        <v>1</v>
      </c>
      <c r="AO1844" t="str">
        <f t="shared" si="751"/>
        <v>Usa Transporte</v>
      </c>
      <c r="AP1844">
        <v>0</v>
      </c>
      <c r="AQ1844" t="str">
        <f t="shared" si="752"/>
        <v>No camina</v>
      </c>
      <c r="AR1844">
        <v>1</v>
      </c>
      <c r="AS1844" t="str">
        <f t="shared" si="753"/>
        <v>Es Obeso</v>
      </c>
    </row>
    <row r="1845" spans="1:45" x14ac:dyDescent="0.25">
      <c r="A1845">
        <v>0</v>
      </c>
      <c r="B1845" t="str">
        <f t="shared" si="728"/>
        <v>F</v>
      </c>
      <c r="C1845">
        <v>25998646</v>
      </c>
      <c r="D1845">
        <f t="shared" si="729"/>
        <v>71</v>
      </c>
      <c r="E1845">
        <f t="shared" si="730"/>
        <v>71</v>
      </c>
      <c r="F1845" t="str">
        <f t="shared" si="731"/>
        <v>50-75</v>
      </c>
      <c r="G1845">
        <v>1</v>
      </c>
      <c r="H1845" t="str">
        <f t="shared" si="732"/>
        <v>Pariente gordo</v>
      </c>
      <c r="I1845">
        <v>1</v>
      </c>
      <c r="J1845" t="str">
        <f t="shared" si="733"/>
        <v>Hipercaloricos</v>
      </c>
      <c r="K1845">
        <v>3</v>
      </c>
      <c r="L1845">
        <f t="shared" si="734"/>
        <v>1</v>
      </c>
      <c r="M1845" t="str">
        <f t="shared" si="735"/>
        <v>Suele comer</v>
      </c>
      <c r="N1845">
        <v>3</v>
      </c>
      <c r="O1845">
        <f t="shared" si="736"/>
        <v>2</v>
      </c>
      <c r="P1845" t="str">
        <f t="shared" si="737"/>
        <v>Mas de 3</v>
      </c>
      <c r="Q1845">
        <v>1</v>
      </c>
      <c r="R1845" t="str">
        <f t="shared" si="738"/>
        <v>A veces</v>
      </c>
      <c r="S1845">
        <v>0</v>
      </c>
      <c r="T1845" t="str">
        <f t="shared" si="739"/>
        <v>No fuma</v>
      </c>
      <c r="U1845">
        <v>2653531</v>
      </c>
      <c r="V1845">
        <f t="shared" si="740"/>
        <v>2</v>
      </c>
      <c r="W1845" t="str">
        <f t="shared" si="741"/>
        <v>Siempre</v>
      </c>
      <c r="X1845">
        <v>0</v>
      </c>
      <c r="Y1845" t="str">
        <f t="shared" si="742"/>
        <v>No controla</v>
      </c>
      <c r="Z1845">
        <v>0.19006100000000001</v>
      </c>
      <c r="AA1845">
        <f t="shared" si="743"/>
        <v>0</v>
      </c>
      <c r="AB1845" t="str">
        <f t="shared" si="744"/>
        <v>Nunca</v>
      </c>
      <c r="AC1845">
        <v>0.69234300000000004</v>
      </c>
      <c r="AD1845">
        <f t="shared" si="745"/>
        <v>0</v>
      </c>
      <c r="AE1845" t="str">
        <f t="shared" si="746"/>
        <v>Nunca</v>
      </c>
      <c r="AF1845">
        <v>1</v>
      </c>
      <c r="AG1845" t="str">
        <f t="shared" si="747"/>
        <v>A veces</v>
      </c>
      <c r="AH1845">
        <v>0</v>
      </c>
      <c r="AI1845" t="str">
        <f t="shared" si="748"/>
        <v>No usa</v>
      </c>
      <c r="AJ1845">
        <v>0</v>
      </c>
      <c r="AK1845" t="str">
        <f t="shared" si="749"/>
        <v>No usa</v>
      </c>
      <c r="AL1845">
        <v>0</v>
      </c>
      <c r="AM1845" t="str">
        <f t="shared" si="750"/>
        <v>No usa</v>
      </c>
      <c r="AN1845">
        <v>1</v>
      </c>
      <c r="AO1845" t="str">
        <f t="shared" si="751"/>
        <v>Usa Transporte</v>
      </c>
      <c r="AP1845">
        <v>0</v>
      </c>
      <c r="AQ1845" t="str">
        <f t="shared" si="752"/>
        <v>No camina</v>
      </c>
      <c r="AR1845">
        <v>1</v>
      </c>
      <c r="AS1845" t="str">
        <f t="shared" si="753"/>
        <v>Es Obeso</v>
      </c>
    </row>
    <row r="1846" spans="1:45" x14ac:dyDescent="0.25">
      <c r="A1846">
        <v>0</v>
      </c>
      <c r="B1846" t="str">
        <f t="shared" si="728"/>
        <v>F</v>
      </c>
      <c r="C1846">
        <v>26</v>
      </c>
      <c r="D1846">
        <f t="shared" si="729"/>
        <v>26</v>
      </c>
      <c r="E1846">
        <f t="shared" si="730"/>
        <v>26</v>
      </c>
      <c r="F1846" t="str">
        <f t="shared" si="731"/>
        <v>25-50</v>
      </c>
      <c r="G1846">
        <v>1</v>
      </c>
      <c r="H1846" t="str">
        <f t="shared" si="732"/>
        <v>Pariente gordo</v>
      </c>
      <c r="I1846">
        <v>1</v>
      </c>
      <c r="J1846" t="str">
        <f t="shared" si="733"/>
        <v>Hipercaloricos</v>
      </c>
      <c r="K1846">
        <v>3</v>
      </c>
      <c r="L1846">
        <f t="shared" si="734"/>
        <v>1</v>
      </c>
      <c r="M1846" t="str">
        <f t="shared" si="735"/>
        <v>Suele comer</v>
      </c>
      <c r="N1846">
        <v>3</v>
      </c>
      <c r="O1846">
        <f t="shared" si="736"/>
        <v>2</v>
      </c>
      <c r="P1846" t="str">
        <f t="shared" si="737"/>
        <v>Mas de 3</v>
      </c>
      <c r="Q1846">
        <v>1</v>
      </c>
      <c r="R1846" t="str">
        <f t="shared" si="738"/>
        <v>A veces</v>
      </c>
      <c r="S1846">
        <v>0</v>
      </c>
      <c r="T1846" t="str">
        <f t="shared" si="739"/>
        <v>No fuma</v>
      </c>
      <c r="U1846">
        <v>1698767</v>
      </c>
      <c r="V1846">
        <f t="shared" si="740"/>
        <v>2</v>
      </c>
      <c r="W1846" t="str">
        <f t="shared" si="741"/>
        <v>Siempre</v>
      </c>
      <c r="X1846">
        <v>0</v>
      </c>
      <c r="Y1846" t="str">
        <f t="shared" si="742"/>
        <v>No controla</v>
      </c>
      <c r="Z1846">
        <v>0</v>
      </c>
      <c r="AA1846">
        <f t="shared" si="743"/>
        <v>0</v>
      </c>
      <c r="AB1846" t="str">
        <f t="shared" si="744"/>
        <v>Nunca</v>
      </c>
      <c r="AC1846">
        <v>0.54396</v>
      </c>
      <c r="AD1846">
        <f t="shared" si="745"/>
        <v>0</v>
      </c>
      <c r="AE1846" t="str">
        <f t="shared" si="746"/>
        <v>Nunca</v>
      </c>
      <c r="AF1846">
        <v>1</v>
      </c>
      <c r="AG1846" t="str">
        <f t="shared" si="747"/>
        <v>A veces</v>
      </c>
      <c r="AH1846">
        <v>0</v>
      </c>
      <c r="AI1846" t="str">
        <f t="shared" si="748"/>
        <v>No usa</v>
      </c>
      <c r="AJ1846">
        <v>0</v>
      </c>
      <c r="AK1846" t="str">
        <f t="shared" si="749"/>
        <v>No usa</v>
      </c>
      <c r="AL1846">
        <v>0</v>
      </c>
      <c r="AM1846" t="str">
        <f t="shared" si="750"/>
        <v>No usa</v>
      </c>
      <c r="AN1846">
        <v>1</v>
      </c>
      <c r="AO1846" t="str">
        <f t="shared" si="751"/>
        <v>Usa Transporte</v>
      </c>
      <c r="AP1846">
        <v>0</v>
      </c>
      <c r="AQ1846" t="str">
        <f t="shared" si="752"/>
        <v>No camina</v>
      </c>
      <c r="AR1846">
        <v>1</v>
      </c>
      <c r="AS1846" t="str">
        <f t="shared" si="753"/>
        <v>Es Obeso</v>
      </c>
    </row>
    <row r="1847" spans="1:45" x14ac:dyDescent="0.25">
      <c r="A1847">
        <v>0</v>
      </c>
      <c r="B1847" t="str">
        <f t="shared" si="728"/>
        <v>F</v>
      </c>
      <c r="C1847">
        <v>22846357</v>
      </c>
      <c r="D1847">
        <f t="shared" si="729"/>
        <v>62</v>
      </c>
      <c r="E1847">
        <f t="shared" si="730"/>
        <v>62</v>
      </c>
      <c r="F1847" t="str">
        <f t="shared" si="731"/>
        <v>50-75</v>
      </c>
      <c r="G1847">
        <v>1</v>
      </c>
      <c r="H1847" t="str">
        <f t="shared" si="732"/>
        <v>Pariente gordo</v>
      </c>
      <c r="I1847">
        <v>1</v>
      </c>
      <c r="J1847" t="str">
        <f t="shared" si="733"/>
        <v>Hipercaloricos</v>
      </c>
      <c r="K1847">
        <v>3</v>
      </c>
      <c r="L1847">
        <f t="shared" si="734"/>
        <v>1</v>
      </c>
      <c r="M1847" t="str">
        <f t="shared" si="735"/>
        <v>Suele comer</v>
      </c>
      <c r="N1847">
        <v>3</v>
      </c>
      <c r="O1847">
        <f t="shared" si="736"/>
        <v>2</v>
      </c>
      <c r="P1847" t="str">
        <f t="shared" si="737"/>
        <v>Mas de 3</v>
      </c>
      <c r="Q1847">
        <v>1</v>
      </c>
      <c r="R1847" t="str">
        <f t="shared" si="738"/>
        <v>A veces</v>
      </c>
      <c r="S1847">
        <v>0</v>
      </c>
      <c r="T1847" t="str">
        <f t="shared" si="739"/>
        <v>No fuma</v>
      </c>
      <c r="U1847">
        <v>284837</v>
      </c>
      <c r="V1847">
        <f t="shared" si="740"/>
        <v>2</v>
      </c>
      <c r="W1847" t="str">
        <f t="shared" si="741"/>
        <v>Siempre</v>
      </c>
      <c r="X1847">
        <v>0</v>
      </c>
      <c r="Y1847" t="str">
        <f t="shared" si="742"/>
        <v>No controla</v>
      </c>
      <c r="Z1847">
        <v>1206059</v>
      </c>
      <c r="AA1847">
        <f t="shared" si="743"/>
        <v>3</v>
      </c>
      <c r="AB1847" t="str">
        <f t="shared" si="744"/>
        <v>Siempre</v>
      </c>
      <c r="AC1847">
        <v>0.76666800000000002</v>
      </c>
      <c r="AD1847">
        <f t="shared" si="745"/>
        <v>0</v>
      </c>
      <c r="AE1847" t="str">
        <f t="shared" si="746"/>
        <v>Nunca</v>
      </c>
      <c r="AF1847">
        <v>1</v>
      </c>
      <c r="AG1847" t="str">
        <f t="shared" si="747"/>
        <v>A veces</v>
      </c>
      <c r="AH1847">
        <v>0</v>
      </c>
      <c r="AI1847" t="str">
        <f t="shared" si="748"/>
        <v>No usa</v>
      </c>
      <c r="AJ1847">
        <v>0</v>
      </c>
      <c r="AK1847" t="str">
        <f t="shared" si="749"/>
        <v>No usa</v>
      </c>
      <c r="AL1847">
        <v>0</v>
      </c>
      <c r="AM1847" t="str">
        <f t="shared" si="750"/>
        <v>No usa</v>
      </c>
      <c r="AN1847">
        <v>1</v>
      </c>
      <c r="AO1847" t="str">
        <f t="shared" si="751"/>
        <v>Usa Transporte</v>
      </c>
      <c r="AP1847">
        <v>0</v>
      </c>
      <c r="AQ1847" t="str">
        <f t="shared" si="752"/>
        <v>No camina</v>
      </c>
      <c r="AR1847">
        <v>1</v>
      </c>
      <c r="AS1847" t="str">
        <f t="shared" si="753"/>
        <v>Es Obeso</v>
      </c>
    </row>
    <row r="1848" spans="1:45" x14ac:dyDescent="0.25">
      <c r="A1848">
        <v>0</v>
      </c>
      <c r="B1848" t="str">
        <f t="shared" si="728"/>
        <v>F</v>
      </c>
      <c r="C1848">
        <v>19885655</v>
      </c>
      <c r="D1848">
        <f t="shared" si="729"/>
        <v>54</v>
      </c>
      <c r="E1848">
        <f t="shared" si="730"/>
        <v>54</v>
      </c>
      <c r="F1848" t="str">
        <f t="shared" si="731"/>
        <v>50-75</v>
      </c>
      <c r="G1848">
        <v>1</v>
      </c>
      <c r="H1848" t="str">
        <f t="shared" si="732"/>
        <v>Pariente gordo</v>
      </c>
      <c r="I1848">
        <v>1</v>
      </c>
      <c r="J1848" t="str">
        <f t="shared" si="733"/>
        <v>Hipercaloricos</v>
      </c>
      <c r="K1848">
        <v>3</v>
      </c>
      <c r="L1848">
        <f t="shared" si="734"/>
        <v>1</v>
      </c>
      <c r="M1848" t="str">
        <f t="shared" si="735"/>
        <v>Suele comer</v>
      </c>
      <c r="N1848">
        <v>3</v>
      </c>
      <c r="O1848">
        <f t="shared" si="736"/>
        <v>2</v>
      </c>
      <c r="P1848" t="str">
        <f t="shared" si="737"/>
        <v>Mas de 3</v>
      </c>
      <c r="Q1848">
        <v>1</v>
      </c>
      <c r="R1848" t="str">
        <f t="shared" si="738"/>
        <v>A veces</v>
      </c>
      <c r="S1848">
        <v>0</v>
      </c>
      <c r="T1848" t="str">
        <f t="shared" si="739"/>
        <v>No fuma</v>
      </c>
      <c r="U1848">
        <v>2835622</v>
      </c>
      <c r="V1848">
        <f t="shared" si="740"/>
        <v>2</v>
      </c>
      <c r="W1848" t="str">
        <f t="shared" si="741"/>
        <v>Siempre</v>
      </c>
      <c r="X1848">
        <v>0</v>
      </c>
      <c r="Y1848" t="str">
        <f t="shared" si="742"/>
        <v>No controla</v>
      </c>
      <c r="Z1848">
        <v>1419473</v>
      </c>
      <c r="AA1848">
        <f t="shared" si="743"/>
        <v>3</v>
      </c>
      <c r="AB1848" t="str">
        <f t="shared" si="744"/>
        <v>Siempre</v>
      </c>
      <c r="AC1848">
        <v>0.81698599999999999</v>
      </c>
      <c r="AD1848">
        <f t="shared" si="745"/>
        <v>0</v>
      </c>
      <c r="AE1848" t="str">
        <f t="shared" si="746"/>
        <v>Nunca</v>
      </c>
      <c r="AF1848">
        <v>1</v>
      </c>
      <c r="AG1848" t="str">
        <f t="shared" si="747"/>
        <v>A veces</v>
      </c>
      <c r="AH1848">
        <v>0</v>
      </c>
      <c r="AI1848" t="str">
        <f t="shared" si="748"/>
        <v>No usa</v>
      </c>
      <c r="AJ1848">
        <v>0</v>
      </c>
      <c r="AK1848" t="str">
        <f t="shared" si="749"/>
        <v>No usa</v>
      </c>
      <c r="AL1848">
        <v>0</v>
      </c>
      <c r="AM1848" t="str">
        <f t="shared" si="750"/>
        <v>No usa</v>
      </c>
      <c r="AN1848">
        <v>1</v>
      </c>
      <c r="AO1848" t="str">
        <f t="shared" si="751"/>
        <v>Usa Transporte</v>
      </c>
      <c r="AP1848">
        <v>0</v>
      </c>
      <c r="AQ1848" t="str">
        <f t="shared" si="752"/>
        <v>No camina</v>
      </c>
      <c r="AR1848">
        <v>1</v>
      </c>
      <c r="AS1848" t="str">
        <f t="shared" si="753"/>
        <v>Es Obeso</v>
      </c>
    </row>
    <row r="1849" spans="1:45" x14ac:dyDescent="0.25">
      <c r="A1849">
        <v>0</v>
      </c>
      <c r="B1849" t="str">
        <f t="shared" si="728"/>
        <v>F</v>
      </c>
      <c r="C1849">
        <v>25930376</v>
      </c>
      <c r="D1849">
        <f t="shared" si="729"/>
        <v>71</v>
      </c>
      <c r="E1849">
        <f t="shared" si="730"/>
        <v>71</v>
      </c>
      <c r="F1849" t="str">
        <f t="shared" si="731"/>
        <v>50-75</v>
      </c>
      <c r="G1849">
        <v>1</v>
      </c>
      <c r="H1849" t="str">
        <f t="shared" si="732"/>
        <v>Pariente gordo</v>
      </c>
      <c r="I1849">
        <v>1</v>
      </c>
      <c r="J1849" t="str">
        <f t="shared" si="733"/>
        <v>Hipercaloricos</v>
      </c>
      <c r="K1849">
        <v>3</v>
      </c>
      <c r="L1849">
        <f t="shared" si="734"/>
        <v>1</v>
      </c>
      <c r="M1849" t="str">
        <f t="shared" si="735"/>
        <v>Suele comer</v>
      </c>
      <c r="N1849">
        <v>3</v>
      </c>
      <c r="O1849">
        <f t="shared" si="736"/>
        <v>2</v>
      </c>
      <c r="P1849" t="str">
        <f t="shared" si="737"/>
        <v>Mas de 3</v>
      </c>
      <c r="Q1849">
        <v>1</v>
      </c>
      <c r="R1849" t="str">
        <f t="shared" si="738"/>
        <v>A veces</v>
      </c>
      <c r="S1849">
        <v>0</v>
      </c>
      <c r="T1849" t="str">
        <f t="shared" si="739"/>
        <v>No fuma</v>
      </c>
      <c r="U1849">
        <v>1050564</v>
      </c>
      <c r="V1849">
        <f t="shared" si="740"/>
        <v>2</v>
      </c>
      <c r="W1849" t="str">
        <f t="shared" si="741"/>
        <v>Siempre</v>
      </c>
      <c r="X1849">
        <v>0</v>
      </c>
      <c r="Y1849" t="str">
        <f t="shared" si="742"/>
        <v>No controla</v>
      </c>
      <c r="Z1849">
        <v>2.6033000000000001E-2</v>
      </c>
      <c r="AA1849">
        <f t="shared" si="743"/>
        <v>0</v>
      </c>
      <c r="AB1849" t="str">
        <f t="shared" si="744"/>
        <v>Nunca</v>
      </c>
      <c r="AC1849">
        <v>0.53907400000000005</v>
      </c>
      <c r="AD1849">
        <f t="shared" si="745"/>
        <v>0</v>
      </c>
      <c r="AE1849" t="str">
        <f t="shared" si="746"/>
        <v>Nunca</v>
      </c>
      <c r="AF1849">
        <v>1</v>
      </c>
      <c r="AG1849" t="str">
        <f t="shared" si="747"/>
        <v>A veces</v>
      </c>
      <c r="AH1849">
        <v>0</v>
      </c>
      <c r="AI1849" t="str">
        <f t="shared" si="748"/>
        <v>No usa</v>
      </c>
      <c r="AJ1849">
        <v>0</v>
      </c>
      <c r="AK1849" t="str">
        <f t="shared" si="749"/>
        <v>No usa</v>
      </c>
      <c r="AL1849">
        <v>0</v>
      </c>
      <c r="AM1849" t="str">
        <f t="shared" si="750"/>
        <v>No usa</v>
      </c>
      <c r="AN1849">
        <v>1</v>
      </c>
      <c r="AO1849" t="str">
        <f t="shared" si="751"/>
        <v>Usa Transporte</v>
      </c>
      <c r="AP1849">
        <v>0</v>
      </c>
      <c r="AQ1849" t="str">
        <f t="shared" si="752"/>
        <v>No camina</v>
      </c>
      <c r="AR1849">
        <v>1</v>
      </c>
      <c r="AS1849" t="str">
        <f t="shared" si="753"/>
        <v>Es Obeso</v>
      </c>
    </row>
    <row r="1850" spans="1:45" x14ac:dyDescent="0.25">
      <c r="A1850">
        <v>0</v>
      </c>
      <c r="B1850" t="str">
        <f t="shared" si="728"/>
        <v>F</v>
      </c>
      <c r="C1850">
        <v>25897815</v>
      </c>
      <c r="D1850">
        <f t="shared" si="729"/>
        <v>70</v>
      </c>
      <c r="E1850">
        <f t="shared" si="730"/>
        <v>70</v>
      </c>
      <c r="F1850" t="str">
        <f t="shared" si="731"/>
        <v>50-75</v>
      </c>
      <c r="G1850">
        <v>1</v>
      </c>
      <c r="H1850" t="str">
        <f t="shared" si="732"/>
        <v>Pariente gordo</v>
      </c>
      <c r="I1850">
        <v>1</v>
      </c>
      <c r="J1850" t="str">
        <f t="shared" si="733"/>
        <v>Hipercaloricos</v>
      </c>
      <c r="K1850">
        <v>3</v>
      </c>
      <c r="L1850">
        <f t="shared" si="734"/>
        <v>1</v>
      </c>
      <c r="M1850" t="str">
        <f t="shared" si="735"/>
        <v>Suele comer</v>
      </c>
      <c r="N1850">
        <v>3</v>
      </c>
      <c r="O1850">
        <f t="shared" si="736"/>
        <v>2</v>
      </c>
      <c r="P1850" t="str">
        <f t="shared" si="737"/>
        <v>Mas de 3</v>
      </c>
      <c r="Q1850">
        <v>1</v>
      </c>
      <c r="R1850" t="str">
        <f t="shared" si="738"/>
        <v>A veces</v>
      </c>
      <c r="S1850">
        <v>0</v>
      </c>
      <c r="T1850" t="str">
        <f t="shared" si="739"/>
        <v>No fuma</v>
      </c>
      <c r="U1850">
        <v>1068493</v>
      </c>
      <c r="V1850">
        <f t="shared" si="740"/>
        <v>2</v>
      </c>
      <c r="W1850" t="str">
        <f t="shared" si="741"/>
        <v>Siempre</v>
      </c>
      <c r="X1850">
        <v>0</v>
      </c>
      <c r="Y1850" t="str">
        <f t="shared" si="742"/>
        <v>No controla</v>
      </c>
      <c r="Z1850">
        <v>0.112122</v>
      </c>
      <c r="AA1850">
        <f t="shared" si="743"/>
        <v>0</v>
      </c>
      <c r="AB1850" t="str">
        <f t="shared" si="744"/>
        <v>Nunca</v>
      </c>
      <c r="AC1850">
        <v>1</v>
      </c>
      <c r="AD1850">
        <f t="shared" si="745"/>
        <v>1</v>
      </c>
      <c r="AE1850" t="str">
        <f t="shared" si="746"/>
        <v>Usualmente</v>
      </c>
      <c r="AF1850">
        <v>1</v>
      </c>
      <c r="AG1850" t="str">
        <f t="shared" si="747"/>
        <v>A veces</v>
      </c>
      <c r="AH1850">
        <v>0</v>
      </c>
      <c r="AI1850" t="str">
        <f t="shared" si="748"/>
        <v>No usa</v>
      </c>
      <c r="AJ1850">
        <v>0</v>
      </c>
      <c r="AK1850" t="str">
        <f t="shared" si="749"/>
        <v>No usa</v>
      </c>
      <c r="AL1850">
        <v>0</v>
      </c>
      <c r="AM1850" t="str">
        <f t="shared" si="750"/>
        <v>No usa</v>
      </c>
      <c r="AN1850">
        <v>1</v>
      </c>
      <c r="AO1850" t="str">
        <f t="shared" si="751"/>
        <v>Usa Transporte</v>
      </c>
      <c r="AP1850">
        <v>0</v>
      </c>
      <c r="AQ1850" t="str">
        <f t="shared" si="752"/>
        <v>No camina</v>
      </c>
      <c r="AR1850">
        <v>1</v>
      </c>
      <c r="AS1850" t="str">
        <f t="shared" si="753"/>
        <v>Es Obeso</v>
      </c>
    </row>
    <row r="1851" spans="1:45" x14ac:dyDescent="0.25">
      <c r="A1851">
        <v>0</v>
      </c>
      <c r="B1851" t="str">
        <f t="shared" si="728"/>
        <v>F</v>
      </c>
      <c r="C1851">
        <v>26</v>
      </c>
      <c r="D1851">
        <f t="shared" si="729"/>
        <v>26</v>
      </c>
      <c r="E1851">
        <f t="shared" si="730"/>
        <v>26</v>
      </c>
      <c r="F1851" t="str">
        <f t="shared" si="731"/>
        <v>25-50</v>
      </c>
      <c r="G1851">
        <v>1</v>
      </c>
      <c r="H1851" t="str">
        <f t="shared" si="732"/>
        <v>Pariente gordo</v>
      </c>
      <c r="I1851">
        <v>1</v>
      </c>
      <c r="J1851" t="str">
        <f t="shared" si="733"/>
        <v>Hipercaloricos</v>
      </c>
      <c r="K1851">
        <v>3</v>
      </c>
      <c r="L1851">
        <f t="shared" si="734"/>
        <v>1</v>
      </c>
      <c r="M1851" t="str">
        <f t="shared" si="735"/>
        <v>Suele comer</v>
      </c>
      <c r="N1851">
        <v>3</v>
      </c>
      <c r="O1851">
        <f t="shared" si="736"/>
        <v>2</v>
      </c>
      <c r="P1851" t="str">
        <f t="shared" si="737"/>
        <v>Mas de 3</v>
      </c>
      <c r="Q1851">
        <v>1</v>
      </c>
      <c r="R1851" t="str">
        <f t="shared" si="738"/>
        <v>A veces</v>
      </c>
      <c r="S1851">
        <v>0</v>
      </c>
      <c r="T1851" t="str">
        <f t="shared" si="739"/>
        <v>No fuma</v>
      </c>
      <c r="U1851">
        <v>2613928</v>
      </c>
      <c r="V1851">
        <f t="shared" si="740"/>
        <v>2</v>
      </c>
      <c r="W1851" t="str">
        <f t="shared" si="741"/>
        <v>Siempre</v>
      </c>
      <c r="X1851">
        <v>0</v>
      </c>
      <c r="Y1851" t="str">
        <f t="shared" si="742"/>
        <v>No controla</v>
      </c>
      <c r="Z1851">
        <v>0</v>
      </c>
      <c r="AA1851">
        <f t="shared" si="743"/>
        <v>0</v>
      </c>
      <c r="AB1851" t="str">
        <f t="shared" si="744"/>
        <v>Nunca</v>
      </c>
      <c r="AC1851">
        <v>0.55309299999999995</v>
      </c>
      <c r="AD1851">
        <f t="shared" si="745"/>
        <v>0</v>
      </c>
      <c r="AE1851" t="str">
        <f t="shared" si="746"/>
        <v>Nunca</v>
      </c>
      <c r="AF1851">
        <v>1</v>
      </c>
      <c r="AG1851" t="str">
        <f t="shared" si="747"/>
        <v>A veces</v>
      </c>
      <c r="AH1851">
        <v>0</v>
      </c>
      <c r="AI1851" t="str">
        <f t="shared" si="748"/>
        <v>No usa</v>
      </c>
      <c r="AJ1851">
        <v>0</v>
      </c>
      <c r="AK1851" t="str">
        <f t="shared" si="749"/>
        <v>No usa</v>
      </c>
      <c r="AL1851">
        <v>0</v>
      </c>
      <c r="AM1851" t="str">
        <f t="shared" si="750"/>
        <v>No usa</v>
      </c>
      <c r="AN1851">
        <v>1</v>
      </c>
      <c r="AO1851" t="str">
        <f t="shared" si="751"/>
        <v>Usa Transporte</v>
      </c>
      <c r="AP1851">
        <v>0</v>
      </c>
      <c r="AQ1851" t="str">
        <f t="shared" si="752"/>
        <v>No camina</v>
      </c>
      <c r="AR1851">
        <v>1</v>
      </c>
      <c r="AS1851" t="str">
        <f t="shared" si="753"/>
        <v>Es Obeso</v>
      </c>
    </row>
    <row r="1852" spans="1:45" x14ac:dyDescent="0.25">
      <c r="A1852">
        <v>0</v>
      </c>
      <c r="B1852" t="str">
        <f t="shared" si="728"/>
        <v>F</v>
      </c>
      <c r="C1852">
        <v>25968792</v>
      </c>
      <c r="D1852">
        <f t="shared" si="729"/>
        <v>71</v>
      </c>
      <c r="E1852">
        <f t="shared" si="730"/>
        <v>71</v>
      </c>
      <c r="F1852" t="str">
        <f t="shared" si="731"/>
        <v>50-75</v>
      </c>
      <c r="G1852">
        <v>1</v>
      </c>
      <c r="H1852" t="str">
        <f t="shared" si="732"/>
        <v>Pariente gordo</v>
      </c>
      <c r="I1852">
        <v>1</v>
      </c>
      <c r="J1852" t="str">
        <f t="shared" si="733"/>
        <v>Hipercaloricos</v>
      </c>
      <c r="K1852">
        <v>3</v>
      </c>
      <c r="L1852">
        <f t="shared" si="734"/>
        <v>1</v>
      </c>
      <c r="M1852" t="str">
        <f t="shared" si="735"/>
        <v>Suele comer</v>
      </c>
      <c r="N1852">
        <v>3</v>
      </c>
      <c r="O1852">
        <f t="shared" si="736"/>
        <v>2</v>
      </c>
      <c r="P1852" t="str">
        <f t="shared" si="737"/>
        <v>Mas de 3</v>
      </c>
      <c r="Q1852">
        <v>1</v>
      </c>
      <c r="R1852" t="str">
        <f t="shared" si="738"/>
        <v>A veces</v>
      </c>
      <c r="S1852">
        <v>0</v>
      </c>
      <c r="T1852" t="str">
        <f t="shared" si="739"/>
        <v>No fuma</v>
      </c>
      <c r="U1852">
        <v>1239833</v>
      </c>
      <c r="V1852">
        <f t="shared" si="740"/>
        <v>2</v>
      </c>
      <c r="W1852" t="str">
        <f t="shared" si="741"/>
        <v>Siempre</v>
      </c>
      <c r="X1852">
        <v>0</v>
      </c>
      <c r="Y1852" t="str">
        <f t="shared" si="742"/>
        <v>No controla</v>
      </c>
      <c r="Z1852">
        <v>0.16227900000000001</v>
      </c>
      <c r="AA1852">
        <f t="shared" si="743"/>
        <v>0</v>
      </c>
      <c r="AB1852" t="str">
        <f t="shared" si="744"/>
        <v>Nunca</v>
      </c>
      <c r="AC1852">
        <v>0.61923499999999998</v>
      </c>
      <c r="AD1852">
        <f t="shared" si="745"/>
        <v>0</v>
      </c>
      <c r="AE1852" t="str">
        <f t="shared" si="746"/>
        <v>Nunca</v>
      </c>
      <c r="AF1852">
        <v>1</v>
      </c>
      <c r="AG1852" t="str">
        <f t="shared" si="747"/>
        <v>A veces</v>
      </c>
      <c r="AH1852">
        <v>0</v>
      </c>
      <c r="AI1852" t="str">
        <f t="shared" si="748"/>
        <v>No usa</v>
      </c>
      <c r="AJ1852">
        <v>0</v>
      </c>
      <c r="AK1852" t="str">
        <f t="shared" si="749"/>
        <v>No usa</v>
      </c>
      <c r="AL1852">
        <v>0</v>
      </c>
      <c r="AM1852" t="str">
        <f t="shared" si="750"/>
        <v>No usa</v>
      </c>
      <c r="AN1852">
        <v>1</v>
      </c>
      <c r="AO1852" t="str">
        <f t="shared" si="751"/>
        <v>Usa Transporte</v>
      </c>
      <c r="AP1852">
        <v>0</v>
      </c>
      <c r="AQ1852" t="str">
        <f t="shared" si="752"/>
        <v>No camina</v>
      </c>
      <c r="AR1852">
        <v>1</v>
      </c>
      <c r="AS1852" t="str">
        <f t="shared" si="753"/>
        <v>Es Obeso</v>
      </c>
    </row>
    <row r="1853" spans="1:45" x14ac:dyDescent="0.25">
      <c r="A1853">
        <v>0</v>
      </c>
      <c r="B1853" t="str">
        <f t="shared" si="728"/>
        <v>F</v>
      </c>
      <c r="C1853">
        <v>18335019</v>
      </c>
      <c r="D1853">
        <f t="shared" si="729"/>
        <v>50</v>
      </c>
      <c r="E1853">
        <f t="shared" si="730"/>
        <v>50</v>
      </c>
      <c r="F1853" t="str">
        <f t="shared" si="731"/>
        <v>25-50</v>
      </c>
      <c r="G1853">
        <v>1</v>
      </c>
      <c r="H1853" t="str">
        <f t="shared" si="732"/>
        <v>Pariente gordo</v>
      </c>
      <c r="I1853">
        <v>1</v>
      </c>
      <c r="J1853" t="str">
        <f t="shared" si="733"/>
        <v>Hipercaloricos</v>
      </c>
      <c r="K1853">
        <v>3</v>
      </c>
      <c r="L1853">
        <f t="shared" si="734"/>
        <v>1</v>
      </c>
      <c r="M1853" t="str">
        <f t="shared" si="735"/>
        <v>Suele comer</v>
      </c>
      <c r="N1853">
        <v>3</v>
      </c>
      <c r="O1853">
        <f t="shared" si="736"/>
        <v>2</v>
      </c>
      <c r="P1853" t="str">
        <f t="shared" si="737"/>
        <v>Mas de 3</v>
      </c>
      <c r="Q1853">
        <v>1</v>
      </c>
      <c r="R1853" t="str">
        <f t="shared" si="738"/>
        <v>A veces</v>
      </c>
      <c r="S1853">
        <v>0</v>
      </c>
      <c r="T1853" t="str">
        <f t="shared" si="739"/>
        <v>No fuma</v>
      </c>
      <c r="U1853">
        <v>2861533</v>
      </c>
      <c r="V1853">
        <f t="shared" si="740"/>
        <v>2</v>
      </c>
      <c r="W1853" t="str">
        <f t="shared" si="741"/>
        <v>Siempre</v>
      </c>
      <c r="X1853">
        <v>0</v>
      </c>
      <c r="Y1853" t="str">
        <f t="shared" si="742"/>
        <v>No controla</v>
      </c>
      <c r="Z1853">
        <v>170464</v>
      </c>
      <c r="AA1853">
        <f t="shared" si="743"/>
        <v>2</v>
      </c>
      <c r="AB1853" t="str">
        <f t="shared" si="744"/>
        <v>Usualmente</v>
      </c>
      <c r="AC1853">
        <v>0.65557100000000001</v>
      </c>
      <c r="AD1853">
        <f t="shared" si="745"/>
        <v>0</v>
      </c>
      <c r="AE1853" t="str">
        <f t="shared" si="746"/>
        <v>Nunca</v>
      </c>
      <c r="AF1853">
        <v>1</v>
      </c>
      <c r="AG1853" t="str">
        <f t="shared" si="747"/>
        <v>A veces</v>
      </c>
      <c r="AH1853">
        <v>0</v>
      </c>
      <c r="AI1853" t="str">
        <f t="shared" si="748"/>
        <v>No usa</v>
      </c>
      <c r="AJ1853">
        <v>0</v>
      </c>
      <c r="AK1853" t="str">
        <f t="shared" si="749"/>
        <v>No usa</v>
      </c>
      <c r="AL1853">
        <v>0</v>
      </c>
      <c r="AM1853" t="str">
        <f t="shared" si="750"/>
        <v>No usa</v>
      </c>
      <c r="AN1853">
        <v>1</v>
      </c>
      <c r="AO1853" t="str">
        <f t="shared" si="751"/>
        <v>Usa Transporte</v>
      </c>
      <c r="AP1853">
        <v>0</v>
      </c>
      <c r="AQ1853" t="str">
        <f t="shared" si="752"/>
        <v>No camina</v>
      </c>
      <c r="AR1853">
        <v>1</v>
      </c>
      <c r="AS1853" t="str">
        <f t="shared" si="753"/>
        <v>Es Obeso</v>
      </c>
    </row>
    <row r="1854" spans="1:45" x14ac:dyDescent="0.25">
      <c r="A1854">
        <v>0</v>
      </c>
      <c r="B1854" t="str">
        <f t="shared" si="728"/>
        <v>F</v>
      </c>
      <c r="C1854">
        <v>21700748</v>
      </c>
      <c r="D1854">
        <f t="shared" si="729"/>
        <v>59</v>
      </c>
      <c r="E1854">
        <f t="shared" si="730"/>
        <v>59</v>
      </c>
      <c r="F1854" t="str">
        <f t="shared" si="731"/>
        <v>50-75</v>
      </c>
      <c r="G1854">
        <v>1</v>
      </c>
      <c r="H1854" t="str">
        <f t="shared" si="732"/>
        <v>Pariente gordo</v>
      </c>
      <c r="I1854">
        <v>1</v>
      </c>
      <c r="J1854" t="str">
        <f t="shared" si="733"/>
        <v>Hipercaloricos</v>
      </c>
      <c r="K1854">
        <v>3</v>
      </c>
      <c r="L1854">
        <f t="shared" si="734"/>
        <v>1</v>
      </c>
      <c r="M1854" t="str">
        <f t="shared" si="735"/>
        <v>Suele comer</v>
      </c>
      <c r="N1854">
        <v>3</v>
      </c>
      <c r="O1854">
        <f t="shared" si="736"/>
        <v>2</v>
      </c>
      <c r="P1854" t="str">
        <f t="shared" si="737"/>
        <v>Mas de 3</v>
      </c>
      <c r="Q1854">
        <v>1</v>
      </c>
      <c r="R1854" t="str">
        <f t="shared" si="738"/>
        <v>A veces</v>
      </c>
      <c r="S1854">
        <v>0</v>
      </c>
      <c r="T1854" t="str">
        <f t="shared" si="739"/>
        <v>No fuma</v>
      </c>
      <c r="U1854">
        <v>2832659</v>
      </c>
      <c r="V1854">
        <f t="shared" si="740"/>
        <v>2</v>
      </c>
      <c r="W1854" t="str">
        <f t="shared" si="741"/>
        <v>Siempre</v>
      </c>
      <c r="X1854">
        <v>0</v>
      </c>
      <c r="Y1854" t="str">
        <f t="shared" si="742"/>
        <v>No controla</v>
      </c>
      <c r="Z1854">
        <v>1505775</v>
      </c>
      <c r="AA1854">
        <f t="shared" si="743"/>
        <v>3</v>
      </c>
      <c r="AB1854" t="str">
        <f t="shared" si="744"/>
        <v>Siempre</v>
      </c>
      <c r="AC1854">
        <v>0.92300499999999996</v>
      </c>
      <c r="AD1854">
        <f t="shared" si="745"/>
        <v>0</v>
      </c>
      <c r="AE1854" t="str">
        <f t="shared" si="746"/>
        <v>Nunca</v>
      </c>
      <c r="AF1854">
        <v>1</v>
      </c>
      <c r="AG1854" t="str">
        <f t="shared" si="747"/>
        <v>A veces</v>
      </c>
      <c r="AH1854">
        <v>0</v>
      </c>
      <c r="AI1854" t="str">
        <f t="shared" si="748"/>
        <v>No usa</v>
      </c>
      <c r="AJ1854">
        <v>0</v>
      </c>
      <c r="AK1854" t="str">
        <f t="shared" si="749"/>
        <v>No usa</v>
      </c>
      <c r="AL1854">
        <v>0</v>
      </c>
      <c r="AM1854" t="str">
        <f t="shared" si="750"/>
        <v>No usa</v>
      </c>
      <c r="AN1854">
        <v>1</v>
      </c>
      <c r="AO1854" t="str">
        <f t="shared" si="751"/>
        <v>Usa Transporte</v>
      </c>
      <c r="AP1854">
        <v>0</v>
      </c>
      <c r="AQ1854" t="str">
        <f t="shared" si="752"/>
        <v>No camina</v>
      </c>
      <c r="AR1854">
        <v>1</v>
      </c>
      <c r="AS1854" t="str">
        <f t="shared" si="753"/>
        <v>Es Obeso</v>
      </c>
    </row>
    <row r="1855" spans="1:45" x14ac:dyDescent="0.25">
      <c r="A1855">
        <v>0</v>
      </c>
      <c r="B1855" t="str">
        <f t="shared" si="728"/>
        <v>F</v>
      </c>
      <c r="C1855">
        <v>18222536</v>
      </c>
      <c r="D1855">
        <f t="shared" si="729"/>
        <v>49</v>
      </c>
      <c r="E1855">
        <f t="shared" si="730"/>
        <v>49</v>
      </c>
      <c r="F1855" t="str">
        <f t="shared" si="731"/>
        <v>25-50</v>
      </c>
      <c r="G1855">
        <v>1</v>
      </c>
      <c r="H1855" t="str">
        <f t="shared" si="732"/>
        <v>Pariente gordo</v>
      </c>
      <c r="I1855">
        <v>1</v>
      </c>
      <c r="J1855" t="str">
        <f t="shared" si="733"/>
        <v>Hipercaloricos</v>
      </c>
      <c r="K1855">
        <v>3</v>
      </c>
      <c r="L1855">
        <f t="shared" si="734"/>
        <v>1</v>
      </c>
      <c r="M1855" t="str">
        <f t="shared" si="735"/>
        <v>Suele comer</v>
      </c>
      <c r="N1855">
        <v>3</v>
      </c>
      <c r="O1855">
        <f t="shared" si="736"/>
        <v>2</v>
      </c>
      <c r="P1855" t="str">
        <f t="shared" si="737"/>
        <v>Mas de 3</v>
      </c>
      <c r="Q1855">
        <v>1</v>
      </c>
      <c r="R1855" t="str">
        <f t="shared" si="738"/>
        <v>A veces</v>
      </c>
      <c r="S1855">
        <v>0</v>
      </c>
      <c r="T1855" t="str">
        <f t="shared" si="739"/>
        <v>No fuma</v>
      </c>
      <c r="U1855">
        <v>2418488</v>
      </c>
      <c r="V1855">
        <f t="shared" si="740"/>
        <v>2</v>
      </c>
      <c r="W1855" t="str">
        <f t="shared" si="741"/>
        <v>Siempre</v>
      </c>
      <c r="X1855">
        <v>0</v>
      </c>
      <c r="Y1855" t="str">
        <f t="shared" si="742"/>
        <v>No controla</v>
      </c>
      <c r="Z1855">
        <v>199507</v>
      </c>
      <c r="AA1855">
        <f t="shared" si="743"/>
        <v>2</v>
      </c>
      <c r="AB1855" t="str">
        <f t="shared" si="744"/>
        <v>Usualmente</v>
      </c>
      <c r="AC1855">
        <v>0.89351400000000003</v>
      </c>
      <c r="AD1855">
        <f t="shared" si="745"/>
        <v>0</v>
      </c>
      <c r="AE1855" t="str">
        <f t="shared" si="746"/>
        <v>Nunca</v>
      </c>
      <c r="AF1855">
        <v>1</v>
      </c>
      <c r="AG1855" t="str">
        <f t="shared" si="747"/>
        <v>A veces</v>
      </c>
      <c r="AH1855">
        <v>0</v>
      </c>
      <c r="AI1855" t="str">
        <f t="shared" si="748"/>
        <v>No usa</v>
      </c>
      <c r="AJ1855">
        <v>0</v>
      </c>
      <c r="AK1855" t="str">
        <f t="shared" si="749"/>
        <v>No usa</v>
      </c>
      <c r="AL1855">
        <v>0</v>
      </c>
      <c r="AM1855" t="str">
        <f t="shared" si="750"/>
        <v>No usa</v>
      </c>
      <c r="AN1855">
        <v>1</v>
      </c>
      <c r="AO1855" t="str">
        <f t="shared" si="751"/>
        <v>Usa Transporte</v>
      </c>
      <c r="AP1855">
        <v>0</v>
      </c>
      <c r="AQ1855" t="str">
        <f t="shared" si="752"/>
        <v>No camina</v>
      </c>
      <c r="AR1855">
        <v>1</v>
      </c>
      <c r="AS1855" t="str">
        <f t="shared" si="753"/>
        <v>Es Obeso</v>
      </c>
    </row>
    <row r="1856" spans="1:45" x14ac:dyDescent="0.25">
      <c r="A1856">
        <v>0</v>
      </c>
      <c r="B1856" t="str">
        <f t="shared" si="728"/>
        <v>F</v>
      </c>
      <c r="C1856">
        <v>203756</v>
      </c>
      <c r="D1856">
        <f t="shared" si="729"/>
        <v>0</v>
      </c>
      <c r="E1856">
        <f t="shared" si="730"/>
        <v>5</v>
      </c>
      <c r="F1856" t="str">
        <f t="shared" si="731"/>
        <v>1-25</v>
      </c>
      <c r="G1856">
        <v>1</v>
      </c>
      <c r="H1856" t="str">
        <f t="shared" si="732"/>
        <v>Pariente gordo</v>
      </c>
      <c r="I1856">
        <v>1</v>
      </c>
      <c r="J1856" t="str">
        <f t="shared" si="733"/>
        <v>Hipercaloricos</v>
      </c>
      <c r="K1856">
        <v>3</v>
      </c>
      <c r="L1856">
        <f t="shared" si="734"/>
        <v>1</v>
      </c>
      <c r="M1856" t="str">
        <f t="shared" si="735"/>
        <v>Suele comer</v>
      </c>
      <c r="N1856">
        <v>3</v>
      </c>
      <c r="O1856">
        <f t="shared" si="736"/>
        <v>2</v>
      </c>
      <c r="P1856" t="str">
        <f t="shared" si="737"/>
        <v>Mas de 3</v>
      </c>
      <c r="Q1856">
        <v>1</v>
      </c>
      <c r="R1856" t="str">
        <f t="shared" si="738"/>
        <v>A veces</v>
      </c>
      <c r="S1856">
        <v>0</v>
      </c>
      <c r="T1856" t="str">
        <f t="shared" si="739"/>
        <v>No fuma</v>
      </c>
      <c r="U1856">
        <v>2304716</v>
      </c>
      <c r="V1856">
        <f t="shared" si="740"/>
        <v>2</v>
      </c>
      <c r="W1856" t="str">
        <f t="shared" si="741"/>
        <v>Siempre</v>
      </c>
      <c r="X1856">
        <v>0</v>
      </c>
      <c r="Y1856" t="str">
        <f t="shared" si="742"/>
        <v>No controla</v>
      </c>
      <c r="Z1856">
        <v>0.82665999999999995</v>
      </c>
      <c r="AA1856">
        <f t="shared" si="743"/>
        <v>0</v>
      </c>
      <c r="AB1856" t="str">
        <f t="shared" si="744"/>
        <v>Nunca</v>
      </c>
      <c r="AC1856">
        <v>0.91449199999999997</v>
      </c>
      <c r="AD1856">
        <f t="shared" si="745"/>
        <v>0</v>
      </c>
      <c r="AE1856" t="str">
        <f t="shared" si="746"/>
        <v>Nunca</v>
      </c>
      <c r="AF1856">
        <v>1</v>
      </c>
      <c r="AG1856" t="str">
        <f t="shared" si="747"/>
        <v>A veces</v>
      </c>
      <c r="AH1856">
        <v>0</v>
      </c>
      <c r="AI1856" t="str">
        <f t="shared" si="748"/>
        <v>No usa</v>
      </c>
      <c r="AJ1856">
        <v>0</v>
      </c>
      <c r="AK1856" t="str">
        <f t="shared" si="749"/>
        <v>No usa</v>
      </c>
      <c r="AL1856">
        <v>0</v>
      </c>
      <c r="AM1856" t="str">
        <f t="shared" si="750"/>
        <v>No usa</v>
      </c>
      <c r="AN1856">
        <v>1</v>
      </c>
      <c r="AO1856" t="str">
        <f t="shared" si="751"/>
        <v>Usa Transporte</v>
      </c>
      <c r="AP1856">
        <v>0</v>
      </c>
      <c r="AQ1856" t="str">
        <f t="shared" si="752"/>
        <v>No camina</v>
      </c>
      <c r="AR1856">
        <v>1</v>
      </c>
      <c r="AS1856" t="str">
        <f t="shared" si="753"/>
        <v>Es Obeso</v>
      </c>
    </row>
    <row r="1857" spans="1:45" x14ac:dyDescent="0.25">
      <c r="A1857">
        <v>0</v>
      </c>
      <c r="B1857" t="str">
        <f t="shared" si="728"/>
        <v>F</v>
      </c>
      <c r="C1857">
        <v>26</v>
      </c>
      <c r="D1857">
        <f t="shared" si="729"/>
        <v>26</v>
      </c>
      <c r="E1857">
        <f t="shared" si="730"/>
        <v>26</v>
      </c>
      <c r="F1857" t="str">
        <f t="shared" si="731"/>
        <v>25-50</v>
      </c>
      <c r="G1857">
        <v>1</v>
      </c>
      <c r="H1857" t="str">
        <f t="shared" si="732"/>
        <v>Pariente gordo</v>
      </c>
      <c r="I1857">
        <v>1</v>
      </c>
      <c r="J1857" t="str">
        <f t="shared" si="733"/>
        <v>Hipercaloricos</v>
      </c>
      <c r="K1857">
        <v>3</v>
      </c>
      <c r="L1857">
        <f t="shared" si="734"/>
        <v>1</v>
      </c>
      <c r="M1857" t="str">
        <f t="shared" si="735"/>
        <v>Suele comer</v>
      </c>
      <c r="N1857">
        <v>3</v>
      </c>
      <c r="O1857">
        <f t="shared" si="736"/>
        <v>2</v>
      </c>
      <c r="P1857" t="str">
        <f t="shared" si="737"/>
        <v>Mas de 3</v>
      </c>
      <c r="Q1857">
        <v>1</v>
      </c>
      <c r="R1857" t="str">
        <f t="shared" si="738"/>
        <v>A veces</v>
      </c>
      <c r="S1857">
        <v>0</v>
      </c>
      <c r="T1857" t="str">
        <f t="shared" si="739"/>
        <v>No fuma</v>
      </c>
      <c r="U1857">
        <v>2763005</v>
      </c>
      <c r="V1857">
        <f t="shared" si="740"/>
        <v>2</v>
      </c>
      <c r="W1857" t="str">
        <f t="shared" si="741"/>
        <v>Siempre</v>
      </c>
      <c r="X1857">
        <v>0</v>
      </c>
      <c r="Y1857" t="str">
        <f t="shared" si="742"/>
        <v>No controla</v>
      </c>
      <c r="Z1857">
        <v>0</v>
      </c>
      <c r="AA1857">
        <f t="shared" si="743"/>
        <v>0</v>
      </c>
      <c r="AB1857" t="str">
        <f t="shared" si="744"/>
        <v>Nunca</v>
      </c>
      <c r="AC1857">
        <v>0.101867</v>
      </c>
      <c r="AD1857">
        <f t="shared" si="745"/>
        <v>0</v>
      </c>
      <c r="AE1857" t="str">
        <f t="shared" si="746"/>
        <v>Nunca</v>
      </c>
      <c r="AF1857">
        <v>1</v>
      </c>
      <c r="AG1857" t="str">
        <f t="shared" si="747"/>
        <v>A veces</v>
      </c>
      <c r="AH1857">
        <v>0</v>
      </c>
      <c r="AI1857" t="str">
        <f t="shared" si="748"/>
        <v>No usa</v>
      </c>
      <c r="AJ1857">
        <v>0</v>
      </c>
      <c r="AK1857" t="str">
        <f t="shared" si="749"/>
        <v>No usa</v>
      </c>
      <c r="AL1857">
        <v>0</v>
      </c>
      <c r="AM1857" t="str">
        <f t="shared" si="750"/>
        <v>No usa</v>
      </c>
      <c r="AN1857">
        <v>1</v>
      </c>
      <c r="AO1857" t="str">
        <f t="shared" si="751"/>
        <v>Usa Transporte</v>
      </c>
      <c r="AP1857">
        <v>0</v>
      </c>
      <c r="AQ1857" t="str">
        <f t="shared" si="752"/>
        <v>No camina</v>
      </c>
      <c r="AR1857">
        <v>1</v>
      </c>
      <c r="AS1857" t="str">
        <f t="shared" si="753"/>
        <v>Es Obeso</v>
      </c>
    </row>
    <row r="1858" spans="1:45" x14ac:dyDescent="0.25">
      <c r="A1858">
        <v>0</v>
      </c>
      <c r="B1858" t="str">
        <f t="shared" si="728"/>
        <v>F</v>
      </c>
      <c r="C1858">
        <v>26</v>
      </c>
      <c r="D1858">
        <f t="shared" si="729"/>
        <v>26</v>
      </c>
      <c r="E1858">
        <f t="shared" si="730"/>
        <v>26</v>
      </c>
      <c r="F1858" t="str">
        <f t="shared" si="731"/>
        <v>25-50</v>
      </c>
      <c r="G1858">
        <v>1</v>
      </c>
      <c r="H1858" t="str">
        <f t="shared" si="732"/>
        <v>Pariente gordo</v>
      </c>
      <c r="I1858">
        <v>1</v>
      </c>
      <c r="J1858" t="str">
        <f t="shared" si="733"/>
        <v>Hipercaloricos</v>
      </c>
      <c r="K1858">
        <v>3</v>
      </c>
      <c r="L1858">
        <f t="shared" si="734"/>
        <v>1</v>
      </c>
      <c r="M1858" t="str">
        <f t="shared" si="735"/>
        <v>Suele comer</v>
      </c>
      <c r="N1858">
        <v>3</v>
      </c>
      <c r="O1858">
        <f t="shared" si="736"/>
        <v>2</v>
      </c>
      <c r="P1858" t="str">
        <f t="shared" si="737"/>
        <v>Mas de 3</v>
      </c>
      <c r="Q1858">
        <v>1</v>
      </c>
      <c r="R1858" t="str">
        <f t="shared" si="738"/>
        <v>A veces</v>
      </c>
      <c r="S1858">
        <v>0</v>
      </c>
      <c r="T1858" t="str">
        <f t="shared" si="739"/>
        <v>No fuma</v>
      </c>
      <c r="U1858">
        <v>2652616</v>
      </c>
      <c r="V1858">
        <f t="shared" si="740"/>
        <v>2</v>
      </c>
      <c r="W1858" t="str">
        <f t="shared" si="741"/>
        <v>Siempre</v>
      </c>
      <c r="X1858">
        <v>0</v>
      </c>
      <c r="Y1858" t="str">
        <f t="shared" si="742"/>
        <v>No controla</v>
      </c>
      <c r="Z1858">
        <v>0</v>
      </c>
      <c r="AA1858">
        <f t="shared" si="743"/>
        <v>0</v>
      </c>
      <c r="AB1858" t="str">
        <f t="shared" si="744"/>
        <v>Nunca</v>
      </c>
      <c r="AC1858">
        <v>0.250502</v>
      </c>
      <c r="AD1858">
        <f t="shared" si="745"/>
        <v>0</v>
      </c>
      <c r="AE1858" t="str">
        <f t="shared" si="746"/>
        <v>Nunca</v>
      </c>
      <c r="AF1858">
        <v>1</v>
      </c>
      <c r="AG1858" t="str">
        <f t="shared" si="747"/>
        <v>A veces</v>
      </c>
      <c r="AH1858">
        <v>0</v>
      </c>
      <c r="AI1858" t="str">
        <f t="shared" si="748"/>
        <v>No usa</v>
      </c>
      <c r="AJ1858">
        <v>0</v>
      </c>
      <c r="AK1858" t="str">
        <f t="shared" si="749"/>
        <v>No usa</v>
      </c>
      <c r="AL1858">
        <v>0</v>
      </c>
      <c r="AM1858" t="str">
        <f t="shared" si="750"/>
        <v>No usa</v>
      </c>
      <c r="AN1858">
        <v>1</v>
      </c>
      <c r="AO1858" t="str">
        <f t="shared" si="751"/>
        <v>Usa Transporte</v>
      </c>
      <c r="AP1858">
        <v>0</v>
      </c>
      <c r="AQ1858" t="str">
        <f t="shared" si="752"/>
        <v>No camina</v>
      </c>
      <c r="AR1858">
        <v>1</v>
      </c>
      <c r="AS1858" t="str">
        <f t="shared" si="753"/>
        <v>Es Obeso</v>
      </c>
    </row>
    <row r="1859" spans="1:45" x14ac:dyDescent="0.25">
      <c r="A1859">
        <v>0</v>
      </c>
      <c r="B1859" t="str">
        <f t="shared" ref="B1859:B1922" si="754">IF(A1859=1,"M","F")</f>
        <v>F</v>
      </c>
      <c r="C1859">
        <v>26</v>
      </c>
      <c r="D1859">
        <f t="shared" ref="D1859:D1922" si="755">IF(C1859&lt;100,C1859,ROUNDDOWN((C1859/1000)/365,0))</f>
        <v>26</v>
      </c>
      <c r="E1859">
        <f t="shared" ref="E1859:E1922" si="756">IF(AND(D1859&gt;1,D1859&lt;=100),D1859,IF(D1859&gt;100,100,5))</f>
        <v>26</v>
      </c>
      <c r="F1859" t="str">
        <f t="shared" ref="F1859:F1922" si="757">IF(AND(E1859&gt;=1,E1859&lt;=25),"1-25",IF(AND(E1859&gt;25,E1859&lt;=50),"25-50",IF(AND(E1859&gt;50,E1859&lt;=75),"50-75","75-100")))</f>
        <v>25-50</v>
      </c>
      <c r="G1859">
        <v>1</v>
      </c>
      <c r="H1859" t="str">
        <f t="shared" ref="H1859:H1922" si="758">IF(G1859=1,"Pariente gordo","Pariente normal")</f>
        <v>Pariente gordo</v>
      </c>
      <c r="I1859">
        <v>1</v>
      </c>
      <c r="J1859" t="str">
        <f t="shared" ref="J1859:J1922" si="759">IF(I1859=1,"Hipercaloricos","Saludables")</f>
        <v>Hipercaloricos</v>
      </c>
      <c r="K1859">
        <v>3</v>
      </c>
      <c r="L1859">
        <f t="shared" ref="L1859:L1922" si="760">IF(AND(K1859&gt;=1,K1859&lt;=3),1,IF(AND(K1859&gt;3,K1859&lt;3000000),1))</f>
        <v>1</v>
      </c>
      <c r="M1859" t="str">
        <f t="shared" ref="M1859:M1922" si="761">IF(L1859=1,"Suele comer","No come")</f>
        <v>Suele comer</v>
      </c>
      <c r="N1859">
        <v>3</v>
      </c>
      <c r="O1859">
        <f t="shared" ref="O1859:O1922" si="762">IF(N1859=1,N1859,IF(AND(N1859&gt;=2,N1859&lt;4000000),2))</f>
        <v>2</v>
      </c>
      <c r="P1859" t="str">
        <f t="shared" ref="P1859:P1922" si="763">IF(O1859=0,"1-2",IF(O1859=1,3,"Mas de 3"))</f>
        <v>Mas de 3</v>
      </c>
      <c r="Q1859">
        <v>1</v>
      </c>
      <c r="R1859" t="str">
        <f t="shared" ref="R1859:R1922" si="764">IF(Q1859=0,"Nunca",IF(Q1859=1,"A veces",IF(Q1859=2,"Usualmente","Siempre")))</f>
        <v>A veces</v>
      </c>
      <c r="S1859">
        <v>0</v>
      </c>
      <c r="T1859" t="str">
        <f t="shared" ref="T1859:T1922" si="765">IF(S1859=1,"Fuma","No fuma")</f>
        <v>No fuma</v>
      </c>
      <c r="U1859">
        <v>2553198</v>
      </c>
      <c r="V1859">
        <f t="shared" ref="V1859:V1922" si="766">IF(U1859=1,U1859,IF(U1859=2,U1859,IF(AND(U1859&gt;=3,U1859&lt;3000000),2)))</f>
        <v>2</v>
      </c>
      <c r="W1859" t="str">
        <f t="shared" ref="W1859:W1922" si="767">IF(V1859=0,"Nunca",IF(V1859=1,"Usualmente","Siempre"))</f>
        <v>Siempre</v>
      </c>
      <c r="X1859">
        <v>0</v>
      </c>
      <c r="Y1859" t="str">
        <f t="shared" ref="Y1859:Y1922" si="768">IF(X1859=1,"Controla","No controla")</f>
        <v>No controla</v>
      </c>
      <c r="Z1859">
        <v>0</v>
      </c>
      <c r="AA1859">
        <f t="shared" ref="AA1859:AA1922" si="769">IF(Z1859=0,Z1859,IF(Z1859=1,Z1859,IF(Z1859=2,Z1859,IF(Z1859=3,Z1859,IF(AND(Z1859&gt;3,Z1859&lt;300000),2,IF(AND(Z1859&gt;300000,Z1859&lt;3000000),3,IF(AND(Z1859&gt;0,Z1859&lt;1),0)))))))</f>
        <v>0</v>
      </c>
      <c r="AB1859" t="str">
        <f t="shared" ref="AB1859:AB1922" si="770">IF(AA1859=0,"Nunca",IF(AA1859=1,"A veces",IF(AA1859=2,"Usualmente","Siempre")))</f>
        <v>Nunca</v>
      </c>
      <c r="AC1859">
        <v>0.39383800000000002</v>
      </c>
      <c r="AD1859">
        <f t="shared" ref="AD1859:AD1922" si="771">IF(AC1859= 0,AC1859,IF(AC1859=1,AC1859,IF(AC1859=2,AC1859,IF(AND(AC1859&gt;2,AC1859&lt;200000),1,IF(AND(AC1859&gt;200000,AC1859&lt;2000000),2,IF(AND(AC1859&gt;0,AC1859&lt;1),0))))))</f>
        <v>0</v>
      </c>
      <c r="AE1859" t="str">
        <f t="shared" ref="AE1859:AE1922" si="772">IF(AD1859=0,"Nunca",IF(AD1859=1,"Usualmente","Siempre"))</f>
        <v>Nunca</v>
      </c>
      <c r="AF1859">
        <v>1</v>
      </c>
      <c r="AG1859" t="str">
        <f t="shared" ref="AG1859:AG1922" si="773">IF(AF1859=0,"Nunca",IF(AF1859=1,"A veces",IF(AF1859=2,"Usualmente","Siempre")))</f>
        <v>A veces</v>
      </c>
      <c r="AH1859">
        <v>0</v>
      </c>
      <c r="AI1859" t="str">
        <f t="shared" ref="AI1859:AI1922" si="774">IF(AH1859=1,"Usa auto","No usa")</f>
        <v>No usa</v>
      </c>
      <c r="AJ1859">
        <v>0</v>
      </c>
      <c r="AK1859" t="str">
        <f t="shared" ref="AK1859:AK1922" si="775">IF(AJ1859=1,"Usa Bici","No usa")</f>
        <v>No usa</v>
      </c>
      <c r="AL1859">
        <v>0</v>
      </c>
      <c r="AM1859" t="str">
        <f t="shared" ref="AM1859:AM1922" si="776">IF(AL1859=1,"Usa Moto","No usa")</f>
        <v>No usa</v>
      </c>
      <c r="AN1859">
        <v>1</v>
      </c>
      <c r="AO1859" t="str">
        <f t="shared" ref="AO1859:AO1922" si="777">IF(AN1859=1,"Usa Transporte","No usa")</f>
        <v>Usa Transporte</v>
      </c>
      <c r="AP1859">
        <v>0</v>
      </c>
      <c r="AQ1859" t="str">
        <f t="shared" ref="AQ1859:AQ1922" si="778">IF(AP1859=1,"Camina","No camina")</f>
        <v>No camina</v>
      </c>
      <c r="AR1859">
        <v>1</v>
      </c>
      <c r="AS1859" t="str">
        <f t="shared" ref="AS1859:AS1922" si="779">IF(AR1859=1,"Es Obeso","No es obeso")</f>
        <v>Es Obeso</v>
      </c>
    </row>
    <row r="1860" spans="1:45" x14ac:dyDescent="0.25">
      <c r="A1860">
        <v>0</v>
      </c>
      <c r="B1860" t="str">
        <f t="shared" si="754"/>
        <v>F</v>
      </c>
      <c r="C1860">
        <v>26</v>
      </c>
      <c r="D1860">
        <f t="shared" si="755"/>
        <v>26</v>
      </c>
      <c r="E1860">
        <f t="shared" si="756"/>
        <v>26</v>
      </c>
      <c r="F1860" t="str">
        <f t="shared" si="757"/>
        <v>25-50</v>
      </c>
      <c r="G1860">
        <v>1</v>
      </c>
      <c r="H1860" t="str">
        <f t="shared" si="758"/>
        <v>Pariente gordo</v>
      </c>
      <c r="I1860">
        <v>1</v>
      </c>
      <c r="J1860" t="str">
        <f t="shared" si="759"/>
        <v>Hipercaloricos</v>
      </c>
      <c r="K1860">
        <v>3</v>
      </c>
      <c r="L1860">
        <f t="shared" si="760"/>
        <v>1</v>
      </c>
      <c r="M1860" t="str">
        <f t="shared" si="761"/>
        <v>Suele comer</v>
      </c>
      <c r="N1860">
        <v>3</v>
      </c>
      <c r="O1860">
        <f t="shared" si="762"/>
        <v>2</v>
      </c>
      <c r="P1860" t="str">
        <f t="shared" si="763"/>
        <v>Mas de 3</v>
      </c>
      <c r="Q1860">
        <v>1</v>
      </c>
      <c r="R1860" t="str">
        <f t="shared" si="764"/>
        <v>A veces</v>
      </c>
      <c r="S1860">
        <v>0</v>
      </c>
      <c r="T1860" t="str">
        <f t="shared" si="765"/>
        <v>No fuma</v>
      </c>
      <c r="U1860">
        <v>2180566</v>
      </c>
      <c r="V1860">
        <f t="shared" si="766"/>
        <v>2</v>
      </c>
      <c r="W1860" t="str">
        <f t="shared" si="767"/>
        <v>Siempre</v>
      </c>
      <c r="X1860">
        <v>0</v>
      </c>
      <c r="Y1860" t="str">
        <f t="shared" si="768"/>
        <v>No controla</v>
      </c>
      <c r="Z1860">
        <v>0</v>
      </c>
      <c r="AA1860">
        <f t="shared" si="769"/>
        <v>0</v>
      </c>
      <c r="AB1860" t="str">
        <f t="shared" si="770"/>
        <v>Nunca</v>
      </c>
      <c r="AC1860">
        <v>0.51990499999999995</v>
      </c>
      <c r="AD1860">
        <f t="shared" si="771"/>
        <v>0</v>
      </c>
      <c r="AE1860" t="str">
        <f t="shared" si="772"/>
        <v>Nunca</v>
      </c>
      <c r="AF1860">
        <v>1</v>
      </c>
      <c r="AG1860" t="str">
        <f t="shared" si="773"/>
        <v>A veces</v>
      </c>
      <c r="AH1860">
        <v>0</v>
      </c>
      <c r="AI1860" t="str">
        <f t="shared" si="774"/>
        <v>No usa</v>
      </c>
      <c r="AJ1860">
        <v>0</v>
      </c>
      <c r="AK1860" t="str">
        <f t="shared" si="775"/>
        <v>No usa</v>
      </c>
      <c r="AL1860">
        <v>0</v>
      </c>
      <c r="AM1860" t="str">
        <f t="shared" si="776"/>
        <v>No usa</v>
      </c>
      <c r="AN1860">
        <v>1</v>
      </c>
      <c r="AO1860" t="str">
        <f t="shared" si="777"/>
        <v>Usa Transporte</v>
      </c>
      <c r="AP1860">
        <v>0</v>
      </c>
      <c r="AQ1860" t="str">
        <f t="shared" si="778"/>
        <v>No camina</v>
      </c>
      <c r="AR1860">
        <v>1</v>
      </c>
      <c r="AS1860" t="str">
        <f t="shared" si="779"/>
        <v>Es Obeso</v>
      </c>
    </row>
    <row r="1861" spans="1:45" x14ac:dyDescent="0.25">
      <c r="A1861">
        <v>0</v>
      </c>
      <c r="B1861" t="str">
        <f t="shared" si="754"/>
        <v>F</v>
      </c>
      <c r="C1861">
        <v>25943827</v>
      </c>
      <c r="D1861">
        <f t="shared" si="755"/>
        <v>71</v>
      </c>
      <c r="E1861">
        <f t="shared" si="756"/>
        <v>71</v>
      </c>
      <c r="F1861" t="str">
        <f t="shared" si="757"/>
        <v>50-75</v>
      </c>
      <c r="G1861">
        <v>1</v>
      </c>
      <c r="H1861" t="str">
        <f t="shared" si="758"/>
        <v>Pariente gordo</v>
      </c>
      <c r="I1861">
        <v>1</v>
      </c>
      <c r="J1861" t="str">
        <f t="shared" si="759"/>
        <v>Hipercaloricos</v>
      </c>
      <c r="K1861">
        <v>3</v>
      </c>
      <c r="L1861">
        <f t="shared" si="760"/>
        <v>1</v>
      </c>
      <c r="M1861" t="str">
        <f t="shared" si="761"/>
        <v>Suele comer</v>
      </c>
      <c r="N1861">
        <v>3</v>
      </c>
      <c r="O1861">
        <f t="shared" si="762"/>
        <v>2</v>
      </c>
      <c r="P1861" t="str">
        <f t="shared" si="763"/>
        <v>Mas de 3</v>
      </c>
      <c r="Q1861">
        <v>1</v>
      </c>
      <c r="R1861" t="str">
        <f t="shared" si="764"/>
        <v>A veces</v>
      </c>
      <c r="S1861">
        <v>0</v>
      </c>
      <c r="T1861" t="str">
        <f t="shared" si="765"/>
        <v>No fuma</v>
      </c>
      <c r="U1861">
        <v>220979</v>
      </c>
      <c r="V1861">
        <f t="shared" si="766"/>
        <v>2</v>
      </c>
      <c r="W1861" t="str">
        <f t="shared" si="767"/>
        <v>Siempre</v>
      </c>
      <c r="X1861">
        <v>0</v>
      </c>
      <c r="Y1861" t="str">
        <f t="shared" si="768"/>
        <v>No controla</v>
      </c>
      <c r="Z1861">
        <v>0.11469799999999999</v>
      </c>
      <c r="AA1861">
        <f t="shared" si="769"/>
        <v>0</v>
      </c>
      <c r="AB1861" t="str">
        <f t="shared" si="770"/>
        <v>Nunca</v>
      </c>
      <c r="AC1861">
        <v>0.60442200000000001</v>
      </c>
      <c r="AD1861">
        <f t="shared" si="771"/>
        <v>0</v>
      </c>
      <c r="AE1861" t="str">
        <f t="shared" si="772"/>
        <v>Nunca</v>
      </c>
      <c r="AF1861">
        <v>1</v>
      </c>
      <c r="AG1861" t="str">
        <f t="shared" si="773"/>
        <v>A veces</v>
      </c>
      <c r="AH1861">
        <v>0</v>
      </c>
      <c r="AI1861" t="str">
        <f t="shared" si="774"/>
        <v>No usa</v>
      </c>
      <c r="AJ1861">
        <v>0</v>
      </c>
      <c r="AK1861" t="str">
        <f t="shared" si="775"/>
        <v>No usa</v>
      </c>
      <c r="AL1861">
        <v>0</v>
      </c>
      <c r="AM1861" t="str">
        <f t="shared" si="776"/>
        <v>No usa</v>
      </c>
      <c r="AN1861">
        <v>1</v>
      </c>
      <c r="AO1861" t="str">
        <f t="shared" si="777"/>
        <v>Usa Transporte</v>
      </c>
      <c r="AP1861">
        <v>0</v>
      </c>
      <c r="AQ1861" t="str">
        <f t="shared" si="778"/>
        <v>No camina</v>
      </c>
      <c r="AR1861">
        <v>1</v>
      </c>
      <c r="AS1861" t="str">
        <f t="shared" si="779"/>
        <v>Es Obeso</v>
      </c>
    </row>
    <row r="1862" spans="1:45" x14ac:dyDescent="0.25">
      <c r="A1862">
        <v>0</v>
      </c>
      <c r="B1862" t="str">
        <f t="shared" si="754"/>
        <v>F</v>
      </c>
      <c r="C1862">
        <v>25291974</v>
      </c>
      <c r="D1862">
        <f t="shared" si="755"/>
        <v>69</v>
      </c>
      <c r="E1862">
        <f t="shared" si="756"/>
        <v>69</v>
      </c>
      <c r="F1862" t="str">
        <f t="shared" si="757"/>
        <v>50-75</v>
      </c>
      <c r="G1862">
        <v>1</v>
      </c>
      <c r="H1862" t="str">
        <f t="shared" si="758"/>
        <v>Pariente gordo</v>
      </c>
      <c r="I1862">
        <v>1</v>
      </c>
      <c r="J1862" t="str">
        <f t="shared" si="759"/>
        <v>Hipercaloricos</v>
      </c>
      <c r="K1862">
        <v>3</v>
      </c>
      <c r="L1862">
        <f t="shared" si="760"/>
        <v>1</v>
      </c>
      <c r="M1862" t="str">
        <f t="shared" si="761"/>
        <v>Suele comer</v>
      </c>
      <c r="N1862">
        <v>3</v>
      </c>
      <c r="O1862">
        <f t="shared" si="762"/>
        <v>2</v>
      </c>
      <c r="P1862" t="str">
        <f t="shared" si="763"/>
        <v>Mas de 3</v>
      </c>
      <c r="Q1862">
        <v>1</v>
      </c>
      <c r="R1862" t="str">
        <f t="shared" si="764"/>
        <v>A veces</v>
      </c>
      <c r="S1862">
        <v>0</v>
      </c>
      <c r="T1862" t="str">
        <f t="shared" si="765"/>
        <v>No fuma</v>
      </c>
      <c r="U1862">
        <v>1444379</v>
      </c>
      <c r="V1862">
        <f t="shared" si="766"/>
        <v>2</v>
      </c>
      <c r="W1862" t="str">
        <f t="shared" si="767"/>
        <v>Siempre</v>
      </c>
      <c r="X1862">
        <v>0</v>
      </c>
      <c r="Y1862" t="str">
        <f t="shared" si="768"/>
        <v>No controla</v>
      </c>
      <c r="Z1862">
        <v>0.22448199999999999</v>
      </c>
      <c r="AA1862">
        <f t="shared" si="769"/>
        <v>0</v>
      </c>
      <c r="AB1862" t="str">
        <f t="shared" si="770"/>
        <v>Nunca</v>
      </c>
      <c r="AC1862">
        <v>0.91218699999999997</v>
      </c>
      <c r="AD1862">
        <f t="shared" si="771"/>
        <v>0</v>
      </c>
      <c r="AE1862" t="str">
        <f t="shared" si="772"/>
        <v>Nunca</v>
      </c>
      <c r="AF1862">
        <v>1</v>
      </c>
      <c r="AG1862" t="str">
        <f t="shared" si="773"/>
        <v>A veces</v>
      </c>
      <c r="AH1862">
        <v>0</v>
      </c>
      <c r="AI1862" t="str">
        <f t="shared" si="774"/>
        <v>No usa</v>
      </c>
      <c r="AJ1862">
        <v>0</v>
      </c>
      <c r="AK1862" t="str">
        <f t="shared" si="775"/>
        <v>No usa</v>
      </c>
      <c r="AL1862">
        <v>0</v>
      </c>
      <c r="AM1862" t="str">
        <f t="shared" si="776"/>
        <v>No usa</v>
      </c>
      <c r="AN1862">
        <v>1</v>
      </c>
      <c r="AO1862" t="str">
        <f t="shared" si="777"/>
        <v>Usa Transporte</v>
      </c>
      <c r="AP1862">
        <v>0</v>
      </c>
      <c r="AQ1862" t="str">
        <f t="shared" si="778"/>
        <v>No camina</v>
      </c>
      <c r="AR1862">
        <v>1</v>
      </c>
      <c r="AS1862" t="str">
        <f t="shared" si="779"/>
        <v>Es Obeso</v>
      </c>
    </row>
    <row r="1863" spans="1:45" x14ac:dyDescent="0.25">
      <c r="A1863">
        <v>0</v>
      </c>
      <c r="B1863" t="str">
        <f t="shared" si="754"/>
        <v>F</v>
      </c>
      <c r="C1863">
        <v>25653233</v>
      </c>
      <c r="D1863">
        <f t="shared" si="755"/>
        <v>70</v>
      </c>
      <c r="E1863">
        <f t="shared" si="756"/>
        <v>70</v>
      </c>
      <c r="F1863" t="str">
        <f t="shared" si="757"/>
        <v>50-75</v>
      </c>
      <c r="G1863">
        <v>1</v>
      </c>
      <c r="H1863" t="str">
        <f t="shared" si="758"/>
        <v>Pariente gordo</v>
      </c>
      <c r="I1863">
        <v>1</v>
      </c>
      <c r="J1863" t="str">
        <f t="shared" si="759"/>
        <v>Hipercaloricos</v>
      </c>
      <c r="K1863">
        <v>3</v>
      </c>
      <c r="L1863">
        <f t="shared" si="760"/>
        <v>1</v>
      </c>
      <c r="M1863" t="str">
        <f t="shared" si="761"/>
        <v>Suele comer</v>
      </c>
      <c r="N1863">
        <v>3</v>
      </c>
      <c r="O1863">
        <f t="shared" si="762"/>
        <v>2</v>
      </c>
      <c r="P1863" t="str">
        <f t="shared" si="763"/>
        <v>Mas de 3</v>
      </c>
      <c r="Q1863">
        <v>1</v>
      </c>
      <c r="R1863" t="str">
        <f t="shared" si="764"/>
        <v>A veces</v>
      </c>
      <c r="S1863">
        <v>0</v>
      </c>
      <c r="T1863" t="str">
        <f t="shared" si="765"/>
        <v>No fuma</v>
      </c>
      <c r="U1863">
        <v>1604075</v>
      </c>
      <c r="V1863">
        <f t="shared" si="766"/>
        <v>2</v>
      </c>
      <c r="W1863" t="str">
        <f t="shared" si="767"/>
        <v>Siempre</v>
      </c>
      <c r="X1863">
        <v>0</v>
      </c>
      <c r="Y1863" t="str">
        <f t="shared" si="768"/>
        <v>No controla</v>
      </c>
      <c r="Z1863">
        <v>2.9728000000000001E-2</v>
      </c>
      <c r="AA1863">
        <f t="shared" si="769"/>
        <v>0</v>
      </c>
      <c r="AB1863" t="str">
        <f t="shared" si="770"/>
        <v>Nunca</v>
      </c>
      <c r="AC1863">
        <v>0.20012199999999999</v>
      </c>
      <c r="AD1863">
        <f t="shared" si="771"/>
        <v>0</v>
      </c>
      <c r="AE1863" t="str">
        <f t="shared" si="772"/>
        <v>Nunca</v>
      </c>
      <c r="AF1863">
        <v>1</v>
      </c>
      <c r="AG1863" t="str">
        <f t="shared" si="773"/>
        <v>A veces</v>
      </c>
      <c r="AH1863">
        <v>0</v>
      </c>
      <c r="AI1863" t="str">
        <f t="shared" si="774"/>
        <v>No usa</v>
      </c>
      <c r="AJ1863">
        <v>0</v>
      </c>
      <c r="AK1863" t="str">
        <f t="shared" si="775"/>
        <v>No usa</v>
      </c>
      <c r="AL1863">
        <v>0</v>
      </c>
      <c r="AM1863" t="str">
        <f t="shared" si="776"/>
        <v>No usa</v>
      </c>
      <c r="AN1863">
        <v>1</v>
      </c>
      <c r="AO1863" t="str">
        <f t="shared" si="777"/>
        <v>Usa Transporte</v>
      </c>
      <c r="AP1863">
        <v>0</v>
      </c>
      <c r="AQ1863" t="str">
        <f t="shared" si="778"/>
        <v>No camina</v>
      </c>
      <c r="AR1863">
        <v>1</v>
      </c>
      <c r="AS1863" t="str">
        <f t="shared" si="779"/>
        <v>Es Obeso</v>
      </c>
    </row>
    <row r="1864" spans="1:45" x14ac:dyDescent="0.25">
      <c r="A1864">
        <v>0</v>
      </c>
      <c r="B1864" t="str">
        <f t="shared" si="754"/>
        <v>F</v>
      </c>
      <c r="C1864">
        <v>25783865</v>
      </c>
      <c r="D1864">
        <f t="shared" si="755"/>
        <v>70</v>
      </c>
      <c r="E1864">
        <f t="shared" si="756"/>
        <v>70</v>
      </c>
      <c r="F1864" t="str">
        <f t="shared" si="757"/>
        <v>50-75</v>
      </c>
      <c r="G1864">
        <v>1</v>
      </c>
      <c r="H1864" t="str">
        <f t="shared" si="758"/>
        <v>Pariente gordo</v>
      </c>
      <c r="I1864">
        <v>1</v>
      </c>
      <c r="J1864" t="str">
        <f t="shared" si="759"/>
        <v>Hipercaloricos</v>
      </c>
      <c r="K1864">
        <v>3</v>
      </c>
      <c r="L1864">
        <f t="shared" si="760"/>
        <v>1</v>
      </c>
      <c r="M1864" t="str">
        <f t="shared" si="761"/>
        <v>Suele comer</v>
      </c>
      <c r="N1864">
        <v>3</v>
      </c>
      <c r="O1864">
        <f t="shared" si="762"/>
        <v>2</v>
      </c>
      <c r="P1864" t="str">
        <f t="shared" si="763"/>
        <v>Mas de 3</v>
      </c>
      <c r="Q1864">
        <v>1</v>
      </c>
      <c r="R1864" t="str">
        <f t="shared" si="764"/>
        <v>A veces</v>
      </c>
      <c r="S1864">
        <v>0</v>
      </c>
      <c r="T1864" t="str">
        <f t="shared" si="765"/>
        <v>No fuma</v>
      </c>
      <c r="U1864">
        <v>1528258</v>
      </c>
      <c r="V1864">
        <f t="shared" si="766"/>
        <v>2</v>
      </c>
      <c r="W1864" t="str">
        <f t="shared" si="767"/>
        <v>Siempre</v>
      </c>
      <c r="X1864">
        <v>0</v>
      </c>
      <c r="Y1864" t="str">
        <f t="shared" si="768"/>
        <v>No controla</v>
      </c>
      <c r="Z1864">
        <v>1.5859999999999999E-2</v>
      </c>
      <c r="AA1864">
        <f t="shared" si="769"/>
        <v>0</v>
      </c>
      <c r="AB1864" t="str">
        <f t="shared" si="770"/>
        <v>Nunca</v>
      </c>
      <c r="AC1864">
        <v>0.43606800000000001</v>
      </c>
      <c r="AD1864">
        <f t="shared" si="771"/>
        <v>0</v>
      </c>
      <c r="AE1864" t="str">
        <f t="shared" si="772"/>
        <v>Nunca</v>
      </c>
      <c r="AF1864">
        <v>1</v>
      </c>
      <c r="AG1864" t="str">
        <f t="shared" si="773"/>
        <v>A veces</v>
      </c>
      <c r="AH1864">
        <v>0</v>
      </c>
      <c r="AI1864" t="str">
        <f t="shared" si="774"/>
        <v>No usa</v>
      </c>
      <c r="AJ1864">
        <v>0</v>
      </c>
      <c r="AK1864" t="str">
        <f t="shared" si="775"/>
        <v>No usa</v>
      </c>
      <c r="AL1864">
        <v>0</v>
      </c>
      <c r="AM1864" t="str">
        <f t="shared" si="776"/>
        <v>No usa</v>
      </c>
      <c r="AN1864">
        <v>1</v>
      </c>
      <c r="AO1864" t="str">
        <f t="shared" si="777"/>
        <v>Usa Transporte</v>
      </c>
      <c r="AP1864">
        <v>0</v>
      </c>
      <c r="AQ1864" t="str">
        <f t="shared" si="778"/>
        <v>No camina</v>
      </c>
      <c r="AR1864">
        <v>1</v>
      </c>
      <c r="AS1864" t="str">
        <f t="shared" si="779"/>
        <v>Es Obeso</v>
      </c>
    </row>
    <row r="1865" spans="1:45" x14ac:dyDescent="0.25">
      <c r="A1865">
        <v>0</v>
      </c>
      <c r="B1865" t="str">
        <f t="shared" si="754"/>
        <v>F</v>
      </c>
      <c r="C1865">
        <v>1917614</v>
      </c>
      <c r="D1865">
        <f t="shared" si="755"/>
        <v>5</v>
      </c>
      <c r="E1865">
        <f t="shared" si="756"/>
        <v>5</v>
      </c>
      <c r="F1865" t="str">
        <f t="shared" si="757"/>
        <v>1-25</v>
      </c>
      <c r="G1865">
        <v>1</v>
      </c>
      <c r="H1865" t="str">
        <f t="shared" si="758"/>
        <v>Pariente gordo</v>
      </c>
      <c r="I1865">
        <v>1</v>
      </c>
      <c r="J1865" t="str">
        <f t="shared" si="759"/>
        <v>Hipercaloricos</v>
      </c>
      <c r="K1865">
        <v>3</v>
      </c>
      <c r="L1865">
        <f t="shared" si="760"/>
        <v>1</v>
      </c>
      <c r="M1865" t="str">
        <f t="shared" si="761"/>
        <v>Suele comer</v>
      </c>
      <c r="N1865">
        <v>3</v>
      </c>
      <c r="O1865">
        <f t="shared" si="762"/>
        <v>2</v>
      </c>
      <c r="P1865" t="str">
        <f t="shared" si="763"/>
        <v>Mas de 3</v>
      </c>
      <c r="Q1865">
        <v>1</v>
      </c>
      <c r="R1865" t="str">
        <f t="shared" si="764"/>
        <v>A veces</v>
      </c>
      <c r="S1865">
        <v>0</v>
      </c>
      <c r="T1865" t="str">
        <f t="shared" si="765"/>
        <v>No fuma</v>
      </c>
      <c r="U1865">
        <v>1228838</v>
      </c>
      <c r="V1865">
        <f t="shared" si="766"/>
        <v>2</v>
      </c>
      <c r="W1865" t="str">
        <f t="shared" si="767"/>
        <v>Siempre</v>
      </c>
      <c r="X1865">
        <v>0</v>
      </c>
      <c r="Y1865" t="str">
        <f t="shared" si="768"/>
        <v>No controla</v>
      </c>
      <c r="Z1865">
        <v>0.79255299999999995</v>
      </c>
      <c r="AA1865">
        <f t="shared" si="769"/>
        <v>0</v>
      </c>
      <c r="AB1865" t="str">
        <f t="shared" si="770"/>
        <v>Nunca</v>
      </c>
      <c r="AC1865">
        <v>0.63956100000000005</v>
      </c>
      <c r="AD1865">
        <f t="shared" si="771"/>
        <v>0</v>
      </c>
      <c r="AE1865" t="str">
        <f t="shared" si="772"/>
        <v>Nunca</v>
      </c>
      <c r="AF1865">
        <v>1</v>
      </c>
      <c r="AG1865" t="str">
        <f t="shared" si="773"/>
        <v>A veces</v>
      </c>
      <c r="AH1865">
        <v>0</v>
      </c>
      <c r="AI1865" t="str">
        <f t="shared" si="774"/>
        <v>No usa</v>
      </c>
      <c r="AJ1865">
        <v>0</v>
      </c>
      <c r="AK1865" t="str">
        <f t="shared" si="775"/>
        <v>No usa</v>
      </c>
      <c r="AL1865">
        <v>0</v>
      </c>
      <c r="AM1865" t="str">
        <f t="shared" si="776"/>
        <v>No usa</v>
      </c>
      <c r="AN1865">
        <v>1</v>
      </c>
      <c r="AO1865" t="str">
        <f t="shared" si="777"/>
        <v>Usa Transporte</v>
      </c>
      <c r="AP1865">
        <v>0</v>
      </c>
      <c r="AQ1865" t="str">
        <f t="shared" si="778"/>
        <v>No camina</v>
      </c>
      <c r="AR1865">
        <v>1</v>
      </c>
      <c r="AS1865" t="str">
        <f t="shared" si="779"/>
        <v>Es Obeso</v>
      </c>
    </row>
    <row r="1866" spans="1:45" x14ac:dyDescent="0.25">
      <c r="A1866">
        <v>0</v>
      </c>
      <c r="B1866" t="str">
        <f t="shared" si="754"/>
        <v>F</v>
      </c>
      <c r="C1866">
        <v>21207423</v>
      </c>
      <c r="D1866">
        <f t="shared" si="755"/>
        <v>58</v>
      </c>
      <c r="E1866">
        <f t="shared" si="756"/>
        <v>58</v>
      </c>
      <c r="F1866" t="str">
        <f t="shared" si="757"/>
        <v>50-75</v>
      </c>
      <c r="G1866">
        <v>1</v>
      </c>
      <c r="H1866" t="str">
        <f t="shared" si="758"/>
        <v>Pariente gordo</v>
      </c>
      <c r="I1866">
        <v>1</v>
      </c>
      <c r="J1866" t="str">
        <f t="shared" si="759"/>
        <v>Hipercaloricos</v>
      </c>
      <c r="K1866">
        <v>3</v>
      </c>
      <c r="L1866">
        <f t="shared" si="760"/>
        <v>1</v>
      </c>
      <c r="M1866" t="str">
        <f t="shared" si="761"/>
        <v>Suele comer</v>
      </c>
      <c r="N1866">
        <v>3</v>
      </c>
      <c r="O1866">
        <f t="shared" si="762"/>
        <v>2</v>
      </c>
      <c r="P1866" t="str">
        <f t="shared" si="763"/>
        <v>Mas de 3</v>
      </c>
      <c r="Q1866">
        <v>1</v>
      </c>
      <c r="R1866" t="str">
        <f t="shared" si="764"/>
        <v>A veces</v>
      </c>
      <c r="S1866">
        <v>0</v>
      </c>
      <c r="T1866" t="str">
        <f t="shared" si="765"/>
        <v>No fuma</v>
      </c>
      <c r="U1866">
        <v>1615548</v>
      </c>
      <c r="V1866">
        <f t="shared" si="766"/>
        <v>2</v>
      </c>
      <c r="W1866" t="str">
        <f t="shared" si="767"/>
        <v>Siempre</v>
      </c>
      <c r="X1866">
        <v>0</v>
      </c>
      <c r="Y1866" t="str">
        <f t="shared" si="768"/>
        <v>No controla</v>
      </c>
      <c r="Z1866">
        <v>1376534</v>
      </c>
      <c r="AA1866">
        <f t="shared" si="769"/>
        <v>3</v>
      </c>
      <c r="AB1866" t="str">
        <f t="shared" si="770"/>
        <v>Siempre</v>
      </c>
      <c r="AC1866">
        <v>0.92605199999999999</v>
      </c>
      <c r="AD1866">
        <f t="shared" si="771"/>
        <v>0</v>
      </c>
      <c r="AE1866" t="str">
        <f t="shared" si="772"/>
        <v>Nunca</v>
      </c>
      <c r="AF1866">
        <v>1</v>
      </c>
      <c r="AG1866" t="str">
        <f t="shared" si="773"/>
        <v>A veces</v>
      </c>
      <c r="AH1866">
        <v>0</v>
      </c>
      <c r="AI1866" t="str">
        <f t="shared" si="774"/>
        <v>No usa</v>
      </c>
      <c r="AJ1866">
        <v>0</v>
      </c>
      <c r="AK1866" t="str">
        <f t="shared" si="775"/>
        <v>No usa</v>
      </c>
      <c r="AL1866">
        <v>0</v>
      </c>
      <c r="AM1866" t="str">
        <f t="shared" si="776"/>
        <v>No usa</v>
      </c>
      <c r="AN1866">
        <v>1</v>
      </c>
      <c r="AO1866" t="str">
        <f t="shared" si="777"/>
        <v>Usa Transporte</v>
      </c>
      <c r="AP1866">
        <v>0</v>
      </c>
      <c r="AQ1866" t="str">
        <f t="shared" si="778"/>
        <v>No camina</v>
      </c>
      <c r="AR1866">
        <v>1</v>
      </c>
      <c r="AS1866" t="str">
        <f t="shared" si="779"/>
        <v>Es Obeso</v>
      </c>
    </row>
    <row r="1867" spans="1:45" x14ac:dyDescent="0.25">
      <c r="A1867">
        <v>0</v>
      </c>
      <c r="B1867" t="str">
        <f t="shared" si="754"/>
        <v>F</v>
      </c>
      <c r="C1867">
        <v>21633056</v>
      </c>
      <c r="D1867">
        <f t="shared" si="755"/>
        <v>59</v>
      </c>
      <c r="E1867">
        <f t="shared" si="756"/>
        <v>59</v>
      </c>
      <c r="F1867" t="str">
        <f t="shared" si="757"/>
        <v>50-75</v>
      </c>
      <c r="G1867">
        <v>1</v>
      </c>
      <c r="H1867" t="str">
        <f t="shared" si="758"/>
        <v>Pariente gordo</v>
      </c>
      <c r="I1867">
        <v>1</v>
      </c>
      <c r="J1867" t="str">
        <f t="shared" si="759"/>
        <v>Hipercaloricos</v>
      </c>
      <c r="K1867">
        <v>3</v>
      </c>
      <c r="L1867">
        <f t="shared" si="760"/>
        <v>1</v>
      </c>
      <c r="M1867" t="str">
        <f t="shared" si="761"/>
        <v>Suele comer</v>
      </c>
      <c r="N1867">
        <v>3</v>
      </c>
      <c r="O1867">
        <f t="shared" si="762"/>
        <v>2</v>
      </c>
      <c r="P1867" t="str">
        <f t="shared" si="763"/>
        <v>Mas de 3</v>
      </c>
      <c r="Q1867">
        <v>1</v>
      </c>
      <c r="R1867" t="str">
        <f t="shared" si="764"/>
        <v>A veces</v>
      </c>
      <c r="S1867">
        <v>0</v>
      </c>
      <c r="T1867" t="str">
        <f t="shared" si="765"/>
        <v>No fuma</v>
      </c>
      <c r="U1867">
        <v>194595</v>
      </c>
      <c r="V1867">
        <f t="shared" si="766"/>
        <v>2</v>
      </c>
      <c r="W1867" t="str">
        <f t="shared" si="767"/>
        <v>Siempre</v>
      </c>
      <c r="X1867">
        <v>0</v>
      </c>
      <c r="Y1867" t="str">
        <f t="shared" si="768"/>
        <v>No controla</v>
      </c>
      <c r="Z1867">
        <v>1493018</v>
      </c>
      <c r="AA1867">
        <f t="shared" si="769"/>
        <v>3</v>
      </c>
      <c r="AB1867" t="str">
        <f t="shared" si="770"/>
        <v>Siempre</v>
      </c>
      <c r="AC1867">
        <v>0.90661099999999994</v>
      </c>
      <c r="AD1867">
        <f t="shared" si="771"/>
        <v>0</v>
      </c>
      <c r="AE1867" t="str">
        <f t="shared" si="772"/>
        <v>Nunca</v>
      </c>
      <c r="AF1867">
        <v>1</v>
      </c>
      <c r="AG1867" t="str">
        <f t="shared" si="773"/>
        <v>A veces</v>
      </c>
      <c r="AH1867">
        <v>0</v>
      </c>
      <c r="AI1867" t="str">
        <f t="shared" si="774"/>
        <v>No usa</v>
      </c>
      <c r="AJ1867">
        <v>0</v>
      </c>
      <c r="AK1867" t="str">
        <f t="shared" si="775"/>
        <v>No usa</v>
      </c>
      <c r="AL1867">
        <v>0</v>
      </c>
      <c r="AM1867" t="str">
        <f t="shared" si="776"/>
        <v>No usa</v>
      </c>
      <c r="AN1867">
        <v>1</v>
      </c>
      <c r="AO1867" t="str">
        <f t="shared" si="777"/>
        <v>Usa Transporte</v>
      </c>
      <c r="AP1867">
        <v>0</v>
      </c>
      <c r="AQ1867" t="str">
        <f t="shared" si="778"/>
        <v>No camina</v>
      </c>
      <c r="AR1867">
        <v>1</v>
      </c>
      <c r="AS1867" t="str">
        <f t="shared" si="779"/>
        <v>Es Obeso</v>
      </c>
    </row>
    <row r="1868" spans="1:45" x14ac:dyDescent="0.25">
      <c r="A1868">
        <v>0</v>
      </c>
      <c r="B1868" t="str">
        <f t="shared" si="754"/>
        <v>F</v>
      </c>
      <c r="C1868">
        <v>21009596</v>
      </c>
      <c r="D1868">
        <f t="shared" si="755"/>
        <v>57</v>
      </c>
      <c r="E1868">
        <f t="shared" si="756"/>
        <v>57</v>
      </c>
      <c r="F1868" t="str">
        <f t="shared" si="757"/>
        <v>50-75</v>
      </c>
      <c r="G1868">
        <v>1</v>
      </c>
      <c r="H1868" t="str">
        <f t="shared" si="758"/>
        <v>Pariente gordo</v>
      </c>
      <c r="I1868">
        <v>1</v>
      </c>
      <c r="J1868" t="str">
        <f t="shared" si="759"/>
        <v>Hipercaloricos</v>
      </c>
      <c r="K1868">
        <v>3</v>
      </c>
      <c r="L1868">
        <f t="shared" si="760"/>
        <v>1</v>
      </c>
      <c r="M1868" t="str">
        <f t="shared" si="761"/>
        <v>Suele comer</v>
      </c>
      <c r="N1868">
        <v>3</v>
      </c>
      <c r="O1868">
        <f t="shared" si="762"/>
        <v>2</v>
      </c>
      <c r="P1868" t="str">
        <f t="shared" si="763"/>
        <v>Mas de 3</v>
      </c>
      <c r="Q1868">
        <v>1</v>
      </c>
      <c r="R1868" t="str">
        <f t="shared" si="764"/>
        <v>A veces</v>
      </c>
      <c r="S1868">
        <v>0</v>
      </c>
      <c r="T1868" t="str">
        <f t="shared" si="765"/>
        <v>No fuma</v>
      </c>
      <c r="U1868">
        <v>1709556</v>
      </c>
      <c r="V1868">
        <f t="shared" si="766"/>
        <v>2</v>
      </c>
      <c r="W1868" t="str">
        <f t="shared" si="767"/>
        <v>Siempre</v>
      </c>
      <c r="X1868">
        <v>0</v>
      </c>
      <c r="Y1868" t="str">
        <f t="shared" si="768"/>
        <v>No controla</v>
      </c>
      <c r="Z1868">
        <v>1592494</v>
      </c>
      <c r="AA1868">
        <f t="shared" si="769"/>
        <v>3</v>
      </c>
      <c r="AB1868" t="str">
        <f t="shared" si="770"/>
        <v>Siempre</v>
      </c>
      <c r="AC1868">
        <v>0.92584299999999997</v>
      </c>
      <c r="AD1868">
        <f t="shared" si="771"/>
        <v>0</v>
      </c>
      <c r="AE1868" t="str">
        <f t="shared" si="772"/>
        <v>Nunca</v>
      </c>
      <c r="AF1868">
        <v>1</v>
      </c>
      <c r="AG1868" t="str">
        <f t="shared" si="773"/>
        <v>A veces</v>
      </c>
      <c r="AH1868">
        <v>0</v>
      </c>
      <c r="AI1868" t="str">
        <f t="shared" si="774"/>
        <v>No usa</v>
      </c>
      <c r="AJ1868">
        <v>0</v>
      </c>
      <c r="AK1868" t="str">
        <f t="shared" si="775"/>
        <v>No usa</v>
      </c>
      <c r="AL1868">
        <v>0</v>
      </c>
      <c r="AM1868" t="str">
        <f t="shared" si="776"/>
        <v>No usa</v>
      </c>
      <c r="AN1868">
        <v>1</v>
      </c>
      <c r="AO1868" t="str">
        <f t="shared" si="777"/>
        <v>Usa Transporte</v>
      </c>
      <c r="AP1868">
        <v>0</v>
      </c>
      <c r="AQ1868" t="str">
        <f t="shared" si="778"/>
        <v>No camina</v>
      </c>
      <c r="AR1868">
        <v>1</v>
      </c>
      <c r="AS1868" t="str">
        <f t="shared" si="779"/>
        <v>Es Obeso</v>
      </c>
    </row>
    <row r="1869" spans="1:45" x14ac:dyDescent="0.25">
      <c r="A1869">
        <v>0</v>
      </c>
      <c r="B1869" t="str">
        <f t="shared" si="754"/>
        <v>F</v>
      </c>
      <c r="C1869">
        <v>26</v>
      </c>
      <c r="D1869">
        <f t="shared" si="755"/>
        <v>26</v>
      </c>
      <c r="E1869">
        <f t="shared" si="756"/>
        <v>26</v>
      </c>
      <c r="F1869" t="str">
        <f t="shared" si="757"/>
        <v>25-50</v>
      </c>
      <c r="G1869">
        <v>1</v>
      </c>
      <c r="H1869" t="str">
        <f t="shared" si="758"/>
        <v>Pariente gordo</v>
      </c>
      <c r="I1869">
        <v>1</v>
      </c>
      <c r="J1869" t="str">
        <f t="shared" si="759"/>
        <v>Hipercaloricos</v>
      </c>
      <c r="K1869">
        <v>3</v>
      </c>
      <c r="L1869">
        <f t="shared" si="760"/>
        <v>1</v>
      </c>
      <c r="M1869" t="str">
        <f t="shared" si="761"/>
        <v>Suele comer</v>
      </c>
      <c r="N1869">
        <v>3</v>
      </c>
      <c r="O1869">
        <f t="shared" si="762"/>
        <v>2</v>
      </c>
      <c r="P1869" t="str">
        <f t="shared" si="763"/>
        <v>Mas de 3</v>
      </c>
      <c r="Q1869">
        <v>1</v>
      </c>
      <c r="R1869" t="str">
        <f t="shared" si="764"/>
        <v>A veces</v>
      </c>
      <c r="S1869">
        <v>0</v>
      </c>
      <c r="T1869" t="str">
        <f t="shared" si="765"/>
        <v>No fuma</v>
      </c>
      <c r="U1869">
        <v>2507461</v>
      </c>
      <c r="V1869">
        <f t="shared" si="766"/>
        <v>2</v>
      </c>
      <c r="W1869" t="str">
        <f t="shared" si="767"/>
        <v>Siempre</v>
      </c>
      <c r="X1869">
        <v>0</v>
      </c>
      <c r="Y1869" t="str">
        <f t="shared" si="768"/>
        <v>No controla</v>
      </c>
      <c r="Z1869">
        <v>0</v>
      </c>
      <c r="AA1869">
        <f t="shared" si="769"/>
        <v>0</v>
      </c>
      <c r="AB1869" t="str">
        <f t="shared" si="770"/>
        <v>Nunca</v>
      </c>
      <c r="AC1869">
        <v>0.36847200000000002</v>
      </c>
      <c r="AD1869">
        <f t="shared" si="771"/>
        <v>0</v>
      </c>
      <c r="AE1869" t="str">
        <f t="shared" si="772"/>
        <v>Nunca</v>
      </c>
      <c r="AF1869">
        <v>1</v>
      </c>
      <c r="AG1869" t="str">
        <f t="shared" si="773"/>
        <v>A veces</v>
      </c>
      <c r="AH1869">
        <v>0</v>
      </c>
      <c r="AI1869" t="str">
        <f t="shared" si="774"/>
        <v>No usa</v>
      </c>
      <c r="AJ1869">
        <v>0</v>
      </c>
      <c r="AK1869" t="str">
        <f t="shared" si="775"/>
        <v>No usa</v>
      </c>
      <c r="AL1869">
        <v>0</v>
      </c>
      <c r="AM1869" t="str">
        <f t="shared" si="776"/>
        <v>No usa</v>
      </c>
      <c r="AN1869">
        <v>1</v>
      </c>
      <c r="AO1869" t="str">
        <f t="shared" si="777"/>
        <v>Usa Transporte</v>
      </c>
      <c r="AP1869">
        <v>0</v>
      </c>
      <c r="AQ1869" t="str">
        <f t="shared" si="778"/>
        <v>No camina</v>
      </c>
      <c r="AR1869">
        <v>1</v>
      </c>
      <c r="AS1869" t="str">
        <f t="shared" si="779"/>
        <v>Es Obeso</v>
      </c>
    </row>
    <row r="1870" spans="1:45" x14ac:dyDescent="0.25">
      <c r="A1870">
        <v>0</v>
      </c>
      <c r="B1870" t="str">
        <f t="shared" si="754"/>
        <v>F</v>
      </c>
      <c r="C1870">
        <v>26</v>
      </c>
      <c r="D1870">
        <f t="shared" si="755"/>
        <v>26</v>
      </c>
      <c r="E1870">
        <f t="shared" si="756"/>
        <v>26</v>
      </c>
      <c r="F1870" t="str">
        <f t="shared" si="757"/>
        <v>25-50</v>
      </c>
      <c r="G1870">
        <v>1</v>
      </c>
      <c r="H1870" t="str">
        <f t="shared" si="758"/>
        <v>Pariente gordo</v>
      </c>
      <c r="I1870">
        <v>1</v>
      </c>
      <c r="J1870" t="str">
        <f t="shared" si="759"/>
        <v>Hipercaloricos</v>
      </c>
      <c r="K1870">
        <v>3</v>
      </c>
      <c r="L1870">
        <f t="shared" si="760"/>
        <v>1</v>
      </c>
      <c r="M1870" t="str">
        <f t="shared" si="761"/>
        <v>Suele comer</v>
      </c>
      <c r="N1870">
        <v>3</v>
      </c>
      <c r="O1870">
        <f t="shared" si="762"/>
        <v>2</v>
      </c>
      <c r="P1870" t="str">
        <f t="shared" si="763"/>
        <v>Mas de 3</v>
      </c>
      <c r="Q1870">
        <v>1</v>
      </c>
      <c r="R1870" t="str">
        <f t="shared" si="764"/>
        <v>A veces</v>
      </c>
      <c r="S1870">
        <v>0</v>
      </c>
      <c r="T1870" t="str">
        <f t="shared" si="765"/>
        <v>No fuma</v>
      </c>
      <c r="U1870">
        <v>2644135</v>
      </c>
      <c r="V1870">
        <f t="shared" si="766"/>
        <v>2</v>
      </c>
      <c r="W1870" t="str">
        <f t="shared" si="767"/>
        <v>Siempre</v>
      </c>
      <c r="X1870">
        <v>0</v>
      </c>
      <c r="Y1870" t="str">
        <f t="shared" si="768"/>
        <v>No controla</v>
      </c>
      <c r="Z1870">
        <v>0</v>
      </c>
      <c r="AA1870">
        <f t="shared" si="769"/>
        <v>0</v>
      </c>
      <c r="AB1870" t="str">
        <f t="shared" si="770"/>
        <v>Nunca</v>
      </c>
      <c r="AC1870">
        <v>0.35758099999999998</v>
      </c>
      <c r="AD1870">
        <f t="shared" si="771"/>
        <v>0</v>
      </c>
      <c r="AE1870" t="str">
        <f t="shared" si="772"/>
        <v>Nunca</v>
      </c>
      <c r="AF1870">
        <v>1</v>
      </c>
      <c r="AG1870" t="str">
        <f t="shared" si="773"/>
        <v>A veces</v>
      </c>
      <c r="AH1870">
        <v>0</v>
      </c>
      <c r="AI1870" t="str">
        <f t="shared" si="774"/>
        <v>No usa</v>
      </c>
      <c r="AJ1870">
        <v>0</v>
      </c>
      <c r="AK1870" t="str">
        <f t="shared" si="775"/>
        <v>No usa</v>
      </c>
      <c r="AL1870">
        <v>0</v>
      </c>
      <c r="AM1870" t="str">
        <f t="shared" si="776"/>
        <v>No usa</v>
      </c>
      <c r="AN1870">
        <v>1</v>
      </c>
      <c r="AO1870" t="str">
        <f t="shared" si="777"/>
        <v>Usa Transporte</v>
      </c>
      <c r="AP1870">
        <v>0</v>
      </c>
      <c r="AQ1870" t="str">
        <f t="shared" si="778"/>
        <v>No camina</v>
      </c>
      <c r="AR1870">
        <v>1</v>
      </c>
      <c r="AS1870" t="str">
        <f t="shared" si="779"/>
        <v>Es Obeso</v>
      </c>
    </row>
    <row r="1871" spans="1:45" x14ac:dyDescent="0.25">
      <c r="A1871">
        <v>0</v>
      </c>
      <c r="B1871" t="str">
        <f t="shared" si="754"/>
        <v>F</v>
      </c>
      <c r="C1871">
        <v>26</v>
      </c>
      <c r="D1871">
        <f t="shared" si="755"/>
        <v>26</v>
      </c>
      <c r="E1871">
        <f t="shared" si="756"/>
        <v>26</v>
      </c>
      <c r="F1871" t="str">
        <f t="shared" si="757"/>
        <v>25-50</v>
      </c>
      <c r="G1871">
        <v>1</v>
      </c>
      <c r="H1871" t="str">
        <f t="shared" si="758"/>
        <v>Pariente gordo</v>
      </c>
      <c r="I1871">
        <v>1</v>
      </c>
      <c r="J1871" t="str">
        <f t="shared" si="759"/>
        <v>Hipercaloricos</v>
      </c>
      <c r="K1871">
        <v>3</v>
      </c>
      <c r="L1871">
        <f t="shared" si="760"/>
        <v>1</v>
      </c>
      <c r="M1871" t="str">
        <f t="shared" si="761"/>
        <v>Suele comer</v>
      </c>
      <c r="N1871">
        <v>3</v>
      </c>
      <c r="O1871">
        <f t="shared" si="762"/>
        <v>2</v>
      </c>
      <c r="P1871" t="str">
        <f t="shared" si="763"/>
        <v>Mas de 3</v>
      </c>
      <c r="Q1871">
        <v>1</v>
      </c>
      <c r="R1871" t="str">
        <f t="shared" si="764"/>
        <v>A veces</v>
      </c>
      <c r="S1871">
        <v>0</v>
      </c>
      <c r="T1871" t="str">
        <f t="shared" si="765"/>
        <v>No fuma</v>
      </c>
      <c r="U1871">
        <v>2605685</v>
      </c>
      <c r="V1871">
        <f t="shared" si="766"/>
        <v>2</v>
      </c>
      <c r="W1871" t="str">
        <f t="shared" si="767"/>
        <v>Siempre</v>
      </c>
      <c r="X1871">
        <v>0</v>
      </c>
      <c r="Y1871" t="str">
        <f t="shared" si="768"/>
        <v>No controla</v>
      </c>
      <c r="Z1871">
        <v>0</v>
      </c>
      <c r="AA1871">
        <f t="shared" si="769"/>
        <v>0</v>
      </c>
      <c r="AB1871" t="str">
        <f t="shared" si="770"/>
        <v>Nunca</v>
      </c>
      <c r="AC1871">
        <v>0.19922699999999999</v>
      </c>
      <c r="AD1871">
        <f t="shared" si="771"/>
        <v>0</v>
      </c>
      <c r="AE1871" t="str">
        <f t="shared" si="772"/>
        <v>Nunca</v>
      </c>
      <c r="AF1871">
        <v>1</v>
      </c>
      <c r="AG1871" t="str">
        <f t="shared" si="773"/>
        <v>A veces</v>
      </c>
      <c r="AH1871">
        <v>0</v>
      </c>
      <c r="AI1871" t="str">
        <f t="shared" si="774"/>
        <v>No usa</v>
      </c>
      <c r="AJ1871">
        <v>0</v>
      </c>
      <c r="AK1871" t="str">
        <f t="shared" si="775"/>
        <v>No usa</v>
      </c>
      <c r="AL1871">
        <v>0</v>
      </c>
      <c r="AM1871" t="str">
        <f t="shared" si="776"/>
        <v>No usa</v>
      </c>
      <c r="AN1871">
        <v>1</v>
      </c>
      <c r="AO1871" t="str">
        <f t="shared" si="777"/>
        <v>Usa Transporte</v>
      </c>
      <c r="AP1871">
        <v>0</v>
      </c>
      <c r="AQ1871" t="str">
        <f t="shared" si="778"/>
        <v>No camina</v>
      </c>
      <c r="AR1871">
        <v>1</v>
      </c>
      <c r="AS1871" t="str">
        <f t="shared" si="779"/>
        <v>Es Obeso</v>
      </c>
    </row>
    <row r="1872" spans="1:45" x14ac:dyDescent="0.25">
      <c r="A1872">
        <v>0</v>
      </c>
      <c r="B1872" t="str">
        <f t="shared" si="754"/>
        <v>F</v>
      </c>
      <c r="C1872">
        <v>25954511</v>
      </c>
      <c r="D1872">
        <f t="shared" si="755"/>
        <v>71</v>
      </c>
      <c r="E1872">
        <f t="shared" si="756"/>
        <v>71</v>
      </c>
      <c r="F1872" t="str">
        <f t="shared" si="757"/>
        <v>50-75</v>
      </c>
      <c r="G1872">
        <v>1</v>
      </c>
      <c r="H1872" t="str">
        <f t="shared" si="758"/>
        <v>Pariente gordo</v>
      </c>
      <c r="I1872">
        <v>1</v>
      </c>
      <c r="J1872" t="str">
        <f t="shared" si="759"/>
        <v>Hipercaloricos</v>
      </c>
      <c r="K1872">
        <v>3</v>
      </c>
      <c r="L1872">
        <f t="shared" si="760"/>
        <v>1</v>
      </c>
      <c r="M1872" t="str">
        <f t="shared" si="761"/>
        <v>Suele comer</v>
      </c>
      <c r="N1872">
        <v>3</v>
      </c>
      <c r="O1872">
        <f t="shared" si="762"/>
        <v>2</v>
      </c>
      <c r="P1872" t="str">
        <f t="shared" si="763"/>
        <v>Mas de 3</v>
      </c>
      <c r="Q1872">
        <v>1</v>
      </c>
      <c r="R1872" t="str">
        <f t="shared" si="764"/>
        <v>A veces</v>
      </c>
      <c r="S1872">
        <v>0</v>
      </c>
      <c r="T1872" t="str">
        <f t="shared" si="765"/>
        <v>No fuma</v>
      </c>
      <c r="U1872">
        <v>2217348</v>
      </c>
      <c r="V1872">
        <f t="shared" si="766"/>
        <v>2</v>
      </c>
      <c r="W1872" t="str">
        <f t="shared" si="767"/>
        <v>Siempre</v>
      </c>
      <c r="X1872">
        <v>0</v>
      </c>
      <c r="Y1872" t="str">
        <f t="shared" si="768"/>
        <v>No controla</v>
      </c>
      <c r="Z1872">
        <v>1.0150000000000001E-3</v>
      </c>
      <c r="AA1872">
        <f t="shared" si="769"/>
        <v>0</v>
      </c>
      <c r="AB1872" t="str">
        <f t="shared" si="770"/>
        <v>Nunca</v>
      </c>
      <c r="AC1872">
        <v>0.48103099999999999</v>
      </c>
      <c r="AD1872">
        <f t="shared" si="771"/>
        <v>0</v>
      </c>
      <c r="AE1872" t="str">
        <f t="shared" si="772"/>
        <v>Nunca</v>
      </c>
      <c r="AF1872">
        <v>1</v>
      </c>
      <c r="AG1872" t="str">
        <f t="shared" si="773"/>
        <v>A veces</v>
      </c>
      <c r="AH1872">
        <v>0</v>
      </c>
      <c r="AI1872" t="str">
        <f t="shared" si="774"/>
        <v>No usa</v>
      </c>
      <c r="AJ1872">
        <v>0</v>
      </c>
      <c r="AK1872" t="str">
        <f t="shared" si="775"/>
        <v>No usa</v>
      </c>
      <c r="AL1872">
        <v>0</v>
      </c>
      <c r="AM1872" t="str">
        <f t="shared" si="776"/>
        <v>No usa</v>
      </c>
      <c r="AN1872">
        <v>1</v>
      </c>
      <c r="AO1872" t="str">
        <f t="shared" si="777"/>
        <v>Usa Transporte</v>
      </c>
      <c r="AP1872">
        <v>0</v>
      </c>
      <c r="AQ1872" t="str">
        <f t="shared" si="778"/>
        <v>No camina</v>
      </c>
      <c r="AR1872">
        <v>1</v>
      </c>
      <c r="AS1872" t="str">
        <f t="shared" si="779"/>
        <v>Es Obeso</v>
      </c>
    </row>
    <row r="1873" spans="1:45" x14ac:dyDescent="0.25">
      <c r="A1873">
        <v>0</v>
      </c>
      <c r="B1873" t="str">
        <f t="shared" si="754"/>
        <v>F</v>
      </c>
      <c r="C1873">
        <v>21001969</v>
      </c>
      <c r="D1873">
        <f t="shared" si="755"/>
        <v>57</v>
      </c>
      <c r="E1873">
        <f t="shared" si="756"/>
        <v>57</v>
      </c>
      <c r="F1873" t="str">
        <f t="shared" si="757"/>
        <v>50-75</v>
      </c>
      <c r="G1873">
        <v>1</v>
      </c>
      <c r="H1873" t="str">
        <f t="shared" si="758"/>
        <v>Pariente gordo</v>
      </c>
      <c r="I1873">
        <v>1</v>
      </c>
      <c r="J1873" t="str">
        <f t="shared" si="759"/>
        <v>Hipercaloricos</v>
      </c>
      <c r="K1873">
        <v>3</v>
      </c>
      <c r="L1873">
        <f t="shared" si="760"/>
        <v>1</v>
      </c>
      <c r="M1873" t="str">
        <f t="shared" si="761"/>
        <v>Suele comer</v>
      </c>
      <c r="N1873">
        <v>3</v>
      </c>
      <c r="O1873">
        <f t="shared" si="762"/>
        <v>2</v>
      </c>
      <c r="P1873" t="str">
        <f t="shared" si="763"/>
        <v>Mas de 3</v>
      </c>
      <c r="Q1873">
        <v>1</v>
      </c>
      <c r="R1873" t="str">
        <f t="shared" si="764"/>
        <v>A veces</v>
      </c>
      <c r="S1873">
        <v>0</v>
      </c>
      <c r="T1873" t="str">
        <f t="shared" si="765"/>
        <v>No fuma</v>
      </c>
      <c r="U1873">
        <v>1657541</v>
      </c>
      <c r="V1873">
        <f t="shared" si="766"/>
        <v>2</v>
      </c>
      <c r="W1873" t="str">
        <f t="shared" si="767"/>
        <v>Siempre</v>
      </c>
      <c r="X1873">
        <v>0</v>
      </c>
      <c r="Y1873" t="str">
        <f t="shared" si="768"/>
        <v>No controla</v>
      </c>
      <c r="Z1873">
        <v>1672639</v>
      </c>
      <c r="AA1873">
        <f t="shared" si="769"/>
        <v>3</v>
      </c>
      <c r="AB1873" t="str">
        <f t="shared" si="770"/>
        <v>Siempre</v>
      </c>
      <c r="AC1873">
        <v>0.62928499999999998</v>
      </c>
      <c r="AD1873">
        <f t="shared" si="771"/>
        <v>0</v>
      </c>
      <c r="AE1873" t="str">
        <f t="shared" si="772"/>
        <v>Nunca</v>
      </c>
      <c r="AF1873">
        <v>1</v>
      </c>
      <c r="AG1873" t="str">
        <f t="shared" si="773"/>
        <v>A veces</v>
      </c>
      <c r="AH1873">
        <v>0</v>
      </c>
      <c r="AI1873" t="str">
        <f t="shared" si="774"/>
        <v>No usa</v>
      </c>
      <c r="AJ1873">
        <v>0</v>
      </c>
      <c r="AK1873" t="str">
        <f t="shared" si="775"/>
        <v>No usa</v>
      </c>
      <c r="AL1873">
        <v>0</v>
      </c>
      <c r="AM1873" t="str">
        <f t="shared" si="776"/>
        <v>No usa</v>
      </c>
      <c r="AN1873">
        <v>1</v>
      </c>
      <c r="AO1873" t="str">
        <f t="shared" si="777"/>
        <v>Usa Transporte</v>
      </c>
      <c r="AP1873">
        <v>0</v>
      </c>
      <c r="AQ1873" t="str">
        <f t="shared" si="778"/>
        <v>No camina</v>
      </c>
      <c r="AR1873">
        <v>1</v>
      </c>
      <c r="AS1873" t="str">
        <f t="shared" si="779"/>
        <v>Es Obeso</v>
      </c>
    </row>
    <row r="1874" spans="1:45" x14ac:dyDescent="0.25">
      <c r="A1874">
        <v>0</v>
      </c>
      <c r="B1874" t="str">
        <f t="shared" si="754"/>
        <v>F</v>
      </c>
      <c r="C1874">
        <v>21772251</v>
      </c>
      <c r="D1874">
        <f t="shared" si="755"/>
        <v>59</v>
      </c>
      <c r="E1874">
        <f t="shared" si="756"/>
        <v>59</v>
      </c>
      <c r="F1874" t="str">
        <f t="shared" si="757"/>
        <v>50-75</v>
      </c>
      <c r="G1874">
        <v>1</v>
      </c>
      <c r="H1874" t="str">
        <f t="shared" si="758"/>
        <v>Pariente gordo</v>
      </c>
      <c r="I1874">
        <v>1</v>
      </c>
      <c r="J1874" t="str">
        <f t="shared" si="759"/>
        <v>Hipercaloricos</v>
      </c>
      <c r="K1874">
        <v>3</v>
      </c>
      <c r="L1874">
        <f t="shared" si="760"/>
        <v>1</v>
      </c>
      <c r="M1874" t="str">
        <f t="shared" si="761"/>
        <v>Suele comer</v>
      </c>
      <c r="N1874">
        <v>3</v>
      </c>
      <c r="O1874">
        <f t="shared" si="762"/>
        <v>2</v>
      </c>
      <c r="P1874" t="str">
        <f t="shared" si="763"/>
        <v>Mas de 3</v>
      </c>
      <c r="Q1874">
        <v>1</v>
      </c>
      <c r="R1874" t="str">
        <f t="shared" si="764"/>
        <v>A veces</v>
      </c>
      <c r="S1874">
        <v>0</v>
      </c>
      <c r="T1874" t="str">
        <f t="shared" si="765"/>
        <v>No fuma</v>
      </c>
      <c r="U1874">
        <v>1817899</v>
      </c>
      <c r="V1874">
        <f t="shared" si="766"/>
        <v>2</v>
      </c>
      <c r="W1874" t="str">
        <f t="shared" si="767"/>
        <v>Siempre</v>
      </c>
      <c r="X1874">
        <v>0</v>
      </c>
      <c r="Y1874" t="str">
        <f t="shared" si="768"/>
        <v>No controla</v>
      </c>
      <c r="Z1874">
        <v>1577824</v>
      </c>
      <c r="AA1874">
        <f t="shared" si="769"/>
        <v>3</v>
      </c>
      <c r="AB1874" t="str">
        <f t="shared" si="770"/>
        <v>Siempre</v>
      </c>
      <c r="AC1874">
        <v>0.930836</v>
      </c>
      <c r="AD1874">
        <f t="shared" si="771"/>
        <v>0</v>
      </c>
      <c r="AE1874" t="str">
        <f t="shared" si="772"/>
        <v>Nunca</v>
      </c>
      <c r="AF1874">
        <v>1</v>
      </c>
      <c r="AG1874" t="str">
        <f t="shared" si="773"/>
        <v>A veces</v>
      </c>
      <c r="AH1874">
        <v>0</v>
      </c>
      <c r="AI1874" t="str">
        <f t="shared" si="774"/>
        <v>No usa</v>
      </c>
      <c r="AJ1874">
        <v>0</v>
      </c>
      <c r="AK1874" t="str">
        <f t="shared" si="775"/>
        <v>No usa</v>
      </c>
      <c r="AL1874">
        <v>0</v>
      </c>
      <c r="AM1874" t="str">
        <f t="shared" si="776"/>
        <v>No usa</v>
      </c>
      <c r="AN1874">
        <v>1</v>
      </c>
      <c r="AO1874" t="str">
        <f t="shared" si="777"/>
        <v>Usa Transporte</v>
      </c>
      <c r="AP1874">
        <v>0</v>
      </c>
      <c r="AQ1874" t="str">
        <f t="shared" si="778"/>
        <v>No camina</v>
      </c>
      <c r="AR1874">
        <v>1</v>
      </c>
      <c r="AS1874" t="str">
        <f t="shared" si="779"/>
        <v>Es Obeso</v>
      </c>
    </row>
    <row r="1875" spans="1:45" x14ac:dyDescent="0.25">
      <c r="A1875">
        <v>0</v>
      </c>
      <c r="B1875" t="str">
        <f t="shared" si="754"/>
        <v>F</v>
      </c>
      <c r="C1875">
        <v>2376197</v>
      </c>
      <c r="D1875">
        <f t="shared" si="755"/>
        <v>6</v>
      </c>
      <c r="E1875">
        <f t="shared" si="756"/>
        <v>6</v>
      </c>
      <c r="F1875" t="str">
        <f t="shared" si="757"/>
        <v>1-25</v>
      </c>
      <c r="G1875">
        <v>1</v>
      </c>
      <c r="H1875" t="str">
        <f t="shared" si="758"/>
        <v>Pariente gordo</v>
      </c>
      <c r="I1875">
        <v>1</v>
      </c>
      <c r="J1875" t="str">
        <f t="shared" si="759"/>
        <v>Hipercaloricos</v>
      </c>
      <c r="K1875">
        <v>3</v>
      </c>
      <c r="L1875">
        <f t="shared" si="760"/>
        <v>1</v>
      </c>
      <c r="M1875" t="str">
        <f t="shared" si="761"/>
        <v>Suele comer</v>
      </c>
      <c r="N1875">
        <v>3</v>
      </c>
      <c r="O1875">
        <f t="shared" si="762"/>
        <v>2</v>
      </c>
      <c r="P1875" t="str">
        <f t="shared" si="763"/>
        <v>Mas de 3</v>
      </c>
      <c r="Q1875">
        <v>1</v>
      </c>
      <c r="R1875" t="str">
        <f t="shared" si="764"/>
        <v>A veces</v>
      </c>
      <c r="S1875">
        <v>0</v>
      </c>
      <c r="T1875" t="str">
        <f t="shared" si="765"/>
        <v>No fuma</v>
      </c>
      <c r="U1875">
        <v>2509535</v>
      </c>
      <c r="V1875">
        <f t="shared" si="766"/>
        <v>2</v>
      </c>
      <c r="W1875" t="str">
        <f t="shared" si="767"/>
        <v>Siempre</v>
      </c>
      <c r="X1875">
        <v>0</v>
      </c>
      <c r="Y1875" t="str">
        <f t="shared" si="768"/>
        <v>No controla</v>
      </c>
      <c r="Z1875">
        <v>0.33426400000000001</v>
      </c>
      <c r="AA1875">
        <f t="shared" si="769"/>
        <v>0</v>
      </c>
      <c r="AB1875" t="str">
        <f t="shared" si="770"/>
        <v>Nunca</v>
      </c>
      <c r="AC1875">
        <v>0.66817199999999999</v>
      </c>
      <c r="AD1875">
        <f t="shared" si="771"/>
        <v>0</v>
      </c>
      <c r="AE1875" t="str">
        <f t="shared" si="772"/>
        <v>Nunca</v>
      </c>
      <c r="AF1875">
        <v>1</v>
      </c>
      <c r="AG1875" t="str">
        <f t="shared" si="773"/>
        <v>A veces</v>
      </c>
      <c r="AH1875">
        <v>0</v>
      </c>
      <c r="AI1875" t="str">
        <f t="shared" si="774"/>
        <v>No usa</v>
      </c>
      <c r="AJ1875">
        <v>0</v>
      </c>
      <c r="AK1875" t="str">
        <f t="shared" si="775"/>
        <v>No usa</v>
      </c>
      <c r="AL1875">
        <v>0</v>
      </c>
      <c r="AM1875" t="str">
        <f t="shared" si="776"/>
        <v>No usa</v>
      </c>
      <c r="AN1875">
        <v>1</v>
      </c>
      <c r="AO1875" t="str">
        <f t="shared" si="777"/>
        <v>Usa Transporte</v>
      </c>
      <c r="AP1875">
        <v>0</v>
      </c>
      <c r="AQ1875" t="str">
        <f t="shared" si="778"/>
        <v>No camina</v>
      </c>
      <c r="AR1875">
        <v>1</v>
      </c>
      <c r="AS1875" t="str">
        <f t="shared" si="779"/>
        <v>Es Obeso</v>
      </c>
    </row>
    <row r="1876" spans="1:45" x14ac:dyDescent="0.25">
      <c r="A1876">
        <v>0</v>
      </c>
      <c r="B1876" t="str">
        <f t="shared" si="754"/>
        <v>F</v>
      </c>
      <c r="C1876">
        <v>24449655</v>
      </c>
      <c r="D1876">
        <f t="shared" si="755"/>
        <v>66</v>
      </c>
      <c r="E1876">
        <f t="shared" si="756"/>
        <v>66</v>
      </c>
      <c r="F1876" t="str">
        <f t="shared" si="757"/>
        <v>50-75</v>
      </c>
      <c r="G1876">
        <v>1</v>
      </c>
      <c r="H1876" t="str">
        <f t="shared" si="758"/>
        <v>Pariente gordo</v>
      </c>
      <c r="I1876">
        <v>1</v>
      </c>
      <c r="J1876" t="str">
        <f t="shared" si="759"/>
        <v>Hipercaloricos</v>
      </c>
      <c r="K1876">
        <v>3</v>
      </c>
      <c r="L1876">
        <f t="shared" si="760"/>
        <v>1</v>
      </c>
      <c r="M1876" t="str">
        <f t="shared" si="761"/>
        <v>Suele comer</v>
      </c>
      <c r="N1876">
        <v>3</v>
      </c>
      <c r="O1876">
        <f t="shared" si="762"/>
        <v>2</v>
      </c>
      <c r="P1876" t="str">
        <f t="shared" si="763"/>
        <v>Mas de 3</v>
      </c>
      <c r="Q1876">
        <v>1</v>
      </c>
      <c r="R1876" t="str">
        <f t="shared" si="764"/>
        <v>A veces</v>
      </c>
      <c r="S1876">
        <v>0</v>
      </c>
      <c r="T1876" t="str">
        <f t="shared" si="765"/>
        <v>No fuma</v>
      </c>
      <c r="U1876">
        <v>2578038</v>
      </c>
      <c r="V1876">
        <f t="shared" si="766"/>
        <v>2</v>
      </c>
      <c r="W1876" t="str">
        <f t="shared" si="767"/>
        <v>Siempre</v>
      </c>
      <c r="X1876">
        <v>0</v>
      </c>
      <c r="Y1876" t="str">
        <f t="shared" si="768"/>
        <v>No controla</v>
      </c>
      <c r="Z1876">
        <v>0.16542200000000001</v>
      </c>
      <c r="AA1876">
        <f t="shared" si="769"/>
        <v>0</v>
      </c>
      <c r="AB1876" t="str">
        <f t="shared" si="770"/>
        <v>Nunca</v>
      </c>
      <c r="AC1876">
        <v>0.463196</v>
      </c>
      <c r="AD1876">
        <f t="shared" si="771"/>
        <v>0</v>
      </c>
      <c r="AE1876" t="str">
        <f t="shared" si="772"/>
        <v>Nunca</v>
      </c>
      <c r="AF1876">
        <v>1</v>
      </c>
      <c r="AG1876" t="str">
        <f t="shared" si="773"/>
        <v>A veces</v>
      </c>
      <c r="AH1876">
        <v>0</v>
      </c>
      <c r="AI1876" t="str">
        <f t="shared" si="774"/>
        <v>No usa</v>
      </c>
      <c r="AJ1876">
        <v>0</v>
      </c>
      <c r="AK1876" t="str">
        <f t="shared" si="775"/>
        <v>No usa</v>
      </c>
      <c r="AL1876">
        <v>0</v>
      </c>
      <c r="AM1876" t="str">
        <f t="shared" si="776"/>
        <v>No usa</v>
      </c>
      <c r="AN1876">
        <v>1</v>
      </c>
      <c r="AO1876" t="str">
        <f t="shared" si="777"/>
        <v>Usa Transporte</v>
      </c>
      <c r="AP1876">
        <v>0</v>
      </c>
      <c r="AQ1876" t="str">
        <f t="shared" si="778"/>
        <v>No camina</v>
      </c>
      <c r="AR1876">
        <v>1</v>
      </c>
      <c r="AS1876" t="str">
        <f t="shared" si="779"/>
        <v>Es Obeso</v>
      </c>
    </row>
    <row r="1877" spans="1:45" x14ac:dyDescent="0.25">
      <c r="A1877">
        <v>0</v>
      </c>
      <c r="B1877" t="str">
        <f t="shared" si="754"/>
        <v>F</v>
      </c>
      <c r="C1877">
        <v>18378203</v>
      </c>
      <c r="D1877">
        <f t="shared" si="755"/>
        <v>50</v>
      </c>
      <c r="E1877">
        <f t="shared" si="756"/>
        <v>50</v>
      </c>
      <c r="F1877" t="str">
        <f t="shared" si="757"/>
        <v>25-50</v>
      </c>
      <c r="G1877">
        <v>1</v>
      </c>
      <c r="H1877" t="str">
        <f t="shared" si="758"/>
        <v>Pariente gordo</v>
      </c>
      <c r="I1877">
        <v>1</v>
      </c>
      <c r="J1877" t="str">
        <f t="shared" si="759"/>
        <v>Hipercaloricos</v>
      </c>
      <c r="K1877">
        <v>3</v>
      </c>
      <c r="L1877">
        <f t="shared" si="760"/>
        <v>1</v>
      </c>
      <c r="M1877" t="str">
        <f t="shared" si="761"/>
        <v>Suele comer</v>
      </c>
      <c r="N1877">
        <v>3</v>
      </c>
      <c r="O1877">
        <f t="shared" si="762"/>
        <v>2</v>
      </c>
      <c r="P1877" t="str">
        <f t="shared" si="763"/>
        <v>Mas de 3</v>
      </c>
      <c r="Q1877">
        <v>1</v>
      </c>
      <c r="R1877" t="str">
        <f t="shared" si="764"/>
        <v>A veces</v>
      </c>
      <c r="S1877">
        <v>0</v>
      </c>
      <c r="T1877" t="str">
        <f t="shared" si="765"/>
        <v>No fuma</v>
      </c>
      <c r="U1877">
        <v>2501638</v>
      </c>
      <c r="V1877">
        <f t="shared" si="766"/>
        <v>2</v>
      </c>
      <c r="W1877" t="str">
        <f t="shared" si="767"/>
        <v>Siempre</v>
      </c>
      <c r="X1877">
        <v>0</v>
      </c>
      <c r="Y1877" t="str">
        <f t="shared" si="768"/>
        <v>No controla</v>
      </c>
      <c r="Z1877">
        <v>1546179</v>
      </c>
      <c r="AA1877">
        <f t="shared" si="769"/>
        <v>3</v>
      </c>
      <c r="AB1877" t="str">
        <f t="shared" si="770"/>
        <v>Siempre</v>
      </c>
      <c r="AC1877">
        <v>0.66488000000000003</v>
      </c>
      <c r="AD1877">
        <f t="shared" si="771"/>
        <v>0</v>
      </c>
      <c r="AE1877" t="str">
        <f t="shared" si="772"/>
        <v>Nunca</v>
      </c>
      <c r="AF1877">
        <v>1</v>
      </c>
      <c r="AG1877" t="str">
        <f t="shared" si="773"/>
        <v>A veces</v>
      </c>
      <c r="AH1877">
        <v>0</v>
      </c>
      <c r="AI1877" t="str">
        <f t="shared" si="774"/>
        <v>No usa</v>
      </c>
      <c r="AJ1877">
        <v>0</v>
      </c>
      <c r="AK1877" t="str">
        <f t="shared" si="775"/>
        <v>No usa</v>
      </c>
      <c r="AL1877">
        <v>0</v>
      </c>
      <c r="AM1877" t="str">
        <f t="shared" si="776"/>
        <v>No usa</v>
      </c>
      <c r="AN1877">
        <v>1</v>
      </c>
      <c r="AO1877" t="str">
        <f t="shared" si="777"/>
        <v>Usa Transporte</v>
      </c>
      <c r="AP1877">
        <v>0</v>
      </c>
      <c r="AQ1877" t="str">
        <f t="shared" si="778"/>
        <v>No camina</v>
      </c>
      <c r="AR1877">
        <v>1</v>
      </c>
      <c r="AS1877" t="str">
        <f t="shared" si="779"/>
        <v>Es Obeso</v>
      </c>
    </row>
    <row r="1878" spans="1:45" x14ac:dyDescent="0.25">
      <c r="A1878">
        <v>0</v>
      </c>
      <c r="B1878" t="str">
        <f t="shared" si="754"/>
        <v>F</v>
      </c>
      <c r="C1878">
        <v>19725718</v>
      </c>
      <c r="D1878">
        <f t="shared" si="755"/>
        <v>54</v>
      </c>
      <c r="E1878">
        <f t="shared" si="756"/>
        <v>54</v>
      </c>
      <c r="F1878" t="str">
        <f t="shared" si="757"/>
        <v>50-75</v>
      </c>
      <c r="G1878">
        <v>1</v>
      </c>
      <c r="H1878" t="str">
        <f t="shared" si="758"/>
        <v>Pariente gordo</v>
      </c>
      <c r="I1878">
        <v>1</v>
      </c>
      <c r="J1878" t="str">
        <f t="shared" si="759"/>
        <v>Hipercaloricos</v>
      </c>
      <c r="K1878">
        <v>3</v>
      </c>
      <c r="L1878">
        <f t="shared" si="760"/>
        <v>1</v>
      </c>
      <c r="M1878" t="str">
        <f t="shared" si="761"/>
        <v>Suele comer</v>
      </c>
      <c r="N1878">
        <v>3</v>
      </c>
      <c r="O1878">
        <f t="shared" si="762"/>
        <v>2</v>
      </c>
      <c r="P1878" t="str">
        <f t="shared" si="763"/>
        <v>Mas de 3</v>
      </c>
      <c r="Q1878">
        <v>1</v>
      </c>
      <c r="R1878" t="str">
        <f t="shared" si="764"/>
        <v>A veces</v>
      </c>
      <c r="S1878">
        <v>0</v>
      </c>
      <c r="T1878" t="str">
        <f t="shared" si="765"/>
        <v>No fuma</v>
      </c>
      <c r="U1878">
        <v>2250711</v>
      </c>
      <c r="V1878">
        <f t="shared" si="766"/>
        <v>2</v>
      </c>
      <c r="W1878" t="str">
        <f t="shared" si="767"/>
        <v>Siempre</v>
      </c>
      <c r="X1878">
        <v>0</v>
      </c>
      <c r="Y1878" t="str">
        <f t="shared" si="768"/>
        <v>No controla</v>
      </c>
      <c r="Z1878">
        <v>0.64234999999999998</v>
      </c>
      <c r="AA1878">
        <f t="shared" si="769"/>
        <v>0</v>
      </c>
      <c r="AB1878" t="str">
        <f t="shared" si="770"/>
        <v>Nunca</v>
      </c>
      <c r="AC1878">
        <v>0.68512899999999999</v>
      </c>
      <c r="AD1878">
        <f t="shared" si="771"/>
        <v>0</v>
      </c>
      <c r="AE1878" t="str">
        <f t="shared" si="772"/>
        <v>Nunca</v>
      </c>
      <c r="AF1878">
        <v>1</v>
      </c>
      <c r="AG1878" t="str">
        <f t="shared" si="773"/>
        <v>A veces</v>
      </c>
      <c r="AH1878">
        <v>0</v>
      </c>
      <c r="AI1878" t="str">
        <f t="shared" si="774"/>
        <v>No usa</v>
      </c>
      <c r="AJ1878">
        <v>0</v>
      </c>
      <c r="AK1878" t="str">
        <f t="shared" si="775"/>
        <v>No usa</v>
      </c>
      <c r="AL1878">
        <v>0</v>
      </c>
      <c r="AM1878" t="str">
        <f t="shared" si="776"/>
        <v>No usa</v>
      </c>
      <c r="AN1878">
        <v>1</v>
      </c>
      <c r="AO1878" t="str">
        <f t="shared" si="777"/>
        <v>Usa Transporte</v>
      </c>
      <c r="AP1878">
        <v>0</v>
      </c>
      <c r="AQ1878" t="str">
        <f t="shared" si="778"/>
        <v>No camina</v>
      </c>
      <c r="AR1878">
        <v>1</v>
      </c>
      <c r="AS1878" t="str">
        <f t="shared" si="779"/>
        <v>Es Obeso</v>
      </c>
    </row>
    <row r="1879" spans="1:45" x14ac:dyDescent="0.25">
      <c r="A1879">
        <v>0</v>
      </c>
      <c r="B1879" t="str">
        <f t="shared" si="754"/>
        <v>F</v>
      </c>
      <c r="C1879">
        <v>21344018</v>
      </c>
      <c r="D1879">
        <f t="shared" si="755"/>
        <v>58</v>
      </c>
      <c r="E1879">
        <f t="shared" si="756"/>
        <v>58</v>
      </c>
      <c r="F1879" t="str">
        <f t="shared" si="757"/>
        <v>50-75</v>
      </c>
      <c r="G1879">
        <v>1</v>
      </c>
      <c r="H1879" t="str">
        <f t="shared" si="758"/>
        <v>Pariente gordo</v>
      </c>
      <c r="I1879">
        <v>1</v>
      </c>
      <c r="J1879" t="str">
        <f t="shared" si="759"/>
        <v>Hipercaloricos</v>
      </c>
      <c r="K1879">
        <v>3</v>
      </c>
      <c r="L1879">
        <f t="shared" si="760"/>
        <v>1</v>
      </c>
      <c r="M1879" t="str">
        <f t="shared" si="761"/>
        <v>Suele comer</v>
      </c>
      <c r="N1879">
        <v>3</v>
      </c>
      <c r="O1879">
        <f t="shared" si="762"/>
        <v>2</v>
      </c>
      <c r="P1879" t="str">
        <f t="shared" si="763"/>
        <v>Mas de 3</v>
      </c>
      <c r="Q1879">
        <v>1</v>
      </c>
      <c r="R1879" t="str">
        <f t="shared" si="764"/>
        <v>A veces</v>
      </c>
      <c r="S1879">
        <v>0</v>
      </c>
      <c r="T1879" t="str">
        <f t="shared" si="765"/>
        <v>No fuma</v>
      </c>
      <c r="U1879">
        <v>236651</v>
      </c>
      <c r="V1879">
        <f t="shared" si="766"/>
        <v>2</v>
      </c>
      <c r="W1879" t="str">
        <f t="shared" si="767"/>
        <v>Siempre</v>
      </c>
      <c r="X1879">
        <v>0</v>
      </c>
      <c r="Y1879" t="str">
        <f t="shared" si="768"/>
        <v>No controla</v>
      </c>
      <c r="Z1879">
        <v>1247505</v>
      </c>
      <c r="AA1879">
        <f t="shared" si="769"/>
        <v>3</v>
      </c>
      <c r="AB1879" t="str">
        <f t="shared" si="770"/>
        <v>Siempre</v>
      </c>
      <c r="AC1879">
        <v>0.72336599999999995</v>
      </c>
      <c r="AD1879">
        <f t="shared" si="771"/>
        <v>0</v>
      </c>
      <c r="AE1879" t="str">
        <f t="shared" si="772"/>
        <v>Nunca</v>
      </c>
      <c r="AF1879">
        <v>1</v>
      </c>
      <c r="AG1879" t="str">
        <f t="shared" si="773"/>
        <v>A veces</v>
      </c>
      <c r="AH1879">
        <v>0</v>
      </c>
      <c r="AI1879" t="str">
        <f t="shared" si="774"/>
        <v>No usa</v>
      </c>
      <c r="AJ1879">
        <v>0</v>
      </c>
      <c r="AK1879" t="str">
        <f t="shared" si="775"/>
        <v>No usa</v>
      </c>
      <c r="AL1879">
        <v>0</v>
      </c>
      <c r="AM1879" t="str">
        <f t="shared" si="776"/>
        <v>No usa</v>
      </c>
      <c r="AN1879">
        <v>1</v>
      </c>
      <c r="AO1879" t="str">
        <f t="shared" si="777"/>
        <v>Usa Transporte</v>
      </c>
      <c r="AP1879">
        <v>0</v>
      </c>
      <c r="AQ1879" t="str">
        <f t="shared" si="778"/>
        <v>No camina</v>
      </c>
      <c r="AR1879">
        <v>1</v>
      </c>
      <c r="AS1879" t="str">
        <f t="shared" si="779"/>
        <v>Es Obeso</v>
      </c>
    </row>
    <row r="1880" spans="1:45" x14ac:dyDescent="0.25">
      <c r="A1880">
        <v>0</v>
      </c>
      <c r="B1880" t="str">
        <f t="shared" si="754"/>
        <v>F</v>
      </c>
      <c r="C1880">
        <v>21322097</v>
      </c>
      <c r="D1880">
        <f t="shared" si="755"/>
        <v>58</v>
      </c>
      <c r="E1880">
        <f t="shared" si="756"/>
        <v>58</v>
      </c>
      <c r="F1880" t="str">
        <f t="shared" si="757"/>
        <v>50-75</v>
      </c>
      <c r="G1880">
        <v>1</v>
      </c>
      <c r="H1880" t="str">
        <f t="shared" si="758"/>
        <v>Pariente gordo</v>
      </c>
      <c r="I1880">
        <v>1</v>
      </c>
      <c r="J1880" t="str">
        <f t="shared" si="759"/>
        <v>Hipercaloricos</v>
      </c>
      <c r="K1880">
        <v>3</v>
      </c>
      <c r="L1880">
        <f t="shared" si="760"/>
        <v>1</v>
      </c>
      <c r="M1880" t="str">
        <f t="shared" si="761"/>
        <v>Suele comer</v>
      </c>
      <c r="N1880">
        <v>3</v>
      </c>
      <c r="O1880">
        <f t="shared" si="762"/>
        <v>2</v>
      </c>
      <c r="P1880" t="str">
        <f t="shared" si="763"/>
        <v>Mas de 3</v>
      </c>
      <c r="Q1880">
        <v>1</v>
      </c>
      <c r="R1880" t="str">
        <f t="shared" si="764"/>
        <v>A veces</v>
      </c>
      <c r="S1880">
        <v>0</v>
      </c>
      <c r="T1880" t="str">
        <f t="shared" si="765"/>
        <v>No fuma</v>
      </c>
      <c r="U1880">
        <v>2309409</v>
      </c>
      <c r="V1880">
        <f t="shared" si="766"/>
        <v>2</v>
      </c>
      <c r="W1880" t="str">
        <f t="shared" si="767"/>
        <v>Siempre</v>
      </c>
      <c r="X1880">
        <v>0</v>
      </c>
      <c r="Y1880" t="str">
        <f t="shared" si="768"/>
        <v>No controla</v>
      </c>
      <c r="Z1880">
        <v>168291</v>
      </c>
      <c r="AA1880">
        <f t="shared" si="769"/>
        <v>2</v>
      </c>
      <c r="AB1880" t="str">
        <f t="shared" si="770"/>
        <v>Usualmente</v>
      </c>
      <c r="AC1880">
        <v>0.70557999999999998</v>
      </c>
      <c r="AD1880">
        <f t="shared" si="771"/>
        <v>0</v>
      </c>
      <c r="AE1880" t="str">
        <f t="shared" si="772"/>
        <v>Nunca</v>
      </c>
      <c r="AF1880">
        <v>1</v>
      </c>
      <c r="AG1880" t="str">
        <f t="shared" si="773"/>
        <v>A veces</v>
      </c>
      <c r="AH1880">
        <v>0</v>
      </c>
      <c r="AI1880" t="str">
        <f t="shared" si="774"/>
        <v>No usa</v>
      </c>
      <c r="AJ1880">
        <v>0</v>
      </c>
      <c r="AK1880" t="str">
        <f t="shared" si="775"/>
        <v>No usa</v>
      </c>
      <c r="AL1880">
        <v>0</v>
      </c>
      <c r="AM1880" t="str">
        <f t="shared" si="776"/>
        <v>No usa</v>
      </c>
      <c r="AN1880">
        <v>1</v>
      </c>
      <c r="AO1880" t="str">
        <f t="shared" si="777"/>
        <v>Usa Transporte</v>
      </c>
      <c r="AP1880">
        <v>0</v>
      </c>
      <c r="AQ1880" t="str">
        <f t="shared" si="778"/>
        <v>No camina</v>
      </c>
      <c r="AR1880">
        <v>1</v>
      </c>
      <c r="AS1880" t="str">
        <f t="shared" si="779"/>
        <v>Es Obeso</v>
      </c>
    </row>
    <row r="1881" spans="1:45" x14ac:dyDescent="0.25">
      <c r="A1881">
        <v>0</v>
      </c>
      <c r="B1881" t="str">
        <f t="shared" si="754"/>
        <v>F</v>
      </c>
      <c r="C1881">
        <v>19262934</v>
      </c>
      <c r="D1881">
        <f t="shared" si="755"/>
        <v>52</v>
      </c>
      <c r="E1881">
        <f t="shared" si="756"/>
        <v>52</v>
      </c>
      <c r="F1881" t="str">
        <f t="shared" si="757"/>
        <v>50-75</v>
      </c>
      <c r="G1881">
        <v>1</v>
      </c>
      <c r="H1881" t="str">
        <f t="shared" si="758"/>
        <v>Pariente gordo</v>
      </c>
      <c r="I1881">
        <v>1</v>
      </c>
      <c r="J1881" t="str">
        <f t="shared" si="759"/>
        <v>Hipercaloricos</v>
      </c>
      <c r="K1881">
        <v>3</v>
      </c>
      <c r="L1881">
        <f t="shared" si="760"/>
        <v>1</v>
      </c>
      <c r="M1881" t="str">
        <f t="shared" si="761"/>
        <v>Suele comer</v>
      </c>
      <c r="N1881">
        <v>3</v>
      </c>
      <c r="O1881">
        <f t="shared" si="762"/>
        <v>2</v>
      </c>
      <c r="P1881" t="str">
        <f t="shared" si="763"/>
        <v>Mas de 3</v>
      </c>
      <c r="Q1881">
        <v>1</v>
      </c>
      <c r="R1881" t="str">
        <f t="shared" si="764"/>
        <v>A veces</v>
      </c>
      <c r="S1881">
        <v>0</v>
      </c>
      <c r="T1881" t="str">
        <f t="shared" si="765"/>
        <v>No fuma</v>
      </c>
      <c r="U1881">
        <v>2436261</v>
      </c>
      <c r="V1881">
        <f t="shared" si="766"/>
        <v>2</v>
      </c>
      <c r="W1881" t="str">
        <f t="shared" si="767"/>
        <v>Siempre</v>
      </c>
      <c r="X1881">
        <v>0</v>
      </c>
      <c r="Y1881" t="str">
        <f t="shared" si="768"/>
        <v>No controla</v>
      </c>
      <c r="Z1881">
        <v>1464674</v>
      </c>
      <c r="AA1881">
        <f t="shared" si="769"/>
        <v>3</v>
      </c>
      <c r="AB1881" t="str">
        <f t="shared" si="770"/>
        <v>Siempre</v>
      </c>
      <c r="AC1881">
        <v>0.87092000000000003</v>
      </c>
      <c r="AD1881">
        <f t="shared" si="771"/>
        <v>0</v>
      </c>
      <c r="AE1881" t="str">
        <f t="shared" si="772"/>
        <v>Nunca</v>
      </c>
      <c r="AF1881">
        <v>1</v>
      </c>
      <c r="AG1881" t="str">
        <f t="shared" si="773"/>
        <v>A veces</v>
      </c>
      <c r="AH1881">
        <v>0</v>
      </c>
      <c r="AI1881" t="str">
        <f t="shared" si="774"/>
        <v>No usa</v>
      </c>
      <c r="AJ1881">
        <v>0</v>
      </c>
      <c r="AK1881" t="str">
        <f t="shared" si="775"/>
        <v>No usa</v>
      </c>
      <c r="AL1881">
        <v>0</v>
      </c>
      <c r="AM1881" t="str">
        <f t="shared" si="776"/>
        <v>No usa</v>
      </c>
      <c r="AN1881">
        <v>1</v>
      </c>
      <c r="AO1881" t="str">
        <f t="shared" si="777"/>
        <v>Usa Transporte</v>
      </c>
      <c r="AP1881">
        <v>0</v>
      </c>
      <c r="AQ1881" t="str">
        <f t="shared" si="778"/>
        <v>No camina</v>
      </c>
      <c r="AR1881">
        <v>1</v>
      </c>
      <c r="AS1881" t="str">
        <f t="shared" si="779"/>
        <v>Es Obeso</v>
      </c>
    </row>
    <row r="1882" spans="1:45" x14ac:dyDescent="0.25">
      <c r="A1882">
        <v>0</v>
      </c>
      <c r="B1882" t="str">
        <f t="shared" si="754"/>
        <v>F</v>
      </c>
      <c r="C1882">
        <v>21566815</v>
      </c>
      <c r="D1882">
        <f t="shared" si="755"/>
        <v>59</v>
      </c>
      <c r="E1882">
        <f t="shared" si="756"/>
        <v>59</v>
      </c>
      <c r="F1882" t="str">
        <f t="shared" si="757"/>
        <v>50-75</v>
      </c>
      <c r="G1882">
        <v>1</v>
      </c>
      <c r="H1882" t="str">
        <f t="shared" si="758"/>
        <v>Pariente gordo</v>
      </c>
      <c r="I1882">
        <v>1</v>
      </c>
      <c r="J1882" t="str">
        <f t="shared" si="759"/>
        <v>Hipercaloricos</v>
      </c>
      <c r="K1882">
        <v>3</v>
      </c>
      <c r="L1882">
        <f t="shared" si="760"/>
        <v>1</v>
      </c>
      <c r="M1882" t="str">
        <f t="shared" si="761"/>
        <v>Suele comer</v>
      </c>
      <c r="N1882">
        <v>3</v>
      </c>
      <c r="O1882">
        <f t="shared" si="762"/>
        <v>2</v>
      </c>
      <c r="P1882" t="str">
        <f t="shared" si="763"/>
        <v>Mas de 3</v>
      </c>
      <c r="Q1882">
        <v>1</v>
      </c>
      <c r="R1882" t="str">
        <f t="shared" si="764"/>
        <v>A veces</v>
      </c>
      <c r="S1882">
        <v>0</v>
      </c>
      <c r="T1882" t="str">
        <f t="shared" si="765"/>
        <v>No fuma</v>
      </c>
      <c r="U1882">
        <v>2833566</v>
      </c>
      <c r="V1882">
        <f t="shared" si="766"/>
        <v>2</v>
      </c>
      <c r="W1882" t="str">
        <f t="shared" si="767"/>
        <v>Siempre</v>
      </c>
      <c r="X1882">
        <v>0</v>
      </c>
      <c r="Y1882" t="str">
        <f t="shared" si="768"/>
        <v>No controla</v>
      </c>
      <c r="Z1882">
        <v>1413239</v>
      </c>
      <c r="AA1882">
        <f t="shared" si="769"/>
        <v>3</v>
      </c>
      <c r="AB1882" t="str">
        <f t="shared" si="770"/>
        <v>Siempre</v>
      </c>
      <c r="AC1882">
        <v>0.86272400000000005</v>
      </c>
      <c r="AD1882">
        <f t="shared" si="771"/>
        <v>0</v>
      </c>
      <c r="AE1882" t="str">
        <f t="shared" si="772"/>
        <v>Nunca</v>
      </c>
      <c r="AF1882">
        <v>1</v>
      </c>
      <c r="AG1882" t="str">
        <f t="shared" si="773"/>
        <v>A veces</v>
      </c>
      <c r="AH1882">
        <v>0</v>
      </c>
      <c r="AI1882" t="str">
        <f t="shared" si="774"/>
        <v>No usa</v>
      </c>
      <c r="AJ1882">
        <v>0</v>
      </c>
      <c r="AK1882" t="str">
        <f t="shared" si="775"/>
        <v>No usa</v>
      </c>
      <c r="AL1882">
        <v>0</v>
      </c>
      <c r="AM1882" t="str">
        <f t="shared" si="776"/>
        <v>No usa</v>
      </c>
      <c r="AN1882">
        <v>1</v>
      </c>
      <c r="AO1882" t="str">
        <f t="shared" si="777"/>
        <v>Usa Transporte</v>
      </c>
      <c r="AP1882">
        <v>0</v>
      </c>
      <c r="AQ1882" t="str">
        <f t="shared" si="778"/>
        <v>No camina</v>
      </c>
      <c r="AR1882">
        <v>1</v>
      </c>
      <c r="AS1882" t="str">
        <f t="shared" si="779"/>
        <v>Es Obeso</v>
      </c>
    </row>
    <row r="1883" spans="1:45" x14ac:dyDescent="0.25">
      <c r="A1883">
        <v>0</v>
      </c>
      <c r="B1883" t="str">
        <f t="shared" si="754"/>
        <v>F</v>
      </c>
      <c r="C1883">
        <v>24475242</v>
      </c>
      <c r="D1883">
        <f t="shared" si="755"/>
        <v>67</v>
      </c>
      <c r="E1883">
        <f t="shared" si="756"/>
        <v>67</v>
      </c>
      <c r="F1883" t="str">
        <f t="shared" si="757"/>
        <v>50-75</v>
      </c>
      <c r="G1883">
        <v>1</v>
      </c>
      <c r="H1883" t="str">
        <f t="shared" si="758"/>
        <v>Pariente gordo</v>
      </c>
      <c r="I1883">
        <v>1</v>
      </c>
      <c r="J1883" t="str">
        <f t="shared" si="759"/>
        <v>Hipercaloricos</v>
      </c>
      <c r="K1883">
        <v>3</v>
      </c>
      <c r="L1883">
        <f t="shared" si="760"/>
        <v>1</v>
      </c>
      <c r="M1883" t="str">
        <f t="shared" si="761"/>
        <v>Suele comer</v>
      </c>
      <c r="N1883">
        <v>3</v>
      </c>
      <c r="O1883">
        <f t="shared" si="762"/>
        <v>2</v>
      </c>
      <c r="P1883" t="str">
        <f t="shared" si="763"/>
        <v>Mas de 3</v>
      </c>
      <c r="Q1883">
        <v>1</v>
      </c>
      <c r="R1883" t="str">
        <f t="shared" si="764"/>
        <v>A veces</v>
      </c>
      <c r="S1883">
        <v>0</v>
      </c>
      <c r="T1883" t="str">
        <f t="shared" si="765"/>
        <v>No fuma</v>
      </c>
      <c r="U1883">
        <v>2724099</v>
      </c>
      <c r="V1883">
        <f t="shared" si="766"/>
        <v>2</v>
      </c>
      <c r="W1883" t="str">
        <f t="shared" si="767"/>
        <v>Siempre</v>
      </c>
      <c r="X1883">
        <v>0</v>
      </c>
      <c r="Y1883" t="str">
        <f t="shared" si="768"/>
        <v>No controla</v>
      </c>
      <c r="Z1883">
        <v>0.33679500000000001</v>
      </c>
      <c r="AA1883">
        <f t="shared" si="769"/>
        <v>0</v>
      </c>
      <c r="AB1883" t="str">
        <f t="shared" si="770"/>
        <v>Nunca</v>
      </c>
      <c r="AC1883">
        <v>0.15346199999999999</v>
      </c>
      <c r="AD1883">
        <f t="shared" si="771"/>
        <v>0</v>
      </c>
      <c r="AE1883" t="str">
        <f t="shared" si="772"/>
        <v>Nunca</v>
      </c>
      <c r="AF1883">
        <v>1</v>
      </c>
      <c r="AG1883" t="str">
        <f t="shared" si="773"/>
        <v>A veces</v>
      </c>
      <c r="AH1883">
        <v>0</v>
      </c>
      <c r="AI1883" t="str">
        <f t="shared" si="774"/>
        <v>No usa</v>
      </c>
      <c r="AJ1883">
        <v>0</v>
      </c>
      <c r="AK1883" t="str">
        <f t="shared" si="775"/>
        <v>No usa</v>
      </c>
      <c r="AL1883">
        <v>0</v>
      </c>
      <c r="AM1883" t="str">
        <f t="shared" si="776"/>
        <v>No usa</v>
      </c>
      <c r="AN1883">
        <v>1</v>
      </c>
      <c r="AO1883" t="str">
        <f t="shared" si="777"/>
        <v>Usa Transporte</v>
      </c>
      <c r="AP1883">
        <v>0</v>
      </c>
      <c r="AQ1883" t="str">
        <f t="shared" si="778"/>
        <v>No camina</v>
      </c>
      <c r="AR1883">
        <v>1</v>
      </c>
      <c r="AS1883" t="str">
        <f t="shared" si="779"/>
        <v>Es Obeso</v>
      </c>
    </row>
    <row r="1884" spans="1:45" x14ac:dyDescent="0.25">
      <c r="A1884">
        <v>0</v>
      </c>
      <c r="B1884" t="str">
        <f t="shared" si="754"/>
        <v>F</v>
      </c>
      <c r="C1884">
        <v>25612462</v>
      </c>
      <c r="D1884">
        <f t="shared" si="755"/>
        <v>70</v>
      </c>
      <c r="E1884">
        <f t="shared" si="756"/>
        <v>70</v>
      </c>
      <c r="F1884" t="str">
        <f t="shared" si="757"/>
        <v>50-75</v>
      </c>
      <c r="G1884">
        <v>1</v>
      </c>
      <c r="H1884" t="str">
        <f t="shared" si="758"/>
        <v>Pariente gordo</v>
      </c>
      <c r="I1884">
        <v>1</v>
      </c>
      <c r="J1884" t="str">
        <f t="shared" si="759"/>
        <v>Hipercaloricos</v>
      </c>
      <c r="K1884">
        <v>3</v>
      </c>
      <c r="L1884">
        <f t="shared" si="760"/>
        <v>1</v>
      </c>
      <c r="M1884" t="str">
        <f t="shared" si="761"/>
        <v>Suele comer</v>
      </c>
      <c r="N1884">
        <v>3</v>
      </c>
      <c r="O1884">
        <f t="shared" si="762"/>
        <v>2</v>
      </c>
      <c r="P1884" t="str">
        <f t="shared" si="763"/>
        <v>Mas de 3</v>
      </c>
      <c r="Q1884">
        <v>1</v>
      </c>
      <c r="R1884" t="str">
        <f t="shared" si="764"/>
        <v>A veces</v>
      </c>
      <c r="S1884">
        <v>0</v>
      </c>
      <c r="T1884" t="str">
        <f t="shared" si="765"/>
        <v>No fuma</v>
      </c>
      <c r="U1884">
        <v>2989389</v>
      </c>
      <c r="V1884">
        <f t="shared" si="766"/>
        <v>2</v>
      </c>
      <c r="W1884" t="str">
        <f t="shared" si="767"/>
        <v>Siempre</v>
      </c>
      <c r="X1884">
        <v>0</v>
      </c>
      <c r="Y1884" t="str">
        <f t="shared" si="768"/>
        <v>No controla</v>
      </c>
      <c r="Z1884">
        <v>0.36009000000000002</v>
      </c>
      <c r="AA1884">
        <f t="shared" si="769"/>
        <v>0</v>
      </c>
      <c r="AB1884" t="str">
        <f t="shared" si="770"/>
        <v>Nunca</v>
      </c>
      <c r="AC1884">
        <v>0.169016</v>
      </c>
      <c r="AD1884">
        <f t="shared" si="771"/>
        <v>0</v>
      </c>
      <c r="AE1884" t="str">
        <f t="shared" si="772"/>
        <v>Nunca</v>
      </c>
      <c r="AF1884">
        <v>1</v>
      </c>
      <c r="AG1884" t="str">
        <f t="shared" si="773"/>
        <v>A veces</v>
      </c>
      <c r="AH1884">
        <v>0</v>
      </c>
      <c r="AI1884" t="str">
        <f t="shared" si="774"/>
        <v>No usa</v>
      </c>
      <c r="AJ1884">
        <v>0</v>
      </c>
      <c r="AK1884" t="str">
        <f t="shared" si="775"/>
        <v>No usa</v>
      </c>
      <c r="AL1884">
        <v>0</v>
      </c>
      <c r="AM1884" t="str">
        <f t="shared" si="776"/>
        <v>No usa</v>
      </c>
      <c r="AN1884">
        <v>1</v>
      </c>
      <c r="AO1884" t="str">
        <f t="shared" si="777"/>
        <v>Usa Transporte</v>
      </c>
      <c r="AP1884">
        <v>0</v>
      </c>
      <c r="AQ1884" t="str">
        <f t="shared" si="778"/>
        <v>No camina</v>
      </c>
      <c r="AR1884">
        <v>1</v>
      </c>
      <c r="AS1884" t="str">
        <f t="shared" si="779"/>
        <v>Es Obeso</v>
      </c>
    </row>
    <row r="1885" spans="1:45" x14ac:dyDescent="0.25">
      <c r="A1885">
        <v>0</v>
      </c>
      <c r="B1885" t="str">
        <f t="shared" si="754"/>
        <v>F</v>
      </c>
      <c r="C1885">
        <v>26</v>
      </c>
      <c r="D1885">
        <f t="shared" si="755"/>
        <v>26</v>
      </c>
      <c r="E1885">
        <f t="shared" si="756"/>
        <v>26</v>
      </c>
      <c r="F1885" t="str">
        <f t="shared" si="757"/>
        <v>25-50</v>
      </c>
      <c r="G1885">
        <v>1</v>
      </c>
      <c r="H1885" t="str">
        <f t="shared" si="758"/>
        <v>Pariente gordo</v>
      </c>
      <c r="I1885">
        <v>1</v>
      </c>
      <c r="J1885" t="str">
        <f t="shared" si="759"/>
        <v>Hipercaloricos</v>
      </c>
      <c r="K1885">
        <v>3</v>
      </c>
      <c r="L1885">
        <f t="shared" si="760"/>
        <v>1</v>
      </c>
      <c r="M1885" t="str">
        <f t="shared" si="761"/>
        <v>Suele comer</v>
      </c>
      <c r="N1885">
        <v>3</v>
      </c>
      <c r="O1885">
        <f t="shared" si="762"/>
        <v>2</v>
      </c>
      <c r="P1885" t="str">
        <f t="shared" si="763"/>
        <v>Mas de 3</v>
      </c>
      <c r="Q1885">
        <v>1</v>
      </c>
      <c r="R1885" t="str">
        <f t="shared" si="764"/>
        <v>A veces</v>
      </c>
      <c r="S1885">
        <v>0</v>
      </c>
      <c r="T1885" t="str">
        <f t="shared" si="765"/>
        <v>No fuma</v>
      </c>
      <c r="U1885">
        <v>255975</v>
      </c>
      <c r="V1885">
        <f t="shared" si="766"/>
        <v>2</v>
      </c>
      <c r="W1885" t="str">
        <f t="shared" si="767"/>
        <v>Siempre</v>
      </c>
      <c r="X1885">
        <v>0</v>
      </c>
      <c r="Y1885" t="str">
        <f t="shared" si="768"/>
        <v>No controla</v>
      </c>
      <c r="Z1885">
        <v>0</v>
      </c>
      <c r="AA1885">
        <f t="shared" si="769"/>
        <v>0</v>
      </c>
      <c r="AB1885" t="str">
        <f t="shared" si="770"/>
        <v>Nunca</v>
      </c>
      <c r="AC1885">
        <v>0.23730699999999999</v>
      </c>
      <c r="AD1885">
        <f t="shared" si="771"/>
        <v>0</v>
      </c>
      <c r="AE1885" t="str">
        <f t="shared" si="772"/>
        <v>Nunca</v>
      </c>
      <c r="AF1885">
        <v>1</v>
      </c>
      <c r="AG1885" t="str">
        <f t="shared" si="773"/>
        <v>A veces</v>
      </c>
      <c r="AH1885">
        <v>0</v>
      </c>
      <c r="AI1885" t="str">
        <f t="shared" si="774"/>
        <v>No usa</v>
      </c>
      <c r="AJ1885">
        <v>0</v>
      </c>
      <c r="AK1885" t="str">
        <f t="shared" si="775"/>
        <v>No usa</v>
      </c>
      <c r="AL1885">
        <v>0</v>
      </c>
      <c r="AM1885" t="str">
        <f t="shared" si="776"/>
        <v>No usa</v>
      </c>
      <c r="AN1885">
        <v>1</v>
      </c>
      <c r="AO1885" t="str">
        <f t="shared" si="777"/>
        <v>Usa Transporte</v>
      </c>
      <c r="AP1885">
        <v>0</v>
      </c>
      <c r="AQ1885" t="str">
        <f t="shared" si="778"/>
        <v>No camina</v>
      </c>
      <c r="AR1885">
        <v>1</v>
      </c>
      <c r="AS1885" t="str">
        <f t="shared" si="779"/>
        <v>Es Obeso</v>
      </c>
    </row>
    <row r="1886" spans="1:45" x14ac:dyDescent="0.25">
      <c r="A1886">
        <v>0</v>
      </c>
      <c r="B1886" t="str">
        <f t="shared" si="754"/>
        <v>F</v>
      </c>
      <c r="C1886">
        <v>26</v>
      </c>
      <c r="D1886">
        <f t="shared" si="755"/>
        <v>26</v>
      </c>
      <c r="E1886">
        <f t="shared" si="756"/>
        <v>26</v>
      </c>
      <c r="F1886" t="str">
        <f t="shared" si="757"/>
        <v>25-50</v>
      </c>
      <c r="G1886">
        <v>1</v>
      </c>
      <c r="H1886" t="str">
        <f t="shared" si="758"/>
        <v>Pariente gordo</v>
      </c>
      <c r="I1886">
        <v>1</v>
      </c>
      <c r="J1886" t="str">
        <f t="shared" si="759"/>
        <v>Hipercaloricos</v>
      </c>
      <c r="K1886">
        <v>3</v>
      </c>
      <c r="L1886">
        <f t="shared" si="760"/>
        <v>1</v>
      </c>
      <c r="M1886" t="str">
        <f t="shared" si="761"/>
        <v>Suele comer</v>
      </c>
      <c r="N1886">
        <v>3</v>
      </c>
      <c r="O1886">
        <f t="shared" si="762"/>
        <v>2</v>
      </c>
      <c r="P1886" t="str">
        <f t="shared" si="763"/>
        <v>Mas de 3</v>
      </c>
      <c r="Q1886">
        <v>1</v>
      </c>
      <c r="R1886" t="str">
        <f t="shared" si="764"/>
        <v>A veces</v>
      </c>
      <c r="S1886">
        <v>0</v>
      </c>
      <c r="T1886" t="str">
        <f t="shared" si="765"/>
        <v>No fuma</v>
      </c>
      <c r="U1886">
        <v>2635454</v>
      </c>
      <c r="V1886">
        <f t="shared" si="766"/>
        <v>2</v>
      </c>
      <c r="W1886" t="str">
        <f t="shared" si="767"/>
        <v>Siempre</v>
      </c>
      <c r="X1886">
        <v>0</v>
      </c>
      <c r="Y1886" t="str">
        <f t="shared" si="768"/>
        <v>No controla</v>
      </c>
      <c r="Z1886">
        <v>0</v>
      </c>
      <c r="AA1886">
        <f t="shared" si="769"/>
        <v>0</v>
      </c>
      <c r="AB1886" t="str">
        <f t="shared" si="770"/>
        <v>Nunca</v>
      </c>
      <c r="AC1886">
        <v>8.8308999999999999E-2</v>
      </c>
      <c r="AD1886">
        <f t="shared" si="771"/>
        <v>0</v>
      </c>
      <c r="AE1886" t="str">
        <f t="shared" si="772"/>
        <v>Nunca</v>
      </c>
      <c r="AF1886">
        <v>1</v>
      </c>
      <c r="AG1886" t="str">
        <f t="shared" si="773"/>
        <v>A veces</v>
      </c>
      <c r="AH1886">
        <v>0</v>
      </c>
      <c r="AI1886" t="str">
        <f t="shared" si="774"/>
        <v>No usa</v>
      </c>
      <c r="AJ1886">
        <v>0</v>
      </c>
      <c r="AK1886" t="str">
        <f t="shared" si="775"/>
        <v>No usa</v>
      </c>
      <c r="AL1886">
        <v>0</v>
      </c>
      <c r="AM1886" t="str">
        <f t="shared" si="776"/>
        <v>No usa</v>
      </c>
      <c r="AN1886">
        <v>1</v>
      </c>
      <c r="AO1886" t="str">
        <f t="shared" si="777"/>
        <v>Usa Transporte</v>
      </c>
      <c r="AP1886">
        <v>0</v>
      </c>
      <c r="AQ1886" t="str">
        <f t="shared" si="778"/>
        <v>No camina</v>
      </c>
      <c r="AR1886">
        <v>1</v>
      </c>
      <c r="AS1886" t="str">
        <f t="shared" si="779"/>
        <v>Es Obeso</v>
      </c>
    </row>
    <row r="1887" spans="1:45" x14ac:dyDescent="0.25">
      <c r="A1887">
        <v>0</v>
      </c>
      <c r="B1887" t="str">
        <f t="shared" si="754"/>
        <v>F</v>
      </c>
      <c r="C1887">
        <v>26</v>
      </c>
      <c r="D1887">
        <f t="shared" si="755"/>
        <v>26</v>
      </c>
      <c r="E1887">
        <f t="shared" si="756"/>
        <v>26</v>
      </c>
      <c r="F1887" t="str">
        <f t="shared" si="757"/>
        <v>25-50</v>
      </c>
      <c r="G1887">
        <v>1</v>
      </c>
      <c r="H1887" t="str">
        <f t="shared" si="758"/>
        <v>Pariente gordo</v>
      </c>
      <c r="I1887">
        <v>1</v>
      </c>
      <c r="J1887" t="str">
        <f t="shared" si="759"/>
        <v>Hipercaloricos</v>
      </c>
      <c r="K1887">
        <v>3</v>
      </c>
      <c r="L1887">
        <f t="shared" si="760"/>
        <v>1</v>
      </c>
      <c r="M1887" t="str">
        <f t="shared" si="761"/>
        <v>Suele comer</v>
      </c>
      <c r="N1887">
        <v>3</v>
      </c>
      <c r="O1887">
        <f t="shared" si="762"/>
        <v>2</v>
      </c>
      <c r="P1887" t="str">
        <f t="shared" si="763"/>
        <v>Mas de 3</v>
      </c>
      <c r="Q1887">
        <v>1</v>
      </c>
      <c r="R1887" t="str">
        <f t="shared" si="764"/>
        <v>A veces</v>
      </c>
      <c r="S1887">
        <v>0</v>
      </c>
      <c r="T1887" t="str">
        <f t="shared" si="765"/>
        <v>No fuma</v>
      </c>
      <c r="U1887">
        <v>2625537</v>
      </c>
      <c r="V1887">
        <f t="shared" si="766"/>
        <v>2</v>
      </c>
      <c r="W1887" t="str">
        <f t="shared" si="767"/>
        <v>Siempre</v>
      </c>
      <c r="X1887">
        <v>0</v>
      </c>
      <c r="Y1887" t="str">
        <f t="shared" si="768"/>
        <v>No controla</v>
      </c>
      <c r="Z1887">
        <v>0</v>
      </c>
      <c r="AA1887">
        <f t="shared" si="769"/>
        <v>0</v>
      </c>
      <c r="AB1887" t="str">
        <f t="shared" si="770"/>
        <v>Nunca</v>
      </c>
      <c r="AC1887">
        <v>0.162494</v>
      </c>
      <c r="AD1887">
        <f t="shared" si="771"/>
        <v>0</v>
      </c>
      <c r="AE1887" t="str">
        <f t="shared" si="772"/>
        <v>Nunca</v>
      </c>
      <c r="AF1887">
        <v>1</v>
      </c>
      <c r="AG1887" t="str">
        <f t="shared" si="773"/>
        <v>A veces</v>
      </c>
      <c r="AH1887">
        <v>0</v>
      </c>
      <c r="AI1887" t="str">
        <f t="shared" si="774"/>
        <v>No usa</v>
      </c>
      <c r="AJ1887">
        <v>0</v>
      </c>
      <c r="AK1887" t="str">
        <f t="shared" si="775"/>
        <v>No usa</v>
      </c>
      <c r="AL1887">
        <v>0</v>
      </c>
      <c r="AM1887" t="str">
        <f t="shared" si="776"/>
        <v>No usa</v>
      </c>
      <c r="AN1887">
        <v>1</v>
      </c>
      <c r="AO1887" t="str">
        <f t="shared" si="777"/>
        <v>Usa Transporte</v>
      </c>
      <c r="AP1887">
        <v>0</v>
      </c>
      <c r="AQ1887" t="str">
        <f t="shared" si="778"/>
        <v>No camina</v>
      </c>
      <c r="AR1887">
        <v>1</v>
      </c>
      <c r="AS1887" t="str">
        <f t="shared" si="779"/>
        <v>Es Obeso</v>
      </c>
    </row>
    <row r="1888" spans="1:45" x14ac:dyDescent="0.25">
      <c r="A1888">
        <v>0</v>
      </c>
      <c r="B1888" t="str">
        <f t="shared" si="754"/>
        <v>F</v>
      </c>
      <c r="C1888">
        <v>26</v>
      </c>
      <c r="D1888">
        <f t="shared" si="755"/>
        <v>26</v>
      </c>
      <c r="E1888">
        <f t="shared" si="756"/>
        <v>26</v>
      </c>
      <c r="F1888" t="str">
        <f t="shared" si="757"/>
        <v>25-50</v>
      </c>
      <c r="G1888">
        <v>1</v>
      </c>
      <c r="H1888" t="str">
        <f t="shared" si="758"/>
        <v>Pariente gordo</v>
      </c>
      <c r="I1888">
        <v>1</v>
      </c>
      <c r="J1888" t="str">
        <f t="shared" si="759"/>
        <v>Hipercaloricos</v>
      </c>
      <c r="K1888">
        <v>3</v>
      </c>
      <c r="L1888">
        <f t="shared" si="760"/>
        <v>1</v>
      </c>
      <c r="M1888" t="str">
        <f t="shared" si="761"/>
        <v>Suele comer</v>
      </c>
      <c r="N1888">
        <v>3</v>
      </c>
      <c r="O1888">
        <f t="shared" si="762"/>
        <v>2</v>
      </c>
      <c r="P1888" t="str">
        <f t="shared" si="763"/>
        <v>Mas de 3</v>
      </c>
      <c r="Q1888">
        <v>1</v>
      </c>
      <c r="R1888" t="str">
        <f t="shared" si="764"/>
        <v>A veces</v>
      </c>
      <c r="S1888">
        <v>0</v>
      </c>
      <c r="T1888" t="str">
        <f t="shared" si="765"/>
        <v>No fuma</v>
      </c>
      <c r="U1888">
        <v>2884077</v>
      </c>
      <c r="V1888">
        <f t="shared" si="766"/>
        <v>2</v>
      </c>
      <c r="W1888" t="str">
        <f t="shared" si="767"/>
        <v>Siempre</v>
      </c>
      <c r="X1888">
        <v>0</v>
      </c>
      <c r="Y1888" t="str">
        <f t="shared" si="768"/>
        <v>No controla</v>
      </c>
      <c r="Z1888">
        <v>0</v>
      </c>
      <c r="AA1888">
        <f t="shared" si="769"/>
        <v>0</v>
      </c>
      <c r="AB1888" t="str">
        <f t="shared" si="770"/>
        <v>Nunca</v>
      </c>
      <c r="AC1888">
        <v>9.6575999999999995E-2</v>
      </c>
      <c r="AD1888">
        <f t="shared" si="771"/>
        <v>0</v>
      </c>
      <c r="AE1888" t="str">
        <f t="shared" si="772"/>
        <v>Nunca</v>
      </c>
      <c r="AF1888">
        <v>1</v>
      </c>
      <c r="AG1888" t="str">
        <f t="shared" si="773"/>
        <v>A veces</v>
      </c>
      <c r="AH1888">
        <v>0</v>
      </c>
      <c r="AI1888" t="str">
        <f t="shared" si="774"/>
        <v>No usa</v>
      </c>
      <c r="AJ1888">
        <v>0</v>
      </c>
      <c r="AK1888" t="str">
        <f t="shared" si="775"/>
        <v>No usa</v>
      </c>
      <c r="AL1888">
        <v>0</v>
      </c>
      <c r="AM1888" t="str">
        <f t="shared" si="776"/>
        <v>No usa</v>
      </c>
      <c r="AN1888">
        <v>1</v>
      </c>
      <c r="AO1888" t="str">
        <f t="shared" si="777"/>
        <v>Usa Transporte</v>
      </c>
      <c r="AP1888">
        <v>0</v>
      </c>
      <c r="AQ1888" t="str">
        <f t="shared" si="778"/>
        <v>No camina</v>
      </c>
      <c r="AR1888">
        <v>1</v>
      </c>
      <c r="AS1888" t="str">
        <f t="shared" si="779"/>
        <v>Es Obeso</v>
      </c>
    </row>
    <row r="1889" spans="1:45" x14ac:dyDescent="0.25">
      <c r="A1889">
        <v>0</v>
      </c>
      <c r="B1889" t="str">
        <f t="shared" si="754"/>
        <v>F</v>
      </c>
      <c r="C1889">
        <v>2596773</v>
      </c>
      <c r="D1889">
        <f t="shared" si="755"/>
        <v>7</v>
      </c>
      <c r="E1889">
        <f t="shared" si="756"/>
        <v>7</v>
      </c>
      <c r="F1889" t="str">
        <f t="shared" si="757"/>
        <v>1-25</v>
      </c>
      <c r="G1889">
        <v>1</v>
      </c>
      <c r="H1889" t="str">
        <f t="shared" si="758"/>
        <v>Pariente gordo</v>
      </c>
      <c r="I1889">
        <v>1</v>
      </c>
      <c r="J1889" t="str">
        <f t="shared" si="759"/>
        <v>Hipercaloricos</v>
      </c>
      <c r="K1889">
        <v>3</v>
      </c>
      <c r="L1889">
        <f t="shared" si="760"/>
        <v>1</v>
      </c>
      <c r="M1889" t="str">
        <f t="shared" si="761"/>
        <v>Suele comer</v>
      </c>
      <c r="N1889">
        <v>3</v>
      </c>
      <c r="O1889">
        <f t="shared" si="762"/>
        <v>2</v>
      </c>
      <c r="P1889" t="str">
        <f t="shared" si="763"/>
        <v>Mas de 3</v>
      </c>
      <c r="Q1889">
        <v>1</v>
      </c>
      <c r="R1889" t="str">
        <f t="shared" si="764"/>
        <v>A veces</v>
      </c>
      <c r="S1889">
        <v>0</v>
      </c>
      <c r="T1889" t="str">
        <f t="shared" si="765"/>
        <v>No fuma</v>
      </c>
      <c r="U1889">
        <v>1919473</v>
      </c>
      <c r="V1889">
        <f t="shared" si="766"/>
        <v>2</v>
      </c>
      <c r="W1889" t="str">
        <f t="shared" si="767"/>
        <v>Siempre</v>
      </c>
      <c r="X1889">
        <v>0</v>
      </c>
      <c r="Y1889" t="str">
        <f t="shared" si="768"/>
        <v>No controla</v>
      </c>
      <c r="Z1889">
        <v>2.7101E-2</v>
      </c>
      <c r="AA1889">
        <f t="shared" si="769"/>
        <v>0</v>
      </c>
      <c r="AB1889" t="str">
        <f t="shared" si="770"/>
        <v>Nunca</v>
      </c>
      <c r="AC1889">
        <v>0.54613699999999998</v>
      </c>
      <c r="AD1889">
        <f t="shared" si="771"/>
        <v>0</v>
      </c>
      <c r="AE1889" t="str">
        <f t="shared" si="772"/>
        <v>Nunca</v>
      </c>
      <c r="AF1889">
        <v>1</v>
      </c>
      <c r="AG1889" t="str">
        <f t="shared" si="773"/>
        <v>A veces</v>
      </c>
      <c r="AH1889">
        <v>0</v>
      </c>
      <c r="AI1889" t="str">
        <f t="shared" si="774"/>
        <v>No usa</v>
      </c>
      <c r="AJ1889">
        <v>0</v>
      </c>
      <c r="AK1889" t="str">
        <f t="shared" si="775"/>
        <v>No usa</v>
      </c>
      <c r="AL1889">
        <v>0</v>
      </c>
      <c r="AM1889" t="str">
        <f t="shared" si="776"/>
        <v>No usa</v>
      </c>
      <c r="AN1889">
        <v>1</v>
      </c>
      <c r="AO1889" t="str">
        <f t="shared" si="777"/>
        <v>Usa Transporte</v>
      </c>
      <c r="AP1889">
        <v>0</v>
      </c>
      <c r="AQ1889" t="str">
        <f t="shared" si="778"/>
        <v>No camina</v>
      </c>
      <c r="AR1889">
        <v>1</v>
      </c>
      <c r="AS1889" t="str">
        <f t="shared" si="779"/>
        <v>Es Obeso</v>
      </c>
    </row>
    <row r="1890" spans="1:45" x14ac:dyDescent="0.25">
      <c r="A1890">
        <v>0</v>
      </c>
      <c r="B1890" t="str">
        <f t="shared" si="754"/>
        <v>F</v>
      </c>
      <c r="C1890">
        <v>25989938</v>
      </c>
      <c r="D1890">
        <f t="shared" si="755"/>
        <v>71</v>
      </c>
      <c r="E1890">
        <f t="shared" si="756"/>
        <v>71</v>
      </c>
      <c r="F1890" t="str">
        <f t="shared" si="757"/>
        <v>50-75</v>
      </c>
      <c r="G1890">
        <v>1</v>
      </c>
      <c r="H1890" t="str">
        <f t="shared" si="758"/>
        <v>Pariente gordo</v>
      </c>
      <c r="I1890">
        <v>1</v>
      </c>
      <c r="J1890" t="str">
        <f t="shared" si="759"/>
        <v>Hipercaloricos</v>
      </c>
      <c r="K1890">
        <v>3</v>
      </c>
      <c r="L1890">
        <f t="shared" si="760"/>
        <v>1</v>
      </c>
      <c r="M1890" t="str">
        <f t="shared" si="761"/>
        <v>Suele comer</v>
      </c>
      <c r="N1890">
        <v>3</v>
      </c>
      <c r="O1890">
        <f t="shared" si="762"/>
        <v>2</v>
      </c>
      <c r="P1890" t="str">
        <f t="shared" si="763"/>
        <v>Mas de 3</v>
      </c>
      <c r="Q1890">
        <v>1</v>
      </c>
      <c r="R1890" t="str">
        <f t="shared" si="764"/>
        <v>A veces</v>
      </c>
      <c r="S1890">
        <v>0</v>
      </c>
      <c r="T1890" t="str">
        <f t="shared" si="765"/>
        <v>No fuma</v>
      </c>
      <c r="U1890">
        <v>2310076</v>
      </c>
      <c r="V1890">
        <f t="shared" si="766"/>
        <v>2</v>
      </c>
      <c r="W1890" t="str">
        <f t="shared" si="767"/>
        <v>Siempre</v>
      </c>
      <c r="X1890">
        <v>0</v>
      </c>
      <c r="Y1890" t="str">
        <f t="shared" si="768"/>
        <v>No controla</v>
      </c>
      <c r="Z1890">
        <v>7.1150000000000005E-2</v>
      </c>
      <c r="AA1890">
        <f t="shared" si="769"/>
        <v>0</v>
      </c>
      <c r="AB1890" t="str">
        <f t="shared" si="770"/>
        <v>Nunca</v>
      </c>
      <c r="AC1890">
        <v>0.73308499999999999</v>
      </c>
      <c r="AD1890">
        <f t="shared" si="771"/>
        <v>0</v>
      </c>
      <c r="AE1890" t="str">
        <f t="shared" si="772"/>
        <v>Nunca</v>
      </c>
      <c r="AF1890">
        <v>1</v>
      </c>
      <c r="AG1890" t="str">
        <f t="shared" si="773"/>
        <v>A veces</v>
      </c>
      <c r="AH1890">
        <v>0</v>
      </c>
      <c r="AI1890" t="str">
        <f t="shared" si="774"/>
        <v>No usa</v>
      </c>
      <c r="AJ1890">
        <v>0</v>
      </c>
      <c r="AK1890" t="str">
        <f t="shared" si="775"/>
        <v>No usa</v>
      </c>
      <c r="AL1890">
        <v>0</v>
      </c>
      <c r="AM1890" t="str">
        <f t="shared" si="776"/>
        <v>No usa</v>
      </c>
      <c r="AN1890">
        <v>1</v>
      </c>
      <c r="AO1890" t="str">
        <f t="shared" si="777"/>
        <v>Usa Transporte</v>
      </c>
      <c r="AP1890">
        <v>0</v>
      </c>
      <c r="AQ1890" t="str">
        <f t="shared" si="778"/>
        <v>No camina</v>
      </c>
      <c r="AR1890">
        <v>1</v>
      </c>
      <c r="AS1890" t="str">
        <f t="shared" si="779"/>
        <v>Es Obeso</v>
      </c>
    </row>
    <row r="1891" spans="1:45" x14ac:dyDescent="0.25">
      <c r="A1891">
        <v>0</v>
      </c>
      <c r="B1891" t="str">
        <f t="shared" si="754"/>
        <v>F</v>
      </c>
      <c r="C1891">
        <v>26</v>
      </c>
      <c r="D1891">
        <f t="shared" si="755"/>
        <v>26</v>
      </c>
      <c r="E1891">
        <f t="shared" si="756"/>
        <v>26</v>
      </c>
      <c r="F1891" t="str">
        <f t="shared" si="757"/>
        <v>25-50</v>
      </c>
      <c r="G1891">
        <v>1</v>
      </c>
      <c r="H1891" t="str">
        <f t="shared" si="758"/>
        <v>Pariente gordo</v>
      </c>
      <c r="I1891">
        <v>1</v>
      </c>
      <c r="J1891" t="str">
        <f t="shared" si="759"/>
        <v>Hipercaloricos</v>
      </c>
      <c r="K1891">
        <v>3</v>
      </c>
      <c r="L1891">
        <f t="shared" si="760"/>
        <v>1</v>
      </c>
      <c r="M1891" t="str">
        <f t="shared" si="761"/>
        <v>Suele comer</v>
      </c>
      <c r="N1891">
        <v>3</v>
      </c>
      <c r="O1891">
        <f t="shared" si="762"/>
        <v>2</v>
      </c>
      <c r="P1891" t="str">
        <f t="shared" si="763"/>
        <v>Mas de 3</v>
      </c>
      <c r="Q1891">
        <v>1</v>
      </c>
      <c r="R1891" t="str">
        <f t="shared" si="764"/>
        <v>A veces</v>
      </c>
      <c r="S1891">
        <v>0</v>
      </c>
      <c r="T1891" t="str">
        <f t="shared" si="765"/>
        <v>No fuma</v>
      </c>
      <c r="U1891">
        <v>2686824</v>
      </c>
      <c r="V1891">
        <f t="shared" si="766"/>
        <v>2</v>
      </c>
      <c r="W1891" t="str">
        <f t="shared" si="767"/>
        <v>Siempre</v>
      </c>
      <c r="X1891">
        <v>0</v>
      </c>
      <c r="Y1891" t="str">
        <f t="shared" si="768"/>
        <v>No controla</v>
      </c>
      <c r="Z1891">
        <v>0</v>
      </c>
      <c r="AA1891">
        <f t="shared" si="769"/>
        <v>0</v>
      </c>
      <c r="AB1891" t="str">
        <f t="shared" si="770"/>
        <v>Nunca</v>
      </c>
      <c r="AC1891">
        <v>0.54081199999999996</v>
      </c>
      <c r="AD1891">
        <f t="shared" si="771"/>
        <v>0</v>
      </c>
      <c r="AE1891" t="str">
        <f t="shared" si="772"/>
        <v>Nunca</v>
      </c>
      <c r="AF1891">
        <v>1</v>
      </c>
      <c r="AG1891" t="str">
        <f t="shared" si="773"/>
        <v>A veces</v>
      </c>
      <c r="AH1891">
        <v>0</v>
      </c>
      <c r="AI1891" t="str">
        <f t="shared" si="774"/>
        <v>No usa</v>
      </c>
      <c r="AJ1891">
        <v>0</v>
      </c>
      <c r="AK1891" t="str">
        <f t="shared" si="775"/>
        <v>No usa</v>
      </c>
      <c r="AL1891">
        <v>0</v>
      </c>
      <c r="AM1891" t="str">
        <f t="shared" si="776"/>
        <v>No usa</v>
      </c>
      <c r="AN1891">
        <v>1</v>
      </c>
      <c r="AO1891" t="str">
        <f t="shared" si="777"/>
        <v>Usa Transporte</v>
      </c>
      <c r="AP1891">
        <v>0</v>
      </c>
      <c r="AQ1891" t="str">
        <f t="shared" si="778"/>
        <v>No camina</v>
      </c>
      <c r="AR1891">
        <v>1</v>
      </c>
      <c r="AS1891" t="str">
        <f t="shared" si="779"/>
        <v>Es Obeso</v>
      </c>
    </row>
    <row r="1892" spans="1:45" x14ac:dyDescent="0.25">
      <c r="A1892">
        <v>0</v>
      </c>
      <c r="B1892" t="str">
        <f t="shared" si="754"/>
        <v>F</v>
      </c>
      <c r="C1892">
        <v>25617227</v>
      </c>
      <c r="D1892">
        <f t="shared" si="755"/>
        <v>70</v>
      </c>
      <c r="E1892">
        <f t="shared" si="756"/>
        <v>70</v>
      </c>
      <c r="F1892" t="str">
        <f t="shared" si="757"/>
        <v>50-75</v>
      </c>
      <c r="G1892">
        <v>1</v>
      </c>
      <c r="H1892" t="str">
        <f t="shared" si="758"/>
        <v>Pariente gordo</v>
      </c>
      <c r="I1892">
        <v>1</v>
      </c>
      <c r="J1892" t="str">
        <f t="shared" si="759"/>
        <v>Hipercaloricos</v>
      </c>
      <c r="K1892">
        <v>3</v>
      </c>
      <c r="L1892">
        <f t="shared" si="760"/>
        <v>1</v>
      </c>
      <c r="M1892" t="str">
        <f t="shared" si="761"/>
        <v>Suele comer</v>
      </c>
      <c r="N1892">
        <v>3</v>
      </c>
      <c r="O1892">
        <f t="shared" si="762"/>
        <v>2</v>
      </c>
      <c r="P1892" t="str">
        <f t="shared" si="763"/>
        <v>Mas de 3</v>
      </c>
      <c r="Q1892">
        <v>1</v>
      </c>
      <c r="R1892" t="str">
        <f t="shared" si="764"/>
        <v>A veces</v>
      </c>
      <c r="S1892">
        <v>0</v>
      </c>
      <c r="T1892" t="str">
        <f t="shared" si="765"/>
        <v>No fuma</v>
      </c>
      <c r="U1892">
        <v>16213</v>
      </c>
      <c r="V1892">
        <f t="shared" si="766"/>
        <v>2</v>
      </c>
      <c r="W1892" t="str">
        <f t="shared" si="767"/>
        <v>Siempre</v>
      </c>
      <c r="X1892">
        <v>0</v>
      </c>
      <c r="Y1892" t="str">
        <f t="shared" si="768"/>
        <v>No controla</v>
      </c>
      <c r="Z1892">
        <v>9.0916999999999998E-2</v>
      </c>
      <c r="AA1892">
        <f t="shared" si="769"/>
        <v>0</v>
      </c>
      <c r="AB1892" t="str">
        <f t="shared" si="770"/>
        <v>Nunca</v>
      </c>
      <c r="AC1892">
        <v>0.43821599999999999</v>
      </c>
      <c r="AD1892">
        <f t="shared" si="771"/>
        <v>0</v>
      </c>
      <c r="AE1892" t="str">
        <f t="shared" si="772"/>
        <v>Nunca</v>
      </c>
      <c r="AF1892">
        <v>1</v>
      </c>
      <c r="AG1892" t="str">
        <f t="shared" si="773"/>
        <v>A veces</v>
      </c>
      <c r="AH1892">
        <v>0</v>
      </c>
      <c r="AI1892" t="str">
        <f t="shared" si="774"/>
        <v>No usa</v>
      </c>
      <c r="AJ1892">
        <v>0</v>
      </c>
      <c r="AK1892" t="str">
        <f t="shared" si="775"/>
        <v>No usa</v>
      </c>
      <c r="AL1892">
        <v>0</v>
      </c>
      <c r="AM1892" t="str">
        <f t="shared" si="776"/>
        <v>No usa</v>
      </c>
      <c r="AN1892">
        <v>1</v>
      </c>
      <c r="AO1892" t="str">
        <f t="shared" si="777"/>
        <v>Usa Transporte</v>
      </c>
      <c r="AP1892">
        <v>0</v>
      </c>
      <c r="AQ1892" t="str">
        <f t="shared" si="778"/>
        <v>No camina</v>
      </c>
      <c r="AR1892">
        <v>1</v>
      </c>
      <c r="AS1892" t="str">
        <f t="shared" si="779"/>
        <v>Es Obeso</v>
      </c>
    </row>
    <row r="1893" spans="1:45" x14ac:dyDescent="0.25">
      <c r="A1893">
        <v>0</v>
      </c>
      <c r="B1893" t="str">
        <f t="shared" si="754"/>
        <v>F</v>
      </c>
      <c r="C1893">
        <v>21030909</v>
      </c>
      <c r="D1893">
        <f t="shared" si="755"/>
        <v>57</v>
      </c>
      <c r="E1893">
        <f t="shared" si="756"/>
        <v>57</v>
      </c>
      <c r="F1893" t="str">
        <f t="shared" si="757"/>
        <v>50-75</v>
      </c>
      <c r="G1893">
        <v>1</v>
      </c>
      <c r="H1893" t="str">
        <f t="shared" si="758"/>
        <v>Pariente gordo</v>
      </c>
      <c r="I1893">
        <v>1</v>
      </c>
      <c r="J1893" t="str">
        <f t="shared" si="759"/>
        <v>Hipercaloricos</v>
      </c>
      <c r="K1893">
        <v>3</v>
      </c>
      <c r="L1893">
        <f t="shared" si="760"/>
        <v>1</v>
      </c>
      <c r="M1893" t="str">
        <f t="shared" si="761"/>
        <v>Suele comer</v>
      </c>
      <c r="N1893">
        <v>3</v>
      </c>
      <c r="O1893">
        <f t="shared" si="762"/>
        <v>2</v>
      </c>
      <c r="P1893" t="str">
        <f t="shared" si="763"/>
        <v>Mas de 3</v>
      </c>
      <c r="Q1893">
        <v>1</v>
      </c>
      <c r="R1893" t="str">
        <f t="shared" si="764"/>
        <v>A veces</v>
      </c>
      <c r="S1893">
        <v>0</v>
      </c>
      <c r="T1893" t="str">
        <f t="shared" si="765"/>
        <v>No fuma</v>
      </c>
      <c r="U1893">
        <v>1517215</v>
      </c>
      <c r="V1893">
        <f t="shared" si="766"/>
        <v>2</v>
      </c>
      <c r="W1893" t="str">
        <f t="shared" si="767"/>
        <v>Siempre</v>
      </c>
      <c r="X1893">
        <v>0</v>
      </c>
      <c r="Y1893" t="str">
        <f t="shared" si="768"/>
        <v>No controla</v>
      </c>
      <c r="Z1893">
        <v>1486289</v>
      </c>
      <c r="AA1893">
        <f t="shared" si="769"/>
        <v>3</v>
      </c>
      <c r="AB1893" t="str">
        <f t="shared" si="770"/>
        <v>Siempre</v>
      </c>
      <c r="AC1893">
        <v>0.93749199999999999</v>
      </c>
      <c r="AD1893">
        <f t="shared" si="771"/>
        <v>0</v>
      </c>
      <c r="AE1893" t="str">
        <f t="shared" si="772"/>
        <v>Nunca</v>
      </c>
      <c r="AF1893">
        <v>1</v>
      </c>
      <c r="AG1893" t="str">
        <f t="shared" si="773"/>
        <v>A veces</v>
      </c>
      <c r="AH1893">
        <v>0</v>
      </c>
      <c r="AI1893" t="str">
        <f t="shared" si="774"/>
        <v>No usa</v>
      </c>
      <c r="AJ1893">
        <v>0</v>
      </c>
      <c r="AK1893" t="str">
        <f t="shared" si="775"/>
        <v>No usa</v>
      </c>
      <c r="AL1893">
        <v>0</v>
      </c>
      <c r="AM1893" t="str">
        <f t="shared" si="776"/>
        <v>No usa</v>
      </c>
      <c r="AN1893">
        <v>1</v>
      </c>
      <c r="AO1893" t="str">
        <f t="shared" si="777"/>
        <v>Usa Transporte</v>
      </c>
      <c r="AP1893">
        <v>0</v>
      </c>
      <c r="AQ1893" t="str">
        <f t="shared" si="778"/>
        <v>No camina</v>
      </c>
      <c r="AR1893">
        <v>1</v>
      </c>
      <c r="AS1893" t="str">
        <f t="shared" si="779"/>
        <v>Es Obeso</v>
      </c>
    </row>
    <row r="1894" spans="1:45" x14ac:dyDescent="0.25">
      <c r="A1894">
        <v>0</v>
      </c>
      <c r="B1894" t="str">
        <f t="shared" si="754"/>
        <v>F</v>
      </c>
      <c r="C1894">
        <v>20951084</v>
      </c>
      <c r="D1894">
        <f t="shared" si="755"/>
        <v>57</v>
      </c>
      <c r="E1894">
        <f t="shared" si="756"/>
        <v>57</v>
      </c>
      <c r="F1894" t="str">
        <f t="shared" si="757"/>
        <v>50-75</v>
      </c>
      <c r="G1894">
        <v>1</v>
      </c>
      <c r="H1894" t="str">
        <f t="shared" si="758"/>
        <v>Pariente gordo</v>
      </c>
      <c r="I1894">
        <v>1</v>
      </c>
      <c r="J1894" t="str">
        <f t="shared" si="759"/>
        <v>Hipercaloricos</v>
      </c>
      <c r="K1894">
        <v>3</v>
      </c>
      <c r="L1894">
        <f t="shared" si="760"/>
        <v>1</v>
      </c>
      <c r="M1894" t="str">
        <f t="shared" si="761"/>
        <v>Suele comer</v>
      </c>
      <c r="N1894">
        <v>3</v>
      </c>
      <c r="O1894">
        <f t="shared" si="762"/>
        <v>2</v>
      </c>
      <c r="P1894" t="str">
        <f t="shared" si="763"/>
        <v>Mas de 3</v>
      </c>
      <c r="Q1894">
        <v>1</v>
      </c>
      <c r="R1894" t="str">
        <f t="shared" si="764"/>
        <v>A veces</v>
      </c>
      <c r="S1894">
        <v>0</v>
      </c>
      <c r="T1894" t="str">
        <f t="shared" si="765"/>
        <v>No fuma</v>
      </c>
      <c r="U1894">
        <v>1796956</v>
      </c>
      <c r="V1894">
        <f t="shared" si="766"/>
        <v>2</v>
      </c>
      <c r="W1894" t="str">
        <f t="shared" si="767"/>
        <v>Siempre</v>
      </c>
      <c r="X1894">
        <v>0</v>
      </c>
      <c r="Y1894" t="str">
        <f t="shared" si="768"/>
        <v>No controla</v>
      </c>
      <c r="Z1894">
        <v>1684582</v>
      </c>
      <c r="AA1894">
        <f t="shared" si="769"/>
        <v>3</v>
      </c>
      <c r="AB1894" t="str">
        <f t="shared" si="770"/>
        <v>Siempre</v>
      </c>
      <c r="AC1894">
        <v>0.88738799999999995</v>
      </c>
      <c r="AD1894">
        <f t="shared" si="771"/>
        <v>0</v>
      </c>
      <c r="AE1894" t="str">
        <f t="shared" si="772"/>
        <v>Nunca</v>
      </c>
      <c r="AF1894">
        <v>1</v>
      </c>
      <c r="AG1894" t="str">
        <f t="shared" si="773"/>
        <v>A veces</v>
      </c>
      <c r="AH1894">
        <v>0</v>
      </c>
      <c r="AI1894" t="str">
        <f t="shared" si="774"/>
        <v>No usa</v>
      </c>
      <c r="AJ1894">
        <v>0</v>
      </c>
      <c r="AK1894" t="str">
        <f t="shared" si="775"/>
        <v>No usa</v>
      </c>
      <c r="AL1894">
        <v>0</v>
      </c>
      <c r="AM1894" t="str">
        <f t="shared" si="776"/>
        <v>No usa</v>
      </c>
      <c r="AN1894">
        <v>1</v>
      </c>
      <c r="AO1894" t="str">
        <f t="shared" si="777"/>
        <v>Usa Transporte</v>
      </c>
      <c r="AP1894">
        <v>0</v>
      </c>
      <c r="AQ1894" t="str">
        <f t="shared" si="778"/>
        <v>No camina</v>
      </c>
      <c r="AR1894">
        <v>1</v>
      </c>
      <c r="AS1894" t="str">
        <f t="shared" si="779"/>
        <v>Es Obeso</v>
      </c>
    </row>
    <row r="1895" spans="1:45" x14ac:dyDescent="0.25">
      <c r="A1895">
        <v>0</v>
      </c>
      <c r="B1895" t="str">
        <f t="shared" si="754"/>
        <v>F</v>
      </c>
      <c r="C1895">
        <v>22980221</v>
      </c>
      <c r="D1895">
        <f t="shared" si="755"/>
        <v>62</v>
      </c>
      <c r="E1895">
        <f t="shared" si="756"/>
        <v>62</v>
      </c>
      <c r="F1895" t="str">
        <f t="shared" si="757"/>
        <v>50-75</v>
      </c>
      <c r="G1895">
        <v>1</v>
      </c>
      <c r="H1895" t="str">
        <f t="shared" si="758"/>
        <v>Pariente gordo</v>
      </c>
      <c r="I1895">
        <v>1</v>
      </c>
      <c r="J1895" t="str">
        <f t="shared" si="759"/>
        <v>Hipercaloricos</v>
      </c>
      <c r="K1895">
        <v>3</v>
      </c>
      <c r="L1895">
        <f t="shared" si="760"/>
        <v>1</v>
      </c>
      <c r="M1895" t="str">
        <f t="shared" si="761"/>
        <v>Suele comer</v>
      </c>
      <c r="N1895">
        <v>3</v>
      </c>
      <c r="O1895">
        <f t="shared" si="762"/>
        <v>2</v>
      </c>
      <c r="P1895" t="str">
        <f t="shared" si="763"/>
        <v>Mas de 3</v>
      </c>
      <c r="Q1895">
        <v>1</v>
      </c>
      <c r="R1895" t="str">
        <f t="shared" si="764"/>
        <v>A veces</v>
      </c>
      <c r="S1895">
        <v>0</v>
      </c>
      <c r="T1895" t="str">
        <f t="shared" si="765"/>
        <v>No fuma</v>
      </c>
      <c r="U1895">
        <v>2085553</v>
      </c>
      <c r="V1895">
        <f t="shared" si="766"/>
        <v>2</v>
      </c>
      <c r="W1895" t="str">
        <f t="shared" si="767"/>
        <v>Siempre</v>
      </c>
      <c r="X1895">
        <v>0</v>
      </c>
      <c r="Y1895" t="str">
        <f t="shared" si="768"/>
        <v>No controla</v>
      </c>
      <c r="Z1895">
        <v>1271651</v>
      </c>
      <c r="AA1895">
        <f t="shared" si="769"/>
        <v>3</v>
      </c>
      <c r="AB1895" t="str">
        <f t="shared" si="770"/>
        <v>Siempre</v>
      </c>
      <c r="AC1895">
        <v>0.58793200000000001</v>
      </c>
      <c r="AD1895">
        <f t="shared" si="771"/>
        <v>0</v>
      </c>
      <c r="AE1895" t="str">
        <f t="shared" si="772"/>
        <v>Nunca</v>
      </c>
      <c r="AF1895">
        <v>1</v>
      </c>
      <c r="AG1895" t="str">
        <f t="shared" si="773"/>
        <v>A veces</v>
      </c>
      <c r="AH1895">
        <v>0</v>
      </c>
      <c r="AI1895" t="str">
        <f t="shared" si="774"/>
        <v>No usa</v>
      </c>
      <c r="AJ1895">
        <v>0</v>
      </c>
      <c r="AK1895" t="str">
        <f t="shared" si="775"/>
        <v>No usa</v>
      </c>
      <c r="AL1895">
        <v>0</v>
      </c>
      <c r="AM1895" t="str">
        <f t="shared" si="776"/>
        <v>No usa</v>
      </c>
      <c r="AN1895">
        <v>1</v>
      </c>
      <c r="AO1895" t="str">
        <f t="shared" si="777"/>
        <v>Usa Transporte</v>
      </c>
      <c r="AP1895">
        <v>0</v>
      </c>
      <c r="AQ1895" t="str">
        <f t="shared" si="778"/>
        <v>No camina</v>
      </c>
      <c r="AR1895">
        <v>1</v>
      </c>
      <c r="AS1895" t="str">
        <f t="shared" si="779"/>
        <v>Es Obeso</v>
      </c>
    </row>
    <row r="1896" spans="1:45" x14ac:dyDescent="0.25">
      <c r="A1896">
        <v>0</v>
      </c>
      <c r="B1896" t="str">
        <f t="shared" si="754"/>
        <v>F</v>
      </c>
      <c r="C1896">
        <v>23426036</v>
      </c>
      <c r="D1896">
        <f t="shared" si="755"/>
        <v>64</v>
      </c>
      <c r="E1896">
        <f t="shared" si="756"/>
        <v>64</v>
      </c>
      <c r="F1896" t="str">
        <f t="shared" si="757"/>
        <v>50-75</v>
      </c>
      <c r="G1896">
        <v>1</v>
      </c>
      <c r="H1896" t="str">
        <f t="shared" si="758"/>
        <v>Pariente gordo</v>
      </c>
      <c r="I1896">
        <v>1</v>
      </c>
      <c r="J1896" t="str">
        <f t="shared" si="759"/>
        <v>Hipercaloricos</v>
      </c>
      <c r="K1896">
        <v>3</v>
      </c>
      <c r="L1896">
        <f t="shared" si="760"/>
        <v>1</v>
      </c>
      <c r="M1896" t="str">
        <f t="shared" si="761"/>
        <v>Suele comer</v>
      </c>
      <c r="N1896">
        <v>3</v>
      </c>
      <c r="O1896">
        <f t="shared" si="762"/>
        <v>2</v>
      </c>
      <c r="P1896" t="str">
        <f t="shared" si="763"/>
        <v>Mas de 3</v>
      </c>
      <c r="Q1896">
        <v>1</v>
      </c>
      <c r="R1896" t="str">
        <f t="shared" si="764"/>
        <v>A veces</v>
      </c>
      <c r="S1896">
        <v>0</v>
      </c>
      <c r="T1896" t="str">
        <f t="shared" si="765"/>
        <v>No fuma</v>
      </c>
      <c r="U1896">
        <v>2837797</v>
      </c>
      <c r="V1896">
        <f t="shared" si="766"/>
        <v>2</v>
      </c>
      <c r="W1896" t="str">
        <f t="shared" si="767"/>
        <v>Siempre</v>
      </c>
      <c r="X1896">
        <v>0</v>
      </c>
      <c r="Y1896" t="str">
        <f t="shared" si="768"/>
        <v>No controla</v>
      </c>
      <c r="Z1896">
        <v>1343875</v>
      </c>
      <c r="AA1896">
        <f t="shared" si="769"/>
        <v>3</v>
      </c>
      <c r="AB1896" t="str">
        <f t="shared" si="770"/>
        <v>Siempre</v>
      </c>
      <c r="AC1896">
        <v>0.80315599999999998</v>
      </c>
      <c r="AD1896">
        <f t="shared" si="771"/>
        <v>0</v>
      </c>
      <c r="AE1896" t="str">
        <f t="shared" si="772"/>
        <v>Nunca</v>
      </c>
      <c r="AF1896">
        <v>1</v>
      </c>
      <c r="AG1896" t="str">
        <f t="shared" si="773"/>
        <v>A veces</v>
      </c>
      <c r="AH1896">
        <v>0</v>
      </c>
      <c r="AI1896" t="str">
        <f t="shared" si="774"/>
        <v>No usa</v>
      </c>
      <c r="AJ1896">
        <v>0</v>
      </c>
      <c r="AK1896" t="str">
        <f t="shared" si="775"/>
        <v>No usa</v>
      </c>
      <c r="AL1896">
        <v>0</v>
      </c>
      <c r="AM1896" t="str">
        <f t="shared" si="776"/>
        <v>No usa</v>
      </c>
      <c r="AN1896">
        <v>1</v>
      </c>
      <c r="AO1896" t="str">
        <f t="shared" si="777"/>
        <v>Usa Transporte</v>
      </c>
      <c r="AP1896">
        <v>0</v>
      </c>
      <c r="AQ1896" t="str">
        <f t="shared" si="778"/>
        <v>No camina</v>
      </c>
      <c r="AR1896">
        <v>1</v>
      </c>
      <c r="AS1896" t="str">
        <f t="shared" si="779"/>
        <v>Es Obeso</v>
      </c>
    </row>
    <row r="1897" spans="1:45" x14ac:dyDescent="0.25">
      <c r="A1897">
        <v>0</v>
      </c>
      <c r="B1897" t="str">
        <f t="shared" si="754"/>
        <v>F</v>
      </c>
      <c r="C1897">
        <v>25999185</v>
      </c>
      <c r="D1897">
        <f t="shared" si="755"/>
        <v>71</v>
      </c>
      <c r="E1897">
        <f t="shared" si="756"/>
        <v>71</v>
      </c>
      <c r="F1897" t="str">
        <f t="shared" si="757"/>
        <v>50-75</v>
      </c>
      <c r="G1897">
        <v>1</v>
      </c>
      <c r="H1897" t="str">
        <f t="shared" si="758"/>
        <v>Pariente gordo</v>
      </c>
      <c r="I1897">
        <v>1</v>
      </c>
      <c r="J1897" t="str">
        <f t="shared" si="759"/>
        <v>Hipercaloricos</v>
      </c>
      <c r="K1897">
        <v>3</v>
      </c>
      <c r="L1897">
        <f t="shared" si="760"/>
        <v>1</v>
      </c>
      <c r="M1897" t="str">
        <f t="shared" si="761"/>
        <v>Suele comer</v>
      </c>
      <c r="N1897">
        <v>3</v>
      </c>
      <c r="O1897">
        <f t="shared" si="762"/>
        <v>2</v>
      </c>
      <c r="P1897" t="str">
        <f t="shared" si="763"/>
        <v>Mas de 3</v>
      </c>
      <c r="Q1897">
        <v>1</v>
      </c>
      <c r="R1897" t="str">
        <f t="shared" si="764"/>
        <v>A veces</v>
      </c>
      <c r="S1897">
        <v>0</v>
      </c>
      <c r="T1897" t="str">
        <f t="shared" si="765"/>
        <v>No fuma</v>
      </c>
      <c r="U1897">
        <v>1000544</v>
      </c>
      <c r="V1897">
        <f t="shared" si="766"/>
        <v>2</v>
      </c>
      <c r="W1897" t="str">
        <f t="shared" si="767"/>
        <v>Siempre</v>
      </c>
      <c r="X1897">
        <v>0</v>
      </c>
      <c r="Y1897" t="str">
        <f t="shared" si="768"/>
        <v>No controla</v>
      </c>
      <c r="Z1897">
        <v>1.297E-3</v>
      </c>
      <c r="AA1897">
        <f t="shared" si="769"/>
        <v>0</v>
      </c>
      <c r="AB1897" t="str">
        <f t="shared" si="770"/>
        <v>Nunca</v>
      </c>
      <c r="AC1897">
        <v>1</v>
      </c>
      <c r="AD1897">
        <f t="shared" si="771"/>
        <v>1</v>
      </c>
      <c r="AE1897" t="str">
        <f t="shared" si="772"/>
        <v>Usualmente</v>
      </c>
      <c r="AF1897">
        <v>1</v>
      </c>
      <c r="AG1897" t="str">
        <f t="shared" si="773"/>
        <v>A veces</v>
      </c>
      <c r="AH1897">
        <v>0</v>
      </c>
      <c r="AI1897" t="str">
        <f t="shared" si="774"/>
        <v>No usa</v>
      </c>
      <c r="AJ1897">
        <v>0</v>
      </c>
      <c r="AK1897" t="str">
        <f t="shared" si="775"/>
        <v>No usa</v>
      </c>
      <c r="AL1897">
        <v>0</v>
      </c>
      <c r="AM1897" t="str">
        <f t="shared" si="776"/>
        <v>No usa</v>
      </c>
      <c r="AN1897">
        <v>1</v>
      </c>
      <c r="AO1897" t="str">
        <f t="shared" si="777"/>
        <v>Usa Transporte</v>
      </c>
      <c r="AP1897">
        <v>0</v>
      </c>
      <c r="AQ1897" t="str">
        <f t="shared" si="778"/>
        <v>No camina</v>
      </c>
      <c r="AR1897">
        <v>1</v>
      </c>
      <c r="AS1897" t="str">
        <f t="shared" si="779"/>
        <v>Es Obeso</v>
      </c>
    </row>
    <row r="1898" spans="1:45" x14ac:dyDescent="0.25">
      <c r="A1898">
        <v>0</v>
      </c>
      <c r="B1898" t="str">
        <f t="shared" si="754"/>
        <v>F</v>
      </c>
      <c r="C1898">
        <v>25934757</v>
      </c>
      <c r="D1898">
        <f t="shared" si="755"/>
        <v>71</v>
      </c>
      <c r="E1898">
        <f t="shared" si="756"/>
        <v>71</v>
      </c>
      <c r="F1898" t="str">
        <f t="shared" si="757"/>
        <v>50-75</v>
      </c>
      <c r="G1898">
        <v>1</v>
      </c>
      <c r="H1898" t="str">
        <f t="shared" si="758"/>
        <v>Pariente gordo</v>
      </c>
      <c r="I1898">
        <v>1</v>
      </c>
      <c r="J1898" t="str">
        <f t="shared" si="759"/>
        <v>Hipercaloricos</v>
      </c>
      <c r="K1898">
        <v>3</v>
      </c>
      <c r="L1898">
        <f t="shared" si="760"/>
        <v>1</v>
      </c>
      <c r="M1898" t="str">
        <f t="shared" si="761"/>
        <v>Suele comer</v>
      </c>
      <c r="N1898">
        <v>3</v>
      </c>
      <c r="O1898">
        <f t="shared" si="762"/>
        <v>2</v>
      </c>
      <c r="P1898" t="str">
        <f t="shared" si="763"/>
        <v>Mas de 3</v>
      </c>
      <c r="Q1898">
        <v>1</v>
      </c>
      <c r="R1898" t="str">
        <f t="shared" si="764"/>
        <v>A veces</v>
      </c>
      <c r="S1898">
        <v>0</v>
      </c>
      <c r="T1898" t="str">
        <f t="shared" si="765"/>
        <v>No fuma</v>
      </c>
      <c r="U1898">
        <v>1005864</v>
      </c>
      <c r="V1898">
        <f t="shared" si="766"/>
        <v>2</v>
      </c>
      <c r="W1898" t="str">
        <f t="shared" si="767"/>
        <v>Siempre</v>
      </c>
      <c r="X1898">
        <v>0</v>
      </c>
      <c r="Y1898" t="str">
        <f t="shared" si="768"/>
        <v>No controla</v>
      </c>
      <c r="Z1898">
        <v>2.0060000000000001E-2</v>
      </c>
      <c r="AA1898">
        <f t="shared" si="769"/>
        <v>0</v>
      </c>
      <c r="AB1898" t="str">
        <f t="shared" si="770"/>
        <v>Nunca</v>
      </c>
      <c r="AC1898">
        <v>0.69583799999999996</v>
      </c>
      <c r="AD1898">
        <f t="shared" si="771"/>
        <v>0</v>
      </c>
      <c r="AE1898" t="str">
        <f t="shared" si="772"/>
        <v>Nunca</v>
      </c>
      <c r="AF1898">
        <v>1</v>
      </c>
      <c r="AG1898" t="str">
        <f t="shared" si="773"/>
        <v>A veces</v>
      </c>
      <c r="AH1898">
        <v>0</v>
      </c>
      <c r="AI1898" t="str">
        <f t="shared" si="774"/>
        <v>No usa</v>
      </c>
      <c r="AJ1898">
        <v>0</v>
      </c>
      <c r="AK1898" t="str">
        <f t="shared" si="775"/>
        <v>No usa</v>
      </c>
      <c r="AL1898">
        <v>0</v>
      </c>
      <c r="AM1898" t="str">
        <f t="shared" si="776"/>
        <v>No usa</v>
      </c>
      <c r="AN1898">
        <v>1</v>
      </c>
      <c r="AO1898" t="str">
        <f t="shared" si="777"/>
        <v>Usa Transporte</v>
      </c>
      <c r="AP1898">
        <v>0</v>
      </c>
      <c r="AQ1898" t="str">
        <f t="shared" si="778"/>
        <v>No camina</v>
      </c>
      <c r="AR1898">
        <v>1</v>
      </c>
      <c r="AS1898" t="str">
        <f t="shared" si="779"/>
        <v>Es Obeso</v>
      </c>
    </row>
    <row r="1899" spans="1:45" x14ac:dyDescent="0.25">
      <c r="A1899">
        <v>0</v>
      </c>
      <c r="B1899" t="str">
        <f t="shared" si="754"/>
        <v>F</v>
      </c>
      <c r="C1899">
        <v>20327723</v>
      </c>
      <c r="D1899">
        <f t="shared" si="755"/>
        <v>55</v>
      </c>
      <c r="E1899">
        <f t="shared" si="756"/>
        <v>55</v>
      </c>
      <c r="F1899" t="str">
        <f t="shared" si="757"/>
        <v>50-75</v>
      </c>
      <c r="G1899">
        <v>1</v>
      </c>
      <c r="H1899" t="str">
        <f t="shared" si="758"/>
        <v>Pariente gordo</v>
      </c>
      <c r="I1899">
        <v>1</v>
      </c>
      <c r="J1899" t="str">
        <f t="shared" si="759"/>
        <v>Hipercaloricos</v>
      </c>
      <c r="K1899">
        <v>3</v>
      </c>
      <c r="L1899">
        <f t="shared" si="760"/>
        <v>1</v>
      </c>
      <c r="M1899" t="str">
        <f t="shared" si="761"/>
        <v>Suele comer</v>
      </c>
      <c r="N1899">
        <v>3</v>
      </c>
      <c r="O1899">
        <f t="shared" si="762"/>
        <v>2</v>
      </c>
      <c r="P1899" t="str">
        <f t="shared" si="763"/>
        <v>Mas de 3</v>
      </c>
      <c r="Q1899">
        <v>1</v>
      </c>
      <c r="R1899" t="str">
        <f t="shared" si="764"/>
        <v>A veces</v>
      </c>
      <c r="S1899">
        <v>0</v>
      </c>
      <c r="T1899" t="str">
        <f t="shared" si="765"/>
        <v>No fuma</v>
      </c>
      <c r="U1899">
        <v>2319559</v>
      </c>
      <c r="V1899">
        <f t="shared" si="766"/>
        <v>2</v>
      </c>
      <c r="W1899" t="str">
        <f t="shared" si="767"/>
        <v>Siempre</v>
      </c>
      <c r="X1899">
        <v>0</v>
      </c>
      <c r="Y1899" t="str">
        <f t="shared" si="768"/>
        <v>No controla</v>
      </c>
      <c r="Z1899">
        <v>197073</v>
      </c>
      <c r="AA1899">
        <f t="shared" si="769"/>
        <v>2</v>
      </c>
      <c r="AB1899" t="str">
        <f t="shared" si="770"/>
        <v>Usualmente</v>
      </c>
      <c r="AC1899">
        <v>0.76837500000000003</v>
      </c>
      <c r="AD1899">
        <f t="shared" si="771"/>
        <v>0</v>
      </c>
      <c r="AE1899" t="str">
        <f t="shared" si="772"/>
        <v>Nunca</v>
      </c>
      <c r="AF1899">
        <v>1</v>
      </c>
      <c r="AG1899" t="str">
        <f t="shared" si="773"/>
        <v>A veces</v>
      </c>
      <c r="AH1899">
        <v>0</v>
      </c>
      <c r="AI1899" t="str">
        <f t="shared" si="774"/>
        <v>No usa</v>
      </c>
      <c r="AJ1899">
        <v>0</v>
      </c>
      <c r="AK1899" t="str">
        <f t="shared" si="775"/>
        <v>No usa</v>
      </c>
      <c r="AL1899">
        <v>0</v>
      </c>
      <c r="AM1899" t="str">
        <f t="shared" si="776"/>
        <v>No usa</v>
      </c>
      <c r="AN1899">
        <v>1</v>
      </c>
      <c r="AO1899" t="str">
        <f t="shared" si="777"/>
        <v>Usa Transporte</v>
      </c>
      <c r="AP1899">
        <v>0</v>
      </c>
      <c r="AQ1899" t="str">
        <f t="shared" si="778"/>
        <v>No camina</v>
      </c>
      <c r="AR1899">
        <v>1</v>
      </c>
      <c r="AS1899" t="str">
        <f t="shared" si="779"/>
        <v>Es Obeso</v>
      </c>
    </row>
    <row r="1900" spans="1:45" x14ac:dyDescent="0.25">
      <c r="A1900">
        <v>0</v>
      </c>
      <c r="B1900" t="str">
        <f t="shared" si="754"/>
        <v>F</v>
      </c>
      <c r="C1900">
        <v>1947219</v>
      </c>
      <c r="D1900">
        <f t="shared" si="755"/>
        <v>5</v>
      </c>
      <c r="E1900">
        <f t="shared" si="756"/>
        <v>5</v>
      </c>
      <c r="F1900" t="str">
        <f t="shared" si="757"/>
        <v>1-25</v>
      </c>
      <c r="G1900">
        <v>1</v>
      </c>
      <c r="H1900" t="str">
        <f t="shared" si="758"/>
        <v>Pariente gordo</v>
      </c>
      <c r="I1900">
        <v>1</v>
      </c>
      <c r="J1900" t="str">
        <f t="shared" si="759"/>
        <v>Hipercaloricos</v>
      </c>
      <c r="K1900">
        <v>3</v>
      </c>
      <c r="L1900">
        <f t="shared" si="760"/>
        <v>1</v>
      </c>
      <c r="M1900" t="str">
        <f t="shared" si="761"/>
        <v>Suele comer</v>
      </c>
      <c r="N1900">
        <v>3</v>
      </c>
      <c r="O1900">
        <f t="shared" si="762"/>
        <v>2</v>
      </c>
      <c r="P1900" t="str">
        <f t="shared" si="763"/>
        <v>Mas de 3</v>
      </c>
      <c r="Q1900">
        <v>1</v>
      </c>
      <c r="R1900" t="str">
        <f t="shared" si="764"/>
        <v>A veces</v>
      </c>
      <c r="S1900">
        <v>0</v>
      </c>
      <c r="T1900" t="str">
        <f t="shared" si="765"/>
        <v>No fuma</v>
      </c>
      <c r="U1900">
        <v>2069257</v>
      </c>
      <c r="V1900">
        <f t="shared" si="766"/>
        <v>2</v>
      </c>
      <c r="W1900" t="str">
        <f t="shared" si="767"/>
        <v>Siempre</v>
      </c>
      <c r="X1900">
        <v>0</v>
      </c>
      <c r="Y1900" t="str">
        <f t="shared" si="768"/>
        <v>No controla</v>
      </c>
      <c r="Z1900">
        <v>1986646</v>
      </c>
      <c r="AA1900">
        <f t="shared" si="769"/>
        <v>3</v>
      </c>
      <c r="AB1900" t="str">
        <f t="shared" si="770"/>
        <v>Siempre</v>
      </c>
      <c r="AC1900">
        <v>0.94709100000000002</v>
      </c>
      <c r="AD1900">
        <f t="shared" si="771"/>
        <v>0</v>
      </c>
      <c r="AE1900" t="str">
        <f t="shared" si="772"/>
        <v>Nunca</v>
      </c>
      <c r="AF1900">
        <v>1</v>
      </c>
      <c r="AG1900" t="str">
        <f t="shared" si="773"/>
        <v>A veces</v>
      </c>
      <c r="AH1900">
        <v>0</v>
      </c>
      <c r="AI1900" t="str">
        <f t="shared" si="774"/>
        <v>No usa</v>
      </c>
      <c r="AJ1900">
        <v>0</v>
      </c>
      <c r="AK1900" t="str">
        <f t="shared" si="775"/>
        <v>No usa</v>
      </c>
      <c r="AL1900">
        <v>0</v>
      </c>
      <c r="AM1900" t="str">
        <f t="shared" si="776"/>
        <v>No usa</v>
      </c>
      <c r="AN1900">
        <v>1</v>
      </c>
      <c r="AO1900" t="str">
        <f t="shared" si="777"/>
        <v>Usa Transporte</v>
      </c>
      <c r="AP1900">
        <v>0</v>
      </c>
      <c r="AQ1900" t="str">
        <f t="shared" si="778"/>
        <v>No camina</v>
      </c>
      <c r="AR1900">
        <v>1</v>
      </c>
      <c r="AS1900" t="str">
        <f t="shared" si="779"/>
        <v>Es Obeso</v>
      </c>
    </row>
    <row r="1901" spans="1:45" x14ac:dyDescent="0.25">
      <c r="A1901">
        <v>0</v>
      </c>
      <c r="B1901" t="str">
        <f t="shared" si="754"/>
        <v>F</v>
      </c>
      <c r="C1901">
        <v>26</v>
      </c>
      <c r="D1901">
        <f t="shared" si="755"/>
        <v>26</v>
      </c>
      <c r="E1901">
        <f t="shared" si="756"/>
        <v>26</v>
      </c>
      <c r="F1901" t="str">
        <f t="shared" si="757"/>
        <v>25-50</v>
      </c>
      <c r="G1901">
        <v>1</v>
      </c>
      <c r="H1901" t="str">
        <f t="shared" si="758"/>
        <v>Pariente gordo</v>
      </c>
      <c r="I1901">
        <v>1</v>
      </c>
      <c r="J1901" t="str">
        <f t="shared" si="759"/>
        <v>Hipercaloricos</v>
      </c>
      <c r="K1901">
        <v>3</v>
      </c>
      <c r="L1901">
        <f t="shared" si="760"/>
        <v>1</v>
      </c>
      <c r="M1901" t="str">
        <f t="shared" si="761"/>
        <v>Suele comer</v>
      </c>
      <c r="N1901">
        <v>3</v>
      </c>
      <c r="O1901">
        <f t="shared" si="762"/>
        <v>2</v>
      </c>
      <c r="P1901" t="str">
        <f t="shared" si="763"/>
        <v>Mas de 3</v>
      </c>
      <c r="Q1901">
        <v>1</v>
      </c>
      <c r="R1901" t="str">
        <f t="shared" si="764"/>
        <v>A veces</v>
      </c>
      <c r="S1901">
        <v>0</v>
      </c>
      <c r="T1901" t="str">
        <f t="shared" si="765"/>
        <v>No fuma</v>
      </c>
      <c r="U1901">
        <v>2956548</v>
      </c>
      <c r="V1901">
        <f t="shared" si="766"/>
        <v>2</v>
      </c>
      <c r="W1901" t="str">
        <f t="shared" si="767"/>
        <v>Siempre</v>
      </c>
      <c r="X1901">
        <v>0</v>
      </c>
      <c r="Y1901" t="str">
        <f t="shared" si="768"/>
        <v>No controla</v>
      </c>
      <c r="Z1901">
        <v>0</v>
      </c>
      <c r="AA1901">
        <f t="shared" si="769"/>
        <v>0</v>
      </c>
      <c r="AB1901" t="str">
        <f t="shared" si="770"/>
        <v>Nunca</v>
      </c>
      <c r="AC1901">
        <v>1.0056000000000001E-2</v>
      </c>
      <c r="AD1901">
        <f t="shared" si="771"/>
        <v>0</v>
      </c>
      <c r="AE1901" t="str">
        <f t="shared" si="772"/>
        <v>Nunca</v>
      </c>
      <c r="AF1901">
        <v>1</v>
      </c>
      <c r="AG1901" t="str">
        <f t="shared" si="773"/>
        <v>A veces</v>
      </c>
      <c r="AH1901">
        <v>0</v>
      </c>
      <c r="AI1901" t="str">
        <f t="shared" si="774"/>
        <v>No usa</v>
      </c>
      <c r="AJ1901">
        <v>0</v>
      </c>
      <c r="AK1901" t="str">
        <f t="shared" si="775"/>
        <v>No usa</v>
      </c>
      <c r="AL1901">
        <v>0</v>
      </c>
      <c r="AM1901" t="str">
        <f t="shared" si="776"/>
        <v>No usa</v>
      </c>
      <c r="AN1901">
        <v>1</v>
      </c>
      <c r="AO1901" t="str">
        <f t="shared" si="777"/>
        <v>Usa Transporte</v>
      </c>
      <c r="AP1901">
        <v>0</v>
      </c>
      <c r="AQ1901" t="str">
        <f t="shared" si="778"/>
        <v>No camina</v>
      </c>
      <c r="AR1901">
        <v>1</v>
      </c>
      <c r="AS1901" t="str">
        <f t="shared" si="779"/>
        <v>Es Obeso</v>
      </c>
    </row>
    <row r="1902" spans="1:45" x14ac:dyDescent="0.25">
      <c r="A1902">
        <v>0</v>
      </c>
      <c r="B1902" t="str">
        <f t="shared" si="754"/>
        <v>F</v>
      </c>
      <c r="C1902">
        <v>26</v>
      </c>
      <c r="D1902">
        <f t="shared" si="755"/>
        <v>26</v>
      </c>
      <c r="E1902">
        <f t="shared" si="756"/>
        <v>26</v>
      </c>
      <c r="F1902" t="str">
        <f t="shared" si="757"/>
        <v>25-50</v>
      </c>
      <c r="G1902">
        <v>1</v>
      </c>
      <c r="H1902" t="str">
        <f t="shared" si="758"/>
        <v>Pariente gordo</v>
      </c>
      <c r="I1902">
        <v>1</v>
      </c>
      <c r="J1902" t="str">
        <f t="shared" si="759"/>
        <v>Hipercaloricos</v>
      </c>
      <c r="K1902">
        <v>3</v>
      </c>
      <c r="L1902">
        <f t="shared" si="760"/>
        <v>1</v>
      </c>
      <c r="M1902" t="str">
        <f t="shared" si="761"/>
        <v>Suele comer</v>
      </c>
      <c r="N1902">
        <v>3</v>
      </c>
      <c r="O1902">
        <f t="shared" si="762"/>
        <v>2</v>
      </c>
      <c r="P1902" t="str">
        <f t="shared" si="763"/>
        <v>Mas de 3</v>
      </c>
      <c r="Q1902">
        <v>1</v>
      </c>
      <c r="R1902" t="str">
        <f t="shared" si="764"/>
        <v>A veces</v>
      </c>
      <c r="S1902">
        <v>0</v>
      </c>
      <c r="T1902" t="str">
        <f t="shared" si="765"/>
        <v>No fuma</v>
      </c>
      <c r="U1902">
        <v>2777557</v>
      </c>
      <c r="V1902">
        <f t="shared" si="766"/>
        <v>2</v>
      </c>
      <c r="W1902" t="str">
        <f t="shared" si="767"/>
        <v>Siempre</v>
      </c>
      <c r="X1902">
        <v>0</v>
      </c>
      <c r="Y1902" t="str">
        <f t="shared" si="768"/>
        <v>No controla</v>
      </c>
      <c r="Z1902">
        <v>0</v>
      </c>
      <c r="AA1902">
        <f t="shared" si="769"/>
        <v>0</v>
      </c>
      <c r="AB1902" t="str">
        <f t="shared" si="770"/>
        <v>Nunca</v>
      </c>
      <c r="AC1902">
        <v>5.1858000000000001E-2</v>
      </c>
      <c r="AD1902">
        <f t="shared" si="771"/>
        <v>0</v>
      </c>
      <c r="AE1902" t="str">
        <f t="shared" si="772"/>
        <v>Nunca</v>
      </c>
      <c r="AF1902">
        <v>1</v>
      </c>
      <c r="AG1902" t="str">
        <f t="shared" si="773"/>
        <v>A veces</v>
      </c>
      <c r="AH1902">
        <v>0</v>
      </c>
      <c r="AI1902" t="str">
        <f t="shared" si="774"/>
        <v>No usa</v>
      </c>
      <c r="AJ1902">
        <v>0</v>
      </c>
      <c r="AK1902" t="str">
        <f t="shared" si="775"/>
        <v>No usa</v>
      </c>
      <c r="AL1902">
        <v>0</v>
      </c>
      <c r="AM1902" t="str">
        <f t="shared" si="776"/>
        <v>No usa</v>
      </c>
      <c r="AN1902">
        <v>1</v>
      </c>
      <c r="AO1902" t="str">
        <f t="shared" si="777"/>
        <v>Usa Transporte</v>
      </c>
      <c r="AP1902">
        <v>0</v>
      </c>
      <c r="AQ1902" t="str">
        <f t="shared" si="778"/>
        <v>No camina</v>
      </c>
      <c r="AR1902">
        <v>1</v>
      </c>
      <c r="AS1902" t="str">
        <f t="shared" si="779"/>
        <v>Es Obeso</v>
      </c>
    </row>
    <row r="1903" spans="1:45" x14ac:dyDescent="0.25">
      <c r="A1903">
        <v>0</v>
      </c>
      <c r="B1903" t="str">
        <f t="shared" si="754"/>
        <v>F</v>
      </c>
      <c r="C1903">
        <v>25816445</v>
      </c>
      <c r="D1903">
        <f t="shared" si="755"/>
        <v>70</v>
      </c>
      <c r="E1903">
        <f t="shared" si="756"/>
        <v>70</v>
      </c>
      <c r="F1903" t="str">
        <f t="shared" si="757"/>
        <v>50-75</v>
      </c>
      <c r="G1903">
        <v>1</v>
      </c>
      <c r="H1903" t="str">
        <f t="shared" si="758"/>
        <v>Pariente gordo</v>
      </c>
      <c r="I1903">
        <v>1</v>
      </c>
      <c r="J1903" t="str">
        <f t="shared" si="759"/>
        <v>Hipercaloricos</v>
      </c>
      <c r="K1903">
        <v>3</v>
      </c>
      <c r="L1903">
        <f t="shared" si="760"/>
        <v>1</v>
      </c>
      <c r="M1903" t="str">
        <f t="shared" si="761"/>
        <v>Suele comer</v>
      </c>
      <c r="N1903">
        <v>3</v>
      </c>
      <c r="O1903">
        <f t="shared" si="762"/>
        <v>2</v>
      </c>
      <c r="P1903" t="str">
        <f t="shared" si="763"/>
        <v>Mas de 3</v>
      </c>
      <c r="Q1903">
        <v>1</v>
      </c>
      <c r="R1903" t="str">
        <f t="shared" si="764"/>
        <v>A veces</v>
      </c>
      <c r="S1903">
        <v>0</v>
      </c>
      <c r="T1903" t="str">
        <f t="shared" si="765"/>
        <v>No fuma</v>
      </c>
      <c r="U1903">
        <v>1295436</v>
      </c>
      <c r="V1903">
        <f t="shared" si="766"/>
        <v>2</v>
      </c>
      <c r="W1903" t="str">
        <f t="shared" si="767"/>
        <v>Siempre</v>
      </c>
      <c r="X1903">
        <v>0</v>
      </c>
      <c r="Y1903" t="str">
        <f t="shared" si="768"/>
        <v>No controla</v>
      </c>
      <c r="Z1903">
        <v>0.28206300000000001</v>
      </c>
      <c r="AA1903">
        <f t="shared" si="769"/>
        <v>0</v>
      </c>
      <c r="AB1903" t="str">
        <f t="shared" si="770"/>
        <v>Nunca</v>
      </c>
      <c r="AC1903">
        <v>0.92935599999999996</v>
      </c>
      <c r="AD1903">
        <f t="shared" si="771"/>
        <v>0</v>
      </c>
      <c r="AE1903" t="str">
        <f t="shared" si="772"/>
        <v>Nunca</v>
      </c>
      <c r="AF1903">
        <v>1</v>
      </c>
      <c r="AG1903" t="str">
        <f t="shared" si="773"/>
        <v>A veces</v>
      </c>
      <c r="AH1903">
        <v>0</v>
      </c>
      <c r="AI1903" t="str">
        <f t="shared" si="774"/>
        <v>No usa</v>
      </c>
      <c r="AJ1903">
        <v>0</v>
      </c>
      <c r="AK1903" t="str">
        <f t="shared" si="775"/>
        <v>No usa</v>
      </c>
      <c r="AL1903">
        <v>0</v>
      </c>
      <c r="AM1903" t="str">
        <f t="shared" si="776"/>
        <v>No usa</v>
      </c>
      <c r="AN1903">
        <v>1</v>
      </c>
      <c r="AO1903" t="str">
        <f t="shared" si="777"/>
        <v>Usa Transporte</v>
      </c>
      <c r="AP1903">
        <v>0</v>
      </c>
      <c r="AQ1903" t="str">
        <f t="shared" si="778"/>
        <v>No camina</v>
      </c>
      <c r="AR1903">
        <v>1</v>
      </c>
      <c r="AS1903" t="str">
        <f t="shared" si="779"/>
        <v>Es Obeso</v>
      </c>
    </row>
    <row r="1904" spans="1:45" x14ac:dyDescent="0.25">
      <c r="A1904">
        <v>0</v>
      </c>
      <c r="B1904" t="str">
        <f t="shared" si="754"/>
        <v>F</v>
      </c>
      <c r="C1904">
        <v>25498965</v>
      </c>
      <c r="D1904">
        <f t="shared" si="755"/>
        <v>69</v>
      </c>
      <c r="E1904">
        <f t="shared" si="756"/>
        <v>69</v>
      </c>
      <c r="F1904" t="str">
        <f t="shared" si="757"/>
        <v>50-75</v>
      </c>
      <c r="G1904">
        <v>1</v>
      </c>
      <c r="H1904" t="str">
        <f t="shared" si="758"/>
        <v>Pariente gordo</v>
      </c>
      <c r="I1904">
        <v>1</v>
      </c>
      <c r="J1904" t="str">
        <f t="shared" si="759"/>
        <v>Hipercaloricos</v>
      </c>
      <c r="K1904">
        <v>3</v>
      </c>
      <c r="L1904">
        <f t="shared" si="760"/>
        <v>1</v>
      </c>
      <c r="M1904" t="str">
        <f t="shared" si="761"/>
        <v>Suele comer</v>
      </c>
      <c r="N1904">
        <v>3</v>
      </c>
      <c r="O1904">
        <f t="shared" si="762"/>
        <v>2</v>
      </c>
      <c r="P1904" t="str">
        <f t="shared" si="763"/>
        <v>Mas de 3</v>
      </c>
      <c r="Q1904">
        <v>1</v>
      </c>
      <c r="R1904" t="str">
        <f t="shared" si="764"/>
        <v>A veces</v>
      </c>
      <c r="S1904">
        <v>0</v>
      </c>
      <c r="T1904" t="str">
        <f t="shared" si="765"/>
        <v>No fuma</v>
      </c>
      <c r="U1904">
        <v>1241378</v>
      </c>
      <c r="V1904">
        <f t="shared" si="766"/>
        <v>2</v>
      </c>
      <c r="W1904" t="str">
        <f t="shared" si="767"/>
        <v>Siempre</v>
      </c>
      <c r="X1904">
        <v>0</v>
      </c>
      <c r="Y1904" t="str">
        <f t="shared" si="768"/>
        <v>No controla</v>
      </c>
      <c r="Z1904">
        <v>0.25942700000000002</v>
      </c>
      <c r="AA1904">
        <f t="shared" si="769"/>
        <v>0</v>
      </c>
      <c r="AB1904" t="str">
        <f t="shared" si="770"/>
        <v>Nunca</v>
      </c>
      <c r="AC1904">
        <v>0.85236199999999995</v>
      </c>
      <c r="AD1904">
        <f t="shared" si="771"/>
        <v>0</v>
      </c>
      <c r="AE1904" t="str">
        <f t="shared" si="772"/>
        <v>Nunca</v>
      </c>
      <c r="AF1904">
        <v>1</v>
      </c>
      <c r="AG1904" t="str">
        <f t="shared" si="773"/>
        <v>A veces</v>
      </c>
      <c r="AH1904">
        <v>0</v>
      </c>
      <c r="AI1904" t="str">
        <f t="shared" si="774"/>
        <v>No usa</v>
      </c>
      <c r="AJ1904">
        <v>0</v>
      </c>
      <c r="AK1904" t="str">
        <f t="shared" si="775"/>
        <v>No usa</v>
      </c>
      <c r="AL1904">
        <v>0</v>
      </c>
      <c r="AM1904" t="str">
        <f t="shared" si="776"/>
        <v>No usa</v>
      </c>
      <c r="AN1904">
        <v>1</v>
      </c>
      <c r="AO1904" t="str">
        <f t="shared" si="777"/>
        <v>Usa Transporte</v>
      </c>
      <c r="AP1904">
        <v>0</v>
      </c>
      <c r="AQ1904" t="str">
        <f t="shared" si="778"/>
        <v>No camina</v>
      </c>
      <c r="AR1904">
        <v>1</v>
      </c>
      <c r="AS1904" t="str">
        <f t="shared" si="779"/>
        <v>Es Obeso</v>
      </c>
    </row>
    <row r="1905" spans="1:45" x14ac:dyDescent="0.25">
      <c r="A1905">
        <v>0</v>
      </c>
      <c r="B1905" t="str">
        <f t="shared" si="754"/>
        <v>F</v>
      </c>
      <c r="C1905">
        <v>19137495</v>
      </c>
      <c r="D1905">
        <f t="shared" si="755"/>
        <v>52</v>
      </c>
      <c r="E1905">
        <f t="shared" si="756"/>
        <v>52</v>
      </c>
      <c r="F1905" t="str">
        <f t="shared" si="757"/>
        <v>50-75</v>
      </c>
      <c r="G1905">
        <v>1</v>
      </c>
      <c r="H1905" t="str">
        <f t="shared" si="758"/>
        <v>Pariente gordo</v>
      </c>
      <c r="I1905">
        <v>1</v>
      </c>
      <c r="J1905" t="str">
        <f t="shared" si="759"/>
        <v>Hipercaloricos</v>
      </c>
      <c r="K1905">
        <v>3</v>
      </c>
      <c r="L1905">
        <f t="shared" si="760"/>
        <v>1</v>
      </c>
      <c r="M1905" t="str">
        <f t="shared" si="761"/>
        <v>Suele comer</v>
      </c>
      <c r="N1905">
        <v>3</v>
      </c>
      <c r="O1905">
        <f t="shared" si="762"/>
        <v>2</v>
      </c>
      <c r="P1905" t="str">
        <f t="shared" si="763"/>
        <v>Mas de 3</v>
      </c>
      <c r="Q1905">
        <v>1</v>
      </c>
      <c r="R1905" t="str">
        <f t="shared" si="764"/>
        <v>A veces</v>
      </c>
      <c r="S1905">
        <v>0</v>
      </c>
      <c r="T1905" t="str">
        <f t="shared" si="765"/>
        <v>No fuma</v>
      </c>
      <c r="U1905">
        <v>1313834</v>
      </c>
      <c r="V1905">
        <f t="shared" si="766"/>
        <v>2</v>
      </c>
      <c r="W1905" t="str">
        <f t="shared" si="767"/>
        <v>Siempre</v>
      </c>
      <c r="X1905">
        <v>0</v>
      </c>
      <c r="Y1905" t="str">
        <f t="shared" si="768"/>
        <v>No controla</v>
      </c>
      <c r="Z1905">
        <v>0.91233399999999998</v>
      </c>
      <c r="AA1905">
        <f t="shared" si="769"/>
        <v>0</v>
      </c>
      <c r="AB1905" t="str">
        <f t="shared" si="770"/>
        <v>Nunca</v>
      </c>
      <c r="AC1905">
        <v>0.70749399999999996</v>
      </c>
      <c r="AD1905">
        <f t="shared" si="771"/>
        <v>0</v>
      </c>
      <c r="AE1905" t="str">
        <f t="shared" si="772"/>
        <v>Nunca</v>
      </c>
      <c r="AF1905">
        <v>1</v>
      </c>
      <c r="AG1905" t="str">
        <f t="shared" si="773"/>
        <v>A veces</v>
      </c>
      <c r="AH1905">
        <v>0</v>
      </c>
      <c r="AI1905" t="str">
        <f t="shared" si="774"/>
        <v>No usa</v>
      </c>
      <c r="AJ1905">
        <v>0</v>
      </c>
      <c r="AK1905" t="str">
        <f t="shared" si="775"/>
        <v>No usa</v>
      </c>
      <c r="AL1905">
        <v>0</v>
      </c>
      <c r="AM1905" t="str">
        <f t="shared" si="776"/>
        <v>No usa</v>
      </c>
      <c r="AN1905">
        <v>1</v>
      </c>
      <c r="AO1905" t="str">
        <f t="shared" si="777"/>
        <v>Usa Transporte</v>
      </c>
      <c r="AP1905">
        <v>0</v>
      </c>
      <c r="AQ1905" t="str">
        <f t="shared" si="778"/>
        <v>No camina</v>
      </c>
      <c r="AR1905">
        <v>1</v>
      </c>
      <c r="AS1905" t="str">
        <f t="shared" si="779"/>
        <v>Es Obeso</v>
      </c>
    </row>
    <row r="1906" spans="1:45" x14ac:dyDescent="0.25">
      <c r="A1906">
        <v>0</v>
      </c>
      <c r="B1906" t="str">
        <f t="shared" si="754"/>
        <v>F</v>
      </c>
      <c r="C1906">
        <v>20190733</v>
      </c>
      <c r="D1906">
        <f t="shared" si="755"/>
        <v>55</v>
      </c>
      <c r="E1906">
        <f t="shared" si="756"/>
        <v>55</v>
      </c>
      <c r="F1906" t="str">
        <f t="shared" si="757"/>
        <v>50-75</v>
      </c>
      <c r="G1906">
        <v>1</v>
      </c>
      <c r="H1906" t="str">
        <f t="shared" si="758"/>
        <v>Pariente gordo</v>
      </c>
      <c r="I1906">
        <v>1</v>
      </c>
      <c r="J1906" t="str">
        <f t="shared" si="759"/>
        <v>Hipercaloricos</v>
      </c>
      <c r="K1906">
        <v>3</v>
      </c>
      <c r="L1906">
        <f t="shared" si="760"/>
        <v>1</v>
      </c>
      <c r="M1906" t="str">
        <f t="shared" si="761"/>
        <v>Suele comer</v>
      </c>
      <c r="N1906">
        <v>3</v>
      </c>
      <c r="O1906">
        <f t="shared" si="762"/>
        <v>2</v>
      </c>
      <c r="P1906" t="str">
        <f t="shared" si="763"/>
        <v>Mas de 3</v>
      </c>
      <c r="Q1906">
        <v>1</v>
      </c>
      <c r="R1906" t="str">
        <f t="shared" si="764"/>
        <v>A veces</v>
      </c>
      <c r="S1906">
        <v>0</v>
      </c>
      <c r="T1906" t="str">
        <f t="shared" si="765"/>
        <v>No fuma</v>
      </c>
      <c r="U1906">
        <v>1124366</v>
      </c>
      <c r="V1906">
        <f t="shared" si="766"/>
        <v>2</v>
      </c>
      <c r="W1906" t="str">
        <f t="shared" si="767"/>
        <v>Siempre</v>
      </c>
      <c r="X1906">
        <v>0</v>
      </c>
      <c r="Y1906" t="str">
        <f t="shared" si="768"/>
        <v>No controla</v>
      </c>
      <c r="Z1906">
        <v>0.87706700000000004</v>
      </c>
      <c r="AA1906">
        <f t="shared" si="769"/>
        <v>0</v>
      </c>
      <c r="AB1906" t="str">
        <f t="shared" si="770"/>
        <v>Nunca</v>
      </c>
      <c r="AC1906">
        <v>0.552006</v>
      </c>
      <c r="AD1906">
        <f t="shared" si="771"/>
        <v>0</v>
      </c>
      <c r="AE1906" t="str">
        <f t="shared" si="772"/>
        <v>Nunca</v>
      </c>
      <c r="AF1906">
        <v>1</v>
      </c>
      <c r="AG1906" t="str">
        <f t="shared" si="773"/>
        <v>A veces</v>
      </c>
      <c r="AH1906">
        <v>0</v>
      </c>
      <c r="AI1906" t="str">
        <f t="shared" si="774"/>
        <v>No usa</v>
      </c>
      <c r="AJ1906">
        <v>0</v>
      </c>
      <c r="AK1906" t="str">
        <f t="shared" si="775"/>
        <v>No usa</v>
      </c>
      <c r="AL1906">
        <v>0</v>
      </c>
      <c r="AM1906" t="str">
        <f t="shared" si="776"/>
        <v>No usa</v>
      </c>
      <c r="AN1906">
        <v>1</v>
      </c>
      <c r="AO1906" t="str">
        <f t="shared" si="777"/>
        <v>Usa Transporte</v>
      </c>
      <c r="AP1906">
        <v>0</v>
      </c>
      <c r="AQ1906" t="str">
        <f t="shared" si="778"/>
        <v>No camina</v>
      </c>
      <c r="AR1906">
        <v>1</v>
      </c>
      <c r="AS1906" t="str">
        <f t="shared" si="779"/>
        <v>Es Obeso</v>
      </c>
    </row>
    <row r="1907" spans="1:45" x14ac:dyDescent="0.25">
      <c r="A1907">
        <v>0</v>
      </c>
      <c r="B1907" t="str">
        <f t="shared" si="754"/>
        <v>F</v>
      </c>
      <c r="C1907">
        <v>26</v>
      </c>
      <c r="D1907">
        <f t="shared" si="755"/>
        <v>26</v>
      </c>
      <c r="E1907">
        <f t="shared" si="756"/>
        <v>26</v>
      </c>
      <c r="F1907" t="str">
        <f t="shared" si="757"/>
        <v>25-50</v>
      </c>
      <c r="G1907">
        <v>1</v>
      </c>
      <c r="H1907" t="str">
        <f t="shared" si="758"/>
        <v>Pariente gordo</v>
      </c>
      <c r="I1907">
        <v>1</v>
      </c>
      <c r="J1907" t="str">
        <f t="shared" si="759"/>
        <v>Hipercaloricos</v>
      </c>
      <c r="K1907">
        <v>3</v>
      </c>
      <c r="L1907">
        <f t="shared" si="760"/>
        <v>1</v>
      </c>
      <c r="M1907" t="str">
        <f t="shared" si="761"/>
        <v>Suele comer</v>
      </c>
      <c r="N1907">
        <v>3</v>
      </c>
      <c r="O1907">
        <f t="shared" si="762"/>
        <v>2</v>
      </c>
      <c r="P1907" t="str">
        <f t="shared" si="763"/>
        <v>Mas de 3</v>
      </c>
      <c r="Q1907">
        <v>1</v>
      </c>
      <c r="R1907" t="str">
        <f t="shared" si="764"/>
        <v>A veces</v>
      </c>
      <c r="S1907">
        <v>0</v>
      </c>
      <c r="T1907" t="str">
        <f t="shared" si="765"/>
        <v>No fuma</v>
      </c>
      <c r="U1907">
        <v>2673754</v>
      </c>
      <c r="V1907">
        <f t="shared" si="766"/>
        <v>2</v>
      </c>
      <c r="W1907" t="str">
        <f t="shared" si="767"/>
        <v>Siempre</v>
      </c>
      <c r="X1907">
        <v>0</v>
      </c>
      <c r="Y1907" t="str">
        <f t="shared" si="768"/>
        <v>No controla</v>
      </c>
      <c r="Z1907">
        <v>0</v>
      </c>
      <c r="AA1907">
        <f t="shared" si="769"/>
        <v>0</v>
      </c>
      <c r="AB1907" t="str">
        <f t="shared" si="770"/>
        <v>Nunca</v>
      </c>
      <c r="AC1907">
        <v>0.33928999999999998</v>
      </c>
      <c r="AD1907">
        <f t="shared" si="771"/>
        <v>0</v>
      </c>
      <c r="AE1907" t="str">
        <f t="shared" si="772"/>
        <v>Nunca</v>
      </c>
      <c r="AF1907">
        <v>1</v>
      </c>
      <c r="AG1907" t="str">
        <f t="shared" si="773"/>
        <v>A veces</v>
      </c>
      <c r="AH1907">
        <v>0</v>
      </c>
      <c r="AI1907" t="str">
        <f t="shared" si="774"/>
        <v>No usa</v>
      </c>
      <c r="AJ1907">
        <v>0</v>
      </c>
      <c r="AK1907" t="str">
        <f t="shared" si="775"/>
        <v>No usa</v>
      </c>
      <c r="AL1907">
        <v>0</v>
      </c>
      <c r="AM1907" t="str">
        <f t="shared" si="776"/>
        <v>No usa</v>
      </c>
      <c r="AN1907">
        <v>1</v>
      </c>
      <c r="AO1907" t="str">
        <f t="shared" si="777"/>
        <v>Usa Transporte</v>
      </c>
      <c r="AP1907">
        <v>0</v>
      </c>
      <c r="AQ1907" t="str">
        <f t="shared" si="778"/>
        <v>No camina</v>
      </c>
      <c r="AR1907">
        <v>1</v>
      </c>
      <c r="AS1907" t="str">
        <f t="shared" si="779"/>
        <v>Es Obeso</v>
      </c>
    </row>
    <row r="1908" spans="1:45" x14ac:dyDescent="0.25">
      <c r="A1908">
        <v>0</v>
      </c>
      <c r="B1908" t="str">
        <f t="shared" si="754"/>
        <v>F</v>
      </c>
      <c r="C1908">
        <v>26</v>
      </c>
      <c r="D1908">
        <f t="shared" si="755"/>
        <v>26</v>
      </c>
      <c r="E1908">
        <f t="shared" si="756"/>
        <v>26</v>
      </c>
      <c r="F1908" t="str">
        <f t="shared" si="757"/>
        <v>25-50</v>
      </c>
      <c r="G1908">
        <v>1</v>
      </c>
      <c r="H1908" t="str">
        <f t="shared" si="758"/>
        <v>Pariente gordo</v>
      </c>
      <c r="I1908">
        <v>1</v>
      </c>
      <c r="J1908" t="str">
        <f t="shared" si="759"/>
        <v>Hipercaloricos</v>
      </c>
      <c r="K1908">
        <v>3</v>
      </c>
      <c r="L1908">
        <f t="shared" si="760"/>
        <v>1</v>
      </c>
      <c r="M1908" t="str">
        <f t="shared" si="761"/>
        <v>Suele comer</v>
      </c>
      <c r="N1908">
        <v>3</v>
      </c>
      <c r="O1908">
        <f t="shared" si="762"/>
        <v>2</v>
      </c>
      <c r="P1908" t="str">
        <f t="shared" si="763"/>
        <v>Mas de 3</v>
      </c>
      <c r="Q1908">
        <v>1</v>
      </c>
      <c r="R1908" t="str">
        <f t="shared" si="764"/>
        <v>A veces</v>
      </c>
      <c r="S1908">
        <v>0</v>
      </c>
      <c r="T1908" t="str">
        <f t="shared" si="765"/>
        <v>No fuma</v>
      </c>
      <c r="U1908">
        <v>270485</v>
      </c>
      <c r="V1908">
        <f t="shared" si="766"/>
        <v>2</v>
      </c>
      <c r="W1908" t="str">
        <f t="shared" si="767"/>
        <v>Siempre</v>
      </c>
      <c r="X1908">
        <v>0</v>
      </c>
      <c r="Y1908" t="str">
        <f t="shared" si="768"/>
        <v>No controla</v>
      </c>
      <c r="Z1908">
        <v>0</v>
      </c>
      <c r="AA1908">
        <f t="shared" si="769"/>
        <v>0</v>
      </c>
      <c r="AB1908" t="str">
        <f t="shared" si="770"/>
        <v>Nunca</v>
      </c>
      <c r="AC1908">
        <v>0.243338</v>
      </c>
      <c r="AD1908">
        <f t="shared" si="771"/>
        <v>0</v>
      </c>
      <c r="AE1908" t="str">
        <f t="shared" si="772"/>
        <v>Nunca</v>
      </c>
      <c r="AF1908">
        <v>1</v>
      </c>
      <c r="AG1908" t="str">
        <f t="shared" si="773"/>
        <v>A veces</v>
      </c>
      <c r="AH1908">
        <v>0</v>
      </c>
      <c r="AI1908" t="str">
        <f t="shared" si="774"/>
        <v>No usa</v>
      </c>
      <c r="AJ1908">
        <v>0</v>
      </c>
      <c r="AK1908" t="str">
        <f t="shared" si="775"/>
        <v>No usa</v>
      </c>
      <c r="AL1908">
        <v>0</v>
      </c>
      <c r="AM1908" t="str">
        <f t="shared" si="776"/>
        <v>No usa</v>
      </c>
      <c r="AN1908">
        <v>1</v>
      </c>
      <c r="AO1908" t="str">
        <f t="shared" si="777"/>
        <v>Usa Transporte</v>
      </c>
      <c r="AP1908">
        <v>0</v>
      </c>
      <c r="AQ1908" t="str">
        <f t="shared" si="778"/>
        <v>No camina</v>
      </c>
      <c r="AR1908">
        <v>1</v>
      </c>
      <c r="AS1908" t="str">
        <f t="shared" si="779"/>
        <v>Es Obeso</v>
      </c>
    </row>
    <row r="1909" spans="1:45" x14ac:dyDescent="0.25">
      <c r="A1909">
        <v>0</v>
      </c>
      <c r="B1909" t="str">
        <f t="shared" si="754"/>
        <v>F</v>
      </c>
      <c r="C1909">
        <v>21840654</v>
      </c>
      <c r="D1909">
        <f t="shared" si="755"/>
        <v>59</v>
      </c>
      <c r="E1909">
        <f t="shared" si="756"/>
        <v>59</v>
      </c>
      <c r="F1909" t="str">
        <f t="shared" si="757"/>
        <v>50-75</v>
      </c>
      <c r="G1909">
        <v>1</v>
      </c>
      <c r="H1909" t="str">
        <f t="shared" si="758"/>
        <v>Pariente gordo</v>
      </c>
      <c r="I1909">
        <v>1</v>
      </c>
      <c r="J1909" t="str">
        <f t="shared" si="759"/>
        <v>Hipercaloricos</v>
      </c>
      <c r="K1909">
        <v>3</v>
      </c>
      <c r="L1909">
        <f t="shared" si="760"/>
        <v>1</v>
      </c>
      <c r="M1909" t="str">
        <f t="shared" si="761"/>
        <v>Suele comer</v>
      </c>
      <c r="N1909">
        <v>3</v>
      </c>
      <c r="O1909">
        <f t="shared" si="762"/>
        <v>2</v>
      </c>
      <c r="P1909" t="str">
        <f t="shared" si="763"/>
        <v>Mas de 3</v>
      </c>
      <c r="Q1909">
        <v>1</v>
      </c>
      <c r="R1909" t="str">
        <f t="shared" si="764"/>
        <v>A veces</v>
      </c>
      <c r="S1909">
        <v>0</v>
      </c>
      <c r="T1909" t="str">
        <f t="shared" si="765"/>
        <v>No fuma</v>
      </c>
      <c r="U1909">
        <v>1607531</v>
      </c>
      <c r="V1909">
        <f t="shared" si="766"/>
        <v>2</v>
      </c>
      <c r="W1909" t="str">
        <f t="shared" si="767"/>
        <v>Siempre</v>
      </c>
      <c r="X1909">
        <v>0</v>
      </c>
      <c r="Y1909" t="str">
        <f t="shared" si="768"/>
        <v>No controla</v>
      </c>
      <c r="Z1909">
        <v>1963379</v>
      </c>
      <c r="AA1909">
        <f t="shared" si="769"/>
        <v>3</v>
      </c>
      <c r="AB1909" t="str">
        <f t="shared" si="770"/>
        <v>Siempre</v>
      </c>
      <c r="AC1909">
        <v>0.85839200000000004</v>
      </c>
      <c r="AD1909">
        <f t="shared" si="771"/>
        <v>0</v>
      </c>
      <c r="AE1909" t="str">
        <f t="shared" si="772"/>
        <v>Nunca</v>
      </c>
      <c r="AF1909">
        <v>1</v>
      </c>
      <c r="AG1909" t="str">
        <f t="shared" si="773"/>
        <v>A veces</v>
      </c>
      <c r="AH1909">
        <v>0</v>
      </c>
      <c r="AI1909" t="str">
        <f t="shared" si="774"/>
        <v>No usa</v>
      </c>
      <c r="AJ1909">
        <v>0</v>
      </c>
      <c r="AK1909" t="str">
        <f t="shared" si="775"/>
        <v>No usa</v>
      </c>
      <c r="AL1909">
        <v>0</v>
      </c>
      <c r="AM1909" t="str">
        <f t="shared" si="776"/>
        <v>No usa</v>
      </c>
      <c r="AN1909">
        <v>1</v>
      </c>
      <c r="AO1909" t="str">
        <f t="shared" si="777"/>
        <v>Usa Transporte</v>
      </c>
      <c r="AP1909">
        <v>0</v>
      </c>
      <c r="AQ1909" t="str">
        <f t="shared" si="778"/>
        <v>No camina</v>
      </c>
      <c r="AR1909">
        <v>1</v>
      </c>
      <c r="AS1909" t="str">
        <f t="shared" si="779"/>
        <v>Es Obeso</v>
      </c>
    </row>
    <row r="1910" spans="1:45" x14ac:dyDescent="0.25">
      <c r="A1910">
        <v>0</v>
      </c>
      <c r="B1910" t="str">
        <f t="shared" si="754"/>
        <v>F</v>
      </c>
      <c r="C1910">
        <v>20871667</v>
      </c>
      <c r="D1910">
        <f t="shared" si="755"/>
        <v>57</v>
      </c>
      <c r="E1910">
        <f t="shared" si="756"/>
        <v>57</v>
      </c>
      <c r="F1910" t="str">
        <f t="shared" si="757"/>
        <v>50-75</v>
      </c>
      <c r="G1910">
        <v>1</v>
      </c>
      <c r="H1910" t="str">
        <f t="shared" si="758"/>
        <v>Pariente gordo</v>
      </c>
      <c r="I1910">
        <v>1</v>
      </c>
      <c r="J1910" t="str">
        <f t="shared" si="759"/>
        <v>Hipercaloricos</v>
      </c>
      <c r="K1910">
        <v>3</v>
      </c>
      <c r="L1910">
        <f t="shared" si="760"/>
        <v>1</v>
      </c>
      <c r="M1910" t="str">
        <f t="shared" si="761"/>
        <v>Suele comer</v>
      </c>
      <c r="N1910">
        <v>3</v>
      </c>
      <c r="O1910">
        <f t="shared" si="762"/>
        <v>2</v>
      </c>
      <c r="P1910" t="str">
        <f t="shared" si="763"/>
        <v>Mas de 3</v>
      </c>
      <c r="Q1910">
        <v>1</v>
      </c>
      <c r="R1910" t="str">
        <f t="shared" si="764"/>
        <v>A veces</v>
      </c>
      <c r="S1910">
        <v>0</v>
      </c>
      <c r="T1910" t="str">
        <f t="shared" si="765"/>
        <v>No fuma</v>
      </c>
      <c r="U1910">
        <v>2748909</v>
      </c>
      <c r="V1910">
        <f t="shared" si="766"/>
        <v>2</v>
      </c>
      <c r="W1910" t="str">
        <f t="shared" si="767"/>
        <v>Siempre</v>
      </c>
      <c r="X1910">
        <v>0</v>
      </c>
      <c r="Y1910" t="str">
        <f t="shared" si="768"/>
        <v>No controla</v>
      </c>
      <c r="Z1910">
        <v>1989171</v>
      </c>
      <c r="AA1910">
        <f t="shared" si="769"/>
        <v>3</v>
      </c>
      <c r="AB1910" t="str">
        <f t="shared" si="770"/>
        <v>Siempre</v>
      </c>
      <c r="AC1910">
        <v>0.83251500000000001</v>
      </c>
      <c r="AD1910">
        <f t="shared" si="771"/>
        <v>0</v>
      </c>
      <c r="AE1910" t="str">
        <f t="shared" si="772"/>
        <v>Nunca</v>
      </c>
      <c r="AF1910">
        <v>1</v>
      </c>
      <c r="AG1910" t="str">
        <f t="shared" si="773"/>
        <v>A veces</v>
      </c>
      <c r="AH1910">
        <v>0</v>
      </c>
      <c r="AI1910" t="str">
        <f t="shared" si="774"/>
        <v>No usa</v>
      </c>
      <c r="AJ1910">
        <v>0</v>
      </c>
      <c r="AK1910" t="str">
        <f t="shared" si="775"/>
        <v>No usa</v>
      </c>
      <c r="AL1910">
        <v>0</v>
      </c>
      <c r="AM1910" t="str">
        <f t="shared" si="776"/>
        <v>No usa</v>
      </c>
      <c r="AN1910">
        <v>1</v>
      </c>
      <c r="AO1910" t="str">
        <f t="shared" si="777"/>
        <v>Usa Transporte</v>
      </c>
      <c r="AP1910">
        <v>0</v>
      </c>
      <c r="AQ1910" t="str">
        <f t="shared" si="778"/>
        <v>No camina</v>
      </c>
      <c r="AR1910">
        <v>1</v>
      </c>
      <c r="AS1910" t="str">
        <f t="shared" si="779"/>
        <v>Es Obeso</v>
      </c>
    </row>
    <row r="1911" spans="1:45" x14ac:dyDescent="0.25">
      <c r="A1911">
        <v>0</v>
      </c>
      <c r="B1911" t="str">
        <f t="shared" si="754"/>
        <v>F</v>
      </c>
      <c r="C1911">
        <v>21501721</v>
      </c>
      <c r="D1911">
        <f t="shared" si="755"/>
        <v>58</v>
      </c>
      <c r="E1911">
        <f t="shared" si="756"/>
        <v>58</v>
      </c>
      <c r="F1911" t="str">
        <f t="shared" si="757"/>
        <v>50-75</v>
      </c>
      <c r="G1911">
        <v>1</v>
      </c>
      <c r="H1911" t="str">
        <f t="shared" si="758"/>
        <v>Pariente gordo</v>
      </c>
      <c r="I1911">
        <v>1</v>
      </c>
      <c r="J1911" t="str">
        <f t="shared" si="759"/>
        <v>Hipercaloricos</v>
      </c>
      <c r="K1911">
        <v>3</v>
      </c>
      <c r="L1911">
        <f t="shared" si="760"/>
        <v>1</v>
      </c>
      <c r="M1911" t="str">
        <f t="shared" si="761"/>
        <v>Suele comer</v>
      </c>
      <c r="N1911">
        <v>3</v>
      </c>
      <c r="O1911">
        <f t="shared" si="762"/>
        <v>2</v>
      </c>
      <c r="P1911" t="str">
        <f t="shared" si="763"/>
        <v>Mas de 3</v>
      </c>
      <c r="Q1911">
        <v>1</v>
      </c>
      <c r="R1911" t="str">
        <f t="shared" si="764"/>
        <v>A veces</v>
      </c>
      <c r="S1911">
        <v>0</v>
      </c>
      <c r="T1911" t="str">
        <f t="shared" si="765"/>
        <v>No fuma</v>
      </c>
      <c r="U1911">
        <v>2351207</v>
      </c>
      <c r="V1911">
        <f t="shared" si="766"/>
        <v>2</v>
      </c>
      <c r="W1911" t="str">
        <f t="shared" si="767"/>
        <v>Siempre</v>
      </c>
      <c r="X1911">
        <v>0</v>
      </c>
      <c r="Y1911" t="str">
        <f t="shared" si="768"/>
        <v>No controla</v>
      </c>
      <c r="Z1911">
        <v>0.24683099999999999</v>
      </c>
      <c r="AA1911">
        <f t="shared" si="769"/>
        <v>0</v>
      </c>
      <c r="AB1911" t="str">
        <f t="shared" si="770"/>
        <v>Nunca</v>
      </c>
      <c r="AC1911">
        <v>0.91335999999999995</v>
      </c>
      <c r="AD1911">
        <f t="shared" si="771"/>
        <v>0</v>
      </c>
      <c r="AE1911" t="str">
        <f t="shared" si="772"/>
        <v>Nunca</v>
      </c>
      <c r="AF1911">
        <v>1</v>
      </c>
      <c r="AG1911" t="str">
        <f t="shared" si="773"/>
        <v>A veces</v>
      </c>
      <c r="AH1911">
        <v>0</v>
      </c>
      <c r="AI1911" t="str">
        <f t="shared" si="774"/>
        <v>No usa</v>
      </c>
      <c r="AJ1911">
        <v>0</v>
      </c>
      <c r="AK1911" t="str">
        <f t="shared" si="775"/>
        <v>No usa</v>
      </c>
      <c r="AL1911">
        <v>0</v>
      </c>
      <c r="AM1911" t="str">
        <f t="shared" si="776"/>
        <v>No usa</v>
      </c>
      <c r="AN1911">
        <v>1</v>
      </c>
      <c r="AO1911" t="str">
        <f t="shared" si="777"/>
        <v>Usa Transporte</v>
      </c>
      <c r="AP1911">
        <v>0</v>
      </c>
      <c r="AQ1911" t="str">
        <f t="shared" si="778"/>
        <v>No camina</v>
      </c>
      <c r="AR1911">
        <v>1</v>
      </c>
      <c r="AS1911" t="str">
        <f t="shared" si="779"/>
        <v>Es Obeso</v>
      </c>
    </row>
    <row r="1912" spans="1:45" x14ac:dyDescent="0.25">
      <c r="A1912">
        <v>0</v>
      </c>
      <c r="B1912" t="str">
        <f t="shared" si="754"/>
        <v>F</v>
      </c>
      <c r="C1912">
        <v>21521294</v>
      </c>
      <c r="D1912">
        <f t="shared" si="755"/>
        <v>58</v>
      </c>
      <c r="E1912">
        <f t="shared" si="756"/>
        <v>58</v>
      </c>
      <c r="F1912" t="str">
        <f t="shared" si="757"/>
        <v>50-75</v>
      </c>
      <c r="G1912">
        <v>1</v>
      </c>
      <c r="H1912" t="str">
        <f t="shared" si="758"/>
        <v>Pariente gordo</v>
      </c>
      <c r="I1912">
        <v>1</v>
      </c>
      <c r="J1912" t="str">
        <f t="shared" si="759"/>
        <v>Hipercaloricos</v>
      </c>
      <c r="K1912">
        <v>3</v>
      </c>
      <c r="L1912">
        <f t="shared" si="760"/>
        <v>1</v>
      </c>
      <c r="M1912" t="str">
        <f t="shared" si="761"/>
        <v>Suele comer</v>
      </c>
      <c r="N1912">
        <v>3</v>
      </c>
      <c r="O1912">
        <f t="shared" si="762"/>
        <v>2</v>
      </c>
      <c r="P1912" t="str">
        <f t="shared" si="763"/>
        <v>Mas de 3</v>
      </c>
      <c r="Q1912">
        <v>1</v>
      </c>
      <c r="R1912" t="str">
        <f t="shared" si="764"/>
        <v>A veces</v>
      </c>
      <c r="S1912">
        <v>0</v>
      </c>
      <c r="T1912" t="str">
        <f t="shared" si="765"/>
        <v>No fuma</v>
      </c>
      <c r="U1912">
        <v>2404049</v>
      </c>
      <c r="V1912">
        <f t="shared" si="766"/>
        <v>2</v>
      </c>
      <c r="W1912" t="str">
        <f t="shared" si="767"/>
        <v>Siempre</v>
      </c>
      <c r="X1912">
        <v>0</v>
      </c>
      <c r="Y1912" t="str">
        <f t="shared" si="768"/>
        <v>No controla</v>
      </c>
      <c r="Z1912">
        <v>0.42790499999999998</v>
      </c>
      <c r="AA1912">
        <f t="shared" si="769"/>
        <v>0</v>
      </c>
      <c r="AB1912" t="str">
        <f t="shared" si="770"/>
        <v>Nunca</v>
      </c>
      <c r="AC1912">
        <v>0.63989399999999996</v>
      </c>
      <c r="AD1912">
        <f t="shared" si="771"/>
        <v>0</v>
      </c>
      <c r="AE1912" t="str">
        <f t="shared" si="772"/>
        <v>Nunca</v>
      </c>
      <c r="AF1912">
        <v>1</v>
      </c>
      <c r="AG1912" t="str">
        <f t="shared" si="773"/>
        <v>A veces</v>
      </c>
      <c r="AH1912">
        <v>0</v>
      </c>
      <c r="AI1912" t="str">
        <f t="shared" si="774"/>
        <v>No usa</v>
      </c>
      <c r="AJ1912">
        <v>0</v>
      </c>
      <c r="AK1912" t="str">
        <f t="shared" si="775"/>
        <v>No usa</v>
      </c>
      <c r="AL1912">
        <v>0</v>
      </c>
      <c r="AM1912" t="str">
        <f t="shared" si="776"/>
        <v>No usa</v>
      </c>
      <c r="AN1912">
        <v>1</v>
      </c>
      <c r="AO1912" t="str">
        <f t="shared" si="777"/>
        <v>Usa Transporte</v>
      </c>
      <c r="AP1912">
        <v>0</v>
      </c>
      <c r="AQ1912" t="str">
        <f t="shared" si="778"/>
        <v>No camina</v>
      </c>
      <c r="AR1912">
        <v>1</v>
      </c>
      <c r="AS1912" t="str">
        <f t="shared" si="779"/>
        <v>Es Obeso</v>
      </c>
    </row>
    <row r="1913" spans="1:45" x14ac:dyDescent="0.25">
      <c r="A1913">
        <v>0</v>
      </c>
      <c r="B1913" t="str">
        <f t="shared" si="754"/>
        <v>F</v>
      </c>
      <c r="C1913">
        <v>18314593</v>
      </c>
      <c r="D1913">
        <f t="shared" si="755"/>
        <v>50</v>
      </c>
      <c r="E1913">
        <f t="shared" si="756"/>
        <v>50</v>
      </c>
      <c r="F1913" t="str">
        <f t="shared" si="757"/>
        <v>25-50</v>
      </c>
      <c r="G1913">
        <v>1</v>
      </c>
      <c r="H1913" t="str">
        <f t="shared" si="758"/>
        <v>Pariente gordo</v>
      </c>
      <c r="I1913">
        <v>1</v>
      </c>
      <c r="J1913" t="str">
        <f t="shared" si="759"/>
        <v>Hipercaloricos</v>
      </c>
      <c r="K1913">
        <v>3</v>
      </c>
      <c r="L1913">
        <f t="shared" si="760"/>
        <v>1</v>
      </c>
      <c r="M1913" t="str">
        <f t="shared" si="761"/>
        <v>Suele comer</v>
      </c>
      <c r="N1913">
        <v>3</v>
      </c>
      <c r="O1913">
        <f t="shared" si="762"/>
        <v>2</v>
      </c>
      <c r="P1913" t="str">
        <f t="shared" si="763"/>
        <v>Mas de 3</v>
      </c>
      <c r="Q1913">
        <v>1</v>
      </c>
      <c r="R1913" t="str">
        <f t="shared" si="764"/>
        <v>A veces</v>
      </c>
      <c r="S1913">
        <v>0</v>
      </c>
      <c r="T1913" t="str">
        <f t="shared" si="765"/>
        <v>No fuma</v>
      </c>
      <c r="U1913">
        <v>2923792</v>
      </c>
      <c r="V1913">
        <f t="shared" si="766"/>
        <v>2</v>
      </c>
      <c r="W1913" t="str">
        <f t="shared" si="767"/>
        <v>Siempre</v>
      </c>
      <c r="X1913">
        <v>0</v>
      </c>
      <c r="Y1913" t="str">
        <f t="shared" si="768"/>
        <v>No controla</v>
      </c>
      <c r="Z1913">
        <v>1536555</v>
      </c>
      <c r="AA1913">
        <f t="shared" si="769"/>
        <v>3</v>
      </c>
      <c r="AB1913" t="str">
        <f t="shared" si="770"/>
        <v>Siempre</v>
      </c>
      <c r="AC1913">
        <v>0.62534999999999996</v>
      </c>
      <c r="AD1913">
        <f t="shared" si="771"/>
        <v>0</v>
      </c>
      <c r="AE1913" t="str">
        <f t="shared" si="772"/>
        <v>Nunca</v>
      </c>
      <c r="AF1913">
        <v>1</v>
      </c>
      <c r="AG1913" t="str">
        <f t="shared" si="773"/>
        <v>A veces</v>
      </c>
      <c r="AH1913">
        <v>0</v>
      </c>
      <c r="AI1913" t="str">
        <f t="shared" si="774"/>
        <v>No usa</v>
      </c>
      <c r="AJ1913">
        <v>0</v>
      </c>
      <c r="AK1913" t="str">
        <f t="shared" si="775"/>
        <v>No usa</v>
      </c>
      <c r="AL1913">
        <v>0</v>
      </c>
      <c r="AM1913" t="str">
        <f t="shared" si="776"/>
        <v>No usa</v>
      </c>
      <c r="AN1913">
        <v>1</v>
      </c>
      <c r="AO1913" t="str">
        <f t="shared" si="777"/>
        <v>Usa Transporte</v>
      </c>
      <c r="AP1913">
        <v>0</v>
      </c>
      <c r="AQ1913" t="str">
        <f t="shared" si="778"/>
        <v>No camina</v>
      </c>
      <c r="AR1913">
        <v>1</v>
      </c>
      <c r="AS1913" t="str">
        <f t="shared" si="779"/>
        <v>Es Obeso</v>
      </c>
    </row>
    <row r="1914" spans="1:45" x14ac:dyDescent="0.25">
      <c r="A1914">
        <v>0</v>
      </c>
      <c r="B1914" t="str">
        <f t="shared" si="754"/>
        <v>F</v>
      </c>
      <c r="C1914">
        <v>19529746</v>
      </c>
      <c r="D1914">
        <f t="shared" si="755"/>
        <v>53</v>
      </c>
      <c r="E1914">
        <f t="shared" si="756"/>
        <v>53</v>
      </c>
      <c r="F1914" t="str">
        <f t="shared" si="757"/>
        <v>50-75</v>
      </c>
      <c r="G1914">
        <v>1</v>
      </c>
      <c r="H1914" t="str">
        <f t="shared" si="758"/>
        <v>Pariente gordo</v>
      </c>
      <c r="I1914">
        <v>1</v>
      </c>
      <c r="J1914" t="str">
        <f t="shared" si="759"/>
        <v>Hipercaloricos</v>
      </c>
      <c r="K1914">
        <v>3</v>
      </c>
      <c r="L1914">
        <f t="shared" si="760"/>
        <v>1</v>
      </c>
      <c r="M1914" t="str">
        <f t="shared" si="761"/>
        <v>Suele comer</v>
      </c>
      <c r="N1914">
        <v>3</v>
      </c>
      <c r="O1914">
        <f t="shared" si="762"/>
        <v>2</v>
      </c>
      <c r="P1914" t="str">
        <f t="shared" si="763"/>
        <v>Mas de 3</v>
      </c>
      <c r="Q1914">
        <v>1</v>
      </c>
      <c r="R1914" t="str">
        <f t="shared" si="764"/>
        <v>A veces</v>
      </c>
      <c r="S1914">
        <v>0</v>
      </c>
      <c r="T1914" t="str">
        <f t="shared" si="765"/>
        <v>No fuma</v>
      </c>
      <c r="U1914">
        <v>2955075</v>
      </c>
      <c r="V1914">
        <f t="shared" si="766"/>
        <v>2</v>
      </c>
      <c r="W1914" t="str">
        <f t="shared" si="767"/>
        <v>Siempre</v>
      </c>
      <c r="X1914">
        <v>0</v>
      </c>
      <c r="Y1914" t="str">
        <f t="shared" si="768"/>
        <v>No controla</v>
      </c>
      <c r="Z1914">
        <v>146046</v>
      </c>
      <c r="AA1914">
        <f t="shared" si="769"/>
        <v>2</v>
      </c>
      <c r="AB1914" t="str">
        <f t="shared" si="770"/>
        <v>Usualmente</v>
      </c>
      <c r="AC1914">
        <v>0.65555799999999997</v>
      </c>
      <c r="AD1914">
        <f t="shared" si="771"/>
        <v>0</v>
      </c>
      <c r="AE1914" t="str">
        <f t="shared" si="772"/>
        <v>Nunca</v>
      </c>
      <c r="AF1914">
        <v>1</v>
      </c>
      <c r="AG1914" t="str">
        <f t="shared" si="773"/>
        <v>A veces</v>
      </c>
      <c r="AH1914">
        <v>0</v>
      </c>
      <c r="AI1914" t="str">
        <f t="shared" si="774"/>
        <v>No usa</v>
      </c>
      <c r="AJ1914">
        <v>0</v>
      </c>
      <c r="AK1914" t="str">
        <f t="shared" si="775"/>
        <v>No usa</v>
      </c>
      <c r="AL1914">
        <v>0</v>
      </c>
      <c r="AM1914" t="str">
        <f t="shared" si="776"/>
        <v>No usa</v>
      </c>
      <c r="AN1914">
        <v>1</v>
      </c>
      <c r="AO1914" t="str">
        <f t="shared" si="777"/>
        <v>Usa Transporte</v>
      </c>
      <c r="AP1914">
        <v>0</v>
      </c>
      <c r="AQ1914" t="str">
        <f t="shared" si="778"/>
        <v>No camina</v>
      </c>
      <c r="AR1914">
        <v>1</v>
      </c>
      <c r="AS1914" t="str">
        <f t="shared" si="779"/>
        <v>Es Obeso</v>
      </c>
    </row>
    <row r="1915" spans="1:45" x14ac:dyDescent="0.25">
      <c r="A1915">
        <v>0</v>
      </c>
      <c r="B1915" t="str">
        <f t="shared" si="754"/>
        <v>F</v>
      </c>
      <c r="C1915">
        <v>26</v>
      </c>
      <c r="D1915">
        <f t="shared" si="755"/>
        <v>26</v>
      </c>
      <c r="E1915">
        <f t="shared" si="756"/>
        <v>26</v>
      </c>
      <c r="F1915" t="str">
        <f t="shared" si="757"/>
        <v>25-50</v>
      </c>
      <c r="G1915">
        <v>1</v>
      </c>
      <c r="H1915" t="str">
        <f t="shared" si="758"/>
        <v>Pariente gordo</v>
      </c>
      <c r="I1915">
        <v>1</v>
      </c>
      <c r="J1915" t="str">
        <f t="shared" si="759"/>
        <v>Hipercaloricos</v>
      </c>
      <c r="K1915">
        <v>3</v>
      </c>
      <c r="L1915">
        <f t="shared" si="760"/>
        <v>1</v>
      </c>
      <c r="M1915" t="str">
        <f t="shared" si="761"/>
        <v>Suele comer</v>
      </c>
      <c r="N1915">
        <v>3</v>
      </c>
      <c r="O1915">
        <f t="shared" si="762"/>
        <v>2</v>
      </c>
      <c r="P1915" t="str">
        <f t="shared" si="763"/>
        <v>Mas de 3</v>
      </c>
      <c r="Q1915">
        <v>1</v>
      </c>
      <c r="R1915" t="str">
        <f t="shared" si="764"/>
        <v>A veces</v>
      </c>
      <c r="S1915">
        <v>0</v>
      </c>
      <c r="T1915" t="str">
        <f t="shared" si="765"/>
        <v>No fuma</v>
      </c>
      <c r="U1915">
        <v>2554007</v>
      </c>
      <c r="V1915">
        <f t="shared" si="766"/>
        <v>2</v>
      </c>
      <c r="W1915" t="str">
        <f t="shared" si="767"/>
        <v>Siempre</v>
      </c>
      <c r="X1915">
        <v>0</v>
      </c>
      <c r="Y1915" t="str">
        <f t="shared" si="768"/>
        <v>No controla</v>
      </c>
      <c r="Z1915">
        <v>0</v>
      </c>
      <c r="AA1915">
        <f t="shared" si="769"/>
        <v>0</v>
      </c>
      <c r="AB1915" t="str">
        <f t="shared" si="770"/>
        <v>Nunca</v>
      </c>
      <c r="AC1915">
        <v>0.252635</v>
      </c>
      <c r="AD1915">
        <f t="shared" si="771"/>
        <v>0</v>
      </c>
      <c r="AE1915" t="str">
        <f t="shared" si="772"/>
        <v>Nunca</v>
      </c>
      <c r="AF1915">
        <v>1</v>
      </c>
      <c r="AG1915" t="str">
        <f t="shared" si="773"/>
        <v>A veces</v>
      </c>
      <c r="AH1915">
        <v>0</v>
      </c>
      <c r="AI1915" t="str">
        <f t="shared" si="774"/>
        <v>No usa</v>
      </c>
      <c r="AJ1915">
        <v>0</v>
      </c>
      <c r="AK1915" t="str">
        <f t="shared" si="775"/>
        <v>No usa</v>
      </c>
      <c r="AL1915">
        <v>0</v>
      </c>
      <c r="AM1915" t="str">
        <f t="shared" si="776"/>
        <v>No usa</v>
      </c>
      <c r="AN1915">
        <v>1</v>
      </c>
      <c r="AO1915" t="str">
        <f t="shared" si="777"/>
        <v>Usa Transporte</v>
      </c>
      <c r="AP1915">
        <v>0</v>
      </c>
      <c r="AQ1915" t="str">
        <f t="shared" si="778"/>
        <v>No camina</v>
      </c>
      <c r="AR1915">
        <v>1</v>
      </c>
      <c r="AS1915" t="str">
        <f t="shared" si="779"/>
        <v>Es Obeso</v>
      </c>
    </row>
    <row r="1916" spans="1:45" x14ac:dyDescent="0.25">
      <c r="A1916">
        <v>0</v>
      </c>
      <c r="B1916" t="str">
        <f t="shared" si="754"/>
        <v>F</v>
      </c>
      <c r="C1916">
        <v>26</v>
      </c>
      <c r="D1916">
        <f t="shared" si="755"/>
        <v>26</v>
      </c>
      <c r="E1916">
        <f t="shared" si="756"/>
        <v>26</v>
      </c>
      <c r="F1916" t="str">
        <f t="shared" si="757"/>
        <v>25-50</v>
      </c>
      <c r="G1916">
        <v>1</v>
      </c>
      <c r="H1916" t="str">
        <f t="shared" si="758"/>
        <v>Pariente gordo</v>
      </c>
      <c r="I1916">
        <v>1</v>
      </c>
      <c r="J1916" t="str">
        <f t="shared" si="759"/>
        <v>Hipercaloricos</v>
      </c>
      <c r="K1916">
        <v>3</v>
      </c>
      <c r="L1916">
        <f t="shared" si="760"/>
        <v>1</v>
      </c>
      <c r="M1916" t="str">
        <f t="shared" si="761"/>
        <v>Suele comer</v>
      </c>
      <c r="N1916">
        <v>3</v>
      </c>
      <c r="O1916">
        <f t="shared" si="762"/>
        <v>2</v>
      </c>
      <c r="P1916" t="str">
        <f t="shared" si="763"/>
        <v>Mas de 3</v>
      </c>
      <c r="Q1916">
        <v>1</v>
      </c>
      <c r="R1916" t="str">
        <f t="shared" si="764"/>
        <v>A veces</v>
      </c>
      <c r="S1916">
        <v>0</v>
      </c>
      <c r="T1916" t="str">
        <f t="shared" si="765"/>
        <v>No fuma</v>
      </c>
      <c r="U1916">
        <v>2511399</v>
      </c>
      <c r="V1916">
        <f t="shared" si="766"/>
        <v>2</v>
      </c>
      <c r="W1916" t="str">
        <f t="shared" si="767"/>
        <v>Siempre</v>
      </c>
      <c r="X1916">
        <v>0</v>
      </c>
      <c r="Y1916" t="str">
        <f t="shared" si="768"/>
        <v>No controla</v>
      </c>
      <c r="Z1916">
        <v>0</v>
      </c>
      <c r="AA1916">
        <f t="shared" si="769"/>
        <v>0</v>
      </c>
      <c r="AB1916" t="str">
        <f t="shared" si="770"/>
        <v>Nunca</v>
      </c>
      <c r="AC1916">
        <v>0.25847199999999998</v>
      </c>
      <c r="AD1916">
        <f t="shared" si="771"/>
        <v>0</v>
      </c>
      <c r="AE1916" t="str">
        <f t="shared" si="772"/>
        <v>Nunca</v>
      </c>
      <c r="AF1916">
        <v>1</v>
      </c>
      <c r="AG1916" t="str">
        <f t="shared" si="773"/>
        <v>A veces</v>
      </c>
      <c r="AH1916">
        <v>0</v>
      </c>
      <c r="AI1916" t="str">
        <f t="shared" si="774"/>
        <v>No usa</v>
      </c>
      <c r="AJ1916">
        <v>0</v>
      </c>
      <c r="AK1916" t="str">
        <f t="shared" si="775"/>
        <v>No usa</v>
      </c>
      <c r="AL1916">
        <v>0</v>
      </c>
      <c r="AM1916" t="str">
        <f t="shared" si="776"/>
        <v>No usa</v>
      </c>
      <c r="AN1916">
        <v>1</v>
      </c>
      <c r="AO1916" t="str">
        <f t="shared" si="777"/>
        <v>Usa Transporte</v>
      </c>
      <c r="AP1916">
        <v>0</v>
      </c>
      <c r="AQ1916" t="str">
        <f t="shared" si="778"/>
        <v>No camina</v>
      </c>
      <c r="AR1916">
        <v>1</v>
      </c>
      <c r="AS1916" t="str">
        <f t="shared" si="779"/>
        <v>Es Obeso</v>
      </c>
    </row>
    <row r="1917" spans="1:45" x14ac:dyDescent="0.25">
      <c r="A1917">
        <v>0</v>
      </c>
      <c r="B1917" t="str">
        <f t="shared" si="754"/>
        <v>F</v>
      </c>
      <c r="C1917">
        <v>26</v>
      </c>
      <c r="D1917">
        <f t="shared" si="755"/>
        <v>26</v>
      </c>
      <c r="E1917">
        <f t="shared" si="756"/>
        <v>26</v>
      </c>
      <c r="F1917" t="str">
        <f t="shared" si="757"/>
        <v>25-50</v>
      </c>
      <c r="G1917">
        <v>1</v>
      </c>
      <c r="H1917" t="str">
        <f t="shared" si="758"/>
        <v>Pariente gordo</v>
      </c>
      <c r="I1917">
        <v>1</v>
      </c>
      <c r="J1917" t="str">
        <f t="shared" si="759"/>
        <v>Hipercaloricos</v>
      </c>
      <c r="K1917">
        <v>3</v>
      </c>
      <c r="L1917">
        <f t="shared" si="760"/>
        <v>1</v>
      </c>
      <c r="M1917" t="str">
        <f t="shared" si="761"/>
        <v>Suele comer</v>
      </c>
      <c r="N1917">
        <v>3</v>
      </c>
      <c r="O1917">
        <f t="shared" si="762"/>
        <v>2</v>
      </c>
      <c r="P1917" t="str">
        <f t="shared" si="763"/>
        <v>Mas de 3</v>
      </c>
      <c r="Q1917">
        <v>1</v>
      </c>
      <c r="R1917" t="str">
        <f t="shared" si="764"/>
        <v>A veces</v>
      </c>
      <c r="S1917">
        <v>0</v>
      </c>
      <c r="T1917" t="str">
        <f t="shared" si="765"/>
        <v>No fuma</v>
      </c>
      <c r="U1917">
        <v>2653563</v>
      </c>
      <c r="V1917">
        <f t="shared" si="766"/>
        <v>2</v>
      </c>
      <c r="W1917" t="str">
        <f t="shared" si="767"/>
        <v>Siempre</v>
      </c>
      <c r="X1917">
        <v>0</v>
      </c>
      <c r="Y1917" t="str">
        <f t="shared" si="768"/>
        <v>No controla</v>
      </c>
      <c r="Z1917">
        <v>0</v>
      </c>
      <c r="AA1917">
        <f t="shared" si="769"/>
        <v>0</v>
      </c>
      <c r="AB1917" t="str">
        <f t="shared" si="770"/>
        <v>Nunca</v>
      </c>
      <c r="AC1917">
        <v>0.55415000000000003</v>
      </c>
      <c r="AD1917">
        <f t="shared" si="771"/>
        <v>0</v>
      </c>
      <c r="AE1917" t="str">
        <f t="shared" si="772"/>
        <v>Nunca</v>
      </c>
      <c r="AF1917">
        <v>1</v>
      </c>
      <c r="AG1917" t="str">
        <f t="shared" si="773"/>
        <v>A veces</v>
      </c>
      <c r="AH1917">
        <v>0</v>
      </c>
      <c r="AI1917" t="str">
        <f t="shared" si="774"/>
        <v>No usa</v>
      </c>
      <c r="AJ1917">
        <v>0</v>
      </c>
      <c r="AK1917" t="str">
        <f t="shared" si="775"/>
        <v>No usa</v>
      </c>
      <c r="AL1917">
        <v>0</v>
      </c>
      <c r="AM1917" t="str">
        <f t="shared" si="776"/>
        <v>No usa</v>
      </c>
      <c r="AN1917">
        <v>1</v>
      </c>
      <c r="AO1917" t="str">
        <f t="shared" si="777"/>
        <v>Usa Transporte</v>
      </c>
      <c r="AP1917">
        <v>0</v>
      </c>
      <c r="AQ1917" t="str">
        <f t="shared" si="778"/>
        <v>No camina</v>
      </c>
      <c r="AR1917">
        <v>1</v>
      </c>
      <c r="AS1917" t="str">
        <f t="shared" si="779"/>
        <v>Es Obeso</v>
      </c>
    </row>
    <row r="1918" spans="1:45" x14ac:dyDescent="0.25">
      <c r="A1918">
        <v>0</v>
      </c>
      <c r="B1918" t="str">
        <f t="shared" si="754"/>
        <v>F</v>
      </c>
      <c r="C1918">
        <v>26</v>
      </c>
      <c r="D1918">
        <f t="shared" si="755"/>
        <v>26</v>
      </c>
      <c r="E1918">
        <f t="shared" si="756"/>
        <v>26</v>
      </c>
      <c r="F1918" t="str">
        <f t="shared" si="757"/>
        <v>25-50</v>
      </c>
      <c r="G1918">
        <v>1</v>
      </c>
      <c r="H1918" t="str">
        <f t="shared" si="758"/>
        <v>Pariente gordo</v>
      </c>
      <c r="I1918">
        <v>1</v>
      </c>
      <c r="J1918" t="str">
        <f t="shared" si="759"/>
        <v>Hipercaloricos</v>
      </c>
      <c r="K1918">
        <v>3</v>
      </c>
      <c r="L1918">
        <f t="shared" si="760"/>
        <v>1</v>
      </c>
      <c r="M1918" t="str">
        <f t="shared" si="761"/>
        <v>Suele comer</v>
      </c>
      <c r="N1918">
        <v>3</v>
      </c>
      <c r="O1918">
        <f t="shared" si="762"/>
        <v>2</v>
      </c>
      <c r="P1918" t="str">
        <f t="shared" si="763"/>
        <v>Mas de 3</v>
      </c>
      <c r="Q1918">
        <v>1</v>
      </c>
      <c r="R1918" t="str">
        <f t="shared" si="764"/>
        <v>A veces</v>
      </c>
      <c r="S1918">
        <v>0</v>
      </c>
      <c r="T1918" t="str">
        <f t="shared" si="765"/>
        <v>No fuma</v>
      </c>
      <c r="U1918">
        <v>2588107</v>
      </c>
      <c r="V1918">
        <f t="shared" si="766"/>
        <v>2</v>
      </c>
      <c r="W1918" t="str">
        <f t="shared" si="767"/>
        <v>Siempre</v>
      </c>
      <c r="X1918">
        <v>0</v>
      </c>
      <c r="Y1918" t="str">
        <f t="shared" si="768"/>
        <v>No controla</v>
      </c>
      <c r="Z1918">
        <v>0</v>
      </c>
      <c r="AA1918">
        <f t="shared" si="769"/>
        <v>0</v>
      </c>
      <c r="AB1918" t="str">
        <f t="shared" si="770"/>
        <v>Nunca</v>
      </c>
      <c r="AC1918">
        <v>0.46560699999999999</v>
      </c>
      <c r="AD1918">
        <f t="shared" si="771"/>
        <v>0</v>
      </c>
      <c r="AE1918" t="str">
        <f t="shared" si="772"/>
        <v>Nunca</v>
      </c>
      <c r="AF1918">
        <v>1</v>
      </c>
      <c r="AG1918" t="str">
        <f t="shared" si="773"/>
        <v>A veces</v>
      </c>
      <c r="AH1918">
        <v>0</v>
      </c>
      <c r="AI1918" t="str">
        <f t="shared" si="774"/>
        <v>No usa</v>
      </c>
      <c r="AJ1918">
        <v>0</v>
      </c>
      <c r="AK1918" t="str">
        <f t="shared" si="775"/>
        <v>No usa</v>
      </c>
      <c r="AL1918">
        <v>0</v>
      </c>
      <c r="AM1918" t="str">
        <f t="shared" si="776"/>
        <v>No usa</v>
      </c>
      <c r="AN1918">
        <v>1</v>
      </c>
      <c r="AO1918" t="str">
        <f t="shared" si="777"/>
        <v>Usa Transporte</v>
      </c>
      <c r="AP1918">
        <v>0</v>
      </c>
      <c r="AQ1918" t="str">
        <f t="shared" si="778"/>
        <v>No camina</v>
      </c>
      <c r="AR1918">
        <v>1</v>
      </c>
      <c r="AS1918" t="str">
        <f t="shared" si="779"/>
        <v>Es Obeso</v>
      </c>
    </row>
    <row r="1919" spans="1:45" x14ac:dyDescent="0.25">
      <c r="A1919">
        <v>0</v>
      </c>
      <c r="B1919" t="str">
        <f t="shared" si="754"/>
        <v>F</v>
      </c>
      <c r="C1919">
        <v>21768153</v>
      </c>
      <c r="D1919">
        <f t="shared" si="755"/>
        <v>59</v>
      </c>
      <c r="E1919">
        <f t="shared" si="756"/>
        <v>59</v>
      </c>
      <c r="F1919" t="str">
        <f t="shared" si="757"/>
        <v>50-75</v>
      </c>
      <c r="G1919">
        <v>1</v>
      </c>
      <c r="H1919" t="str">
        <f t="shared" si="758"/>
        <v>Pariente gordo</v>
      </c>
      <c r="I1919">
        <v>1</v>
      </c>
      <c r="J1919" t="str">
        <f t="shared" si="759"/>
        <v>Hipercaloricos</v>
      </c>
      <c r="K1919">
        <v>3</v>
      </c>
      <c r="L1919">
        <f t="shared" si="760"/>
        <v>1</v>
      </c>
      <c r="M1919" t="str">
        <f t="shared" si="761"/>
        <v>Suele comer</v>
      </c>
      <c r="N1919">
        <v>3</v>
      </c>
      <c r="O1919">
        <f t="shared" si="762"/>
        <v>2</v>
      </c>
      <c r="P1919" t="str">
        <f t="shared" si="763"/>
        <v>Mas de 3</v>
      </c>
      <c r="Q1919">
        <v>1</v>
      </c>
      <c r="R1919" t="str">
        <f t="shared" si="764"/>
        <v>A veces</v>
      </c>
      <c r="S1919">
        <v>0</v>
      </c>
      <c r="T1919" t="str">
        <f t="shared" si="765"/>
        <v>No fuma</v>
      </c>
      <c r="U1919">
        <v>232502</v>
      </c>
      <c r="V1919">
        <f t="shared" si="766"/>
        <v>2</v>
      </c>
      <c r="W1919" t="str">
        <f t="shared" si="767"/>
        <v>Siempre</v>
      </c>
      <c r="X1919">
        <v>0</v>
      </c>
      <c r="Y1919" t="str">
        <f t="shared" si="768"/>
        <v>No controla</v>
      </c>
      <c r="Z1919">
        <v>1441791</v>
      </c>
      <c r="AA1919">
        <f t="shared" si="769"/>
        <v>3</v>
      </c>
      <c r="AB1919" t="str">
        <f t="shared" si="770"/>
        <v>Siempre</v>
      </c>
      <c r="AC1919">
        <v>0.91846799999999995</v>
      </c>
      <c r="AD1919">
        <f t="shared" si="771"/>
        <v>0</v>
      </c>
      <c r="AE1919" t="str">
        <f t="shared" si="772"/>
        <v>Nunca</v>
      </c>
      <c r="AF1919">
        <v>1</v>
      </c>
      <c r="AG1919" t="str">
        <f t="shared" si="773"/>
        <v>A veces</v>
      </c>
      <c r="AH1919">
        <v>0</v>
      </c>
      <c r="AI1919" t="str">
        <f t="shared" si="774"/>
        <v>No usa</v>
      </c>
      <c r="AJ1919">
        <v>0</v>
      </c>
      <c r="AK1919" t="str">
        <f t="shared" si="775"/>
        <v>No usa</v>
      </c>
      <c r="AL1919">
        <v>0</v>
      </c>
      <c r="AM1919" t="str">
        <f t="shared" si="776"/>
        <v>No usa</v>
      </c>
      <c r="AN1919">
        <v>1</v>
      </c>
      <c r="AO1919" t="str">
        <f t="shared" si="777"/>
        <v>Usa Transporte</v>
      </c>
      <c r="AP1919">
        <v>0</v>
      </c>
      <c r="AQ1919" t="str">
        <f t="shared" si="778"/>
        <v>No camina</v>
      </c>
      <c r="AR1919">
        <v>1</v>
      </c>
      <c r="AS1919" t="str">
        <f t="shared" si="779"/>
        <v>Es Obeso</v>
      </c>
    </row>
    <row r="1920" spans="1:45" x14ac:dyDescent="0.25">
      <c r="A1920">
        <v>0</v>
      </c>
      <c r="B1920" t="str">
        <f t="shared" si="754"/>
        <v>F</v>
      </c>
      <c r="C1920">
        <v>21238416</v>
      </c>
      <c r="D1920">
        <f t="shared" si="755"/>
        <v>58</v>
      </c>
      <c r="E1920">
        <f t="shared" si="756"/>
        <v>58</v>
      </c>
      <c r="F1920" t="str">
        <f t="shared" si="757"/>
        <v>50-75</v>
      </c>
      <c r="G1920">
        <v>1</v>
      </c>
      <c r="H1920" t="str">
        <f t="shared" si="758"/>
        <v>Pariente gordo</v>
      </c>
      <c r="I1920">
        <v>1</v>
      </c>
      <c r="J1920" t="str">
        <f t="shared" si="759"/>
        <v>Hipercaloricos</v>
      </c>
      <c r="K1920">
        <v>3</v>
      </c>
      <c r="L1920">
        <f t="shared" si="760"/>
        <v>1</v>
      </c>
      <c r="M1920" t="str">
        <f t="shared" si="761"/>
        <v>Suele comer</v>
      </c>
      <c r="N1920">
        <v>3</v>
      </c>
      <c r="O1920">
        <f t="shared" si="762"/>
        <v>2</v>
      </c>
      <c r="P1920" t="str">
        <f t="shared" si="763"/>
        <v>Mas de 3</v>
      </c>
      <c r="Q1920">
        <v>1</v>
      </c>
      <c r="R1920" t="str">
        <f t="shared" si="764"/>
        <v>A veces</v>
      </c>
      <c r="S1920">
        <v>0</v>
      </c>
      <c r="T1920" t="str">
        <f t="shared" si="765"/>
        <v>No fuma</v>
      </c>
      <c r="U1920">
        <v>2836791</v>
      </c>
      <c r="V1920">
        <f t="shared" si="766"/>
        <v>2</v>
      </c>
      <c r="W1920" t="str">
        <f t="shared" si="767"/>
        <v>Siempre</v>
      </c>
      <c r="X1920">
        <v>0</v>
      </c>
      <c r="Y1920" t="str">
        <f t="shared" si="768"/>
        <v>No controla</v>
      </c>
      <c r="Z1920">
        <v>146782</v>
      </c>
      <c r="AA1920">
        <f t="shared" si="769"/>
        <v>2</v>
      </c>
      <c r="AB1920" t="str">
        <f t="shared" si="770"/>
        <v>Usualmente</v>
      </c>
      <c r="AC1920">
        <v>0.89052699999999996</v>
      </c>
      <c r="AD1920">
        <f t="shared" si="771"/>
        <v>0</v>
      </c>
      <c r="AE1920" t="str">
        <f t="shared" si="772"/>
        <v>Nunca</v>
      </c>
      <c r="AF1920">
        <v>1</v>
      </c>
      <c r="AG1920" t="str">
        <f t="shared" si="773"/>
        <v>A veces</v>
      </c>
      <c r="AH1920">
        <v>0</v>
      </c>
      <c r="AI1920" t="str">
        <f t="shared" si="774"/>
        <v>No usa</v>
      </c>
      <c r="AJ1920">
        <v>0</v>
      </c>
      <c r="AK1920" t="str">
        <f t="shared" si="775"/>
        <v>No usa</v>
      </c>
      <c r="AL1920">
        <v>0</v>
      </c>
      <c r="AM1920" t="str">
        <f t="shared" si="776"/>
        <v>No usa</v>
      </c>
      <c r="AN1920">
        <v>1</v>
      </c>
      <c r="AO1920" t="str">
        <f t="shared" si="777"/>
        <v>Usa Transporte</v>
      </c>
      <c r="AP1920">
        <v>0</v>
      </c>
      <c r="AQ1920" t="str">
        <f t="shared" si="778"/>
        <v>No camina</v>
      </c>
      <c r="AR1920">
        <v>1</v>
      </c>
      <c r="AS1920" t="str">
        <f t="shared" si="779"/>
        <v>Es Obeso</v>
      </c>
    </row>
    <row r="1921" spans="1:45" x14ac:dyDescent="0.25">
      <c r="A1921">
        <v>0</v>
      </c>
      <c r="B1921" t="str">
        <f t="shared" si="754"/>
        <v>F</v>
      </c>
      <c r="C1921">
        <v>25930376</v>
      </c>
      <c r="D1921">
        <f t="shared" si="755"/>
        <v>71</v>
      </c>
      <c r="E1921">
        <f t="shared" si="756"/>
        <v>71</v>
      </c>
      <c r="F1921" t="str">
        <f t="shared" si="757"/>
        <v>50-75</v>
      </c>
      <c r="G1921">
        <v>1</v>
      </c>
      <c r="H1921" t="str">
        <f t="shared" si="758"/>
        <v>Pariente gordo</v>
      </c>
      <c r="I1921">
        <v>1</v>
      </c>
      <c r="J1921" t="str">
        <f t="shared" si="759"/>
        <v>Hipercaloricos</v>
      </c>
      <c r="K1921">
        <v>3</v>
      </c>
      <c r="L1921">
        <f t="shared" si="760"/>
        <v>1</v>
      </c>
      <c r="M1921" t="str">
        <f t="shared" si="761"/>
        <v>Suele comer</v>
      </c>
      <c r="N1921">
        <v>3</v>
      </c>
      <c r="O1921">
        <f t="shared" si="762"/>
        <v>2</v>
      </c>
      <c r="P1921" t="str">
        <f t="shared" si="763"/>
        <v>Mas de 3</v>
      </c>
      <c r="Q1921">
        <v>1</v>
      </c>
      <c r="R1921" t="str">
        <f t="shared" si="764"/>
        <v>A veces</v>
      </c>
      <c r="S1921">
        <v>0</v>
      </c>
      <c r="T1921" t="str">
        <f t="shared" si="765"/>
        <v>No fuma</v>
      </c>
      <c r="U1921">
        <v>1019684</v>
      </c>
      <c r="V1921">
        <f t="shared" si="766"/>
        <v>2</v>
      </c>
      <c r="W1921" t="str">
        <f t="shared" si="767"/>
        <v>Siempre</v>
      </c>
      <c r="X1921">
        <v>0</v>
      </c>
      <c r="Y1921" t="str">
        <f t="shared" si="768"/>
        <v>No controla</v>
      </c>
      <c r="Z1921">
        <v>2.6033000000000001E-2</v>
      </c>
      <c r="AA1921">
        <f t="shared" si="769"/>
        <v>0</v>
      </c>
      <c r="AB1921" t="str">
        <f t="shared" si="770"/>
        <v>Nunca</v>
      </c>
      <c r="AC1921">
        <v>1</v>
      </c>
      <c r="AD1921">
        <f t="shared" si="771"/>
        <v>1</v>
      </c>
      <c r="AE1921" t="str">
        <f t="shared" si="772"/>
        <v>Usualmente</v>
      </c>
      <c r="AF1921">
        <v>1</v>
      </c>
      <c r="AG1921" t="str">
        <f t="shared" si="773"/>
        <v>A veces</v>
      </c>
      <c r="AH1921">
        <v>0</v>
      </c>
      <c r="AI1921" t="str">
        <f t="shared" si="774"/>
        <v>No usa</v>
      </c>
      <c r="AJ1921">
        <v>0</v>
      </c>
      <c r="AK1921" t="str">
        <f t="shared" si="775"/>
        <v>No usa</v>
      </c>
      <c r="AL1921">
        <v>0</v>
      </c>
      <c r="AM1921" t="str">
        <f t="shared" si="776"/>
        <v>No usa</v>
      </c>
      <c r="AN1921">
        <v>1</v>
      </c>
      <c r="AO1921" t="str">
        <f t="shared" si="777"/>
        <v>Usa Transporte</v>
      </c>
      <c r="AP1921">
        <v>0</v>
      </c>
      <c r="AQ1921" t="str">
        <f t="shared" si="778"/>
        <v>No camina</v>
      </c>
      <c r="AR1921">
        <v>1</v>
      </c>
      <c r="AS1921" t="str">
        <f t="shared" si="779"/>
        <v>Es Obeso</v>
      </c>
    </row>
    <row r="1922" spans="1:45" x14ac:dyDescent="0.25">
      <c r="A1922">
        <v>0</v>
      </c>
      <c r="B1922" t="str">
        <f t="shared" si="754"/>
        <v>F</v>
      </c>
      <c r="C1922">
        <v>25919571</v>
      </c>
      <c r="D1922">
        <f t="shared" si="755"/>
        <v>71</v>
      </c>
      <c r="E1922">
        <f t="shared" si="756"/>
        <v>71</v>
      </c>
      <c r="F1922" t="str">
        <f t="shared" si="757"/>
        <v>50-75</v>
      </c>
      <c r="G1922">
        <v>1</v>
      </c>
      <c r="H1922" t="str">
        <f t="shared" si="758"/>
        <v>Pariente gordo</v>
      </c>
      <c r="I1922">
        <v>1</v>
      </c>
      <c r="J1922" t="str">
        <f t="shared" si="759"/>
        <v>Hipercaloricos</v>
      </c>
      <c r="K1922">
        <v>3</v>
      </c>
      <c r="L1922">
        <f t="shared" si="760"/>
        <v>1</v>
      </c>
      <c r="M1922" t="str">
        <f t="shared" si="761"/>
        <v>Suele comer</v>
      </c>
      <c r="N1922">
        <v>3</v>
      </c>
      <c r="O1922">
        <f t="shared" si="762"/>
        <v>2</v>
      </c>
      <c r="P1922" t="str">
        <f t="shared" si="763"/>
        <v>Mas de 3</v>
      </c>
      <c r="Q1922">
        <v>1</v>
      </c>
      <c r="R1922" t="str">
        <f t="shared" si="764"/>
        <v>A veces</v>
      </c>
      <c r="S1922">
        <v>0</v>
      </c>
      <c r="T1922" t="str">
        <f t="shared" si="765"/>
        <v>No fuma</v>
      </c>
      <c r="U1922">
        <v>1032834</v>
      </c>
      <c r="V1922">
        <f t="shared" si="766"/>
        <v>2</v>
      </c>
      <c r="W1922" t="str">
        <f t="shared" si="767"/>
        <v>Siempre</v>
      </c>
      <c r="X1922">
        <v>0</v>
      </c>
      <c r="Y1922" t="str">
        <f t="shared" si="768"/>
        <v>No controla</v>
      </c>
      <c r="Z1922">
        <v>4.5249999999999999E-2</v>
      </c>
      <c r="AA1922">
        <f t="shared" si="769"/>
        <v>0</v>
      </c>
      <c r="AB1922" t="str">
        <f t="shared" si="770"/>
        <v>Nunca</v>
      </c>
      <c r="AC1922">
        <v>0.92274900000000004</v>
      </c>
      <c r="AD1922">
        <f t="shared" si="771"/>
        <v>0</v>
      </c>
      <c r="AE1922" t="str">
        <f t="shared" si="772"/>
        <v>Nunca</v>
      </c>
      <c r="AF1922">
        <v>1</v>
      </c>
      <c r="AG1922" t="str">
        <f t="shared" si="773"/>
        <v>A veces</v>
      </c>
      <c r="AH1922">
        <v>0</v>
      </c>
      <c r="AI1922" t="str">
        <f t="shared" si="774"/>
        <v>No usa</v>
      </c>
      <c r="AJ1922">
        <v>0</v>
      </c>
      <c r="AK1922" t="str">
        <f t="shared" si="775"/>
        <v>No usa</v>
      </c>
      <c r="AL1922">
        <v>0</v>
      </c>
      <c r="AM1922" t="str">
        <f t="shared" si="776"/>
        <v>No usa</v>
      </c>
      <c r="AN1922">
        <v>1</v>
      </c>
      <c r="AO1922" t="str">
        <f t="shared" si="777"/>
        <v>Usa Transporte</v>
      </c>
      <c r="AP1922">
        <v>0</v>
      </c>
      <c r="AQ1922" t="str">
        <f t="shared" si="778"/>
        <v>No camina</v>
      </c>
      <c r="AR1922">
        <v>1</v>
      </c>
      <c r="AS1922" t="str">
        <f t="shared" si="779"/>
        <v>Es Obeso</v>
      </c>
    </row>
    <row r="1923" spans="1:45" x14ac:dyDescent="0.25">
      <c r="A1923">
        <v>0</v>
      </c>
      <c r="B1923" t="str">
        <f t="shared" ref="B1923:B1986" si="780">IF(A1923=1,"M","F")</f>
        <v>F</v>
      </c>
      <c r="C1923">
        <v>25918524</v>
      </c>
      <c r="D1923">
        <f t="shared" ref="D1923:D1986" si="781">IF(C1923&lt;100,C1923,ROUNDDOWN((C1923/1000)/365,0))</f>
        <v>71</v>
      </c>
      <c r="E1923">
        <f t="shared" ref="E1923:E1986" si="782">IF(AND(D1923&gt;1,D1923&lt;=100),D1923,IF(D1923&gt;100,100,5))</f>
        <v>71</v>
      </c>
      <c r="F1923" t="str">
        <f t="shared" ref="F1923:F1986" si="783">IF(AND(E1923&gt;=1,E1923&lt;=25),"1-25",IF(AND(E1923&gt;25,E1923&lt;=50),"25-50",IF(AND(E1923&gt;50,E1923&lt;=75),"50-75","75-100")))</f>
        <v>50-75</v>
      </c>
      <c r="G1923">
        <v>1</v>
      </c>
      <c r="H1923" t="str">
        <f t="shared" ref="H1923:H1986" si="784">IF(G1923=1,"Pariente gordo","Pariente normal")</f>
        <v>Pariente gordo</v>
      </c>
      <c r="I1923">
        <v>1</v>
      </c>
      <c r="J1923" t="str">
        <f t="shared" ref="J1923:J1986" si="785">IF(I1923=1,"Hipercaloricos","Saludables")</f>
        <v>Hipercaloricos</v>
      </c>
      <c r="K1923">
        <v>3</v>
      </c>
      <c r="L1923">
        <f t="shared" ref="L1923:L1986" si="786">IF(AND(K1923&gt;=1,K1923&lt;=3),1,IF(AND(K1923&gt;3,K1923&lt;3000000),1))</f>
        <v>1</v>
      </c>
      <c r="M1923" t="str">
        <f t="shared" ref="M1923:M1986" si="787">IF(L1923=1,"Suele comer","No come")</f>
        <v>Suele comer</v>
      </c>
      <c r="N1923">
        <v>3</v>
      </c>
      <c r="O1923">
        <f t="shared" ref="O1923:O1986" si="788">IF(N1923=1,N1923,IF(AND(N1923&gt;=2,N1923&lt;4000000),2))</f>
        <v>2</v>
      </c>
      <c r="P1923" t="str">
        <f t="shared" ref="P1923:P1986" si="789">IF(O1923=0,"1-2",IF(O1923=1,3,"Mas de 3"))</f>
        <v>Mas de 3</v>
      </c>
      <c r="Q1923">
        <v>1</v>
      </c>
      <c r="R1923" t="str">
        <f t="shared" ref="R1923:R1986" si="790">IF(Q1923=0,"Nunca",IF(Q1923=1,"A veces",IF(Q1923=2,"Usualmente","Siempre")))</f>
        <v>A veces</v>
      </c>
      <c r="S1923">
        <v>0</v>
      </c>
      <c r="T1923" t="str">
        <f t="shared" ref="T1923:T1986" si="791">IF(S1923=1,"Fuma","No fuma")</f>
        <v>No fuma</v>
      </c>
      <c r="U1923">
        <v>1653049</v>
      </c>
      <c r="V1923">
        <f t="shared" ref="V1923:V1986" si="792">IF(U1923=1,U1923,IF(U1923=2,U1923,IF(AND(U1923&gt;=3,U1923&lt;3000000),2)))</f>
        <v>2</v>
      </c>
      <c r="W1923" t="str">
        <f t="shared" ref="W1923:W1986" si="793">IF(V1923=0,"Nunca",IF(V1923=1,"Usualmente","Siempre"))</f>
        <v>Siempre</v>
      </c>
      <c r="X1923">
        <v>0</v>
      </c>
      <c r="Y1923" t="str">
        <f t="shared" ref="Y1923:Y1986" si="794">IF(X1923=1,"Controla","No controla")</f>
        <v>No controla</v>
      </c>
      <c r="Z1923">
        <v>0.139159</v>
      </c>
      <c r="AA1923">
        <f t="shared" ref="AA1923:AA1986" si="795">IF(Z1923=0,Z1923,IF(Z1923=1,Z1923,IF(Z1923=2,Z1923,IF(Z1923=3,Z1923,IF(AND(Z1923&gt;3,Z1923&lt;300000),2,IF(AND(Z1923&gt;300000,Z1923&lt;3000000),3,IF(AND(Z1923&gt;0,Z1923&lt;1),0)))))))</f>
        <v>0</v>
      </c>
      <c r="AB1923" t="str">
        <f t="shared" ref="AB1923:AB1986" si="796">IF(AA1923=0,"Nunca",IF(AA1923=1,"A veces",IF(AA1923=2,"Usualmente","Siempre")))</f>
        <v>Nunca</v>
      </c>
      <c r="AC1923">
        <v>0.71133100000000005</v>
      </c>
      <c r="AD1923">
        <f t="shared" ref="AD1923:AD1986" si="797">IF(AC1923= 0,AC1923,IF(AC1923=1,AC1923,IF(AC1923=2,AC1923,IF(AND(AC1923&gt;2,AC1923&lt;200000),1,IF(AND(AC1923&gt;200000,AC1923&lt;2000000),2,IF(AND(AC1923&gt;0,AC1923&lt;1),0))))))</f>
        <v>0</v>
      </c>
      <c r="AE1923" t="str">
        <f t="shared" ref="AE1923:AE1986" si="798">IF(AD1923=0,"Nunca",IF(AD1923=1,"Usualmente","Siempre"))</f>
        <v>Nunca</v>
      </c>
      <c r="AF1923">
        <v>1</v>
      </c>
      <c r="AG1923" t="str">
        <f t="shared" ref="AG1923:AG1986" si="799">IF(AF1923=0,"Nunca",IF(AF1923=1,"A veces",IF(AF1923=2,"Usualmente","Siempre")))</f>
        <v>A veces</v>
      </c>
      <c r="AH1923">
        <v>0</v>
      </c>
      <c r="AI1923" t="str">
        <f t="shared" ref="AI1923:AI1986" si="800">IF(AH1923=1,"Usa auto","No usa")</f>
        <v>No usa</v>
      </c>
      <c r="AJ1923">
        <v>0</v>
      </c>
      <c r="AK1923" t="str">
        <f t="shared" ref="AK1923:AK1986" si="801">IF(AJ1923=1,"Usa Bici","No usa")</f>
        <v>No usa</v>
      </c>
      <c r="AL1923">
        <v>0</v>
      </c>
      <c r="AM1923" t="str">
        <f t="shared" ref="AM1923:AM1986" si="802">IF(AL1923=1,"Usa Moto","No usa")</f>
        <v>No usa</v>
      </c>
      <c r="AN1923">
        <v>1</v>
      </c>
      <c r="AO1923" t="str">
        <f t="shared" ref="AO1923:AO1986" si="803">IF(AN1923=1,"Usa Transporte","No usa")</f>
        <v>Usa Transporte</v>
      </c>
      <c r="AP1923">
        <v>0</v>
      </c>
      <c r="AQ1923" t="str">
        <f t="shared" ref="AQ1923:AQ1986" si="804">IF(AP1923=1,"Camina","No camina")</f>
        <v>No camina</v>
      </c>
      <c r="AR1923">
        <v>1</v>
      </c>
      <c r="AS1923" t="str">
        <f t="shared" ref="AS1923:AS1986" si="805">IF(AR1923=1,"Es Obeso","No es obeso")</f>
        <v>Es Obeso</v>
      </c>
    </row>
    <row r="1924" spans="1:45" x14ac:dyDescent="0.25">
      <c r="A1924">
        <v>0</v>
      </c>
      <c r="B1924" t="str">
        <f t="shared" si="780"/>
        <v>F</v>
      </c>
      <c r="C1924">
        <v>25565662</v>
      </c>
      <c r="D1924">
        <f t="shared" si="781"/>
        <v>70</v>
      </c>
      <c r="E1924">
        <f t="shared" si="782"/>
        <v>70</v>
      </c>
      <c r="F1924" t="str">
        <f t="shared" si="783"/>
        <v>50-75</v>
      </c>
      <c r="G1924">
        <v>1</v>
      </c>
      <c r="H1924" t="str">
        <f t="shared" si="784"/>
        <v>Pariente gordo</v>
      </c>
      <c r="I1924">
        <v>1</v>
      </c>
      <c r="J1924" t="str">
        <f t="shared" si="785"/>
        <v>Hipercaloricos</v>
      </c>
      <c r="K1924">
        <v>3</v>
      </c>
      <c r="L1924">
        <f t="shared" si="786"/>
        <v>1</v>
      </c>
      <c r="M1924" t="str">
        <f t="shared" si="787"/>
        <v>Suele comer</v>
      </c>
      <c r="N1924">
        <v>3</v>
      </c>
      <c r="O1924">
        <f t="shared" si="788"/>
        <v>2</v>
      </c>
      <c r="P1924" t="str">
        <f t="shared" si="789"/>
        <v>Mas de 3</v>
      </c>
      <c r="Q1924">
        <v>1</v>
      </c>
      <c r="R1924" t="str">
        <f t="shared" si="790"/>
        <v>A veces</v>
      </c>
      <c r="S1924">
        <v>0</v>
      </c>
      <c r="T1924" t="str">
        <f t="shared" si="791"/>
        <v>No fuma</v>
      </c>
      <c r="U1924">
        <v>1204055</v>
      </c>
      <c r="V1924">
        <f t="shared" si="792"/>
        <v>2</v>
      </c>
      <c r="W1924" t="str">
        <f t="shared" si="793"/>
        <v>Siempre</v>
      </c>
      <c r="X1924">
        <v>0</v>
      </c>
      <c r="Y1924" t="str">
        <f t="shared" si="794"/>
        <v>No controla</v>
      </c>
      <c r="Z1924">
        <v>9.4851000000000005E-2</v>
      </c>
      <c r="AA1924">
        <f t="shared" si="795"/>
        <v>0</v>
      </c>
      <c r="AB1924" t="str">
        <f t="shared" si="796"/>
        <v>Nunca</v>
      </c>
      <c r="AC1924">
        <v>0.60373600000000005</v>
      </c>
      <c r="AD1924">
        <f t="shared" si="797"/>
        <v>0</v>
      </c>
      <c r="AE1924" t="str">
        <f t="shared" si="798"/>
        <v>Nunca</v>
      </c>
      <c r="AF1924">
        <v>1</v>
      </c>
      <c r="AG1924" t="str">
        <f t="shared" si="799"/>
        <v>A veces</v>
      </c>
      <c r="AH1924">
        <v>0</v>
      </c>
      <c r="AI1924" t="str">
        <f t="shared" si="800"/>
        <v>No usa</v>
      </c>
      <c r="AJ1924">
        <v>0</v>
      </c>
      <c r="AK1924" t="str">
        <f t="shared" si="801"/>
        <v>No usa</v>
      </c>
      <c r="AL1924">
        <v>0</v>
      </c>
      <c r="AM1924" t="str">
        <f t="shared" si="802"/>
        <v>No usa</v>
      </c>
      <c r="AN1924">
        <v>1</v>
      </c>
      <c r="AO1924" t="str">
        <f t="shared" si="803"/>
        <v>Usa Transporte</v>
      </c>
      <c r="AP1924">
        <v>0</v>
      </c>
      <c r="AQ1924" t="str">
        <f t="shared" si="804"/>
        <v>No camina</v>
      </c>
      <c r="AR1924">
        <v>1</v>
      </c>
      <c r="AS1924" t="str">
        <f t="shared" si="805"/>
        <v>Es Obeso</v>
      </c>
    </row>
    <row r="1925" spans="1:45" x14ac:dyDescent="0.25">
      <c r="A1925">
        <v>0</v>
      </c>
      <c r="B1925" t="str">
        <f t="shared" si="780"/>
        <v>F</v>
      </c>
      <c r="C1925">
        <v>18744914</v>
      </c>
      <c r="D1925">
        <f t="shared" si="781"/>
        <v>51</v>
      </c>
      <c r="E1925">
        <f t="shared" si="782"/>
        <v>51</v>
      </c>
      <c r="F1925" t="str">
        <f t="shared" si="783"/>
        <v>50-75</v>
      </c>
      <c r="G1925">
        <v>1</v>
      </c>
      <c r="H1925" t="str">
        <f t="shared" si="784"/>
        <v>Pariente gordo</v>
      </c>
      <c r="I1925">
        <v>1</v>
      </c>
      <c r="J1925" t="str">
        <f t="shared" si="785"/>
        <v>Hipercaloricos</v>
      </c>
      <c r="K1925">
        <v>3</v>
      </c>
      <c r="L1925">
        <f t="shared" si="786"/>
        <v>1</v>
      </c>
      <c r="M1925" t="str">
        <f t="shared" si="787"/>
        <v>Suele comer</v>
      </c>
      <c r="N1925">
        <v>3</v>
      </c>
      <c r="O1925">
        <f t="shared" si="788"/>
        <v>2</v>
      </c>
      <c r="P1925" t="str">
        <f t="shared" si="789"/>
        <v>Mas de 3</v>
      </c>
      <c r="Q1925">
        <v>1</v>
      </c>
      <c r="R1925" t="str">
        <f t="shared" si="790"/>
        <v>A veces</v>
      </c>
      <c r="S1925">
        <v>0</v>
      </c>
      <c r="T1925" t="str">
        <f t="shared" si="791"/>
        <v>No fuma</v>
      </c>
      <c r="U1925">
        <v>2691591</v>
      </c>
      <c r="V1925">
        <f t="shared" si="792"/>
        <v>2</v>
      </c>
      <c r="W1925" t="str">
        <f t="shared" si="793"/>
        <v>Siempre</v>
      </c>
      <c r="X1925">
        <v>0</v>
      </c>
      <c r="Y1925" t="str">
        <f t="shared" si="794"/>
        <v>No controla</v>
      </c>
      <c r="Z1925">
        <v>1168368</v>
      </c>
      <c r="AA1925">
        <f t="shared" si="795"/>
        <v>3</v>
      </c>
      <c r="AB1925" t="str">
        <f t="shared" si="796"/>
        <v>Siempre</v>
      </c>
      <c r="AC1925">
        <v>0.73537200000000003</v>
      </c>
      <c r="AD1925">
        <f t="shared" si="797"/>
        <v>0</v>
      </c>
      <c r="AE1925" t="str">
        <f t="shared" si="798"/>
        <v>Nunca</v>
      </c>
      <c r="AF1925">
        <v>1</v>
      </c>
      <c r="AG1925" t="str">
        <f t="shared" si="799"/>
        <v>A veces</v>
      </c>
      <c r="AH1925">
        <v>0</v>
      </c>
      <c r="AI1925" t="str">
        <f t="shared" si="800"/>
        <v>No usa</v>
      </c>
      <c r="AJ1925">
        <v>0</v>
      </c>
      <c r="AK1925" t="str">
        <f t="shared" si="801"/>
        <v>No usa</v>
      </c>
      <c r="AL1925">
        <v>0</v>
      </c>
      <c r="AM1925" t="str">
        <f t="shared" si="802"/>
        <v>No usa</v>
      </c>
      <c r="AN1925">
        <v>1</v>
      </c>
      <c r="AO1925" t="str">
        <f t="shared" si="803"/>
        <v>Usa Transporte</v>
      </c>
      <c r="AP1925">
        <v>0</v>
      </c>
      <c r="AQ1925" t="str">
        <f t="shared" si="804"/>
        <v>No camina</v>
      </c>
      <c r="AR1925">
        <v>1</v>
      </c>
      <c r="AS1925" t="str">
        <f t="shared" si="805"/>
        <v>Es Obeso</v>
      </c>
    </row>
    <row r="1926" spans="1:45" x14ac:dyDescent="0.25">
      <c r="A1926">
        <v>0</v>
      </c>
      <c r="B1926" t="str">
        <f t="shared" si="780"/>
        <v>F</v>
      </c>
      <c r="C1926">
        <v>21704699</v>
      </c>
      <c r="D1926">
        <f t="shared" si="781"/>
        <v>59</v>
      </c>
      <c r="E1926">
        <f t="shared" si="782"/>
        <v>59</v>
      </c>
      <c r="F1926" t="str">
        <f t="shared" si="783"/>
        <v>50-75</v>
      </c>
      <c r="G1926">
        <v>1</v>
      </c>
      <c r="H1926" t="str">
        <f t="shared" si="784"/>
        <v>Pariente gordo</v>
      </c>
      <c r="I1926">
        <v>1</v>
      </c>
      <c r="J1926" t="str">
        <f t="shared" si="785"/>
        <v>Hipercaloricos</v>
      </c>
      <c r="K1926">
        <v>3</v>
      </c>
      <c r="L1926">
        <f t="shared" si="786"/>
        <v>1</v>
      </c>
      <c r="M1926" t="str">
        <f t="shared" si="787"/>
        <v>Suele comer</v>
      </c>
      <c r="N1926">
        <v>3</v>
      </c>
      <c r="O1926">
        <f t="shared" si="788"/>
        <v>2</v>
      </c>
      <c r="P1926" t="str">
        <f t="shared" si="789"/>
        <v>Mas de 3</v>
      </c>
      <c r="Q1926">
        <v>1</v>
      </c>
      <c r="R1926" t="str">
        <f t="shared" si="790"/>
        <v>A veces</v>
      </c>
      <c r="S1926">
        <v>0</v>
      </c>
      <c r="T1926" t="str">
        <f t="shared" si="791"/>
        <v>No fuma</v>
      </c>
      <c r="U1926">
        <v>2531456</v>
      </c>
      <c r="V1926">
        <f t="shared" si="792"/>
        <v>2</v>
      </c>
      <c r="W1926" t="str">
        <f t="shared" si="793"/>
        <v>Siempre</v>
      </c>
      <c r="X1926">
        <v>0</v>
      </c>
      <c r="Y1926" t="str">
        <f t="shared" si="794"/>
        <v>No controla</v>
      </c>
      <c r="Z1926">
        <v>1980738</v>
      </c>
      <c r="AA1926">
        <f t="shared" si="795"/>
        <v>3</v>
      </c>
      <c r="AB1926" t="str">
        <f t="shared" si="796"/>
        <v>Siempre</v>
      </c>
      <c r="AC1926">
        <v>0.83577100000000004</v>
      </c>
      <c r="AD1926">
        <f t="shared" si="797"/>
        <v>0</v>
      </c>
      <c r="AE1926" t="str">
        <f t="shared" si="798"/>
        <v>Nunca</v>
      </c>
      <c r="AF1926">
        <v>1</v>
      </c>
      <c r="AG1926" t="str">
        <f t="shared" si="799"/>
        <v>A veces</v>
      </c>
      <c r="AH1926">
        <v>0</v>
      </c>
      <c r="AI1926" t="str">
        <f t="shared" si="800"/>
        <v>No usa</v>
      </c>
      <c r="AJ1926">
        <v>0</v>
      </c>
      <c r="AK1926" t="str">
        <f t="shared" si="801"/>
        <v>No usa</v>
      </c>
      <c r="AL1926">
        <v>0</v>
      </c>
      <c r="AM1926" t="str">
        <f t="shared" si="802"/>
        <v>No usa</v>
      </c>
      <c r="AN1926">
        <v>1</v>
      </c>
      <c r="AO1926" t="str">
        <f t="shared" si="803"/>
        <v>Usa Transporte</v>
      </c>
      <c r="AP1926">
        <v>0</v>
      </c>
      <c r="AQ1926" t="str">
        <f t="shared" si="804"/>
        <v>No camina</v>
      </c>
      <c r="AR1926">
        <v>1</v>
      </c>
      <c r="AS1926" t="str">
        <f t="shared" si="805"/>
        <v>Es Obeso</v>
      </c>
    </row>
    <row r="1927" spans="1:45" x14ac:dyDescent="0.25">
      <c r="A1927">
        <v>0</v>
      </c>
      <c r="B1927" t="str">
        <f t="shared" si="780"/>
        <v>F</v>
      </c>
      <c r="C1927">
        <v>20089969</v>
      </c>
      <c r="D1927">
        <f t="shared" si="781"/>
        <v>55</v>
      </c>
      <c r="E1927">
        <f t="shared" si="782"/>
        <v>55</v>
      </c>
      <c r="F1927" t="str">
        <f t="shared" si="783"/>
        <v>50-75</v>
      </c>
      <c r="G1927">
        <v>1</v>
      </c>
      <c r="H1927" t="str">
        <f t="shared" si="784"/>
        <v>Pariente gordo</v>
      </c>
      <c r="I1927">
        <v>1</v>
      </c>
      <c r="J1927" t="str">
        <f t="shared" si="785"/>
        <v>Hipercaloricos</v>
      </c>
      <c r="K1927">
        <v>3</v>
      </c>
      <c r="L1927">
        <f t="shared" si="786"/>
        <v>1</v>
      </c>
      <c r="M1927" t="str">
        <f t="shared" si="787"/>
        <v>Suele comer</v>
      </c>
      <c r="N1927">
        <v>3</v>
      </c>
      <c r="O1927">
        <f t="shared" si="788"/>
        <v>2</v>
      </c>
      <c r="P1927" t="str">
        <f t="shared" si="789"/>
        <v>Mas de 3</v>
      </c>
      <c r="Q1927">
        <v>1</v>
      </c>
      <c r="R1927" t="str">
        <f t="shared" si="790"/>
        <v>A veces</v>
      </c>
      <c r="S1927">
        <v>0</v>
      </c>
      <c r="T1927" t="str">
        <f t="shared" si="791"/>
        <v>No fuma</v>
      </c>
      <c r="U1927">
        <v>2226081</v>
      </c>
      <c r="V1927">
        <f t="shared" si="792"/>
        <v>2</v>
      </c>
      <c r="W1927" t="str">
        <f t="shared" si="793"/>
        <v>Siempre</v>
      </c>
      <c r="X1927">
        <v>0</v>
      </c>
      <c r="Y1927" t="str">
        <f t="shared" si="794"/>
        <v>No controla</v>
      </c>
      <c r="Z1927">
        <v>1881761</v>
      </c>
      <c r="AA1927">
        <f t="shared" si="795"/>
        <v>3</v>
      </c>
      <c r="AB1927" t="str">
        <f t="shared" si="796"/>
        <v>Siempre</v>
      </c>
      <c r="AC1927">
        <v>0.93396400000000002</v>
      </c>
      <c r="AD1927">
        <f t="shared" si="797"/>
        <v>0</v>
      </c>
      <c r="AE1927" t="str">
        <f t="shared" si="798"/>
        <v>Nunca</v>
      </c>
      <c r="AF1927">
        <v>1</v>
      </c>
      <c r="AG1927" t="str">
        <f t="shared" si="799"/>
        <v>A veces</v>
      </c>
      <c r="AH1927">
        <v>0</v>
      </c>
      <c r="AI1927" t="str">
        <f t="shared" si="800"/>
        <v>No usa</v>
      </c>
      <c r="AJ1927">
        <v>0</v>
      </c>
      <c r="AK1927" t="str">
        <f t="shared" si="801"/>
        <v>No usa</v>
      </c>
      <c r="AL1927">
        <v>0</v>
      </c>
      <c r="AM1927" t="str">
        <f t="shared" si="802"/>
        <v>No usa</v>
      </c>
      <c r="AN1927">
        <v>1</v>
      </c>
      <c r="AO1927" t="str">
        <f t="shared" si="803"/>
        <v>Usa Transporte</v>
      </c>
      <c r="AP1927">
        <v>0</v>
      </c>
      <c r="AQ1927" t="str">
        <f t="shared" si="804"/>
        <v>No camina</v>
      </c>
      <c r="AR1927">
        <v>1</v>
      </c>
      <c r="AS1927" t="str">
        <f t="shared" si="805"/>
        <v>Es Obeso</v>
      </c>
    </row>
    <row r="1928" spans="1:45" x14ac:dyDescent="0.25">
      <c r="A1928">
        <v>0</v>
      </c>
      <c r="B1928" t="str">
        <f t="shared" si="780"/>
        <v>F</v>
      </c>
      <c r="C1928">
        <v>18120739</v>
      </c>
      <c r="D1928">
        <f t="shared" si="781"/>
        <v>49</v>
      </c>
      <c r="E1928">
        <f t="shared" si="782"/>
        <v>49</v>
      </c>
      <c r="F1928" t="str">
        <f t="shared" si="783"/>
        <v>25-50</v>
      </c>
      <c r="G1928">
        <v>1</v>
      </c>
      <c r="H1928" t="str">
        <f t="shared" si="784"/>
        <v>Pariente gordo</v>
      </c>
      <c r="I1928">
        <v>1</v>
      </c>
      <c r="J1928" t="str">
        <f t="shared" si="785"/>
        <v>Hipercaloricos</v>
      </c>
      <c r="K1928">
        <v>3</v>
      </c>
      <c r="L1928">
        <f t="shared" si="786"/>
        <v>1</v>
      </c>
      <c r="M1928" t="str">
        <f t="shared" si="787"/>
        <v>Suele comer</v>
      </c>
      <c r="N1928">
        <v>3</v>
      </c>
      <c r="O1928">
        <f t="shared" si="788"/>
        <v>2</v>
      </c>
      <c r="P1928" t="str">
        <f t="shared" si="789"/>
        <v>Mas de 3</v>
      </c>
      <c r="Q1928">
        <v>1</v>
      </c>
      <c r="R1928" t="str">
        <f t="shared" si="790"/>
        <v>A veces</v>
      </c>
      <c r="S1928">
        <v>0</v>
      </c>
      <c r="T1928" t="str">
        <f t="shared" si="791"/>
        <v>No fuma</v>
      </c>
      <c r="U1928">
        <v>2164718</v>
      </c>
      <c r="V1928">
        <f t="shared" si="792"/>
        <v>2</v>
      </c>
      <c r="W1928" t="str">
        <f t="shared" si="793"/>
        <v>Siempre</v>
      </c>
      <c r="X1928">
        <v>0</v>
      </c>
      <c r="Y1928" t="str">
        <f t="shared" si="794"/>
        <v>No controla</v>
      </c>
      <c r="Z1928">
        <v>1999631</v>
      </c>
      <c r="AA1928">
        <f t="shared" si="795"/>
        <v>3</v>
      </c>
      <c r="AB1928" t="str">
        <f t="shared" si="796"/>
        <v>Siempre</v>
      </c>
      <c r="AC1928">
        <v>0.94133599999999995</v>
      </c>
      <c r="AD1928">
        <f t="shared" si="797"/>
        <v>0</v>
      </c>
      <c r="AE1928" t="str">
        <f t="shared" si="798"/>
        <v>Nunca</v>
      </c>
      <c r="AF1928">
        <v>1</v>
      </c>
      <c r="AG1928" t="str">
        <f t="shared" si="799"/>
        <v>A veces</v>
      </c>
      <c r="AH1928">
        <v>0</v>
      </c>
      <c r="AI1928" t="str">
        <f t="shared" si="800"/>
        <v>No usa</v>
      </c>
      <c r="AJ1928">
        <v>0</v>
      </c>
      <c r="AK1928" t="str">
        <f t="shared" si="801"/>
        <v>No usa</v>
      </c>
      <c r="AL1928">
        <v>0</v>
      </c>
      <c r="AM1928" t="str">
        <f t="shared" si="802"/>
        <v>No usa</v>
      </c>
      <c r="AN1928">
        <v>1</v>
      </c>
      <c r="AO1928" t="str">
        <f t="shared" si="803"/>
        <v>Usa Transporte</v>
      </c>
      <c r="AP1928">
        <v>0</v>
      </c>
      <c r="AQ1928" t="str">
        <f t="shared" si="804"/>
        <v>No camina</v>
      </c>
      <c r="AR1928">
        <v>1</v>
      </c>
      <c r="AS1928" t="str">
        <f t="shared" si="805"/>
        <v>Es Obeso</v>
      </c>
    </row>
    <row r="1929" spans="1:45" x14ac:dyDescent="0.25">
      <c r="A1929">
        <v>0</v>
      </c>
      <c r="B1929" t="str">
        <f t="shared" si="780"/>
        <v>F</v>
      </c>
      <c r="C1929">
        <v>26</v>
      </c>
      <c r="D1929">
        <f t="shared" si="781"/>
        <v>26</v>
      </c>
      <c r="E1929">
        <f t="shared" si="782"/>
        <v>26</v>
      </c>
      <c r="F1929" t="str">
        <f t="shared" si="783"/>
        <v>25-50</v>
      </c>
      <c r="G1929">
        <v>1</v>
      </c>
      <c r="H1929" t="str">
        <f t="shared" si="784"/>
        <v>Pariente gordo</v>
      </c>
      <c r="I1929">
        <v>1</v>
      </c>
      <c r="J1929" t="str">
        <f t="shared" si="785"/>
        <v>Hipercaloricos</v>
      </c>
      <c r="K1929">
        <v>3</v>
      </c>
      <c r="L1929">
        <f t="shared" si="786"/>
        <v>1</v>
      </c>
      <c r="M1929" t="str">
        <f t="shared" si="787"/>
        <v>Suele comer</v>
      </c>
      <c r="N1929">
        <v>3</v>
      </c>
      <c r="O1929">
        <f t="shared" si="788"/>
        <v>2</v>
      </c>
      <c r="P1929" t="str">
        <f t="shared" si="789"/>
        <v>Mas de 3</v>
      </c>
      <c r="Q1929">
        <v>1</v>
      </c>
      <c r="R1929" t="str">
        <f t="shared" si="790"/>
        <v>A veces</v>
      </c>
      <c r="S1929">
        <v>0</v>
      </c>
      <c r="T1929" t="str">
        <f t="shared" si="791"/>
        <v>No fuma</v>
      </c>
      <c r="U1929">
        <v>2770732</v>
      </c>
      <c r="V1929">
        <f t="shared" si="792"/>
        <v>2</v>
      </c>
      <c r="W1929" t="str">
        <f t="shared" si="793"/>
        <v>Siempre</v>
      </c>
      <c r="X1929">
        <v>0</v>
      </c>
      <c r="Y1929" t="str">
        <f t="shared" si="794"/>
        <v>No controla</v>
      </c>
      <c r="Z1929">
        <v>0</v>
      </c>
      <c r="AA1929">
        <f t="shared" si="795"/>
        <v>0</v>
      </c>
      <c r="AB1929" t="str">
        <f t="shared" si="796"/>
        <v>Nunca</v>
      </c>
      <c r="AC1929">
        <v>0.12523500000000001</v>
      </c>
      <c r="AD1929">
        <f t="shared" si="797"/>
        <v>0</v>
      </c>
      <c r="AE1929" t="str">
        <f t="shared" si="798"/>
        <v>Nunca</v>
      </c>
      <c r="AF1929">
        <v>1</v>
      </c>
      <c r="AG1929" t="str">
        <f t="shared" si="799"/>
        <v>A veces</v>
      </c>
      <c r="AH1929">
        <v>0</v>
      </c>
      <c r="AI1929" t="str">
        <f t="shared" si="800"/>
        <v>No usa</v>
      </c>
      <c r="AJ1929">
        <v>0</v>
      </c>
      <c r="AK1929" t="str">
        <f t="shared" si="801"/>
        <v>No usa</v>
      </c>
      <c r="AL1929">
        <v>0</v>
      </c>
      <c r="AM1929" t="str">
        <f t="shared" si="802"/>
        <v>No usa</v>
      </c>
      <c r="AN1929">
        <v>1</v>
      </c>
      <c r="AO1929" t="str">
        <f t="shared" si="803"/>
        <v>Usa Transporte</v>
      </c>
      <c r="AP1929">
        <v>0</v>
      </c>
      <c r="AQ1929" t="str">
        <f t="shared" si="804"/>
        <v>No camina</v>
      </c>
      <c r="AR1929">
        <v>1</v>
      </c>
      <c r="AS1929" t="str">
        <f t="shared" si="805"/>
        <v>Es Obeso</v>
      </c>
    </row>
    <row r="1930" spans="1:45" x14ac:dyDescent="0.25">
      <c r="A1930">
        <v>0</v>
      </c>
      <c r="B1930" t="str">
        <f t="shared" si="780"/>
        <v>F</v>
      </c>
      <c r="C1930">
        <v>26</v>
      </c>
      <c r="D1930">
        <f t="shared" si="781"/>
        <v>26</v>
      </c>
      <c r="E1930">
        <f t="shared" si="782"/>
        <v>26</v>
      </c>
      <c r="F1930" t="str">
        <f t="shared" si="783"/>
        <v>25-50</v>
      </c>
      <c r="G1930">
        <v>1</v>
      </c>
      <c r="H1930" t="str">
        <f t="shared" si="784"/>
        <v>Pariente gordo</v>
      </c>
      <c r="I1930">
        <v>1</v>
      </c>
      <c r="J1930" t="str">
        <f t="shared" si="785"/>
        <v>Hipercaloricos</v>
      </c>
      <c r="K1930">
        <v>3</v>
      </c>
      <c r="L1930">
        <f t="shared" si="786"/>
        <v>1</v>
      </c>
      <c r="M1930" t="str">
        <f t="shared" si="787"/>
        <v>Suele comer</v>
      </c>
      <c r="N1930">
        <v>3</v>
      </c>
      <c r="O1930">
        <f t="shared" si="788"/>
        <v>2</v>
      </c>
      <c r="P1930" t="str">
        <f t="shared" si="789"/>
        <v>Mas de 3</v>
      </c>
      <c r="Q1930">
        <v>1</v>
      </c>
      <c r="R1930" t="str">
        <f t="shared" si="790"/>
        <v>A veces</v>
      </c>
      <c r="S1930">
        <v>0</v>
      </c>
      <c r="T1930" t="str">
        <f t="shared" si="791"/>
        <v>No fuma</v>
      </c>
      <c r="U1930">
        <v>2814517</v>
      </c>
      <c r="V1930">
        <f t="shared" si="792"/>
        <v>2</v>
      </c>
      <c r="W1930" t="str">
        <f t="shared" si="793"/>
        <v>Siempre</v>
      </c>
      <c r="X1930">
        <v>0</v>
      </c>
      <c r="Y1930" t="str">
        <f t="shared" si="794"/>
        <v>No controla</v>
      </c>
      <c r="Z1930">
        <v>0</v>
      </c>
      <c r="AA1930">
        <f t="shared" si="795"/>
        <v>0</v>
      </c>
      <c r="AB1930" t="str">
        <f t="shared" si="796"/>
        <v>Nunca</v>
      </c>
      <c r="AC1930">
        <v>0.10159799999999999</v>
      </c>
      <c r="AD1930">
        <f t="shared" si="797"/>
        <v>0</v>
      </c>
      <c r="AE1930" t="str">
        <f t="shared" si="798"/>
        <v>Nunca</v>
      </c>
      <c r="AF1930">
        <v>1</v>
      </c>
      <c r="AG1930" t="str">
        <f t="shared" si="799"/>
        <v>A veces</v>
      </c>
      <c r="AH1930">
        <v>0</v>
      </c>
      <c r="AI1930" t="str">
        <f t="shared" si="800"/>
        <v>No usa</v>
      </c>
      <c r="AJ1930">
        <v>0</v>
      </c>
      <c r="AK1930" t="str">
        <f t="shared" si="801"/>
        <v>No usa</v>
      </c>
      <c r="AL1930">
        <v>0</v>
      </c>
      <c r="AM1930" t="str">
        <f t="shared" si="802"/>
        <v>No usa</v>
      </c>
      <c r="AN1930">
        <v>1</v>
      </c>
      <c r="AO1930" t="str">
        <f t="shared" si="803"/>
        <v>Usa Transporte</v>
      </c>
      <c r="AP1930">
        <v>0</v>
      </c>
      <c r="AQ1930" t="str">
        <f t="shared" si="804"/>
        <v>No camina</v>
      </c>
      <c r="AR1930">
        <v>1</v>
      </c>
      <c r="AS1930" t="str">
        <f t="shared" si="805"/>
        <v>Es Obeso</v>
      </c>
    </row>
    <row r="1931" spans="1:45" x14ac:dyDescent="0.25">
      <c r="A1931">
        <v>0</v>
      </c>
      <c r="B1931" t="str">
        <f t="shared" si="780"/>
        <v>F</v>
      </c>
      <c r="C1931">
        <v>25986185</v>
      </c>
      <c r="D1931">
        <f t="shared" si="781"/>
        <v>71</v>
      </c>
      <c r="E1931">
        <f t="shared" si="782"/>
        <v>71</v>
      </c>
      <c r="F1931" t="str">
        <f t="shared" si="783"/>
        <v>50-75</v>
      </c>
      <c r="G1931">
        <v>1</v>
      </c>
      <c r="H1931" t="str">
        <f t="shared" si="784"/>
        <v>Pariente gordo</v>
      </c>
      <c r="I1931">
        <v>1</v>
      </c>
      <c r="J1931" t="str">
        <f t="shared" si="785"/>
        <v>Hipercaloricos</v>
      </c>
      <c r="K1931">
        <v>3</v>
      </c>
      <c r="L1931">
        <f t="shared" si="786"/>
        <v>1</v>
      </c>
      <c r="M1931" t="str">
        <f t="shared" si="787"/>
        <v>Suele comer</v>
      </c>
      <c r="N1931">
        <v>3</v>
      </c>
      <c r="O1931">
        <f t="shared" si="788"/>
        <v>2</v>
      </c>
      <c r="P1931" t="str">
        <f t="shared" si="789"/>
        <v>Mas de 3</v>
      </c>
      <c r="Q1931">
        <v>1</v>
      </c>
      <c r="R1931" t="str">
        <f t="shared" si="790"/>
        <v>A veces</v>
      </c>
      <c r="S1931">
        <v>0</v>
      </c>
      <c r="T1931" t="str">
        <f t="shared" si="791"/>
        <v>No fuma</v>
      </c>
      <c r="U1931">
        <v>1626467</v>
      </c>
      <c r="V1931">
        <f t="shared" si="792"/>
        <v>2</v>
      </c>
      <c r="W1931" t="str">
        <f t="shared" si="793"/>
        <v>Siempre</v>
      </c>
      <c r="X1931">
        <v>0</v>
      </c>
      <c r="Y1931" t="str">
        <f t="shared" si="794"/>
        <v>No controla</v>
      </c>
      <c r="Z1931">
        <v>1.0182999999999999E-2</v>
      </c>
      <c r="AA1931">
        <f t="shared" si="795"/>
        <v>0</v>
      </c>
      <c r="AB1931" t="str">
        <f t="shared" si="796"/>
        <v>Nunca</v>
      </c>
      <c r="AC1931">
        <v>0.41280600000000001</v>
      </c>
      <c r="AD1931">
        <f t="shared" si="797"/>
        <v>0</v>
      </c>
      <c r="AE1931" t="str">
        <f t="shared" si="798"/>
        <v>Nunca</v>
      </c>
      <c r="AF1931">
        <v>1</v>
      </c>
      <c r="AG1931" t="str">
        <f t="shared" si="799"/>
        <v>A veces</v>
      </c>
      <c r="AH1931">
        <v>0</v>
      </c>
      <c r="AI1931" t="str">
        <f t="shared" si="800"/>
        <v>No usa</v>
      </c>
      <c r="AJ1931">
        <v>0</v>
      </c>
      <c r="AK1931" t="str">
        <f t="shared" si="801"/>
        <v>No usa</v>
      </c>
      <c r="AL1931">
        <v>0</v>
      </c>
      <c r="AM1931" t="str">
        <f t="shared" si="802"/>
        <v>No usa</v>
      </c>
      <c r="AN1931">
        <v>1</v>
      </c>
      <c r="AO1931" t="str">
        <f t="shared" si="803"/>
        <v>Usa Transporte</v>
      </c>
      <c r="AP1931">
        <v>0</v>
      </c>
      <c r="AQ1931" t="str">
        <f t="shared" si="804"/>
        <v>No camina</v>
      </c>
      <c r="AR1931">
        <v>1</v>
      </c>
      <c r="AS1931" t="str">
        <f t="shared" si="805"/>
        <v>Es Obeso</v>
      </c>
    </row>
    <row r="1932" spans="1:45" x14ac:dyDescent="0.25">
      <c r="A1932">
        <v>0</v>
      </c>
      <c r="B1932" t="str">
        <f t="shared" si="780"/>
        <v>F</v>
      </c>
      <c r="C1932">
        <v>25982113</v>
      </c>
      <c r="D1932">
        <f t="shared" si="781"/>
        <v>71</v>
      </c>
      <c r="E1932">
        <f t="shared" si="782"/>
        <v>71</v>
      </c>
      <c r="F1932" t="str">
        <f t="shared" si="783"/>
        <v>50-75</v>
      </c>
      <c r="G1932">
        <v>1</v>
      </c>
      <c r="H1932" t="str">
        <f t="shared" si="784"/>
        <v>Pariente gordo</v>
      </c>
      <c r="I1932">
        <v>1</v>
      </c>
      <c r="J1932" t="str">
        <f t="shared" si="785"/>
        <v>Hipercaloricos</v>
      </c>
      <c r="K1932">
        <v>3</v>
      </c>
      <c r="L1932">
        <f t="shared" si="786"/>
        <v>1</v>
      </c>
      <c r="M1932" t="str">
        <f t="shared" si="787"/>
        <v>Suele comer</v>
      </c>
      <c r="N1932">
        <v>3</v>
      </c>
      <c r="O1932">
        <f t="shared" si="788"/>
        <v>2</v>
      </c>
      <c r="P1932" t="str">
        <f t="shared" si="789"/>
        <v>Mas de 3</v>
      </c>
      <c r="Q1932">
        <v>1</v>
      </c>
      <c r="R1932" t="str">
        <f t="shared" si="790"/>
        <v>A veces</v>
      </c>
      <c r="S1932">
        <v>0</v>
      </c>
      <c r="T1932" t="str">
        <f t="shared" si="791"/>
        <v>No fuma</v>
      </c>
      <c r="U1932">
        <v>148075</v>
      </c>
      <c r="V1932">
        <f t="shared" si="792"/>
        <v>2</v>
      </c>
      <c r="W1932" t="str">
        <f t="shared" si="793"/>
        <v>Siempre</v>
      </c>
      <c r="X1932">
        <v>0</v>
      </c>
      <c r="Y1932" t="str">
        <f t="shared" si="794"/>
        <v>No controla</v>
      </c>
      <c r="Z1932">
        <v>9.8043000000000005E-2</v>
      </c>
      <c r="AA1932">
        <f t="shared" si="795"/>
        <v>0</v>
      </c>
      <c r="AB1932" t="str">
        <f t="shared" si="796"/>
        <v>Nunca</v>
      </c>
      <c r="AC1932">
        <v>0.66349199999999997</v>
      </c>
      <c r="AD1932">
        <f t="shared" si="797"/>
        <v>0</v>
      </c>
      <c r="AE1932" t="str">
        <f t="shared" si="798"/>
        <v>Nunca</v>
      </c>
      <c r="AF1932">
        <v>1</v>
      </c>
      <c r="AG1932" t="str">
        <f t="shared" si="799"/>
        <v>A veces</v>
      </c>
      <c r="AH1932">
        <v>0</v>
      </c>
      <c r="AI1932" t="str">
        <f t="shared" si="800"/>
        <v>No usa</v>
      </c>
      <c r="AJ1932">
        <v>0</v>
      </c>
      <c r="AK1932" t="str">
        <f t="shared" si="801"/>
        <v>No usa</v>
      </c>
      <c r="AL1932">
        <v>0</v>
      </c>
      <c r="AM1932" t="str">
        <f t="shared" si="802"/>
        <v>No usa</v>
      </c>
      <c r="AN1932">
        <v>1</v>
      </c>
      <c r="AO1932" t="str">
        <f t="shared" si="803"/>
        <v>Usa Transporte</v>
      </c>
      <c r="AP1932">
        <v>0</v>
      </c>
      <c r="AQ1932" t="str">
        <f t="shared" si="804"/>
        <v>No camina</v>
      </c>
      <c r="AR1932">
        <v>1</v>
      </c>
      <c r="AS1932" t="str">
        <f t="shared" si="805"/>
        <v>Es Obeso</v>
      </c>
    </row>
    <row r="1933" spans="1:45" x14ac:dyDescent="0.25">
      <c r="A1933">
        <v>0</v>
      </c>
      <c r="B1933" t="str">
        <f t="shared" si="780"/>
        <v>F</v>
      </c>
      <c r="C1933">
        <v>25748627</v>
      </c>
      <c r="D1933">
        <f t="shared" si="781"/>
        <v>70</v>
      </c>
      <c r="E1933">
        <f t="shared" si="782"/>
        <v>70</v>
      </c>
      <c r="F1933" t="str">
        <f t="shared" si="783"/>
        <v>50-75</v>
      </c>
      <c r="G1933">
        <v>1</v>
      </c>
      <c r="H1933" t="str">
        <f t="shared" si="784"/>
        <v>Pariente gordo</v>
      </c>
      <c r="I1933">
        <v>1</v>
      </c>
      <c r="J1933" t="str">
        <f t="shared" si="785"/>
        <v>Hipercaloricos</v>
      </c>
      <c r="K1933">
        <v>3</v>
      </c>
      <c r="L1933">
        <f t="shared" si="786"/>
        <v>1</v>
      </c>
      <c r="M1933" t="str">
        <f t="shared" si="787"/>
        <v>Suele comer</v>
      </c>
      <c r="N1933">
        <v>3</v>
      </c>
      <c r="O1933">
        <f t="shared" si="788"/>
        <v>2</v>
      </c>
      <c r="P1933" t="str">
        <f t="shared" si="789"/>
        <v>Mas de 3</v>
      </c>
      <c r="Q1933">
        <v>1</v>
      </c>
      <c r="R1933" t="str">
        <f t="shared" si="790"/>
        <v>A veces</v>
      </c>
      <c r="S1933">
        <v>0</v>
      </c>
      <c r="T1933" t="str">
        <f t="shared" si="791"/>
        <v>No fuma</v>
      </c>
      <c r="U1933">
        <v>1526416</v>
      </c>
      <c r="V1933">
        <f t="shared" si="792"/>
        <v>2</v>
      </c>
      <c r="W1933" t="str">
        <f t="shared" si="793"/>
        <v>Siempre</v>
      </c>
      <c r="X1933">
        <v>0</v>
      </c>
      <c r="Y1933" t="str">
        <f t="shared" si="794"/>
        <v>No controla</v>
      </c>
      <c r="Z1933">
        <v>0.18015800000000001</v>
      </c>
      <c r="AA1933">
        <f t="shared" si="795"/>
        <v>0</v>
      </c>
      <c r="AB1933" t="str">
        <f t="shared" si="796"/>
        <v>Nunca</v>
      </c>
      <c r="AC1933">
        <v>0.74790900000000005</v>
      </c>
      <c r="AD1933">
        <f t="shared" si="797"/>
        <v>0</v>
      </c>
      <c r="AE1933" t="str">
        <f t="shared" si="798"/>
        <v>Nunca</v>
      </c>
      <c r="AF1933">
        <v>1</v>
      </c>
      <c r="AG1933" t="str">
        <f t="shared" si="799"/>
        <v>A veces</v>
      </c>
      <c r="AH1933">
        <v>0</v>
      </c>
      <c r="AI1933" t="str">
        <f t="shared" si="800"/>
        <v>No usa</v>
      </c>
      <c r="AJ1933">
        <v>0</v>
      </c>
      <c r="AK1933" t="str">
        <f t="shared" si="801"/>
        <v>No usa</v>
      </c>
      <c r="AL1933">
        <v>0</v>
      </c>
      <c r="AM1933" t="str">
        <f t="shared" si="802"/>
        <v>No usa</v>
      </c>
      <c r="AN1933">
        <v>1</v>
      </c>
      <c r="AO1933" t="str">
        <f t="shared" si="803"/>
        <v>Usa Transporte</v>
      </c>
      <c r="AP1933">
        <v>0</v>
      </c>
      <c r="AQ1933" t="str">
        <f t="shared" si="804"/>
        <v>No camina</v>
      </c>
      <c r="AR1933">
        <v>1</v>
      </c>
      <c r="AS1933" t="str">
        <f t="shared" si="805"/>
        <v>Es Obeso</v>
      </c>
    </row>
    <row r="1934" spans="1:45" x14ac:dyDescent="0.25">
      <c r="A1934">
        <v>0</v>
      </c>
      <c r="B1934" t="str">
        <f t="shared" si="780"/>
        <v>F</v>
      </c>
      <c r="C1934">
        <v>25959772</v>
      </c>
      <c r="D1934">
        <f t="shared" si="781"/>
        <v>71</v>
      </c>
      <c r="E1934">
        <f t="shared" si="782"/>
        <v>71</v>
      </c>
      <c r="F1934" t="str">
        <f t="shared" si="783"/>
        <v>50-75</v>
      </c>
      <c r="G1934">
        <v>1</v>
      </c>
      <c r="H1934" t="str">
        <f t="shared" si="784"/>
        <v>Pariente gordo</v>
      </c>
      <c r="I1934">
        <v>1</v>
      </c>
      <c r="J1934" t="str">
        <f t="shared" si="785"/>
        <v>Hipercaloricos</v>
      </c>
      <c r="K1934">
        <v>3</v>
      </c>
      <c r="L1934">
        <f t="shared" si="786"/>
        <v>1</v>
      </c>
      <c r="M1934" t="str">
        <f t="shared" si="787"/>
        <v>Suele comer</v>
      </c>
      <c r="N1934">
        <v>3</v>
      </c>
      <c r="O1934">
        <f t="shared" si="788"/>
        <v>2</v>
      </c>
      <c r="P1934" t="str">
        <f t="shared" si="789"/>
        <v>Mas de 3</v>
      </c>
      <c r="Q1934">
        <v>1</v>
      </c>
      <c r="R1934" t="str">
        <f t="shared" si="790"/>
        <v>A veces</v>
      </c>
      <c r="S1934">
        <v>0</v>
      </c>
      <c r="T1934" t="str">
        <f t="shared" si="791"/>
        <v>No fuma</v>
      </c>
      <c r="U1934">
        <v>1482002</v>
      </c>
      <c r="V1934">
        <f t="shared" si="792"/>
        <v>2</v>
      </c>
      <c r="W1934" t="str">
        <f t="shared" si="793"/>
        <v>Siempre</v>
      </c>
      <c r="X1934">
        <v>0</v>
      </c>
      <c r="Y1934" t="str">
        <f t="shared" si="794"/>
        <v>No controla</v>
      </c>
      <c r="Z1934">
        <v>0.20410800000000001</v>
      </c>
      <c r="AA1934">
        <f t="shared" si="795"/>
        <v>0</v>
      </c>
      <c r="AB1934" t="str">
        <f t="shared" si="796"/>
        <v>Nunca</v>
      </c>
      <c r="AC1934">
        <v>0.65722100000000006</v>
      </c>
      <c r="AD1934">
        <f t="shared" si="797"/>
        <v>0</v>
      </c>
      <c r="AE1934" t="str">
        <f t="shared" si="798"/>
        <v>Nunca</v>
      </c>
      <c r="AF1934">
        <v>1</v>
      </c>
      <c r="AG1934" t="str">
        <f t="shared" si="799"/>
        <v>A veces</v>
      </c>
      <c r="AH1934">
        <v>0</v>
      </c>
      <c r="AI1934" t="str">
        <f t="shared" si="800"/>
        <v>No usa</v>
      </c>
      <c r="AJ1934">
        <v>0</v>
      </c>
      <c r="AK1934" t="str">
        <f t="shared" si="801"/>
        <v>No usa</v>
      </c>
      <c r="AL1934">
        <v>0</v>
      </c>
      <c r="AM1934" t="str">
        <f t="shared" si="802"/>
        <v>No usa</v>
      </c>
      <c r="AN1934">
        <v>1</v>
      </c>
      <c r="AO1934" t="str">
        <f t="shared" si="803"/>
        <v>Usa Transporte</v>
      </c>
      <c r="AP1934">
        <v>0</v>
      </c>
      <c r="AQ1934" t="str">
        <f t="shared" si="804"/>
        <v>No camina</v>
      </c>
      <c r="AR1934">
        <v>1</v>
      </c>
      <c r="AS1934" t="str">
        <f t="shared" si="805"/>
        <v>Es Obeso</v>
      </c>
    </row>
    <row r="1935" spans="1:45" x14ac:dyDescent="0.25">
      <c r="A1935">
        <v>0</v>
      </c>
      <c r="B1935" t="str">
        <f t="shared" si="780"/>
        <v>F</v>
      </c>
      <c r="C1935">
        <v>25653233</v>
      </c>
      <c r="D1935">
        <f t="shared" si="781"/>
        <v>70</v>
      </c>
      <c r="E1935">
        <f t="shared" si="782"/>
        <v>70</v>
      </c>
      <c r="F1935" t="str">
        <f t="shared" si="783"/>
        <v>50-75</v>
      </c>
      <c r="G1935">
        <v>1</v>
      </c>
      <c r="H1935" t="str">
        <f t="shared" si="784"/>
        <v>Pariente gordo</v>
      </c>
      <c r="I1935">
        <v>1</v>
      </c>
      <c r="J1935" t="str">
        <f t="shared" si="785"/>
        <v>Hipercaloricos</v>
      </c>
      <c r="K1935">
        <v>3</v>
      </c>
      <c r="L1935">
        <f t="shared" si="786"/>
        <v>1</v>
      </c>
      <c r="M1935" t="str">
        <f t="shared" si="787"/>
        <v>Suele comer</v>
      </c>
      <c r="N1935">
        <v>3</v>
      </c>
      <c r="O1935">
        <f t="shared" si="788"/>
        <v>2</v>
      </c>
      <c r="P1935" t="str">
        <f t="shared" si="789"/>
        <v>Mas de 3</v>
      </c>
      <c r="Q1935">
        <v>1</v>
      </c>
      <c r="R1935" t="str">
        <f t="shared" si="790"/>
        <v>A veces</v>
      </c>
      <c r="S1935">
        <v>0</v>
      </c>
      <c r="T1935" t="str">
        <f t="shared" si="791"/>
        <v>No fuma</v>
      </c>
      <c r="U1935">
        <v>1610472</v>
      </c>
      <c r="V1935">
        <f t="shared" si="792"/>
        <v>2</v>
      </c>
      <c r="W1935" t="str">
        <f t="shared" si="793"/>
        <v>Siempre</v>
      </c>
      <c r="X1935">
        <v>0</v>
      </c>
      <c r="Y1935" t="str">
        <f t="shared" si="794"/>
        <v>No controla</v>
      </c>
      <c r="Z1935">
        <v>2.9728000000000001E-2</v>
      </c>
      <c r="AA1935">
        <f t="shared" si="795"/>
        <v>0</v>
      </c>
      <c r="AB1935" t="str">
        <f t="shared" si="796"/>
        <v>Nunca</v>
      </c>
      <c r="AC1935">
        <v>0.47234300000000001</v>
      </c>
      <c r="AD1935">
        <f t="shared" si="797"/>
        <v>0</v>
      </c>
      <c r="AE1935" t="str">
        <f t="shared" si="798"/>
        <v>Nunca</v>
      </c>
      <c r="AF1935">
        <v>1</v>
      </c>
      <c r="AG1935" t="str">
        <f t="shared" si="799"/>
        <v>A veces</v>
      </c>
      <c r="AH1935">
        <v>0</v>
      </c>
      <c r="AI1935" t="str">
        <f t="shared" si="800"/>
        <v>No usa</v>
      </c>
      <c r="AJ1935">
        <v>0</v>
      </c>
      <c r="AK1935" t="str">
        <f t="shared" si="801"/>
        <v>No usa</v>
      </c>
      <c r="AL1935">
        <v>0</v>
      </c>
      <c r="AM1935" t="str">
        <f t="shared" si="802"/>
        <v>No usa</v>
      </c>
      <c r="AN1935">
        <v>1</v>
      </c>
      <c r="AO1935" t="str">
        <f t="shared" si="803"/>
        <v>Usa Transporte</v>
      </c>
      <c r="AP1935">
        <v>0</v>
      </c>
      <c r="AQ1935" t="str">
        <f t="shared" si="804"/>
        <v>No camina</v>
      </c>
      <c r="AR1935">
        <v>1</v>
      </c>
      <c r="AS1935" t="str">
        <f t="shared" si="805"/>
        <v>Es Obeso</v>
      </c>
    </row>
    <row r="1936" spans="1:45" x14ac:dyDescent="0.25">
      <c r="A1936">
        <v>0</v>
      </c>
      <c r="B1936" t="str">
        <f t="shared" si="780"/>
        <v>F</v>
      </c>
      <c r="C1936">
        <v>25783865</v>
      </c>
      <c r="D1936">
        <f t="shared" si="781"/>
        <v>70</v>
      </c>
      <c r="E1936">
        <f t="shared" si="782"/>
        <v>70</v>
      </c>
      <c r="F1936" t="str">
        <f t="shared" si="783"/>
        <v>50-75</v>
      </c>
      <c r="G1936">
        <v>1</v>
      </c>
      <c r="H1936" t="str">
        <f t="shared" si="784"/>
        <v>Pariente gordo</v>
      </c>
      <c r="I1936">
        <v>1</v>
      </c>
      <c r="J1936" t="str">
        <f t="shared" si="785"/>
        <v>Hipercaloricos</v>
      </c>
      <c r="K1936">
        <v>3</v>
      </c>
      <c r="L1936">
        <f t="shared" si="786"/>
        <v>1</v>
      </c>
      <c r="M1936" t="str">
        <f t="shared" si="787"/>
        <v>Suele comer</v>
      </c>
      <c r="N1936">
        <v>3</v>
      </c>
      <c r="O1936">
        <f t="shared" si="788"/>
        <v>2</v>
      </c>
      <c r="P1936" t="str">
        <f t="shared" si="789"/>
        <v>Mas de 3</v>
      </c>
      <c r="Q1936">
        <v>1</v>
      </c>
      <c r="R1936" t="str">
        <f t="shared" si="790"/>
        <v>A veces</v>
      </c>
      <c r="S1936">
        <v>0</v>
      </c>
      <c r="T1936" t="str">
        <f t="shared" si="791"/>
        <v>No fuma</v>
      </c>
      <c r="U1936">
        <v>1530992</v>
      </c>
      <c r="V1936">
        <f t="shared" si="792"/>
        <v>2</v>
      </c>
      <c r="W1936" t="str">
        <f t="shared" si="793"/>
        <v>Siempre</v>
      </c>
      <c r="X1936">
        <v>0</v>
      </c>
      <c r="Y1936" t="str">
        <f t="shared" si="794"/>
        <v>No controla</v>
      </c>
      <c r="Z1936">
        <v>1.5859999999999999E-2</v>
      </c>
      <c r="AA1936">
        <f t="shared" si="795"/>
        <v>0</v>
      </c>
      <c r="AB1936" t="str">
        <f t="shared" si="796"/>
        <v>Nunca</v>
      </c>
      <c r="AC1936">
        <v>0.44549499999999997</v>
      </c>
      <c r="AD1936">
        <f t="shared" si="797"/>
        <v>0</v>
      </c>
      <c r="AE1936" t="str">
        <f t="shared" si="798"/>
        <v>Nunca</v>
      </c>
      <c r="AF1936">
        <v>1</v>
      </c>
      <c r="AG1936" t="str">
        <f t="shared" si="799"/>
        <v>A veces</v>
      </c>
      <c r="AH1936">
        <v>0</v>
      </c>
      <c r="AI1936" t="str">
        <f t="shared" si="800"/>
        <v>No usa</v>
      </c>
      <c r="AJ1936">
        <v>0</v>
      </c>
      <c r="AK1936" t="str">
        <f t="shared" si="801"/>
        <v>No usa</v>
      </c>
      <c r="AL1936">
        <v>0</v>
      </c>
      <c r="AM1936" t="str">
        <f t="shared" si="802"/>
        <v>No usa</v>
      </c>
      <c r="AN1936">
        <v>1</v>
      </c>
      <c r="AO1936" t="str">
        <f t="shared" si="803"/>
        <v>Usa Transporte</v>
      </c>
      <c r="AP1936">
        <v>0</v>
      </c>
      <c r="AQ1936" t="str">
        <f t="shared" si="804"/>
        <v>No camina</v>
      </c>
      <c r="AR1936">
        <v>1</v>
      </c>
      <c r="AS1936" t="str">
        <f t="shared" si="805"/>
        <v>Es Obeso</v>
      </c>
    </row>
    <row r="1937" spans="1:45" x14ac:dyDescent="0.25">
      <c r="A1937">
        <v>0</v>
      </c>
      <c r="B1937" t="str">
        <f t="shared" si="780"/>
        <v>F</v>
      </c>
      <c r="C1937">
        <v>21412434</v>
      </c>
      <c r="D1937">
        <f t="shared" si="781"/>
        <v>58</v>
      </c>
      <c r="E1937">
        <f t="shared" si="782"/>
        <v>58</v>
      </c>
      <c r="F1937" t="str">
        <f t="shared" si="783"/>
        <v>50-75</v>
      </c>
      <c r="G1937">
        <v>1</v>
      </c>
      <c r="H1937" t="str">
        <f t="shared" si="784"/>
        <v>Pariente gordo</v>
      </c>
      <c r="I1937">
        <v>1</v>
      </c>
      <c r="J1937" t="str">
        <f t="shared" si="785"/>
        <v>Hipercaloricos</v>
      </c>
      <c r="K1937">
        <v>3</v>
      </c>
      <c r="L1937">
        <f t="shared" si="786"/>
        <v>1</v>
      </c>
      <c r="M1937" t="str">
        <f t="shared" si="787"/>
        <v>Suele comer</v>
      </c>
      <c r="N1937">
        <v>3</v>
      </c>
      <c r="O1937">
        <f t="shared" si="788"/>
        <v>2</v>
      </c>
      <c r="P1937" t="str">
        <f t="shared" si="789"/>
        <v>Mas de 3</v>
      </c>
      <c r="Q1937">
        <v>1</v>
      </c>
      <c r="R1937" t="str">
        <f t="shared" si="790"/>
        <v>A veces</v>
      </c>
      <c r="S1937">
        <v>0</v>
      </c>
      <c r="T1937" t="str">
        <f t="shared" si="791"/>
        <v>No fuma</v>
      </c>
      <c r="U1937">
        <v>1484938</v>
      </c>
      <c r="V1937">
        <f t="shared" si="792"/>
        <v>2</v>
      </c>
      <c r="W1937" t="str">
        <f t="shared" si="793"/>
        <v>Siempre</v>
      </c>
      <c r="X1937">
        <v>0</v>
      </c>
      <c r="Y1937" t="str">
        <f t="shared" si="794"/>
        <v>No controla</v>
      </c>
      <c r="Z1937">
        <v>0.74224999999999997</v>
      </c>
      <c r="AA1937">
        <f t="shared" si="795"/>
        <v>0</v>
      </c>
      <c r="AB1937" t="str">
        <f t="shared" si="796"/>
        <v>Nunca</v>
      </c>
      <c r="AC1937">
        <v>0.60469200000000001</v>
      </c>
      <c r="AD1937">
        <f t="shared" si="797"/>
        <v>0</v>
      </c>
      <c r="AE1937" t="str">
        <f t="shared" si="798"/>
        <v>Nunca</v>
      </c>
      <c r="AF1937">
        <v>1</v>
      </c>
      <c r="AG1937" t="str">
        <f t="shared" si="799"/>
        <v>A veces</v>
      </c>
      <c r="AH1937">
        <v>0</v>
      </c>
      <c r="AI1937" t="str">
        <f t="shared" si="800"/>
        <v>No usa</v>
      </c>
      <c r="AJ1937">
        <v>0</v>
      </c>
      <c r="AK1937" t="str">
        <f t="shared" si="801"/>
        <v>No usa</v>
      </c>
      <c r="AL1937">
        <v>0</v>
      </c>
      <c r="AM1937" t="str">
        <f t="shared" si="802"/>
        <v>No usa</v>
      </c>
      <c r="AN1937">
        <v>1</v>
      </c>
      <c r="AO1937" t="str">
        <f t="shared" si="803"/>
        <v>Usa Transporte</v>
      </c>
      <c r="AP1937">
        <v>0</v>
      </c>
      <c r="AQ1937" t="str">
        <f t="shared" si="804"/>
        <v>No camina</v>
      </c>
      <c r="AR1937">
        <v>1</v>
      </c>
      <c r="AS1937" t="str">
        <f t="shared" si="805"/>
        <v>Es Obeso</v>
      </c>
    </row>
    <row r="1938" spans="1:45" x14ac:dyDescent="0.25">
      <c r="A1938">
        <v>0</v>
      </c>
      <c r="B1938" t="str">
        <f t="shared" si="780"/>
        <v>F</v>
      </c>
      <c r="C1938">
        <v>2277789</v>
      </c>
      <c r="D1938">
        <f t="shared" si="781"/>
        <v>6</v>
      </c>
      <c r="E1938">
        <f t="shared" si="782"/>
        <v>6</v>
      </c>
      <c r="F1938" t="str">
        <f t="shared" si="783"/>
        <v>1-25</v>
      </c>
      <c r="G1938">
        <v>1</v>
      </c>
      <c r="H1938" t="str">
        <f t="shared" si="784"/>
        <v>Pariente gordo</v>
      </c>
      <c r="I1938">
        <v>1</v>
      </c>
      <c r="J1938" t="str">
        <f t="shared" si="785"/>
        <v>Hipercaloricos</v>
      </c>
      <c r="K1938">
        <v>3</v>
      </c>
      <c r="L1938">
        <f t="shared" si="786"/>
        <v>1</v>
      </c>
      <c r="M1938" t="str">
        <f t="shared" si="787"/>
        <v>Suele comer</v>
      </c>
      <c r="N1938">
        <v>3</v>
      </c>
      <c r="O1938">
        <f t="shared" si="788"/>
        <v>2</v>
      </c>
      <c r="P1938" t="str">
        <f t="shared" si="789"/>
        <v>Mas de 3</v>
      </c>
      <c r="Q1938">
        <v>1</v>
      </c>
      <c r="R1938" t="str">
        <f t="shared" si="790"/>
        <v>A veces</v>
      </c>
      <c r="S1938">
        <v>0</v>
      </c>
      <c r="T1938" t="str">
        <f t="shared" si="791"/>
        <v>No fuma</v>
      </c>
      <c r="U1938">
        <v>191039</v>
      </c>
      <c r="V1938">
        <f t="shared" si="792"/>
        <v>2</v>
      </c>
      <c r="W1938" t="str">
        <f t="shared" si="793"/>
        <v>Siempre</v>
      </c>
      <c r="X1938">
        <v>0</v>
      </c>
      <c r="Y1938" t="str">
        <f t="shared" si="794"/>
        <v>No controla</v>
      </c>
      <c r="Z1938">
        <v>0.21745500000000001</v>
      </c>
      <c r="AA1938">
        <f t="shared" si="795"/>
        <v>0</v>
      </c>
      <c r="AB1938" t="str">
        <f t="shared" si="796"/>
        <v>Nunca</v>
      </c>
      <c r="AC1938">
        <v>0.77581999999999995</v>
      </c>
      <c r="AD1938">
        <f t="shared" si="797"/>
        <v>0</v>
      </c>
      <c r="AE1938" t="str">
        <f t="shared" si="798"/>
        <v>Nunca</v>
      </c>
      <c r="AF1938">
        <v>1</v>
      </c>
      <c r="AG1938" t="str">
        <f t="shared" si="799"/>
        <v>A veces</v>
      </c>
      <c r="AH1938">
        <v>0</v>
      </c>
      <c r="AI1938" t="str">
        <f t="shared" si="800"/>
        <v>No usa</v>
      </c>
      <c r="AJ1938">
        <v>0</v>
      </c>
      <c r="AK1938" t="str">
        <f t="shared" si="801"/>
        <v>No usa</v>
      </c>
      <c r="AL1938">
        <v>0</v>
      </c>
      <c r="AM1938" t="str">
        <f t="shared" si="802"/>
        <v>No usa</v>
      </c>
      <c r="AN1938">
        <v>1</v>
      </c>
      <c r="AO1938" t="str">
        <f t="shared" si="803"/>
        <v>Usa Transporte</v>
      </c>
      <c r="AP1938">
        <v>0</v>
      </c>
      <c r="AQ1938" t="str">
        <f t="shared" si="804"/>
        <v>No camina</v>
      </c>
      <c r="AR1938">
        <v>1</v>
      </c>
      <c r="AS1938" t="str">
        <f t="shared" si="805"/>
        <v>Es Obeso</v>
      </c>
    </row>
    <row r="1939" spans="1:45" x14ac:dyDescent="0.25">
      <c r="A1939">
        <v>0</v>
      </c>
      <c r="B1939" t="str">
        <f t="shared" si="780"/>
        <v>F</v>
      </c>
      <c r="C1939">
        <v>21140165</v>
      </c>
      <c r="D1939">
        <f t="shared" si="781"/>
        <v>57</v>
      </c>
      <c r="E1939">
        <f t="shared" si="782"/>
        <v>57</v>
      </c>
      <c r="F1939" t="str">
        <f t="shared" si="783"/>
        <v>50-75</v>
      </c>
      <c r="G1939">
        <v>1</v>
      </c>
      <c r="H1939" t="str">
        <f t="shared" si="784"/>
        <v>Pariente gordo</v>
      </c>
      <c r="I1939">
        <v>1</v>
      </c>
      <c r="J1939" t="str">
        <f t="shared" si="785"/>
        <v>Hipercaloricos</v>
      </c>
      <c r="K1939">
        <v>3</v>
      </c>
      <c r="L1939">
        <f t="shared" si="786"/>
        <v>1</v>
      </c>
      <c r="M1939" t="str">
        <f t="shared" si="787"/>
        <v>Suele comer</v>
      </c>
      <c r="N1939">
        <v>3</v>
      </c>
      <c r="O1939">
        <f t="shared" si="788"/>
        <v>2</v>
      </c>
      <c r="P1939" t="str">
        <f t="shared" si="789"/>
        <v>Mas de 3</v>
      </c>
      <c r="Q1939">
        <v>1</v>
      </c>
      <c r="R1939" t="str">
        <f t="shared" si="790"/>
        <v>A veces</v>
      </c>
      <c r="S1939">
        <v>0</v>
      </c>
      <c r="T1939" t="str">
        <f t="shared" si="791"/>
        <v>No fuma</v>
      </c>
      <c r="U1939">
        <v>1411365</v>
      </c>
      <c r="V1939">
        <f t="shared" si="792"/>
        <v>2</v>
      </c>
      <c r="W1939" t="str">
        <f t="shared" si="793"/>
        <v>Siempre</v>
      </c>
      <c r="X1939">
        <v>0</v>
      </c>
      <c r="Y1939" t="str">
        <f t="shared" si="794"/>
        <v>No controla</v>
      </c>
      <c r="Z1939">
        <v>1564618</v>
      </c>
      <c r="AA1939">
        <f t="shared" si="795"/>
        <v>3</v>
      </c>
      <c r="AB1939" t="str">
        <f t="shared" si="796"/>
        <v>Siempre</v>
      </c>
      <c r="AC1939">
        <v>0.91068300000000002</v>
      </c>
      <c r="AD1939">
        <f t="shared" si="797"/>
        <v>0</v>
      </c>
      <c r="AE1939" t="str">
        <f t="shared" si="798"/>
        <v>Nunca</v>
      </c>
      <c r="AF1939">
        <v>1</v>
      </c>
      <c r="AG1939" t="str">
        <f t="shared" si="799"/>
        <v>A veces</v>
      </c>
      <c r="AH1939">
        <v>0</v>
      </c>
      <c r="AI1939" t="str">
        <f t="shared" si="800"/>
        <v>No usa</v>
      </c>
      <c r="AJ1939">
        <v>0</v>
      </c>
      <c r="AK1939" t="str">
        <f t="shared" si="801"/>
        <v>No usa</v>
      </c>
      <c r="AL1939">
        <v>0</v>
      </c>
      <c r="AM1939" t="str">
        <f t="shared" si="802"/>
        <v>No usa</v>
      </c>
      <c r="AN1939">
        <v>1</v>
      </c>
      <c r="AO1939" t="str">
        <f t="shared" si="803"/>
        <v>Usa Transporte</v>
      </c>
      <c r="AP1939">
        <v>0</v>
      </c>
      <c r="AQ1939" t="str">
        <f t="shared" si="804"/>
        <v>No camina</v>
      </c>
      <c r="AR1939">
        <v>1</v>
      </c>
      <c r="AS1939" t="str">
        <f t="shared" si="805"/>
        <v>Es Obeso</v>
      </c>
    </row>
    <row r="1940" spans="1:45" x14ac:dyDescent="0.25">
      <c r="A1940">
        <v>0</v>
      </c>
      <c r="B1940" t="str">
        <f t="shared" si="780"/>
        <v>F</v>
      </c>
      <c r="C1940">
        <v>21413498</v>
      </c>
      <c r="D1940">
        <f t="shared" si="781"/>
        <v>58</v>
      </c>
      <c r="E1940">
        <f t="shared" si="782"/>
        <v>58</v>
      </c>
      <c r="F1940" t="str">
        <f t="shared" si="783"/>
        <v>50-75</v>
      </c>
      <c r="G1940">
        <v>1</v>
      </c>
      <c r="H1940" t="str">
        <f t="shared" si="784"/>
        <v>Pariente gordo</v>
      </c>
      <c r="I1940">
        <v>1</v>
      </c>
      <c r="J1940" t="str">
        <f t="shared" si="785"/>
        <v>Hipercaloricos</v>
      </c>
      <c r="K1940">
        <v>3</v>
      </c>
      <c r="L1940">
        <f t="shared" si="786"/>
        <v>1</v>
      </c>
      <c r="M1940" t="str">
        <f t="shared" si="787"/>
        <v>Suele comer</v>
      </c>
      <c r="N1940">
        <v>3</v>
      </c>
      <c r="O1940">
        <f t="shared" si="788"/>
        <v>2</v>
      </c>
      <c r="P1940" t="str">
        <f t="shared" si="789"/>
        <v>Mas de 3</v>
      </c>
      <c r="Q1940">
        <v>1</v>
      </c>
      <c r="R1940" t="str">
        <f t="shared" si="790"/>
        <v>A veces</v>
      </c>
      <c r="S1940">
        <v>0</v>
      </c>
      <c r="T1940" t="str">
        <f t="shared" si="791"/>
        <v>No fuma</v>
      </c>
      <c r="U1940">
        <v>241752</v>
      </c>
      <c r="V1940">
        <f t="shared" si="792"/>
        <v>2</v>
      </c>
      <c r="W1940" t="str">
        <f t="shared" si="793"/>
        <v>Siempre</v>
      </c>
      <c r="X1940">
        <v>0</v>
      </c>
      <c r="Y1940" t="str">
        <f t="shared" si="794"/>
        <v>No controla</v>
      </c>
      <c r="Z1940">
        <v>1556155</v>
      </c>
      <c r="AA1940">
        <f t="shared" si="795"/>
        <v>3</v>
      </c>
      <c r="AB1940" t="str">
        <f t="shared" si="796"/>
        <v>Siempre</v>
      </c>
      <c r="AC1940">
        <v>0.87393600000000005</v>
      </c>
      <c r="AD1940">
        <f t="shared" si="797"/>
        <v>0</v>
      </c>
      <c r="AE1940" t="str">
        <f t="shared" si="798"/>
        <v>Nunca</v>
      </c>
      <c r="AF1940">
        <v>1</v>
      </c>
      <c r="AG1940" t="str">
        <f t="shared" si="799"/>
        <v>A veces</v>
      </c>
      <c r="AH1940">
        <v>0</v>
      </c>
      <c r="AI1940" t="str">
        <f t="shared" si="800"/>
        <v>No usa</v>
      </c>
      <c r="AJ1940">
        <v>0</v>
      </c>
      <c r="AK1940" t="str">
        <f t="shared" si="801"/>
        <v>No usa</v>
      </c>
      <c r="AL1940">
        <v>0</v>
      </c>
      <c r="AM1940" t="str">
        <f t="shared" si="802"/>
        <v>No usa</v>
      </c>
      <c r="AN1940">
        <v>1</v>
      </c>
      <c r="AO1940" t="str">
        <f t="shared" si="803"/>
        <v>Usa Transporte</v>
      </c>
      <c r="AP1940">
        <v>0</v>
      </c>
      <c r="AQ1940" t="str">
        <f t="shared" si="804"/>
        <v>No camina</v>
      </c>
      <c r="AR1940">
        <v>1</v>
      </c>
      <c r="AS1940" t="str">
        <f t="shared" si="805"/>
        <v>Es Obeso</v>
      </c>
    </row>
    <row r="1941" spans="1:45" x14ac:dyDescent="0.25">
      <c r="A1941">
        <v>0</v>
      </c>
      <c r="B1941" t="str">
        <f t="shared" si="780"/>
        <v>F</v>
      </c>
      <c r="C1941">
        <v>26</v>
      </c>
      <c r="D1941">
        <f t="shared" si="781"/>
        <v>26</v>
      </c>
      <c r="E1941">
        <f t="shared" si="782"/>
        <v>26</v>
      </c>
      <c r="F1941" t="str">
        <f t="shared" si="783"/>
        <v>25-50</v>
      </c>
      <c r="G1941">
        <v>1</v>
      </c>
      <c r="H1941" t="str">
        <f t="shared" si="784"/>
        <v>Pariente gordo</v>
      </c>
      <c r="I1941">
        <v>1</v>
      </c>
      <c r="J1941" t="str">
        <f t="shared" si="785"/>
        <v>Hipercaloricos</v>
      </c>
      <c r="K1941">
        <v>3</v>
      </c>
      <c r="L1941">
        <f t="shared" si="786"/>
        <v>1</v>
      </c>
      <c r="M1941" t="str">
        <f t="shared" si="787"/>
        <v>Suele comer</v>
      </c>
      <c r="N1941">
        <v>3</v>
      </c>
      <c r="O1941">
        <f t="shared" si="788"/>
        <v>2</v>
      </c>
      <c r="P1941" t="str">
        <f t="shared" si="789"/>
        <v>Mas de 3</v>
      </c>
      <c r="Q1941">
        <v>1</v>
      </c>
      <c r="R1941" t="str">
        <f t="shared" si="790"/>
        <v>A veces</v>
      </c>
      <c r="S1941">
        <v>0</v>
      </c>
      <c r="T1941" t="str">
        <f t="shared" si="791"/>
        <v>No fuma</v>
      </c>
      <c r="U1941">
        <v>2688229</v>
      </c>
      <c r="V1941">
        <f t="shared" si="792"/>
        <v>2</v>
      </c>
      <c r="W1941" t="str">
        <f t="shared" si="793"/>
        <v>Siempre</v>
      </c>
      <c r="X1941">
        <v>0</v>
      </c>
      <c r="Y1941" t="str">
        <f t="shared" si="794"/>
        <v>No controla</v>
      </c>
      <c r="Z1941">
        <v>0</v>
      </c>
      <c r="AA1941">
        <f t="shared" si="795"/>
        <v>0</v>
      </c>
      <c r="AB1941" t="str">
        <f t="shared" si="796"/>
        <v>Nunca</v>
      </c>
      <c r="AC1941">
        <v>0.45137699999999997</v>
      </c>
      <c r="AD1941">
        <f t="shared" si="797"/>
        <v>0</v>
      </c>
      <c r="AE1941" t="str">
        <f t="shared" si="798"/>
        <v>Nunca</v>
      </c>
      <c r="AF1941">
        <v>1</v>
      </c>
      <c r="AG1941" t="str">
        <f t="shared" si="799"/>
        <v>A veces</v>
      </c>
      <c r="AH1941">
        <v>0</v>
      </c>
      <c r="AI1941" t="str">
        <f t="shared" si="800"/>
        <v>No usa</v>
      </c>
      <c r="AJ1941">
        <v>0</v>
      </c>
      <c r="AK1941" t="str">
        <f t="shared" si="801"/>
        <v>No usa</v>
      </c>
      <c r="AL1941">
        <v>0</v>
      </c>
      <c r="AM1941" t="str">
        <f t="shared" si="802"/>
        <v>No usa</v>
      </c>
      <c r="AN1941">
        <v>1</v>
      </c>
      <c r="AO1941" t="str">
        <f t="shared" si="803"/>
        <v>Usa Transporte</v>
      </c>
      <c r="AP1941">
        <v>0</v>
      </c>
      <c r="AQ1941" t="str">
        <f t="shared" si="804"/>
        <v>No camina</v>
      </c>
      <c r="AR1941">
        <v>1</v>
      </c>
      <c r="AS1941" t="str">
        <f t="shared" si="805"/>
        <v>Es Obeso</v>
      </c>
    </row>
    <row r="1942" spans="1:45" x14ac:dyDescent="0.25">
      <c r="A1942">
        <v>0</v>
      </c>
      <c r="B1942" t="str">
        <f t="shared" si="780"/>
        <v>F</v>
      </c>
      <c r="C1942">
        <v>26</v>
      </c>
      <c r="D1942">
        <f t="shared" si="781"/>
        <v>26</v>
      </c>
      <c r="E1942">
        <f t="shared" si="782"/>
        <v>26</v>
      </c>
      <c r="F1942" t="str">
        <f t="shared" si="783"/>
        <v>25-50</v>
      </c>
      <c r="G1942">
        <v>1</v>
      </c>
      <c r="H1942" t="str">
        <f t="shared" si="784"/>
        <v>Pariente gordo</v>
      </c>
      <c r="I1942">
        <v>1</v>
      </c>
      <c r="J1942" t="str">
        <f t="shared" si="785"/>
        <v>Hipercaloricos</v>
      </c>
      <c r="K1942">
        <v>3</v>
      </c>
      <c r="L1942">
        <f t="shared" si="786"/>
        <v>1</v>
      </c>
      <c r="M1942" t="str">
        <f t="shared" si="787"/>
        <v>Suele comer</v>
      </c>
      <c r="N1942">
        <v>3</v>
      </c>
      <c r="O1942">
        <f t="shared" si="788"/>
        <v>2</v>
      </c>
      <c r="P1942" t="str">
        <f t="shared" si="789"/>
        <v>Mas de 3</v>
      </c>
      <c r="Q1942">
        <v>1</v>
      </c>
      <c r="R1942" t="str">
        <f t="shared" si="790"/>
        <v>A veces</v>
      </c>
      <c r="S1942">
        <v>0</v>
      </c>
      <c r="T1942" t="str">
        <f t="shared" si="791"/>
        <v>No fuma</v>
      </c>
      <c r="U1942">
        <v>2695094</v>
      </c>
      <c r="V1942">
        <f t="shared" si="792"/>
        <v>2</v>
      </c>
      <c r="W1942" t="str">
        <f t="shared" si="793"/>
        <v>Siempre</v>
      </c>
      <c r="X1942">
        <v>0</v>
      </c>
      <c r="Y1942" t="str">
        <f t="shared" si="794"/>
        <v>No controla</v>
      </c>
      <c r="Z1942">
        <v>0</v>
      </c>
      <c r="AA1942">
        <f t="shared" si="795"/>
        <v>0</v>
      </c>
      <c r="AB1942" t="str">
        <f t="shared" si="796"/>
        <v>Nunca</v>
      </c>
      <c r="AC1942">
        <v>0.41347400000000001</v>
      </c>
      <c r="AD1942">
        <f t="shared" si="797"/>
        <v>0</v>
      </c>
      <c r="AE1942" t="str">
        <f t="shared" si="798"/>
        <v>Nunca</v>
      </c>
      <c r="AF1942">
        <v>1</v>
      </c>
      <c r="AG1942" t="str">
        <f t="shared" si="799"/>
        <v>A veces</v>
      </c>
      <c r="AH1942">
        <v>0</v>
      </c>
      <c r="AI1942" t="str">
        <f t="shared" si="800"/>
        <v>No usa</v>
      </c>
      <c r="AJ1942">
        <v>0</v>
      </c>
      <c r="AK1942" t="str">
        <f t="shared" si="801"/>
        <v>No usa</v>
      </c>
      <c r="AL1942">
        <v>0</v>
      </c>
      <c r="AM1942" t="str">
        <f t="shared" si="802"/>
        <v>No usa</v>
      </c>
      <c r="AN1942">
        <v>1</v>
      </c>
      <c r="AO1942" t="str">
        <f t="shared" si="803"/>
        <v>Usa Transporte</v>
      </c>
      <c r="AP1942">
        <v>0</v>
      </c>
      <c r="AQ1942" t="str">
        <f t="shared" si="804"/>
        <v>No camina</v>
      </c>
      <c r="AR1942">
        <v>1</v>
      </c>
      <c r="AS1942" t="str">
        <f t="shared" si="805"/>
        <v>Es Obeso</v>
      </c>
    </row>
    <row r="1943" spans="1:45" x14ac:dyDescent="0.25">
      <c r="A1943">
        <v>0</v>
      </c>
      <c r="B1943" t="str">
        <f t="shared" si="780"/>
        <v>F</v>
      </c>
      <c r="C1943">
        <v>26</v>
      </c>
      <c r="D1943">
        <f t="shared" si="781"/>
        <v>26</v>
      </c>
      <c r="E1943">
        <f t="shared" si="782"/>
        <v>26</v>
      </c>
      <c r="F1943" t="str">
        <f t="shared" si="783"/>
        <v>25-50</v>
      </c>
      <c r="G1943">
        <v>1</v>
      </c>
      <c r="H1943" t="str">
        <f t="shared" si="784"/>
        <v>Pariente gordo</v>
      </c>
      <c r="I1943">
        <v>1</v>
      </c>
      <c r="J1943" t="str">
        <f t="shared" si="785"/>
        <v>Hipercaloricos</v>
      </c>
      <c r="K1943">
        <v>3</v>
      </c>
      <c r="L1943">
        <f t="shared" si="786"/>
        <v>1</v>
      </c>
      <c r="M1943" t="str">
        <f t="shared" si="787"/>
        <v>Suele comer</v>
      </c>
      <c r="N1943">
        <v>3</v>
      </c>
      <c r="O1943">
        <f t="shared" si="788"/>
        <v>2</v>
      </c>
      <c r="P1943" t="str">
        <f t="shared" si="789"/>
        <v>Mas de 3</v>
      </c>
      <c r="Q1943">
        <v>1</v>
      </c>
      <c r="R1943" t="str">
        <f t="shared" si="790"/>
        <v>A veces</v>
      </c>
      <c r="S1943">
        <v>0</v>
      </c>
      <c r="T1943" t="str">
        <f t="shared" si="791"/>
        <v>No fuma</v>
      </c>
      <c r="U1943">
        <v>2618198</v>
      </c>
      <c r="V1943">
        <f t="shared" si="792"/>
        <v>2</v>
      </c>
      <c r="W1943" t="str">
        <f t="shared" si="793"/>
        <v>Siempre</v>
      </c>
      <c r="X1943">
        <v>0</v>
      </c>
      <c r="Y1943" t="str">
        <f t="shared" si="794"/>
        <v>No controla</v>
      </c>
      <c r="Z1943">
        <v>0</v>
      </c>
      <c r="AA1943">
        <f t="shared" si="795"/>
        <v>0</v>
      </c>
      <c r="AB1943" t="str">
        <f t="shared" si="796"/>
        <v>Nunca</v>
      </c>
      <c r="AC1943">
        <v>0.38069500000000001</v>
      </c>
      <c r="AD1943">
        <f t="shared" si="797"/>
        <v>0</v>
      </c>
      <c r="AE1943" t="str">
        <f t="shared" si="798"/>
        <v>Nunca</v>
      </c>
      <c r="AF1943">
        <v>1</v>
      </c>
      <c r="AG1943" t="str">
        <f t="shared" si="799"/>
        <v>A veces</v>
      </c>
      <c r="AH1943">
        <v>0</v>
      </c>
      <c r="AI1943" t="str">
        <f t="shared" si="800"/>
        <v>No usa</v>
      </c>
      <c r="AJ1943">
        <v>0</v>
      </c>
      <c r="AK1943" t="str">
        <f t="shared" si="801"/>
        <v>No usa</v>
      </c>
      <c r="AL1943">
        <v>0</v>
      </c>
      <c r="AM1943" t="str">
        <f t="shared" si="802"/>
        <v>No usa</v>
      </c>
      <c r="AN1943">
        <v>1</v>
      </c>
      <c r="AO1943" t="str">
        <f t="shared" si="803"/>
        <v>Usa Transporte</v>
      </c>
      <c r="AP1943">
        <v>0</v>
      </c>
      <c r="AQ1943" t="str">
        <f t="shared" si="804"/>
        <v>No camina</v>
      </c>
      <c r="AR1943">
        <v>1</v>
      </c>
      <c r="AS1943" t="str">
        <f t="shared" si="805"/>
        <v>Es Obeso</v>
      </c>
    </row>
    <row r="1944" spans="1:45" x14ac:dyDescent="0.25">
      <c r="A1944">
        <v>0</v>
      </c>
      <c r="B1944" t="str">
        <f t="shared" si="780"/>
        <v>F</v>
      </c>
      <c r="C1944">
        <v>26</v>
      </c>
      <c r="D1944">
        <f t="shared" si="781"/>
        <v>26</v>
      </c>
      <c r="E1944">
        <f t="shared" si="782"/>
        <v>26</v>
      </c>
      <c r="F1944" t="str">
        <f t="shared" si="783"/>
        <v>25-50</v>
      </c>
      <c r="G1944">
        <v>1</v>
      </c>
      <c r="H1944" t="str">
        <f t="shared" si="784"/>
        <v>Pariente gordo</v>
      </c>
      <c r="I1944">
        <v>1</v>
      </c>
      <c r="J1944" t="str">
        <f t="shared" si="785"/>
        <v>Hipercaloricos</v>
      </c>
      <c r="K1944">
        <v>3</v>
      </c>
      <c r="L1944">
        <f t="shared" si="786"/>
        <v>1</v>
      </c>
      <c r="M1944" t="str">
        <f t="shared" si="787"/>
        <v>Suele comer</v>
      </c>
      <c r="N1944">
        <v>3</v>
      </c>
      <c r="O1944">
        <f t="shared" si="788"/>
        <v>2</v>
      </c>
      <c r="P1944" t="str">
        <f t="shared" si="789"/>
        <v>Mas de 3</v>
      </c>
      <c r="Q1944">
        <v>1</v>
      </c>
      <c r="R1944" t="str">
        <f t="shared" si="790"/>
        <v>A veces</v>
      </c>
      <c r="S1944">
        <v>0</v>
      </c>
      <c r="T1944" t="str">
        <f t="shared" si="791"/>
        <v>No fuma</v>
      </c>
      <c r="U1944">
        <v>2555189</v>
      </c>
      <c r="V1944">
        <f t="shared" si="792"/>
        <v>2</v>
      </c>
      <c r="W1944" t="str">
        <f t="shared" si="793"/>
        <v>Siempre</v>
      </c>
      <c r="X1944">
        <v>0</v>
      </c>
      <c r="Y1944" t="str">
        <f t="shared" si="794"/>
        <v>No controla</v>
      </c>
      <c r="Z1944">
        <v>0</v>
      </c>
      <c r="AA1944">
        <f t="shared" si="795"/>
        <v>0</v>
      </c>
      <c r="AB1944" t="str">
        <f t="shared" si="796"/>
        <v>Nunca</v>
      </c>
      <c r="AC1944">
        <v>0.46297300000000002</v>
      </c>
      <c r="AD1944">
        <f t="shared" si="797"/>
        <v>0</v>
      </c>
      <c r="AE1944" t="str">
        <f t="shared" si="798"/>
        <v>Nunca</v>
      </c>
      <c r="AF1944">
        <v>1</v>
      </c>
      <c r="AG1944" t="str">
        <f t="shared" si="799"/>
        <v>A veces</v>
      </c>
      <c r="AH1944">
        <v>0</v>
      </c>
      <c r="AI1944" t="str">
        <f t="shared" si="800"/>
        <v>No usa</v>
      </c>
      <c r="AJ1944">
        <v>0</v>
      </c>
      <c r="AK1944" t="str">
        <f t="shared" si="801"/>
        <v>No usa</v>
      </c>
      <c r="AL1944">
        <v>0</v>
      </c>
      <c r="AM1944" t="str">
        <f t="shared" si="802"/>
        <v>No usa</v>
      </c>
      <c r="AN1944">
        <v>1</v>
      </c>
      <c r="AO1944" t="str">
        <f t="shared" si="803"/>
        <v>Usa Transporte</v>
      </c>
      <c r="AP1944">
        <v>0</v>
      </c>
      <c r="AQ1944" t="str">
        <f t="shared" si="804"/>
        <v>No camina</v>
      </c>
      <c r="AR1944">
        <v>1</v>
      </c>
      <c r="AS1944" t="str">
        <f t="shared" si="805"/>
        <v>Es Obeso</v>
      </c>
    </row>
    <row r="1945" spans="1:45" x14ac:dyDescent="0.25">
      <c r="A1945">
        <v>0</v>
      </c>
      <c r="B1945" t="str">
        <f t="shared" si="780"/>
        <v>F</v>
      </c>
      <c r="C1945">
        <v>21391371</v>
      </c>
      <c r="D1945">
        <f t="shared" si="781"/>
        <v>58</v>
      </c>
      <c r="E1945">
        <f t="shared" si="782"/>
        <v>58</v>
      </c>
      <c r="F1945" t="str">
        <f t="shared" si="783"/>
        <v>50-75</v>
      </c>
      <c r="G1945">
        <v>1</v>
      </c>
      <c r="H1945" t="str">
        <f t="shared" si="784"/>
        <v>Pariente gordo</v>
      </c>
      <c r="I1945">
        <v>1</v>
      </c>
      <c r="J1945" t="str">
        <f t="shared" si="785"/>
        <v>Hipercaloricos</v>
      </c>
      <c r="K1945">
        <v>3</v>
      </c>
      <c r="L1945">
        <f t="shared" si="786"/>
        <v>1</v>
      </c>
      <c r="M1945" t="str">
        <f t="shared" si="787"/>
        <v>Suele comer</v>
      </c>
      <c r="N1945">
        <v>3</v>
      </c>
      <c r="O1945">
        <f t="shared" si="788"/>
        <v>2</v>
      </c>
      <c r="P1945" t="str">
        <f t="shared" si="789"/>
        <v>Mas de 3</v>
      </c>
      <c r="Q1945">
        <v>1</v>
      </c>
      <c r="R1945" t="str">
        <f t="shared" si="790"/>
        <v>A veces</v>
      </c>
      <c r="S1945">
        <v>0</v>
      </c>
      <c r="T1945" t="str">
        <f t="shared" si="791"/>
        <v>No fuma</v>
      </c>
      <c r="U1945">
        <v>1419136</v>
      </c>
      <c r="V1945">
        <f t="shared" si="792"/>
        <v>2</v>
      </c>
      <c r="W1945" t="str">
        <f t="shared" si="793"/>
        <v>Siempre</v>
      </c>
      <c r="X1945">
        <v>0</v>
      </c>
      <c r="Y1945" t="str">
        <f t="shared" si="794"/>
        <v>No controla</v>
      </c>
      <c r="Z1945">
        <v>1700889</v>
      </c>
      <c r="AA1945">
        <f t="shared" si="795"/>
        <v>3</v>
      </c>
      <c r="AB1945" t="str">
        <f t="shared" si="796"/>
        <v>Siempre</v>
      </c>
      <c r="AC1945">
        <v>0.93088800000000005</v>
      </c>
      <c r="AD1945">
        <f t="shared" si="797"/>
        <v>0</v>
      </c>
      <c r="AE1945" t="str">
        <f t="shared" si="798"/>
        <v>Nunca</v>
      </c>
      <c r="AF1945">
        <v>1</v>
      </c>
      <c r="AG1945" t="str">
        <f t="shared" si="799"/>
        <v>A veces</v>
      </c>
      <c r="AH1945">
        <v>0</v>
      </c>
      <c r="AI1945" t="str">
        <f t="shared" si="800"/>
        <v>No usa</v>
      </c>
      <c r="AJ1945">
        <v>0</v>
      </c>
      <c r="AK1945" t="str">
        <f t="shared" si="801"/>
        <v>No usa</v>
      </c>
      <c r="AL1945">
        <v>0</v>
      </c>
      <c r="AM1945" t="str">
        <f t="shared" si="802"/>
        <v>No usa</v>
      </c>
      <c r="AN1945">
        <v>1</v>
      </c>
      <c r="AO1945" t="str">
        <f t="shared" si="803"/>
        <v>Usa Transporte</v>
      </c>
      <c r="AP1945">
        <v>0</v>
      </c>
      <c r="AQ1945" t="str">
        <f t="shared" si="804"/>
        <v>No camina</v>
      </c>
      <c r="AR1945">
        <v>1</v>
      </c>
      <c r="AS1945" t="str">
        <f t="shared" si="805"/>
        <v>Es Obeso</v>
      </c>
    </row>
    <row r="1946" spans="1:45" x14ac:dyDescent="0.25">
      <c r="A1946">
        <v>0</v>
      </c>
      <c r="B1946" t="str">
        <f t="shared" si="780"/>
        <v>F</v>
      </c>
      <c r="C1946">
        <v>21051982</v>
      </c>
      <c r="D1946">
        <f t="shared" si="781"/>
        <v>57</v>
      </c>
      <c r="E1946">
        <f t="shared" si="782"/>
        <v>57</v>
      </c>
      <c r="F1946" t="str">
        <f t="shared" si="783"/>
        <v>50-75</v>
      </c>
      <c r="G1946">
        <v>1</v>
      </c>
      <c r="H1946" t="str">
        <f t="shared" si="784"/>
        <v>Pariente gordo</v>
      </c>
      <c r="I1946">
        <v>1</v>
      </c>
      <c r="J1946" t="str">
        <f t="shared" si="785"/>
        <v>Hipercaloricos</v>
      </c>
      <c r="K1946">
        <v>3</v>
      </c>
      <c r="L1946">
        <f t="shared" si="786"/>
        <v>1</v>
      </c>
      <c r="M1946" t="str">
        <f t="shared" si="787"/>
        <v>Suele comer</v>
      </c>
      <c r="N1946">
        <v>3</v>
      </c>
      <c r="O1946">
        <f t="shared" si="788"/>
        <v>2</v>
      </c>
      <c r="P1946" t="str">
        <f t="shared" si="789"/>
        <v>Mas de 3</v>
      </c>
      <c r="Q1946">
        <v>1</v>
      </c>
      <c r="R1946" t="str">
        <f t="shared" si="790"/>
        <v>A veces</v>
      </c>
      <c r="S1946">
        <v>0</v>
      </c>
      <c r="T1946" t="str">
        <f t="shared" si="791"/>
        <v>No fuma</v>
      </c>
      <c r="U1946">
        <v>1422483</v>
      </c>
      <c r="V1946">
        <f t="shared" si="792"/>
        <v>2</v>
      </c>
      <c r="W1946" t="str">
        <f t="shared" si="793"/>
        <v>Siempre</v>
      </c>
      <c r="X1946">
        <v>0</v>
      </c>
      <c r="Y1946" t="str">
        <f t="shared" si="794"/>
        <v>No controla</v>
      </c>
      <c r="Z1946">
        <v>1708971</v>
      </c>
      <c r="AA1946">
        <f t="shared" si="795"/>
        <v>3</v>
      </c>
      <c r="AB1946" t="str">
        <f t="shared" si="796"/>
        <v>Siempre</v>
      </c>
      <c r="AC1946">
        <v>0.67300899999999997</v>
      </c>
      <c r="AD1946">
        <f t="shared" si="797"/>
        <v>0</v>
      </c>
      <c r="AE1946" t="str">
        <f t="shared" si="798"/>
        <v>Nunca</v>
      </c>
      <c r="AF1946">
        <v>1</v>
      </c>
      <c r="AG1946" t="str">
        <f t="shared" si="799"/>
        <v>A veces</v>
      </c>
      <c r="AH1946">
        <v>0</v>
      </c>
      <c r="AI1946" t="str">
        <f t="shared" si="800"/>
        <v>No usa</v>
      </c>
      <c r="AJ1946">
        <v>0</v>
      </c>
      <c r="AK1946" t="str">
        <f t="shared" si="801"/>
        <v>No usa</v>
      </c>
      <c r="AL1946">
        <v>0</v>
      </c>
      <c r="AM1946" t="str">
        <f t="shared" si="802"/>
        <v>No usa</v>
      </c>
      <c r="AN1946">
        <v>1</v>
      </c>
      <c r="AO1946" t="str">
        <f t="shared" si="803"/>
        <v>Usa Transporte</v>
      </c>
      <c r="AP1946">
        <v>0</v>
      </c>
      <c r="AQ1946" t="str">
        <f t="shared" si="804"/>
        <v>No camina</v>
      </c>
      <c r="AR1946">
        <v>1</v>
      </c>
      <c r="AS1946" t="str">
        <f t="shared" si="805"/>
        <v>Es Obeso</v>
      </c>
    </row>
    <row r="1947" spans="1:45" x14ac:dyDescent="0.25">
      <c r="A1947">
        <v>0</v>
      </c>
      <c r="B1947" t="str">
        <f t="shared" si="780"/>
        <v>F</v>
      </c>
      <c r="C1947">
        <v>23455303</v>
      </c>
      <c r="D1947">
        <f t="shared" si="781"/>
        <v>64</v>
      </c>
      <c r="E1947">
        <f t="shared" si="782"/>
        <v>64</v>
      </c>
      <c r="F1947" t="str">
        <f t="shared" si="783"/>
        <v>50-75</v>
      </c>
      <c r="G1947">
        <v>1</v>
      </c>
      <c r="H1947" t="str">
        <f t="shared" si="784"/>
        <v>Pariente gordo</v>
      </c>
      <c r="I1947">
        <v>1</v>
      </c>
      <c r="J1947" t="str">
        <f t="shared" si="785"/>
        <v>Hipercaloricos</v>
      </c>
      <c r="K1947">
        <v>3</v>
      </c>
      <c r="L1947">
        <f t="shared" si="786"/>
        <v>1</v>
      </c>
      <c r="M1947" t="str">
        <f t="shared" si="787"/>
        <v>Suele comer</v>
      </c>
      <c r="N1947">
        <v>3</v>
      </c>
      <c r="O1947">
        <f t="shared" si="788"/>
        <v>2</v>
      </c>
      <c r="P1947" t="str">
        <f t="shared" si="789"/>
        <v>Mas de 3</v>
      </c>
      <c r="Q1947">
        <v>1</v>
      </c>
      <c r="R1947" t="str">
        <f t="shared" si="790"/>
        <v>A veces</v>
      </c>
      <c r="S1947">
        <v>0</v>
      </c>
      <c r="T1947" t="str">
        <f t="shared" si="791"/>
        <v>No fuma</v>
      </c>
      <c r="U1947">
        <v>2426094</v>
      </c>
      <c r="V1947">
        <f t="shared" si="792"/>
        <v>2</v>
      </c>
      <c r="W1947" t="str">
        <f t="shared" si="793"/>
        <v>Siempre</v>
      </c>
      <c r="X1947">
        <v>0</v>
      </c>
      <c r="Y1947" t="str">
        <f t="shared" si="794"/>
        <v>No controla</v>
      </c>
      <c r="Z1947">
        <v>0.294763</v>
      </c>
      <c r="AA1947">
        <f t="shared" si="795"/>
        <v>0</v>
      </c>
      <c r="AB1947" t="str">
        <f t="shared" si="796"/>
        <v>Nunca</v>
      </c>
      <c r="AC1947">
        <v>0.73722600000000005</v>
      </c>
      <c r="AD1947">
        <f t="shared" si="797"/>
        <v>0</v>
      </c>
      <c r="AE1947" t="str">
        <f t="shared" si="798"/>
        <v>Nunca</v>
      </c>
      <c r="AF1947">
        <v>1</v>
      </c>
      <c r="AG1947" t="str">
        <f t="shared" si="799"/>
        <v>A veces</v>
      </c>
      <c r="AH1947">
        <v>0</v>
      </c>
      <c r="AI1947" t="str">
        <f t="shared" si="800"/>
        <v>No usa</v>
      </c>
      <c r="AJ1947">
        <v>0</v>
      </c>
      <c r="AK1947" t="str">
        <f t="shared" si="801"/>
        <v>No usa</v>
      </c>
      <c r="AL1947">
        <v>0</v>
      </c>
      <c r="AM1947" t="str">
        <f t="shared" si="802"/>
        <v>No usa</v>
      </c>
      <c r="AN1947">
        <v>1</v>
      </c>
      <c r="AO1947" t="str">
        <f t="shared" si="803"/>
        <v>Usa Transporte</v>
      </c>
      <c r="AP1947">
        <v>0</v>
      </c>
      <c r="AQ1947" t="str">
        <f t="shared" si="804"/>
        <v>No camina</v>
      </c>
      <c r="AR1947">
        <v>1</v>
      </c>
      <c r="AS1947" t="str">
        <f t="shared" si="805"/>
        <v>Es Obeso</v>
      </c>
    </row>
    <row r="1948" spans="1:45" x14ac:dyDescent="0.25">
      <c r="A1948">
        <v>0</v>
      </c>
      <c r="B1948" t="str">
        <f t="shared" si="780"/>
        <v>F</v>
      </c>
      <c r="C1948">
        <v>2369484</v>
      </c>
      <c r="D1948">
        <f t="shared" si="781"/>
        <v>6</v>
      </c>
      <c r="E1948">
        <f t="shared" si="782"/>
        <v>6</v>
      </c>
      <c r="F1948" t="str">
        <f t="shared" si="783"/>
        <v>1-25</v>
      </c>
      <c r="G1948">
        <v>1</v>
      </c>
      <c r="H1948" t="str">
        <f t="shared" si="784"/>
        <v>Pariente gordo</v>
      </c>
      <c r="I1948">
        <v>1</v>
      </c>
      <c r="J1948" t="str">
        <f t="shared" si="785"/>
        <v>Hipercaloricos</v>
      </c>
      <c r="K1948">
        <v>3</v>
      </c>
      <c r="L1948">
        <f t="shared" si="786"/>
        <v>1</v>
      </c>
      <c r="M1948" t="str">
        <f t="shared" si="787"/>
        <v>Suele comer</v>
      </c>
      <c r="N1948">
        <v>3</v>
      </c>
      <c r="O1948">
        <f t="shared" si="788"/>
        <v>2</v>
      </c>
      <c r="P1948" t="str">
        <f t="shared" si="789"/>
        <v>Mas de 3</v>
      </c>
      <c r="Q1948">
        <v>1</v>
      </c>
      <c r="R1948" t="str">
        <f t="shared" si="790"/>
        <v>A veces</v>
      </c>
      <c r="S1948">
        <v>0</v>
      </c>
      <c r="T1948" t="str">
        <f t="shared" si="791"/>
        <v>No fuma</v>
      </c>
      <c r="U1948">
        <v>2495961</v>
      </c>
      <c r="V1948">
        <f t="shared" si="792"/>
        <v>2</v>
      </c>
      <c r="W1948" t="str">
        <f t="shared" si="793"/>
        <v>Siempre</v>
      </c>
      <c r="X1948">
        <v>0</v>
      </c>
      <c r="Y1948" t="str">
        <f t="shared" si="794"/>
        <v>No controla</v>
      </c>
      <c r="Z1948">
        <v>0.189831</v>
      </c>
      <c r="AA1948">
        <f t="shared" si="795"/>
        <v>0</v>
      </c>
      <c r="AB1948" t="str">
        <f t="shared" si="796"/>
        <v>Nunca</v>
      </c>
      <c r="AC1948">
        <v>0.65228900000000001</v>
      </c>
      <c r="AD1948">
        <f t="shared" si="797"/>
        <v>0</v>
      </c>
      <c r="AE1948" t="str">
        <f t="shared" si="798"/>
        <v>Nunca</v>
      </c>
      <c r="AF1948">
        <v>1</v>
      </c>
      <c r="AG1948" t="str">
        <f t="shared" si="799"/>
        <v>A veces</v>
      </c>
      <c r="AH1948">
        <v>0</v>
      </c>
      <c r="AI1948" t="str">
        <f t="shared" si="800"/>
        <v>No usa</v>
      </c>
      <c r="AJ1948">
        <v>0</v>
      </c>
      <c r="AK1948" t="str">
        <f t="shared" si="801"/>
        <v>No usa</v>
      </c>
      <c r="AL1948">
        <v>0</v>
      </c>
      <c r="AM1948" t="str">
        <f t="shared" si="802"/>
        <v>No usa</v>
      </c>
      <c r="AN1948">
        <v>1</v>
      </c>
      <c r="AO1948" t="str">
        <f t="shared" si="803"/>
        <v>Usa Transporte</v>
      </c>
      <c r="AP1948">
        <v>0</v>
      </c>
      <c r="AQ1948" t="str">
        <f t="shared" si="804"/>
        <v>No camina</v>
      </c>
      <c r="AR1948">
        <v>1</v>
      </c>
      <c r="AS1948" t="str">
        <f t="shared" si="805"/>
        <v>Es Obeso</v>
      </c>
    </row>
    <row r="1949" spans="1:45" x14ac:dyDescent="0.25">
      <c r="A1949">
        <v>0</v>
      </c>
      <c r="B1949" t="str">
        <f t="shared" si="780"/>
        <v>F</v>
      </c>
      <c r="C1949">
        <v>20601222</v>
      </c>
      <c r="D1949">
        <f t="shared" si="781"/>
        <v>56</v>
      </c>
      <c r="E1949">
        <f t="shared" si="782"/>
        <v>56</v>
      </c>
      <c r="F1949" t="str">
        <f t="shared" si="783"/>
        <v>50-75</v>
      </c>
      <c r="G1949">
        <v>1</v>
      </c>
      <c r="H1949" t="str">
        <f t="shared" si="784"/>
        <v>Pariente gordo</v>
      </c>
      <c r="I1949">
        <v>1</v>
      </c>
      <c r="J1949" t="str">
        <f t="shared" si="785"/>
        <v>Hipercaloricos</v>
      </c>
      <c r="K1949">
        <v>3</v>
      </c>
      <c r="L1949">
        <f t="shared" si="786"/>
        <v>1</v>
      </c>
      <c r="M1949" t="str">
        <f t="shared" si="787"/>
        <v>Suele comer</v>
      </c>
      <c r="N1949">
        <v>3</v>
      </c>
      <c r="O1949">
        <f t="shared" si="788"/>
        <v>2</v>
      </c>
      <c r="P1949" t="str">
        <f t="shared" si="789"/>
        <v>Mas de 3</v>
      </c>
      <c r="Q1949">
        <v>1</v>
      </c>
      <c r="R1949" t="str">
        <f t="shared" si="790"/>
        <v>A veces</v>
      </c>
      <c r="S1949">
        <v>0</v>
      </c>
      <c r="T1949" t="str">
        <f t="shared" si="791"/>
        <v>No fuma</v>
      </c>
      <c r="U1949">
        <v>1797041</v>
      </c>
      <c r="V1949">
        <f t="shared" si="792"/>
        <v>2</v>
      </c>
      <c r="W1949" t="str">
        <f t="shared" si="793"/>
        <v>Siempre</v>
      </c>
      <c r="X1949">
        <v>0</v>
      </c>
      <c r="Y1949" t="str">
        <f t="shared" si="794"/>
        <v>No controla</v>
      </c>
      <c r="Z1949">
        <v>1427413</v>
      </c>
      <c r="AA1949">
        <f t="shared" si="795"/>
        <v>3</v>
      </c>
      <c r="AB1949" t="str">
        <f t="shared" si="796"/>
        <v>Siempre</v>
      </c>
      <c r="AC1949">
        <v>0.96618099999999996</v>
      </c>
      <c r="AD1949">
        <f t="shared" si="797"/>
        <v>0</v>
      </c>
      <c r="AE1949" t="str">
        <f t="shared" si="798"/>
        <v>Nunca</v>
      </c>
      <c r="AF1949">
        <v>1</v>
      </c>
      <c r="AG1949" t="str">
        <f t="shared" si="799"/>
        <v>A veces</v>
      </c>
      <c r="AH1949">
        <v>0</v>
      </c>
      <c r="AI1949" t="str">
        <f t="shared" si="800"/>
        <v>No usa</v>
      </c>
      <c r="AJ1949">
        <v>0</v>
      </c>
      <c r="AK1949" t="str">
        <f t="shared" si="801"/>
        <v>No usa</v>
      </c>
      <c r="AL1949">
        <v>0</v>
      </c>
      <c r="AM1949" t="str">
        <f t="shared" si="802"/>
        <v>No usa</v>
      </c>
      <c r="AN1949">
        <v>1</v>
      </c>
      <c r="AO1949" t="str">
        <f t="shared" si="803"/>
        <v>Usa Transporte</v>
      </c>
      <c r="AP1949">
        <v>0</v>
      </c>
      <c r="AQ1949" t="str">
        <f t="shared" si="804"/>
        <v>No camina</v>
      </c>
      <c r="AR1949">
        <v>1</v>
      </c>
      <c r="AS1949" t="str">
        <f t="shared" si="805"/>
        <v>Es Obeso</v>
      </c>
    </row>
    <row r="1950" spans="1:45" x14ac:dyDescent="0.25">
      <c r="A1950">
        <v>0</v>
      </c>
      <c r="B1950" t="str">
        <f t="shared" si="780"/>
        <v>F</v>
      </c>
      <c r="C1950">
        <v>2081158</v>
      </c>
      <c r="D1950">
        <f t="shared" si="781"/>
        <v>5</v>
      </c>
      <c r="E1950">
        <f t="shared" si="782"/>
        <v>5</v>
      </c>
      <c r="F1950" t="str">
        <f t="shared" si="783"/>
        <v>1-25</v>
      </c>
      <c r="G1950">
        <v>1</v>
      </c>
      <c r="H1950" t="str">
        <f t="shared" si="784"/>
        <v>Pariente gordo</v>
      </c>
      <c r="I1950">
        <v>1</v>
      </c>
      <c r="J1950" t="str">
        <f t="shared" si="785"/>
        <v>Hipercaloricos</v>
      </c>
      <c r="K1950">
        <v>3</v>
      </c>
      <c r="L1950">
        <f t="shared" si="786"/>
        <v>1</v>
      </c>
      <c r="M1950" t="str">
        <f t="shared" si="787"/>
        <v>Suele comer</v>
      </c>
      <c r="N1950">
        <v>3</v>
      </c>
      <c r="O1950">
        <f t="shared" si="788"/>
        <v>2</v>
      </c>
      <c r="P1950" t="str">
        <f t="shared" si="789"/>
        <v>Mas de 3</v>
      </c>
      <c r="Q1950">
        <v>1</v>
      </c>
      <c r="R1950" t="str">
        <f t="shared" si="790"/>
        <v>A veces</v>
      </c>
      <c r="S1950">
        <v>0</v>
      </c>
      <c r="T1950" t="str">
        <f t="shared" si="791"/>
        <v>No fuma</v>
      </c>
      <c r="U1950">
        <v>1768111</v>
      </c>
      <c r="V1950">
        <f t="shared" si="792"/>
        <v>2</v>
      </c>
      <c r="W1950" t="str">
        <f t="shared" si="793"/>
        <v>Siempre</v>
      </c>
      <c r="X1950">
        <v>0</v>
      </c>
      <c r="Y1950" t="str">
        <f t="shared" si="794"/>
        <v>No controla</v>
      </c>
      <c r="Z1950">
        <v>0.61650300000000002</v>
      </c>
      <c r="AA1950">
        <f t="shared" si="795"/>
        <v>0</v>
      </c>
      <c r="AB1950" t="str">
        <f t="shared" si="796"/>
        <v>Nunca</v>
      </c>
      <c r="AC1950">
        <v>0.96815099999999998</v>
      </c>
      <c r="AD1950">
        <f t="shared" si="797"/>
        <v>0</v>
      </c>
      <c r="AE1950" t="str">
        <f t="shared" si="798"/>
        <v>Nunca</v>
      </c>
      <c r="AF1950">
        <v>1</v>
      </c>
      <c r="AG1950" t="str">
        <f t="shared" si="799"/>
        <v>A veces</v>
      </c>
      <c r="AH1950">
        <v>0</v>
      </c>
      <c r="AI1950" t="str">
        <f t="shared" si="800"/>
        <v>No usa</v>
      </c>
      <c r="AJ1950">
        <v>0</v>
      </c>
      <c r="AK1950" t="str">
        <f t="shared" si="801"/>
        <v>No usa</v>
      </c>
      <c r="AL1950">
        <v>0</v>
      </c>
      <c r="AM1950" t="str">
        <f t="shared" si="802"/>
        <v>No usa</v>
      </c>
      <c r="AN1950">
        <v>1</v>
      </c>
      <c r="AO1950" t="str">
        <f t="shared" si="803"/>
        <v>Usa Transporte</v>
      </c>
      <c r="AP1950">
        <v>0</v>
      </c>
      <c r="AQ1950" t="str">
        <f t="shared" si="804"/>
        <v>No camina</v>
      </c>
      <c r="AR1950">
        <v>1</v>
      </c>
      <c r="AS1950" t="str">
        <f t="shared" si="805"/>
        <v>Es Obeso</v>
      </c>
    </row>
    <row r="1951" spans="1:45" x14ac:dyDescent="0.25">
      <c r="A1951">
        <v>0</v>
      </c>
      <c r="B1951" t="str">
        <f t="shared" si="780"/>
        <v>F</v>
      </c>
      <c r="C1951">
        <v>19993565</v>
      </c>
      <c r="D1951">
        <f t="shared" si="781"/>
        <v>54</v>
      </c>
      <c r="E1951">
        <f t="shared" si="782"/>
        <v>54</v>
      </c>
      <c r="F1951" t="str">
        <f t="shared" si="783"/>
        <v>50-75</v>
      </c>
      <c r="G1951">
        <v>1</v>
      </c>
      <c r="H1951" t="str">
        <f t="shared" si="784"/>
        <v>Pariente gordo</v>
      </c>
      <c r="I1951">
        <v>1</v>
      </c>
      <c r="J1951" t="str">
        <f t="shared" si="785"/>
        <v>Hipercaloricos</v>
      </c>
      <c r="K1951">
        <v>3</v>
      </c>
      <c r="L1951">
        <f t="shared" si="786"/>
        <v>1</v>
      </c>
      <c r="M1951" t="str">
        <f t="shared" si="787"/>
        <v>Suele comer</v>
      </c>
      <c r="N1951">
        <v>3</v>
      </c>
      <c r="O1951">
        <f t="shared" si="788"/>
        <v>2</v>
      </c>
      <c r="P1951" t="str">
        <f t="shared" si="789"/>
        <v>Mas de 3</v>
      </c>
      <c r="Q1951">
        <v>1</v>
      </c>
      <c r="R1951" t="str">
        <f t="shared" si="790"/>
        <v>A veces</v>
      </c>
      <c r="S1951">
        <v>0</v>
      </c>
      <c r="T1951" t="str">
        <f t="shared" si="791"/>
        <v>No fuma</v>
      </c>
      <c r="U1951">
        <v>2365188</v>
      </c>
      <c r="V1951">
        <f t="shared" si="792"/>
        <v>2</v>
      </c>
      <c r="W1951" t="str">
        <f t="shared" si="793"/>
        <v>Siempre</v>
      </c>
      <c r="X1951">
        <v>0</v>
      </c>
      <c r="Y1951" t="str">
        <f t="shared" si="794"/>
        <v>No controla</v>
      </c>
      <c r="Z1951">
        <v>1256115</v>
      </c>
      <c r="AA1951">
        <f t="shared" si="795"/>
        <v>3</v>
      </c>
      <c r="AB1951" t="str">
        <f t="shared" si="796"/>
        <v>Siempre</v>
      </c>
      <c r="AC1951">
        <v>0.76009099999999996</v>
      </c>
      <c r="AD1951">
        <f t="shared" si="797"/>
        <v>0</v>
      </c>
      <c r="AE1951" t="str">
        <f t="shared" si="798"/>
        <v>Nunca</v>
      </c>
      <c r="AF1951">
        <v>1</v>
      </c>
      <c r="AG1951" t="str">
        <f t="shared" si="799"/>
        <v>A veces</v>
      </c>
      <c r="AH1951">
        <v>0</v>
      </c>
      <c r="AI1951" t="str">
        <f t="shared" si="800"/>
        <v>No usa</v>
      </c>
      <c r="AJ1951">
        <v>0</v>
      </c>
      <c r="AK1951" t="str">
        <f t="shared" si="801"/>
        <v>No usa</v>
      </c>
      <c r="AL1951">
        <v>0</v>
      </c>
      <c r="AM1951" t="str">
        <f t="shared" si="802"/>
        <v>No usa</v>
      </c>
      <c r="AN1951">
        <v>1</v>
      </c>
      <c r="AO1951" t="str">
        <f t="shared" si="803"/>
        <v>Usa Transporte</v>
      </c>
      <c r="AP1951">
        <v>0</v>
      </c>
      <c r="AQ1951" t="str">
        <f t="shared" si="804"/>
        <v>No camina</v>
      </c>
      <c r="AR1951">
        <v>1</v>
      </c>
      <c r="AS1951" t="str">
        <f t="shared" si="805"/>
        <v>Es Obeso</v>
      </c>
    </row>
    <row r="1952" spans="1:45" x14ac:dyDescent="0.25">
      <c r="A1952">
        <v>0</v>
      </c>
      <c r="B1952" t="str">
        <f t="shared" si="780"/>
        <v>F</v>
      </c>
      <c r="C1952">
        <v>20074449</v>
      </c>
      <c r="D1952">
        <f t="shared" si="781"/>
        <v>54</v>
      </c>
      <c r="E1952">
        <f t="shared" si="782"/>
        <v>54</v>
      </c>
      <c r="F1952" t="str">
        <f t="shared" si="783"/>
        <v>50-75</v>
      </c>
      <c r="G1952">
        <v>1</v>
      </c>
      <c r="H1952" t="str">
        <f t="shared" si="784"/>
        <v>Pariente gordo</v>
      </c>
      <c r="I1952">
        <v>1</v>
      </c>
      <c r="J1952" t="str">
        <f t="shared" si="785"/>
        <v>Hipercaloricos</v>
      </c>
      <c r="K1952">
        <v>3</v>
      </c>
      <c r="L1952">
        <f t="shared" si="786"/>
        <v>1</v>
      </c>
      <c r="M1952" t="str">
        <f t="shared" si="787"/>
        <v>Suele comer</v>
      </c>
      <c r="N1952">
        <v>3</v>
      </c>
      <c r="O1952">
        <f t="shared" si="788"/>
        <v>2</v>
      </c>
      <c r="P1952" t="str">
        <f t="shared" si="789"/>
        <v>Mas de 3</v>
      </c>
      <c r="Q1952">
        <v>1</v>
      </c>
      <c r="R1952" t="str">
        <f t="shared" si="790"/>
        <v>A veces</v>
      </c>
      <c r="S1952">
        <v>0</v>
      </c>
      <c r="T1952" t="str">
        <f t="shared" si="791"/>
        <v>No fuma</v>
      </c>
      <c r="U1952">
        <v>2299156</v>
      </c>
      <c r="V1952">
        <f t="shared" si="792"/>
        <v>2</v>
      </c>
      <c r="W1952" t="str">
        <f t="shared" si="793"/>
        <v>Siempre</v>
      </c>
      <c r="X1952">
        <v>0</v>
      </c>
      <c r="Y1952" t="str">
        <f t="shared" si="794"/>
        <v>No controla</v>
      </c>
      <c r="Z1952">
        <v>1699056</v>
      </c>
      <c r="AA1952">
        <f t="shared" si="795"/>
        <v>3</v>
      </c>
      <c r="AB1952" t="str">
        <f t="shared" si="796"/>
        <v>Siempre</v>
      </c>
      <c r="AC1952">
        <v>0.72972199999999998</v>
      </c>
      <c r="AD1952">
        <f t="shared" si="797"/>
        <v>0</v>
      </c>
      <c r="AE1952" t="str">
        <f t="shared" si="798"/>
        <v>Nunca</v>
      </c>
      <c r="AF1952">
        <v>1</v>
      </c>
      <c r="AG1952" t="str">
        <f t="shared" si="799"/>
        <v>A veces</v>
      </c>
      <c r="AH1952">
        <v>0</v>
      </c>
      <c r="AI1952" t="str">
        <f t="shared" si="800"/>
        <v>No usa</v>
      </c>
      <c r="AJ1952">
        <v>0</v>
      </c>
      <c r="AK1952" t="str">
        <f t="shared" si="801"/>
        <v>No usa</v>
      </c>
      <c r="AL1952">
        <v>0</v>
      </c>
      <c r="AM1952" t="str">
        <f t="shared" si="802"/>
        <v>No usa</v>
      </c>
      <c r="AN1952">
        <v>1</v>
      </c>
      <c r="AO1952" t="str">
        <f t="shared" si="803"/>
        <v>Usa Transporte</v>
      </c>
      <c r="AP1952">
        <v>0</v>
      </c>
      <c r="AQ1952" t="str">
        <f t="shared" si="804"/>
        <v>No camina</v>
      </c>
      <c r="AR1952">
        <v>1</v>
      </c>
      <c r="AS1952" t="str">
        <f t="shared" si="805"/>
        <v>Es Obeso</v>
      </c>
    </row>
    <row r="1953" spans="1:45" x14ac:dyDescent="0.25">
      <c r="A1953">
        <v>0</v>
      </c>
      <c r="B1953" t="str">
        <f t="shared" si="780"/>
        <v>F</v>
      </c>
      <c r="C1953">
        <v>18904037</v>
      </c>
      <c r="D1953">
        <f t="shared" si="781"/>
        <v>51</v>
      </c>
      <c r="E1953">
        <f t="shared" si="782"/>
        <v>51</v>
      </c>
      <c r="F1953" t="str">
        <f t="shared" si="783"/>
        <v>50-75</v>
      </c>
      <c r="G1953">
        <v>1</v>
      </c>
      <c r="H1953" t="str">
        <f t="shared" si="784"/>
        <v>Pariente gordo</v>
      </c>
      <c r="I1953">
        <v>1</v>
      </c>
      <c r="J1953" t="str">
        <f t="shared" si="785"/>
        <v>Hipercaloricos</v>
      </c>
      <c r="K1953">
        <v>3</v>
      </c>
      <c r="L1953">
        <f t="shared" si="786"/>
        <v>1</v>
      </c>
      <c r="M1953" t="str">
        <f t="shared" si="787"/>
        <v>Suele comer</v>
      </c>
      <c r="N1953">
        <v>3</v>
      </c>
      <c r="O1953">
        <f t="shared" si="788"/>
        <v>2</v>
      </c>
      <c r="P1953" t="str">
        <f t="shared" si="789"/>
        <v>Mas de 3</v>
      </c>
      <c r="Q1953">
        <v>1</v>
      </c>
      <c r="R1953" t="str">
        <f t="shared" si="790"/>
        <v>A veces</v>
      </c>
      <c r="S1953">
        <v>0</v>
      </c>
      <c r="T1953" t="str">
        <f t="shared" si="791"/>
        <v>No fuma</v>
      </c>
      <c r="U1953">
        <v>2684819</v>
      </c>
      <c r="V1953">
        <f t="shared" si="792"/>
        <v>2</v>
      </c>
      <c r="W1953" t="str">
        <f t="shared" si="793"/>
        <v>Siempre</v>
      </c>
      <c r="X1953">
        <v>0</v>
      </c>
      <c r="Y1953" t="str">
        <f t="shared" si="794"/>
        <v>No controla</v>
      </c>
      <c r="Z1953">
        <v>146525</v>
      </c>
      <c r="AA1953">
        <f t="shared" si="795"/>
        <v>2</v>
      </c>
      <c r="AB1953" t="str">
        <f t="shared" si="796"/>
        <v>Usualmente</v>
      </c>
      <c r="AC1953">
        <v>0.80449099999999996</v>
      </c>
      <c r="AD1953">
        <f t="shared" si="797"/>
        <v>0</v>
      </c>
      <c r="AE1953" t="str">
        <f t="shared" si="798"/>
        <v>Nunca</v>
      </c>
      <c r="AF1953">
        <v>1</v>
      </c>
      <c r="AG1953" t="str">
        <f t="shared" si="799"/>
        <v>A veces</v>
      </c>
      <c r="AH1953">
        <v>0</v>
      </c>
      <c r="AI1953" t="str">
        <f t="shared" si="800"/>
        <v>No usa</v>
      </c>
      <c r="AJ1953">
        <v>0</v>
      </c>
      <c r="AK1953" t="str">
        <f t="shared" si="801"/>
        <v>No usa</v>
      </c>
      <c r="AL1953">
        <v>0</v>
      </c>
      <c r="AM1953" t="str">
        <f t="shared" si="802"/>
        <v>No usa</v>
      </c>
      <c r="AN1953">
        <v>1</v>
      </c>
      <c r="AO1953" t="str">
        <f t="shared" si="803"/>
        <v>Usa Transporte</v>
      </c>
      <c r="AP1953">
        <v>0</v>
      </c>
      <c r="AQ1953" t="str">
        <f t="shared" si="804"/>
        <v>No camina</v>
      </c>
      <c r="AR1953">
        <v>1</v>
      </c>
      <c r="AS1953" t="str">
        <f t="shared" si="805"/>
        <v>Es Obeso</v>
      </c>
    </row>
    <row r="1954" spans="1:45" x14ac:dyDescent="0.25">
      <c r="A1954">
        <v>0</v>
      </c>
      <c r="B1954" t="str">
        <f t="shared" si="780"/>
        <v>F</v>
      </c>
      <c r="C1954">
        <v>19783234</v>
      </c>
      <c r="D1954">
        <f t="shared" si="781"/>
        <v>54</v>
      </c>
      <c r="E1954">
        <f t="shared" si="782"/>
        <v>54</v>
      </c>
      <c r="F1954" t="str">
        <f t="shared" si="783"/>
        <v>50-75</v>
      </c>
      <c r="G1954">
        <v>1</v>
      </c>
      <c r="H1954" t="str">
        <f t="shared" si="784"/>
        <v>Pariente gordo</v>
      </c>
      <c r="I1954">
        <v>1</v>
      </c>
      <c r="J1954" t="str">
        <f t="shared" si="785"/>
        <v>Hipercaloricos</v>
      </c>
      <c r="K1954">
        <v>3</v>
      </c>
      <c r="L1954">
        <f t="shared" si="786"/>
        <v>1</v>
      </c>
      <c r="M1954" t="str">
        <f t="shared" si="787"/>
        <v>Suele comer</v>
      </c>
      <c r="N1954">
        <v>3</v>
      </c>
      <c r="O1954">
        <f t="shared" si="788"/>
        <v>2</v>
      </c>
      <c r="P1954" t="str">
        <f t="shared" si="789"/>
        <v>Mas de 3</v>
      </c>
      <c r="Q1954">
        <v>1</v>
      </c>
      <c r="R1954" t="str">
        <f t="shared" si="790"/>
        <v>A veces</v>
      </c>
      <c r="S1954">
        <v>0</v>
      </c>
      <c r="T1954" t="str">
        <f t="shared" si="791"/>
        <v>No fuma</v>
      </c>
      <c r="U1954">
        <v>284174</v>
      </c>
      <c r="V1954">
        <f t="shared" si="792"/>
        <v>2</v>
      </c>
      <c r="W1954" t="str">
        <f t="shared" si="793"/>
        <v>Siempre</v>
      </c>
      <c r="X1954">
        <v>0</v>
      </c>
      <c r="Y1954" t="str">
        <f t="shared" si="794"/>
        <v>No controla</v>
      </c>
      <c r="Z1954">
        <v>1429256</v>
      </c>
      <c r="AA1954">
        <f t="shared" si="795"/>
        <v>3</v>
      </c>
      <c r="AB1954" t="str">
        <f t="shared" si="796"/>
        <v>Siempre</v>
      </c>
      <c r="AC1954">
        <v>0.77537800000000001</v>
      </c>
      <c r="AD1954">
        <f t="shared" si="797"/>
        <v>0</v>
      </c>
      <c r="AE1954" t="str">
        <f t="shared" si="798"/>
        <v>Nunca</v>
      </c>
      <c r="AF1954">
        <v>1</v>
      </c>
      <c r="AG1954" t="str">
        <f t="shared" si="799"/>
        <v>A veces</v>
      </c>
      <c r="AH1954">
        <v>0</v>
      </c>
      <c r="AI1954" t="str">
        <f t="shared" si="800"/>
        <v>No usa</v>
      </c>
      <c r="AJ1954">
        <v>0</v>
      </c>
      <c r="AK1954" t="str">
        <f t="shared" si="801"/>
        <v>No usa</v>
      </c>
      <c r="AL1954">
        <v>0</v>
      </c>
      <c r="AM1954" t="str">
        <f t="shared" si="802"/>
        <v>No usa</v>
      </c>
      <c r="AN1954">
        <v>1</v>
      </c>
      <c r="AO1954" t="str">
        <f t="shared" si="803"/>
        <v>Usa Transporte</v>
      </c>
      <c r="AP1954">
        <v>0</v>
      </c>
      <c r="AQ1954" t="str">
        <f t="shared" si="804"/>
        <v>No camina</v>
      </c>
      <c r="AR1954">
        <v>1</v>
      </c>
      <c r="AS1954" t="str">
        <f t="shared" si="805"/>
        <v>Es Obeso</v>
      </c>
    </row>
    <row r="1955" spans="1:45" x14ac:dyDescent="0.25">
      <c r="A1955">
        <v>0</v>
      </c>
      <c r="B1955" t="str">
        <f t="shared" si="780"/>
        <v>F</v>
      </c>
      <c r="C1955">
        <v>24291205</v>
      </c>
      <c r="D1955">
        <f t="shared" si="781"/>
        <v>66</v>
      </c>
      <c r="E1955">
        <f t="shared" si="782"/>
        <v>66</v>
      </c>
      <c r="F1955" t="str">
        <f t="shared" si="783"/>
        <v>50-75</v>
      </c>
      <c r="G1955">
        <v>1</v>
      </c>
      <c r="H1955" t="str">
        <f t="shared" si="784"/>
        <v>Pariente gordo</v>
      </c>
      <c r="I1955">
        <v>1</v>
      </c>
      <c r="J1955" t="str">
        <f t="shared" si="785"/>
        <v>Hipercaloricos</v>
      </c>
      <c r="K1955">
        <v>3</v>
      </c>
      <c r="L1955">
        <f t="shared" si="786"/>
        <v>1</v>
      </c>
      <c r="M1955" t="str">
        <f t="shared" si="787"/>
        <v>Suele comer</v>
      </c>
      <c r="N1955">
        <v>3</v>
      </c>
      <c r="O1955">
        <f t="shared" si="788"/>
        <v>2</v>
      </c>
      <c r="P1955" t="str">
        <f t="shared" si="789"/>
        <v>Mas de 3</v>
      </c>
      <c r="Q1955">
        <v>1</v>
      </c>
      <c r="R1955" t="str">
        <f t="shared" si="790"/>
        <v>A veces</v>
      </c>
      <c r="S1955">
        <v>0</v>
      </c>
      <c r="T1955" t="str">
        <f t="shared" si="791"/>
        <v>No fuma</v>
      </c>
      <c r="U1955">
        <v>2796894</v>
      </c>
      <c r="V1955">
        <f t="shared" si="792"/>
        <v>2</v>
      </c>
      <c r="W1955" t="str">
        <f t="shared" si="793"/>
        <v>Siempre</v>
      </c>
      <c r="X1955">
        <v>0</v>
      </c>
      <c r="Y1955" t="str">
        <f t="shared" si="794"/>
        <v>No controla</v>
      </c>
      <c r="Z1955">
        <v>0.382189</v>
      </c>
      <c r="AA1955">
        <f t="shared" si="795"/>
        <v>0</v>
      </c>
      <c r="AB1955" t="str">
        <f t="shared" si="796"/>
        <v>Nunca</v>
      </c>
      <c r="AC1955">
        <v>0.16778999999999999</v>
      </c>
      <c r="AD1955">
        <f t="shared" si="797"/>
        <v>0</v>
      </c>
      <c r="AE1955" t="str">
        <f t="shared" si="798"/>
        <v>Nunca</v>
      </c>
      <c r="AF1955">
        <v>1</v>
      </c>
      <c r="AG1955" t="str">
        <f t="shared" si="799"/>
        <v>A veces</v>
      </c>
      <c r="AH1955">
        <v>0</v>
      </c>
      <c r="AI1955" t="str">
        <f t="shared" si="800"/>
        <v>No usa</v>
      </c>
      <c r="AJ1955">
        <v>0</v>
      </c>
      <c r="AK1955" t="str">
        <f t="shared" si="801"/>
        <v>No usa</v>
      </c>
      <c r="AL1955">
        <v>0</v>
      </c>
      <c r="AM1955" t="str">
        <f t="shared" si="802"/>
        <v>No usa</v>
      </c>
      <c r="AN1955">
        <v>1</v>
      </c>
      <c r="AO1955" t="str">
        <f t="shared" si="803"/>
        <v>Usa Transporte</v>
      </c>
      <c r="AP1955">
        <v>0</v>
      </c>
      <c r="AQ1955" t="str">
        <f t="shared" si="804"/>
        <v>No camina</v>
      </c>
      <c r="AR1955">
        <v>1</v>
      </c>
      <c r="AS1955" t="str">
        <f t="shared" si="805"/>
        <v>Es Obeso</v>
      </c>
    </row>
    <row r="1956" spans="1:45" x14ac:dyDescent="0.25">
      <c r="A1956">
        <v>0</v>
      </c>
      <c r="B1956" t="str">
        <f t="shared" si="780"/>
        <v>F</v>
      </c>
      <c r="C1956">
        <v>25311534</v>
      </c>
      <c r="D1956">
        <f t="shared" si="781"/>
        <v>69</v>
      </c>
      <c r="E1956">
        <f t="shared" si="782"/>
        <v>69</v>
      </c>
      <c r="F1956" t="str">
        <f t="shared" si="783"/>
        <v>50-75</v>
      </c>
      <c r="G1956">
        <v>1</v>
      </c>
      <c r="H1956" t="str">
        <f t="shared" si="784"/>
        <v>Pariente gordo</v>
      </c>
      <c r="I1956">
        <v>1</v>
      </c>
      <c r="J1956" t="str">
        <f t="shared" si="785"/>
        <v>Hipercaloricos</v>
      </c>
      <c r="K1956">
        <v>3</v>
      </c>
      <c r="L1956">
        <f t="shared" si="786"/>
        <v>1</v>
      </c>
      <c r="M1956" t="str">
        <f t="shared" si="787"/>
        <v>Suele comer</v>
      </c>
      <c r="N1956">
        <v>3</v>
      </c>
      <c r="O1956">
        <f t="shared" si="788"/>
        <v>2</v>
      </c>
      <c r="P1956" t="str">
        <f t="shared" si="789"/>
        <v>Mas de 3</v>
      </c>
      <c r="Q1956">
        <v>1</v>
      </c>
      <c r="R1956" t="str">
        <f t="shared" si="790"/>
        <v>A veces</v>
      </c>
      <c r="S1956">
        <v>0</v>
      </c>
      <c r="T1956" t="str">
        <f t="shared" si="791"/>
        <v>No fuma</v>
      </c>
      <c r="U1956">
        <v>2987718</v>
      </c>
      <c r="V1956">
        <f t="shared" si="792"/>
        <v>2</v>
      </c>
      <c r="W1956" t="str">
        <f t="shared" si="793"/>
        <v>Siempre</v>
      </c>
      <c r="X1956">
        <v>0</v>
      </c>
      <c r="Y1956" t="str">
        <f t="shared" si="794"/>
        <v>No controla</v>
      </c>
      <c r="Z1956">
        <v>0.38707399999999997</v>
      </c>
      <c r="AA1956">
        <f t="shared" si="795"/>
        <v>0</v>
      </c>
      <c r="AB1956" t="str">
        <f t="shared" si="796"/>
        <v>Nunca</v>
      </c>
      <c r="AC1956">
        <v>0.283804</v>
      </c>
      <c r="AD1956">
        <f t="shared" si="797"/>
        <v>0</v>
      </c>
      <c r="AE1956" t="str">
        <f t="shared" si="798"/>
        <v>Nunca</v>
      </c>
      <c r="AF1956">
        <v>1</v>
      </c>
      <c r="AG1956" t="str">
        <f t="shared" si="799"/>
        <v>A veces</v>
      </c>
      <c r="AH1956">
        <v>0</v>
      </c>
      <c r="AI1956" t="str">
        <f t="shared" si="800"/>
        <v>No usa</v>
      </c>
      <c r="AJ1956">
        <v>0</v>
      </c>
      <c r="AK1956" t="str">
        <f t="shared" si="801"/>
        <v>No usa</v>
      </c>
      <c r="AL1956">
        <v>0</v>
      </c>
      <c r="AM1956" t="str">
        <f t="shared" si="802"/>
        <v>No usa</v>
      </c>
      <c r="AN1956">
        <v>1</v>
      </c>
      <c r="AO1956" t="str">
        <f t="shared" si="803"/>
        <v>Usa Transporte</v>
      </c>
      <c r="AP1956">
        <v>0</v>
      </c>
      <c r="AQ1956" t="str">
        <f t="shared" si="804"/>
        <v>No camina</v>
      </c>
      <c r="AR1956">
        <v>1</v>
      </c>
      <c r="AS1956" t="str">
        <f t="shared" si="805"/>
        <v>Es Obeso</v>
      </c>
    </row>
    <row r="1957" spans="1:45" x14ac:dyDescent="0.25">
      <c r="A1957">
        <v>0</v>
      </c>
      <c r="B1957" t="str">
        <f t="shared" si="780"/>
        <v>F</v>
      </c>
      <c r="C1957">
        <v>26</v>
      </c>
      <c r="D1957">
        <f t="shared" si="781"/>
        <v>26</v>
      </c>
      <c r="E1957">
        <f t="shared" si="782"/>
        <v>26</v>
      </c>
      <c r="F1957" t="str">
        <f t="shared" si="783"/>
        <v>25-50</v>
      </c>
      <c r="G1957">
        <v>1</v>
      </c>
      <c r="H1957" t="str">
        <f t="shared" si="784"/>
        <v>Pariente gordo</v>
      </c>
      <c r="I1957">
        <v>1</v>
      </c>
      <c r="J1957" t="str">
        <f t="shared" si="785"/>
        <v>Hipercaloricos</v>
      </c>
      <c r="K1957">
        <v>3</v>
      </c>
      <c r="L1957">
        <f t="shared" si="786"/>
        <v>1</v>
      </c>
      <c r="M1957" t="str">
        <f t="shared" si="787"/>
        <v>Suele comer</v>
      </c>
      <c r="N1957">
        <v>3</v>
      </c>
      <c r="O1957">
        <f t="shared" si="788"/>
        <v>2</v>
      </c>
      <c r="P1957" t="str">
        <f t="shared" si="789"/>
        <v>Mas de 3</v>
      </c>
      <c r="Q1957">
        <v>1</v>
      </c>
      <c r="R1957" t="str">
        <f t="shared" si="790"/>
        <v>A veces</v>
      </c>
      <c r="S1957">
        <v>0</v>
      </c>
      <c r="T1957" t="str">
        <f t="shared" si="791"/>
        <v>No fuma</v>
      </c>
      <c r="U1957">
        <v>2675567</v>
      </c>
      <c r="V1957">
        <f t="shared" si="792"/>
        <v>2</v>
      </c>
      <c r="W1957" t="str">
        <f t="shared" si="793"/>
        <v>Siempre</v>
      </c>
      <c r="X1957">
        <v>0</v>
      </c>
      <c r="Y1957" t="str">
        <f t="shared" si="794"/>
        <v>No controla</v>
      </c>
      <c r="Z1957">
        <v>0</v>
      </c>
      <c r="AA1957">
        <f t="shared" si="795"/>
        <v>0</v>
      </c>
      <c r="AB1957" t="str">
        <f t="shared" si="796"/>
        <v>Nunca</v>
      </c>
      <c r="AC1957">
        <v>8.1929000000000002E-2</v>
      </c>
      <c r="AD1957">
        <f t="shared" si="797"/>
        <v>0</v>
      </c>
      <c r="AE1957" t="str">
        <f t="shared" si="798"/>
        <v>Nunca</v>
      </c>
      <c r="AF1957">
        <v>1</v>
      </c>
      <c r="AG1957" t="str">
        <f t="shared" si="799"/>
        <v>A veces</v>
      </c>
      <c r="AH1957">
        <v>0</v>
      </c>
      <c r="AI1957" t="str">
        <f t="shared" si="800"/>
        <v>No usa</v>
      </c>
      <c r="AJ1957">
        <v>0</v>
      </c>
      <c r="AK1957" t="str">
        <f t="shared" si="801"/>
        <v>No usa</v>
      </c>
      <c r="AL1957">
        <v>0</v>
      </c>
      <c r="AM1957" t="str">
        <f t="shared" si="802"/>
        <v>No usa</v>
      </c>
      <c r="AN1957">
        <v>1</v>
      </c>
      <c r="AO1957" t="str">
        <f t="shared" si="803"/>
        <v>Usa Transporte</v>
      </c>
      <c r="AP1957">
        <v>0</v>
      </c>
      <c r="AQ1957" t="str">
        <f t="shared" si="804"/>
        <v>No camina</v>
      </c>
      <c r="AR1957">
        <v>1</v>
      </c>
      <c r="AS1957" t="str">
        <f t="shared" si="805"/>
        <v>Es Obeso</v>
      </c>
    </row>
    <row r="1958" spans="1:45" x14ac:dyDescent="0.25">
      <c r="A1958">
        <v>0</v>
      </c>
      <c r="B1958" t="str">
        <f t="shared" si="780"/>
        <v>F</v>
      </c>
      <c r="C1958">
        <v>26</v>
      </c>
      <c r="D1958">
        <f t="shared" si="781"/>
        <v>26</v>
      </c>
      <c r="E1958">
        <f t="shared" si="782"/>
        <v>26</v>
      </c>
      <c r="F1958" t="str">
        <f t="shared" si="783"/>
        <v>25-50</v>
      </c>
      <c r="G1958">
        <v>1</v>
      </c>
      <c r="H1958" t="str">
        <f t="shared" si="784"/>
        <v>Pariente gordo</v>
      </c>
      <c r="I1958">
        <v>1</v>
      </c>
      <c r="J1958" t="str">
        <f t="shared" si="785"/>
        <v>Hipercaloricos</v>
      </c>
      <c r="K1958">
        <v>3</v>
      </c>
      <c r="L1958">
        <f t="shared" si="786"/>
        <v>1</v>
      </c>
      <c r="M1958" t="str">
        <f t="shared" si="787"/>
        <v>Suele comer</v>
      </c>
      <c r="N1958">
        <v>3</v>
      </c>
      <c r="O1958">
        <f t="shared" si="788"/>
        <v>2</v>
      </c>
      <c r="P1958" t="str">
        <f t="shared" si="789"/>
        <v>Mas de 3</v>
      </c>
      <c r="Q1958">
        <v>1</v>
      </c>
      <c r="R1958" t="str">
        <f t="shared" si="790"/>
        <v>A veces</v>
      </c>
      <c r="S1958">
        <v>0</v>
      </c>
      <c r="T1958" t="str">
        <f t="shared" si="791"/>
        <v>No fuma</v>
      </c>
      <c r="U1958">
        <v>2770125</v>
      </c>
      <c r="V1958">
        <f t="shared" si="792"/>
        <v>2</v>
      </c>
      <c r="W1958" t="str">
        <f t="shared" si="793"/>
        <v>Siempre</v>
      </c>
      <c r="X1958">
        <v>0</v>
      </c>
      <c r="Y1958" t="str">
        <f t="shared" si="794"/>
        <v>No controla</v>
      </c>
      <c r="Z1958">
        <v>0</v>
      </c>
      <c r="AA1958">
        <f t="shared" si="795"/>
        <v>0</v>
      </c>
      <c r="AB1958" t="str">
        <f t="shared" si="796"/>
        <v>Nunca</v>
      </c>
      <c r="AC1958">
        <v>8.8235999999999995E-2</v>
      </c>
      <c r="AD1958">
        <f t="shared" si="797"/>
        <v>0</v>
      </c>
      <c r="AE1958" t="str">
        <f t="shared" si="798"/>
        <v>Nunca</v>
      </c>
      <c r="AF1958">
        <v>1</v>
      </c>
      <c r="AG1958" t="str">
        <f t="shared" si="799"/>
        <v>A veces</v>
      </c>
      <c r="AH1958">
        <v>0</v>
      </c>
      <c r="AI1958" t="str">
        <f t="shared" si="800"/>
        <v>No usa</v>
      </c>
      <c r="AJ1958">
        <v>0</v>
      </c>
      <c r="AK1958" t="str">
        <f t="shared" si="801"/>
        <v>No usa</v>
      </c>
      <c r="AL1958">
        <v>0</v>
      </c>
      <c r="AM1958" t="str">
        <f t="shared" si="802"/>
        <v>No usa</v>
      </c>
      <c r="AN1958">
        <v>1</v>
      </c>
      <c r="AO1958" t="str">
        <f t="shared" si="803"/>
        <v>Usa Transporte</v>
      </c>
      <c r="AP1958">
        <v>0</v>
      </c>
      <c r="AQ1958" t="str">
        <f t="shared" si="804"/>
        <v>No camina</v>
      </c>
      <c r="AR1958">
        <v>1</v>
      </c>
      <c r="AS1958" t="str">
        <f t="shared" si="805"/>
        <v>Es Obeso</v>
      </c>
    </row>
    <row r="1959" spans="1:45" x14ac:dyDescent="0.25">
      <c r="A1959">
        <v>0</v>
      </c>
      <c r="B1959" t="str">
        <f t="shared" si="780"/>
        <v>F</v>
      </c>
      <c r="C1959">
        <v>26</v>
      </c>
      <c r="D1959">
        <f t="shared" si="781"/>
        <v>26</v>
      </c>
      <c r="E1959">
        <f t="shared" si="782"/>
        <v>26</v>
      </c>
      <c r="F1959" t="str">
        <f t="shared" si="783"/>
        <v>25-50</v>
      </c>
      <c r="G1959">
        <v>1</v>
      </c>
      <c r="H1959" t="str">
        <f t="shared" si="784"/>
        <v>Pariente gordo</v>
      </c>
      <c r="I1959">
        <v>1</v>
      </c>
      <c r="J1959" t="str">
        <f t="shared" si="785"/>
        <v>Hipercaloricos</v>
      </c>
      <c r="K1959">
        <v>3</v>
      </c>
      <c r="L1959">
        <f t="shared" si="786"/>
        <v>1</v>
      </c>
      <c r="M1959" t="str">
        <f t="shared" si="787"/>
        <v>Suele comer</v>
      </c>
      <c r="N1959">
        <v>3</v>
      </c>
      <c r="O1959">
        <f t="shared" si="788"/>
        <v>2</v>
      </c>
      <c r="P1959" t="str">
        <f t="shared" si="789"/>
        <v>Mas de 3</v>
      </c>
      <c r="Q1959">
        <v>1</v>
      </c>
      <c r="R1959" t="str">
        <f t="shared" si="790"/>
        <v>A veces</v>
      </c>
      <c r="S1959">
        <v>0</v>
      </c>
      <c r="T1959" t="str">
        <f t="shared" si="791"/>
        <v>No fuma</v>
      </c>
      <c r="U1959">
        <v>2621877</v>
      </c>
      <c r="V1959">
        <f t="shared" si="792"/>
        <v>2</v>
      </c>
      <c r="W1959" t="str">
        <f t="shared" si="793"/>
        <v>Siempre</v>
      </c>
      <c r="X1959">
        <v>0</v>
      </c>
      <c r="Y1959" t="str">
        <f t="shared" si="794"/>
        <v>No controla</v>
      </c>
      <c r="Z1959">
        <v>0</v>
      </c>
      <c r="AA1959">
        <f t="shared" si="795"/>
        <v>0</v>
      </c>
      <c r="AB1959" t="str">
        <f t="shared" si="796"/>
        <v>Nunca</v>
      </c>
      <c r="AC1959">
        <v>0.153669</v>
      </c>
      <c r="AD1959">
        <f t="shared" si="797"/>
        <v>0</v>
      </c>
      <c r="AE1959" t="str">
        <f t="shared" si="798"/>
        <v>Nunca</v>
      </c>
      <c r="AF1959">
        <v>1</v>
      </c>
      <c r="AG1959" t="str">
        <f t="shared" si="799"/>
        <v>A veces</v>
      </c>
      <c r="AH1959">
        <v>0</v>
      </c>
      <c r="AI1959" t="str">
        <f t="shared" si="800"/>
        <v>No usa</v>
      </c>
      <c r="AJ1959">
        <v>0</v>
      </c>
      <c r="AK1959" t="str">
        <f t="shared" si="801"/>
        <v>No usa</v>
      </c>
      <c r="AL1959">
        <v>0</v>
      </c>
      <c r="AM1959" t="str">
        <f t="shared" si="802"/>
        <v>No usa</v>
      </c>
      <c r="AN1959">
        <v>1</v>
      </c>
      <c r="AO1959" t="str">
        <f t="shared" si="803"/>
        <v>Usa Transporte</v>
      </c>
      <c r="AP1959">
        <v>0</v>
      </c>
      <c r="AQ1959" t="str">
        <f t="shared" si="804"/>
        <v>No camina</v>
      </c>
      <c r="AR1959">
        <v>1</v>
      </c>
      <c r="AS1959" t="str">
        <f t="shared" si="805"/>
        <v>Es Obeso</v>
      </c>
    </row>
    <row r="1960" spans="1:45" x14ac:dyDescent="0.25">
      <c r="A1960">
        <v>0</v>
      </c>
      <c r="B1960" t="str">
        <f t="shared" si="780"/>
        <v>F</v>
      </c>
      <c r="C1960">
        <v>26</v>
      </c>
      <c r="D1960">
        <f t="shared" si="781"/>
        <v>26</v>
      </c>
      <c r="E1960">
        <f t="shared" si="782"/>
        <v>26</v>
      </c>
      <c r="F1960" t="str">
        <f t="shared" si="783"/>
        <v>25-50</v>
      </c>
      <c r="G1960">
        <v>1</v>
      </c>
      <c r="H1960" t="str">
        <f t="shared" si="784"/>
        <v>Pariente gordo</v>
      </c>
      <c r="I1960">
        <v>1</v>
      </c>
      <c r="J1960" t="str">
        <f t="shared" si="785"/>
        <v>Hipercaloricos</v>
      </c>
      <c r="K1960">
        <v>3</v>
      </c>
      <c r="L1960">
        <f t="shared" si="786"/>
        <v>1</v>
      </c>
      <c r="M1960" t="str">
        <f t="shared" si="787"/>
        <v>Suele comer</v>
      </c>
      <c r="N1960">
        <v>3</v>
      </c>
      <c r="O1960">
        <f t="shared" si="788"/>
        <v>2</v>
      </c>
      <c r="P1960" t="str">
        <f t="shared" si="789"/>
        <v>Mas de 3</v>
      </c>
      <c r="Q1960">
        <v>1</v>
      </c>
      <c r="R1960" t="str">
        <f t="shared" si="790"/>
        <v>A veces</v>
      </c>
      <c r="S1960">
        <v>0</v>
      </c>
      <c r="T1960" t="str">
        <f t="shared" si="791"/>
        <v>No fuma</v>
      </c>
      <c r="U1960">
        <v>272005</v>
      </c>
      <c r="V1960">
        <f t="shared" si="792"/>
        <v>2</v>
      </c>
      <c r="W1960" t="str">
        <f t="shared" si="793"/>
        <v>Siempre</v>
      </c>
      <c r="X1960">
        <v>0</v>
      </c>
      <c r="Y1960" t="str">
        <f t="shared" si="794"/>
        <v>No controla</v>
      </c>
      <c r="Z1960">
        <v>0</v>
      </c>
      <c r="AA1960">
        <f t="shared" si="795"/>
        <v>0</v>
      </c>
      <c r="AB1960" t="str">
        <f t="shared" si="796"/>
        <v>Nunca</v>
      </c>
      <c r="AC1960">
        <v>0.127443</v>
      </c>
      <c r="AD1960">
        <f t="shared" si="797"/>
        <v>0</v>
      </c>
      <c r="AE1960" t="str">
        <f t="shared" si="798"/>
        <v>Nunca</v>
      </c>
      <c r="AF1960">
        <v>1</v>
      </c>
      <c r="AG1960" t="str">
        <f t="shared" si="799"/>
        <v>A veces</v>
      </c>
      <c r="AH1960">
        <v>0</v>
      </c>
      <c r="AI1960" t="str">
        <f t="shared" si="800"/>
        <v>No usa</v>
      </c>
      <c r="AJ1960">
        <v>0</v>
      </c>
      <c r="AK1960" t="str">
        <f t="shared" si="801"/>
        <v>No usa</v>
      </c>
      <c r="AL1960">
        <v>0</v>
      </c>
      <c r="AM1960" t="str">
        <f t="shared" si="802"/>
        <v>No usa</v>
      </c>
      <c r="AN1960">
        <v>1</v>
      </c>
      <c r="AO1960" t="str">
        <f t="shared" si="803"/>
        <v>Usa Transporte</v>
      </c>
      <c r="AP1960">
        <v>0</v>
      </c>
      <c r="AQ1960" t="str">
        <f t="shared" si="804"/>
        <v>No camina</v>
      </c>
      <c r="AR1960">
        <v>1</v>
      </c>
      <c r="AS1960" t="str">
        <f t="shared" si="805"/>
        <v>Es Obeso</v>
      </c>
    </row>
    <row r="1961" spans="1:45" x14ac:dyDescent="0.25">
      <c r="A1961">
        <v>0</v>
      </c>
      <c r="B1961" t="str">
        <f t="shared" si="780"/>
        <v>F</v>
      </c>
      <c r="C1961">
        <v>25966504</v>
      </c>
      <c r="D1961">
        <f t="shared" si="781"/>
        <v>71</v>
      </c>
      <c r="E1961">
        <f t="shared" si="782"/>
        <v>71</v>
      </c>
      <c r="F1961" t="str">
        <f t="shared" si="783"/>
        <v>50-75</v>
      </c>
      <c r="G1961">
        <v>1</v>
      </c>
      <c r="H1961" t="str">
        <f t="shared" si="784"/>
        <v>Pariente gordo</v>
      </c>
      <c r="I1961">
        <v>1</v>
      </c>
      <c r="J1961" t="str">
        <f t="shared" si="785"/>
        <v>Hipercaloricos</v>
      </c>
      <c r="K1961">
        <v>3</v>
      </c>
      <c r="L1961">
        <f t="shared" si="786"/>
        <v>1</v>
      </c>
      <c r="M1961" t="str">
        <f t="shared" si="787"/>
        <v>Suele comer</v>
      </c>
      <c r="N1961">
        <v>3</v>
      </c>
      <c r="O1961">
        <f t="shared" si="788"/>
        <v>2</v>
      </c>
      <c r="P1961" t="str">
        <f t="shared" si="789"/>
        <v>Mas de 3</v>
      </c>
      <c r="Q1961">
        <v>1</v>
      </c>
      <c r="R1961" t="str">
        <f t="shared" si="790"/>
        <v>A veces</v>
      </c>
      <c r="S1961">
        <v>0</v>
      </c>
      <c r="T1961" t="str">
        <f t="shared" si="791"/>
        <v>No fuma</v>
      </c>
      <c r="U1961">
        <v>2436097</v>
      </c>
      <c r="V1961">
        <f t="shared" si="792"/>
        <v>2</v>
      </c>
      <c r="W1961" t="str">
        <f t="shared" si="793"/>
        <v>Siempre</v>
      </c>
      <c r="X1961">
        <v>0</v>
      </c>
      <c r="Y1961" t="str">
        <f t="shared" si="794"/>
        <v>No controla</v>
      </c>
      <c r="Z1961">
        <v>0.12917799999999999</v>
      </c>
      <c r="AA1961">
        <f t="shared" si="795"/>
        <v>0</v>
      </c>
      <c r="AB1961" t="str">
        <f t="shared" si="796"/>
        <v>Nunca</v>
      </c>
      <c r="AC1961">
        <v>0.68373600000000001</v>
      </c>
      <c r="AD1961">
        <f t="shared" si="797"/>
        <v>0</v>
      </c>
      <c r="AE1961" t="str">
        <f t="shared" si="798"/>
        <v>Nunca</v>
      </c>
      <c r="AF1961">
        <v>1</v>
      </c>
      <c r="AG1961" t="str">
        <f t="shared" si="799"/>
        <v>A veces</v>
      </c>
      <c r="AH1961">
        <v>0</v>
      </c>
      <c r="AI1961" t="str">
        <f t="shared" si="800"/>
        <v>No usa</v>
      </c>
      <c r="AJ1961">
        <v>0</v>
      </c>
      <c r="AK1961" t="str">
        <f t="shared" si="801"/>
        <v>No usa</v>
      </c>
      <c r="AL1961">
        <v>0</v>
      </c>
      <c r="AM1961" t="str">
        <f t="shared" si="802"/>
        <v>No usa</v>
      </c>
      <c r="AN1961">
        <v>1</v>
      </c>
      <c r="AO1961" t="str">
        <f t="shared" si="803"/>
        <v>Usa Transporte</v>
      </c>
      <c r="AP1961">
        <v>0</v>
      </c>
      <c r="AQ1961" t="str">
        <f t="shared" si="804"/>
        <v>No camina</v>
      </c>
      <c r="AR1961">
        <v>1</v>
      </c>
      <c r="AS1961" t="str">
        <f t="shared" si="805"/>
        <v>Es Obeso</v>
      </c>
    </row>
    <row r="1962" spans="1:45" x14ac:dyDescent="0.25">
      <c r="A1962">
        <v>0</v>
      </c>
      <c r="B1962" t="str">
        <f t="shared" si="780"/>
        <v>F</v>
      </c>
      <c r="C1962">
        <v>25950898</v>
      </c>
      <c r="D1962">
        <f t="shared" si="781"/>
        <v>71</v>
      </c>
      <c r="E1962">
        <f t="shared" si="782"/>
        <v>71</v>
      </c>
      <c r="F1962" t="str">
        <f t="shared" si="783"/>
        <v>50-75</v>
      </c>
      <c r="G1962">
        <v>1</v>
      </c>
      <c r="H1962" t="str">
        <f t="shared" si="784"/>
        <v>Pariente gordo</v>
      </c>
      <c r="I1962">
        <v>1</v>
      </c>
      <c r="J1962" t="str">
        <f t="shared" si="785"/>
        <v>Hipercaloricos</v>
      </c>
      <c r="K1962">
        <v>3</v>
      </c>
      <c r="L1962">
        <f t="shared" si="786"/>
        <v>1</v>
      </c>
      <c r="M1962" t="str">
        <f t="shared" si="787"/>
        <v>Suele comer</v>
      </c>
      <c r="N1962">
        <v>3</v>
      </c>
      <c r="O1962">
        <f t="shared" si="788"/>
        <v>2</v>
      </c>
      <c r="P1962" t="str">
        <f t="shared" si="789"/>
        <v>Mas de 3</v>
      </c>
      <c r="Q1962">
        <v>1</v>
      </c>
      <c r="R1962" t="str">
        <f t="shared" si="790"/>
        <v>A veces</v>
      </c>
      <c r="S1962">
        <v>0</v>
      </c>
      <c r="T1962" t="str">
        <f t="shared" si="791"/>
        <v>No fuma</v>
      </c>
      <c r="U1962">
        <v>2535629</v>
      </c>
      <c r="V1962">
        <f t="shared" si="792"/>
        <v>2</v>
      </c>
      <c r="W1962" t="str">
        <f t="shared" si="793"/>
        <v>Siempre</v>
      </c>
      <c r="X1962">
        <v>0</v>
      </c>
      <c r="Y1962" t="str">
        <f t="shared" si="794"/>
        <v>No controla</v>
      </c>
      <c r="Z1962">
        <v>0.15271299999999999</v>
      </c>
      <c r="AA1962">
        <f t="shared" si="795"/>
        <v>0</v>
      </c>
      <c r="AB1962" t="str">
        <f t="shared" si="796"/>
        <v>Nunca</v>
      </c>
      <c r="AC1962">
        <v>0.7702</v>
      </c>
      <c r="AD1962">
        <f t="shared" si="797"/>
        <v>0</v>
      </c>
      <c r="AE1962" t="str">
        <f t="shared" si="798"/>
        <v>Nunca</v>
      </c>
      <c r="AF1962">
        <v>1</v>
      </c>
      <c r="AG1962" t="str">
        <f t="shared" si="799"/>
        <v>A veces</v>
      </c>
      <c r="AH1962">
        <v>0</v>
      </c>
      <c r="AI1962" t="str">
        <f t="shared" si="800"/>
        <v>No usa</v>
      </c>
      <c r="AJ1962">
        <v>0</v>
      </c>
      <c r="AK1962" t="str">
        <f t="shared" si="801"/>
        <v>No usa</v>
      </c>
      <c r="AL1962">
        <v>0</v>
      </c>
      <c r="AM1962" t="str">
        <f t="shared" si="802"/>
        <v>No usa</v>
      </c>
      <c r="AN1962">
        <v>1</v>
      </c>
      <c r="AO1962" t="str">
        <f t="shared" si="803"/>
        <v>Usa Transporte</v>
      </c>
      <c r="AP1962">
        <v>0</v>
      </c>
      <c r="AQ1962" t="str">
        <f t="shared" si="804"/>
        <v>No camina</v>
      </c>
      <c r="AR1962">
        <v>1</v>
      </c>
      <c r="AS1962" t="str">
        <f t="shared" si="805"/>
        <v>Es Obeso</v>
      </c>
    </row>
    <row r="1963" spans="1:45" x14ac:dyDescent="0.25">
      <c r="A1963">
        <v>0</v>
      </c>
      <c r="B1963" t="str">
        <f t="shared" si="780"/>
        <v>F</v>
      </c>
      <c r="C1963">
        <v>26</v>
      </c>
      <c r="D1963">
        <f t="shared" si="781"/>
        <v>26</v>
      </c>
      <c r="E1963">
        <f t="shared" si="782"/>
        <v>26</v>
      </c>
      <c r="F1963" t="str">
        <f t="shared" si="783"/>
        <v>25-50</v>
      </c>
      <c r="G1963">
        <v>1</v>
      </c>
      <c r="H1963" t="str">
        <f t="shared" si="784"/>
        <v>Pariente gordo</v>
      </c>
      <c r="I1963">
        <v>1</v>
      </c>
      <c r="J1963" t="str">
        <f t="shared" si="785"/>
        <v>Hipercaloricos</v>
      </c>
      <c r="K1963">
        <v>3</v>
      </c>
      <c r="L1963">
        <f t="shared" si="786"/>
        <v>1</v>
      </c>
      <c r="M1963" t="str">
        <f t="shared" si="787"/>
        <v>Suele comer</v>
      </c>
      <c r="N1963">
        <v>3</v>
      </c>
      <c r="O1963">
        <f t="shared" si="788"/>
        <v>2</v>
      </c>
      <c r="P1963" t="str">
        <f t="shared" si="789"/>
        <v>Mas de 3</v>
      </c>
      <c r="Q1963">
        <v>1</v>
      </c>
      <c r="R1963" t="str">
        <f t="shared" si="790"/>
        <v>A veces</v>
      </c>
      <c r="S1963">
        <v>0</v>
      </c>
      <c r="T1963" t="str">
        <f t="shared" si="791"/>
        <v>No fuma</v>
      </c>
      <c r="U1963">
        <v>2678779</v>
      </c>
      <c r="V1963">
        <f t="shared" si="792"/>
        <v>2</v>
      </c>
      <c r="W1963" t="str">
        <f t="shared" si="793"/>
        <v>Siempre</v>
      </c>
      <c r="X1963">
        <v>0</v>
      </c>
      <c r="Y1963" t="str">
        <f t="shared" si="794"/>
        <v>No controla</v>
      </c>
      <c r="Z1963">
        <v>0</v>
      </c>
      <c r="AA1963">
        <f t="shared" si="795"/>
        <v>0</v>
      </c>
      <c r="AB1963" t="str">
        <f t="shared" si="796"/>
        <v>Nunca</v>
      </c>
      <c r="AC1963">
        <v>0.50884799999999997</v>
      </c>
      <c r="AD1963">
        <f t="shared" si="797"/>
        <v>0</v>
      </c>
      <c r="AE1963" t="str">
        <f t="shared" si="798"/>
        <v>Nunca</v>
      </c>
      <c r="AF1963">
        <v>1</v>
      </c>
      <c r="AG1963" t="str">
        <f t="shared" si="799"/>
        <v>A veces</v>
      </c>
      <c r="AH1963">
        <v>0</v>
      </c>
      <c r="AI1963" t="str">
        <f t="shared" si="800"/>
        <v>No usa</v>
      </c>
      <c r="AJ1963">
        <v>0</v>
      </c>
      <c r="AK1963" t="str">
        <f t="shared" si="801"/>
        <v>No usa</v>
      </c>
      <c r="AL1963">
        <v>0</v>
      </c>
      <c r="AM1963" t="str">
        <f t="shared" si="802"/>
        <v>No usa</v>
      </c>
      <c r="AN1963">
        <v>1</v>
      </c>
      <c r="AO1963" t="str">
        <f t="shared" si="803"/>
        <v>Usa Transporte</v>
      </c>
      <c r="AP1963">
        <v>0</v>
      </c>
      <c r="AQ1963" t="str">
        <f t="shared" si="804"/>
        <v>No camina</v>
      </c>
      <c r="AR1963">
        <v>1</v>
      </c>
      <c r="AS1963" t="str">
        <f t="shared" si="805"/>
        <v>Es Obeso</v>
      </c>
    </row>
    <row r="1964" spans="1:45" x14ac:dyDescent="0.25">
      <c r="A1964">
        <v>0</v>
      </c>
      <c r="B1964" t="str">
        <f t="shared" si="780"/>
        <v>F</v>
      </c>
      <c r="C1964">
        <v>26</v>
      </c>
      <c r="D1964">
        <f t="shared" si="781"/>
        <v>26</v>
      </c>
      <c r="E1964">
        <f t="shared" si="782"/>
        <v>26</v>
      </c>
      <c r="F1964" t="str">
        <f t="shared" si="783"/>
        <v>25-50</v>
      </c>
      <c r="G1964">
        <v>1</v>
      </c>
      <c r="H1964" t="str">
        <f t="shared" si="784"/>
        <v>Pariente gordo</v>
      </c>
      <c r="I1964">
        <v>1</v>
      </c>
      <c r="J1964" t="str">
        <f t="shared" si="785"/>
        <v>Hipercaloricos</v>
      </c>
      <c r="K1964">
        <v>3</v>
      </c>
      <c r="L1964">
        <f t="shared" si="786"/>
        <v>1</v>
      </c>
      <c r="M1964" t="str">
        <f t="shared" si="787"/>
        <v>Suele comer</v>
      </c>
      <c r="N1964">
        <v>3</v>
      </c>
      <c r="O1964">
        <f t="shared" si="788"/>
        <v>2</v>
      </c>
      <c r="P1964" t="str">
        <f t="shared" si="789"/>
        <v>Mas de 3</v>
      </c>
      <c r="Q1964">
        <v>1</v>
      </c>
      <c r="R1964" t="str">
        <f t="shared" si="790"/>
        <v>A veces</v>
      </c>
      <c r="S1964">
        <v>0</v>
      </c>
      <c r="T1964" t="str">
        <f t="shared" si="791"/>
        <v>No fuma</v>
      </c>
      <c r="U1964">
        <v>2569713</v>
      </c>
      <c r="V1964">
        <f t="shared" si="792"/>
        <v>2</v>
      </c>
      <c r="W1964" t="str">
        <f t="shared" si="793"/>
        <v>Siempre</v>
      </c>
      <c r="X1964">
        <v>0</v>
      </c>
      <c r="Y1964" t="str">
        <f t="shared" si="794"/>
        <v>No controla</v>
      </c>
      <c r="Z1964">
        <v>0</v>
      </c>
      <c r="AA1964">
        <f t="shared" si="795"/>
        <v>0</v>
      </c>
      <c r="AB1964" t="str">
        <f t="shared" si="796"/>
        <v>Nunca</v>
      </c>
      <c r="AC1964">
        <v>0.39697199999999999</v>
      </c>
      <c r="AD1964">
        <f t="shared" si="797"/>
        <v>0</v>
      </c>
      <c r="AE1964" t="str">
        <f t="shared" si="798"/>
        <v>Nunca</v>
      </c>
      <c r="AF1964">
        <v>1</v>
      </c>
      <c r="AG1964" t="str">
        <f t="shared" si="799"/>
        <v>A veces</v>
      </c>
      <c r="AH1964">
        <v>0</v>
      </c>
      <c r="AI1964" t="str">
        <f t="shared" si="800"/>
        <v>No usa</v>
      </c>
      <c r="AJ1964">
        <v>0</v>
      </c>
      <c r="AK1964" t="str">
        <f t="shared" si="801"/>
        <v>No usa</v>
      </c>
      <c r="AL1964">
        <v>0</v>
      </c>
      <c r="AM1964" t="str">
        <f t="shared" si="802"/>
        <v>No usa</v>
      </c>
      <c r="AN1964">
        <v>1</v>
      </c>
      <c r="AO1964" t="str">
        <f t="shared" si="803"/>
        <v>Usa Transporte</v>
      </c>
      <c r="AP1964">
        <v>0</v>
      </c>
      <c r="AQ1964" t="str">
        <f t="shared" si="804"/>
        <v>No camina</v>
      </c>
      <c r="AR1964">
        <v>1</v>
      </c>
      <c r="AS1964" t="str">
        <f t="shared" si="805"/>
        <v>Es Obeso</v>
      </c>
    </row>
    <row r="1965" spans="1:45" x14ac:dyDescent="0.25">
      <c r="A1965">
        <v>0</v>
      </c>
      <c r="B1965" t="str">
        <f t="shared" si="780"/>
        <v>F</v>
      </c>
      <c r="C1965">
        <v>20848608</v>
      </c>
      <c r="D1965">
        <f t="shared" si="781"/>
        <v>57</v>
      </c>
      <c r="E1965">
        <f t="shared" si="782"/>
        <v>57</v>
      </c>
      <c r="F1965" t="str">
        <f t="shared" si="783"/>
        <v>50-75</v>
      </c>
      <c r="G1965">
        <v>1</v>
      </c>
      <c r="H1965" t="str">
        <f t="shared" si="784"/>
        <v>Pariente gordo</v>
      </c>
      <c r="I1965">
        <v>1</v>
      </c>
      <c r="J1965" t="str">
        <f t="shared" si="785"/>
        <v>Hipercaloricos</v>
      </c>
      <c r="K1965">
        <v>3</v>
      </c>
      <c r="L1965">
        <f t="shared" si="786"/>
        <v>1</v>
      </c>
      <c r="M1965" t="str">
        <f t="shared" si="787"/>
        <v>Suele comer</v>
      </c>
      <c r="N1965">
        <v>3</v>
      </c>
      <c r="O1965">
        <f t="shared" si="788"/>
        <v>2</v>
      </c>
      <c r="P1965" t="str">
        <f t="shared" si="789"/>
        <v>Mas de 3</v>
      </c>
      <c r="Q1965">
        <v>1</v>
      </c>
      <c r="R1965" t="str">
        <f t="shared" si="790"/>
        <v>A veces</v>
      </c>
      <c r="S1965">
        <v>0</v>
      </c>
      <c r="T1965" t="str">
        <f t="shared" si="791"/>
        <v>No fuma</v>
      </c>
      <c r="U1965">
        <v>1759352</v>
      </c>
      <c r="V1965">
        <f t="shared" si="792"/>
        <v>2</v>
      </c>
      <c r="W1965" t="str">
        <f t="shared" si="793"/>
        <v>Siempre</v>
      </c>
      <c r="X1965">
        <v>0</v>
      </c>
      <c r="Y1965" t="str">
        <f t="shared" si="794"/>
        <v>No controla</v>
      </c>
      <c r="Z1965">
        <v>1469928</v>
      </c>
      <c r="AA1965">
        <f t="shared" si="795"/>
        <v>3</v>
      </c>
      <c r="AB1965" t="str">
        <f t="shared" si="796"/>
        <v>Siempre</v>
      </c>
      <c r="AC1965">
        <v>0.95043800000000001</v>
      </c>
      <c r="AD1965">
        <f t="shared" si="797"/>
        <v>0</v>
      </c>
      <c r="AE1965" t="str">
        <f t="shared" si="798"/>
        <v>Nunca</v>
      </c>
      <c r="AF1965">
        <v>1</v>
      </c>
      <c r="AG1965" t="str">
        <f t="shared" si="799"/>
        <v>A veces</v>
      </c>
      <c r="AH1965">
        <v>0</v>
      </c>
      <c r="AI1965" t="str">
        <f t="shared" si="800"/>
        <v>No usa</v>
      </c>
      <c r="AJ1965">
        <v>0</v>
      </c>
      <c r="AK1965" t="str">
        <f t="shared" si="801"/>
        <v>No usa</v>
      </c>
      <c r="AL1965">
        <v>0</v>
      </c>
      <c r="AM1965" t="str">
        <f t="shared" si="802"/>
        <v>No usa</v>
      </c>
      <c r="AN1965">
        <v>1</v>
      </c>
      <c r="AO1965" t="str">
        <f t="shared" si="803"/>
        <v>Usa Transporte</v>
      </c>
      <c r="AP1965">
        <v>0</v>
      </c>
      <c r="AQ1965" t="str">
        <f t="shared" si="804"/>
        <v>No camina</v>
      </c>
      <c r="AR1965">
        <v>1</v>
      </c>
      <c r="AS1965" t="str">
        <f t="shared" si="805"/>
        <v>Es Obeso</v>
      </c>
    </row>
    <row r="1966" spans="1:45" x14ac:dyDescent="0.25">
      <c r="A1966">
        <v>0</v>
      </c>
      <c r="B1966" t="str">
        <f t="shared" si="780"/>
        <v>F</v>
      </c>
      <c r="C1966">
        <v>20801791</v>
      </c>
      <c r="D1966">
        <f t="shared" si="781"/>
        <v>56</v>
      </c>
      <c r="E1966">
        <f t="shared" si="782"/>
        <v>56</v>
      </c>
      <c r="F1966" t="str">
        <f t="shared" si="783"/>
        <v>50-75</v>
      </c>
      <c r="G1966">
        <v>1</v>
      </c>
      <c r="H1966" t="str">
        <f t="shared" si="784"/>
        <v>Pariente gordo</v>
      </c>
      <c r="I1966">
        <v>1</v>
      </c>
      <c r="J1966" t="str">
        <f t="shared" si="785"/>
        <v>Hipercaloricos</v>
      </c>
      <c r="K1966">
        <v>3</v>
      </c>
      <c r="L1966">
        <f t="shared" si="786"/>
        <v>1</v>
      </c>
      <c r="M1966" t="str">
        <f t="shared" si="787"/>
        <v>Suele comer</v>
      </c>
      <c r="N1966">
        <v>3</v>
      </c>
      <c r="O1966">
        <f t="shared" si="788"/>
        <v>2</v>
      </c>
      <c r="P1966" t="str">
        <f t="shared" si="789"/>
        <v>Mas de 3</v>
      </c>
      <c r="Q1966">
        <v>1</v>
      </c>
      <c r="R1966" t="str">
        <f t="shared" si="790"/>
        <v>A veces</v>
      </c>
      <c r="S1966">
        <v>0</v>
      </c>
      <c r="T1966" t="str">
        <f t="shared" si="791"/>
        <v>No fuma</v>
      </c>
      <c r="U1966">
        <v>1837184</v>
      </c>
      <c r="V1966">
        <f t="shared" si="792"/>
        <v>2</v>
      </c>
      <c r="W1966" t="str">
        <f t="shared" si="793"/>
        <v>Siempre</v>
      </c>
      <c r="X1966">
        <v>0</v>
      </c>
      <c r="Y1966" t="str">
        <f t="shared" si="794"/>
        <v>No controla</v>
      </c>
      <c r="Z1966">
        <v>1525165</v>
      </c>
      <c r="AA1966">
        <f t="shared" si="795"/>
        <v>3</v>
      </c>
      <c r="AB1966" t="str">
        <f t="shared" si="796"/>
        <v>Siempre</v>
      </c>
      <c r="AC1966">
        <v>0.92644300000000002</v>
      </c>
      <c r="AD1966">
        <f t="shared" si="797"/>
        <v>0</v>
      </c>
      <c r="AE1966" t="str">
        <f t="shared" si="798"/>
        <v>Nunca</v>
      </c>
      <c r="AF1966">
        <v>1</v>
      </c>
      <c r="AG1966" t="str">
        <f t="shared" si="799"/>
        <v>A veces</v>
      </c>
      <c r="AH1966">
        <v>0</v>
      </c>
      <c r="AI1966" t="str">
        <f t="shared" si="800"/>
        <v>No usa</v>
      </c>
      <c r="AJ1966">
        <v>0</v>
      </c>
      <c r="AK1966" t="str">
        <f t="shared" si="801"/>
        <v>No usa</v>
      </c>
      <c r="AL1966">
        <v>0</v>
      </c>
      <c r="AM1966" t="str">
        <f t="shared" si="802"/>
        <v>No usa</v>
      </c>
      <c r="AN1966">
        <v>1</v>
      </c>
      <c r="AO1966" t="str">
        <f t="shared" si="803"/>
        <v>Usa Transporte</v>
      </c>
      <c r="AP1966">
        <v>0</v>
      </c>
      <c r="AQ1966" t="str">
        <f t="shared" si="804"/>
        <v>No camina</v>
      </c>
      <c r="AR1966">
        <v>1</v>
      </c>
      <c r="AS1966" t="str">
        <f t="shared" si="805"/>
        <v>Es Obeso</v>
      </c>
    </row>
    <row r="1967" spans="1:45" x14ac:dyDescent="0.25">
      <c r="A1967">
        <v>0</v>
      </c>
      <c r="B1967" t="str">
        <f t="shared" si="780"/>
        <v>F</v>
      </c>
      <c r="C1967">
        <v>23712641</v>
      </c>
      <c r="D1967">
        <f t="shared" si="781"/>
        <v>64</v>
      </c>
      <c r="E1967">
        <f t="shared" si="782"/>
        <v>64</v>
      </c>
      <c r="F1967" t="str">
        <f t="shared" si="783"/>
        <v>50-75</v>
      </c>
      <c r="G1967">
        <v>1</v>
      </c>
      <c r="H1967" t="str">
        <f t="shared" si="784"/>
        <v>Pariente gordo</v>
      </c>
      <c r="I1967">
        <v>1</v>
      </c>
      <c r="J1967" t="str">
        <f t="shared" si="785"/>
        <v>Hipercaloricos</v>
      </c>
      <c r="K1967">
        <v>3</v>
      </c>
      <c r="L1967">
        <f t="shared" si="786"/>
        <v>1</v>
      </c>
      <c r="M1967" t="str">
        <f t="shared" si="787"/>
        <v>Suele comer</v>
      </c>
      <c r="N1967">
        <v>3</v>
      </c>
      <c r="O1967">
        <f t="shared" si="788"/>
        <v>2</v>
      </c>
      <c r="P1967" t="str">
        <f t="shared" si="789"/>
        <v>Mas de 3</v>
      </c>
      <c r="Q1967">
        <v>1</v>
      </c>
      <c r="R1967" t="str">
        <f t="shared" si="790"/>
        <v>A veces</v>
      </c>
      <c r="S1967">
        <v>0</v>
      </c>
      <c r="T1967" t="str">
        <f t="shared" si="791"/>
        <v>No fuma</v>
      </c>
      <c r="U1967">
        <v>2856795</v>
      </c>
      <c r="V1967">
        <f t="shared" si="792"/>
        <v>2</v>
      </c>
      <c r="W1967" t="str">
        <f t="shared" si="793"/>
        <v>Siempre</v>
      </c>
      <c r="X1967">
        <v>0</v>
      </c>
      <c r="Y1967" t="str">
        <f t="shared" si="794"/>
        <v>No controla</v>
      </c>
      <c r="Z1967">
        <v>1046463</v>
      </c>
      <c r="AA1967">
        <f t="shared" si="795"/>
        <v>3</v>
      </c>
      <c r="AB1967" t="str">
        <f t="shared" si="796"/>
        <v>Siempre</v>
      </c>
      <c r="AC1967">
        <v>0.58616299999999999</v>
      </c>
      <c r="AD1967">
        <f t="shared" si="797"/>
        <v>0</v>
      </c>
      <c r="AE1967" t="str">
        <f t="shared" si="798"/>
        <v>Nunca</v>
      </c>
      <c r="AF1967">
        <v>1</v>
      </c>
      <c r="AG1967" t="str">
        <f t="shared" si="799"/>
        <v>A veces</v>
      </c>
      <c r="AH1967">
        <v>0</v>
      </c>
      <c r="AI1967" t="str">
        <f t="shared" si="800"/>
        <v>No usa</v>
      </c>
      <c r="AJ1967">
        <v>0</v>
      </c>
      <c r="AK1967" t="str">
        <f t="shared" si="801"/>
        <v>No usa</v>
      </c>
      <c r="AL1967">
        <v>0</v>
      </c>
      <c r="AM1967" t="str">
        <f t="shared" si="802"/>
        <v>No usa</v>
      </c>
      <c r="AN1967">
        <v>1</v>
      </c>
      <c r="AO1967" t="str">
        <f t="shared" si="803"/>
        <v>Usa Transporte</v>
      </c>
      <c r="AP1967">
        <v>0</v>
      </c>
      <c r="AQ1967" t="str">
        <f t="shared" si="804"/>
        <v>No camina</v>
      </c>
      <c r="AR1967">
        <v>1</v>
      </c>
      <c r="AS1967" t="str">
        <f t="shared" si="805"/>
        <v>Es Obeso</v>
      </c>
    </row>
    <row r="1968" spans="1:45" x14ac:dyDescent="0.25">
      <c r="A1968">
        <v>0</v>
      </c>
      <c r="B1968" t="str">
        <f t="shared" si="780"/>
        <v>F</v>
      </c>
      <c r="C1968">
        <v>24063874</v>
      </c>
      <c r="D1968">
        <f t="shared" si="781"/>
        <v>65</v>
      </c>
      <c r="E1968">
        <f t="shared" si="782"/>
        <v>65</v>
      </c>
      <c r="F1968" t="str">
        <f t="shared" si="783"/>
        <v>50-75</v>
      </c>
      <c r="G1968">
        <v>1</v>
      </c>
      <c r="H1968" t="str">
        <f t="shared" si="784"/>
        <v>Pariente gordo</v>
      </c>
      <c r="I1968">
        <v>1</v>
      </c>
      <c r="J1968" t="str">
        <f t="shared" si="785"/>
        <v>Hipercaloricos</v>
      </c>
      <c r="K1968">
        <v>3</v>
      </c>
      <c r="L1968">
        <f t="shared" si="786"/>
        <v>1</v>
      </c>
      <c r="M1968" t="str">
        <f t="shared" si="787"/>
        <v>Suele comer</v>
      </c>
      <c r="N1968">
        <v>3</v>
      </c>
      <c r="O1968">
        <f t="shared" si="788"/>
        <v>2</v>
      </c>
      <c r="P1968" t="str">
        <f t="shared" si="789"/>
        <v>Mas de 3</v>
      </c>
      <c r="Q1968">
        <v>1</v>
      </c>
      <c r="R1968" t="str">
        <f t="shared" si="790"/>
        <v>A veces</v>
      </c>
      <c r="S1968">
        <v>0</v>
      </c>
      <c r="T1968" t="str">
        <f t="shared" si="791"/>
        <v>No fuma</v>
      </c>
      <c r="U1968">
        <v>2846259</v>
      </c>
      <c r="V1968">
        <f t="shared" si="792"/>
        <v>2</v>
      </c>
      <c r="W1968" t="str">
        <f t="shared" si="793"/>
        <v>Siempre</v>
      </c>
      <c r="X1968">
        <v>0</v>
      </c>
      <c r="Y1968" t="str">
        <f t="shared" si="794"/>
        <v>No controla</v>
      </c>
      <c r="Z1968">
        <v>1295759</v>
      </c>
      <c r="AA1968">
        <f t="shared" si="795"/>
        <v>3</v>
      </c>
      <c r="AB1968" t="str">
        <f t="shared" si="796"/>
        <v>Siempre</v>
      </c>
      <c r="AC1968">
        <v>0.72315399999999996</v>
      </c>
      <c r="AD1968">
        <f t="shared" si="797"/>
        <v>0</v>
      </c>
      <c r="AE1968" t="str">
        <f t="shared" si="798"/>
        <v>Nunca</v>
      </c>
      <c r="AF1968">
        <v>1</v>
      </c>
      <c r="AG1968" t="str">
        <f t="shared" si="799"/>
        <v>A veces</v>
      </c>
      <c r="AH1968">
        <v>0</v>
      </c>
      <c r="AI1968" t="str">
        <f t="shared" si="800"/>
        <v>No usa</v>
      </c>
      <c r="AJ1968">
        <v>0</v>
      </c>
      <c r="AK1968" t="str">
        <f t="shared" si="801"/>
        <v>No usa</v>
      </c>
      <c r="AL1968">
        <v>0</v>
      </c>
      <c r="AM1968" t="str">
        <f t="shared" si="802"/>
        <v>No usa</v>
      </c>
      <c r="AN1968">
        <v>1</v>
      </c>
      <c r="AO1968" t="str">
        <f t="shared" si="803"/>
        <v>Usa Transporte</v>
      </c>
      <c r="AP1968">
        <v>0</v>
      </c>
      <c r="AQ1968" t="str">
        <f t="shared" si="804"/>
        <v>No camina</v>
      </c>
      <c r="AR1968">
        <v>1</v>
      </c>
      <c r="AS1968" t="str">
        <f t="shared" si="805"/>
        <v>Es Obeso</v>
      </c>
    </row>
    <row r="1969" spans="1:45" x14ac:dyDescent="0.25">
      <c r="A1969">
        <v>0</v>
      </c>
      <c r="B1969" t="str">
        <f t="shared" si="780"/>
        <v>F</v>
      </c>
      <c r="C1969">
        <v>2595774</v>
      </c>
      <c r="D1969">
        <f t="shared" si="781"/>
        <v>7</v>
      </c>
      <c r="E1969">
        <f t="shared" si="782"/>
        <v>7</v>
      </c>
      <c r="F1969" t="str">
        <f t="shared" si="783"/>
        <v>1-25</v>
      </c>
      <c r="G1969">
        <v>1</v>
      </c>
      <c r="H1969" t="str">
        <f t="shared" si="784"/>
        <v>Pariente gordo</v>
      </c>
      <c r="I1969">
        <v>1</v>
      </c>
      <c r="J1969" t="str">
        <f t="shared" si="785"/>
        <v>Hipercaloricos</v>
      </c>
      <c r="K1969">
        <v>3</v>
      </c>
      <c r="L1969">
        <f t="shared" si="786"/>
        <v>1</v>
      </c>
      <c r="M1969" t="str">
        <f t="shared" si="787"/>
        <v>Suele comer</v>
      </c>
      <c r="N1969">
        <v>3</v>
      </c>
      <c r="O1969">
        <f t="shared" si="788"/>
        <v>2</v>
      </c>
      <c r="P1969" t="str">
        <f t="shared" si="789"/>
        <v>Mas de 3</v>
      </c>
      <c r="Q1969">
        <v>1</v>
      </c>
      <c r="R1969" t="str">
        <f t="shared" si="790"/>
        <v>A veces</v>
      </c>
      <c r="S1969">
        <v>0</v>
      </c>
      <c r="T1969" t="str">
        <f t="shared" si="791"/>
        <v>No fuma</v>
      </c>
      <c r="U1969">
        <v>1067716</v>
      </c>
      <c r="V1969">
        <f t="shared" si="792"/>
        <v>2</v>
      </c>
      <c r="W1969" t="str">
        <f t="shared" si="793"/>
        <v>Siempre</v>
      </c>
      <c r="X1969">
        <v>0</v>
      </c>
      <c r="Y1969" t="str">
        <f t="shared" si="794"/>
        <v>No controla</v>
      </c>
      <c r="Z1969">
        <v>3.0540999999999999E-2</v>
      </c>
      <c r="AA1969">
        <f t="shared" si="795"/>
        <v>0</v>
      </c>
      <c r="AB1969" t="str">
        <f t="shared" si="796"/>
        <v>Nunca</v>
      </c>
      <c r="AC1969">
        <v>1</v>
      </c>
      <c r="AD1969">
        <f t="shared" si="797"/>
        <v>1</v>
      </c>
      <c r="AE1969" t="str">
        <f t="shared" si="798"/>
        <v>Usualmente</v>
      </c>
      <c r="AF1969">
        <v>1</v>
      </c>
      <c r="AG1969" t="str">
        <f t="shared" si="799"/>
        <v>A veces</v>
      </c>
      <c r="AH1969">
        <v>0</v>
      </c>
      <c r="AI1969" t="str">
        <f t="shared" si="800"/>
        <v>No usa</v>
      </c>
      <c r="AJ1969">
        <v>0</v>
      </c>
      <c r="AK1969" t="str">
        <f t="shared" si="801"/>
        <v>No usa</v>
      </c>
      <c r="AL1969">
        <v>0</v>
      </c>
      <c r="AM1969" t="str">
        <f t="shared" si="802"/>
        <v>No usa</v>
      </c>
      <c r="AN1969">
        <v>1</v>
      </c>
      <c r="AO1969" t="str">
        <f t="shared" si="803"/>
        <v>Usa Transporte</v>
      </c>
      <c r="AP1969">
        <v>0</v>
      </c>
      <c r="AQ1969" t="str">
        <f t="shared" si="804"/>
        <v>No camina</v>
      </c>
      <c r="AR1969">
        <v>1</v>
      </c>
      <c r="AS1969" t="str">
        <f t="shared" si="805"/>
        <v>Es Obeso</v>
      </c>
    </row>
    <row r="1970" spans="1:45" x14ac:dyDescent="0.25">
      <c r="A1970">
        <v>0</v>
      </c>
      <c r="B1970" t="str">
        <f t="shared" si="780"/>
        <v>F</v>
      </c>
      <c r="C1970">
        <v>25909353</v>
      </c>
      <c r="D1970">
        <f t="shared" si="781"/>
        <v>70</v>
      </c>
      <c r="E1970">
        <f t="shared" si="782"/>
        <v>70</v>
      </c>
      <c r="F1970" t="str">
        <f t="shared" si="783"/>
        <v>50-75</v>
      </c>
      <c r="G1970">
        <v>1</v>
      </c>
      <c r="H1970" t="str">
        <f t="shared" si="784"/>
        <v>Pariente gordo</v>
      </c>
      <c r="I1970">
        <v>1</v>
      </c>
      <c r="J1970" t="str">
        <f t="shared" si="785"/>
        <v>Hipercaloricos</v>
      </c>
      <c r="K1970">
        <v>3</v>
      </c>
      <c r="L1970">
        <f t="shared" si="786"/>
        <v>1</v>
      </c>
      <c r="M1970" t="str">
        <f t="shared" si="787"/>
        <v>Suele comer</v>
      </c>
      <c r="N1970">
        <v>3</v>
      </c>
      <c r="O1970">
        <f t="shared" si="788"/>
        <v>2</v>
      </c>
      <c r="P1970" t="str">
        <f t="shared" si="789"/>
        <v>Mas de 3</v>
      </c>
      <c r="Q1970">
        <v>1</v>
      </c>
      <c r="R1970" t="str">
        <f t="shared" si="790"/>
        <v>A veces</v>
      </c>
      <c r="S1970">
        <v>0</v>
      </c>
      <c r="T1970" t="str">
        <f t="shared" si="791"/>
        <v>No fuma</v>
      </c>
      <c r="U1970">
        <v>1029241</v>
      </c>
      <c r="V1970">
        <f t="shared" si="792"/>
        <v>2</v>
      </c>
      <c r="W1970" t="str">
        <f t="shared" si="793"/>
        <v>Siempre</v>
      </c>
      <c r="X1970">
        <v>0</v>
      </c>
      <c r="Y1970" t="str">
        <f t="shared" si="794"/>
        <v>No controla</v>
      </c>
      <c r="Z1970">
        <v>7.5775999999999996E-2</v>
      </c>
      <c r="AA1970">
        <f t="shared" si="795"/>
        <v>0</v>
      </c>
      <c r="AB1970" t="str">
        <f t="shared" si="796"/>
        <v>Nunca</v>
      </c>
      <c r="AC1970">
        <v>1</v>
      </c>
      <c r="AD1970">
        <f t="shared" si="797"/>
        <v>1</v>
      </c>
      <c r="AE1970" t="str">
        <f t="shared" si="798"/>
        <v>Usualmente</v>
      </c>
      <c r="AF1970">
        <v>1</v>
      </c>
      <c r="AG1970" t="str">
        <f t="shared" si="799"/>
        <v>A veces</v>
      </c>
      <c r="AH1970">
        <v>0</v>
      </c>
      <c r="AI1970" t="str">
        <f t="shared" si="800"/>
        <v>No usa</v>
      </c>
      <c r="AJ1970">
        <v>0</v>
      </c>
      <c r="AK1970" t="str">
        <f t="shared" si="801"/>
        <v>No usa</v>
      </c>
      <c r="AL1970">
        <v>0</v>
      </c>
      <c r="AM1970" t="str">
        <f t="shared" si="802"/>
        <v>No usa</v>
      </c>
      <c r="AN1970">
        <v>1</v>
      </c>
      <c r="AO1970" t="str">
        <f t="shared" si="803"/>
        <v>Usa Transporte</v>
      </c>
      <c r="AP1970">
        <v>0</v>
      </c>
      <c r="AQ1970" t="str">
        <f t="shared" si="804"/>
        <v>No camina</v>
      </c>
      <c r="AR1970">
        <v>1</v>
      </c>
      <c r="AS1970" t="str">
        <f t="shared" si="805"/>
        <v>Es Obeso</v>
      </c>
    </row>
    <row r="1971" spans="1:45" x14ac:dyDescent="0.25">
      <c r="A1971">
        <v>0</v>
      </c>
      <c r="B1971" t="str">
        <f t="shared" si="780"/>
        <v>F</v>
      </c>
      <c r="C1971">
        <v>25954995</v>
      </c>
      <c r="D1971">
        <f t="shared" si="781"/>
        <v>71</v>
      </c>
      <c r="E1971">
        <f t="shared" si="782"/>
        <v>71</v>
      </c>
      <c r="F1971" t="str">
        <f t="shared" si="783"/>
        <v>50-75</v>
      </c>
      <c r="G1971">
        <v>1</v>
      </c>
      <c r="H1971" t="str">
        <f t="shared" si="784"/>
        <v>Pariente gordo</v>
      </c>
      <c r="I1971">
        <v>1</v>
      </c>
      <c r="J1971" t="str">
        <f t="shared" si="785"/>
        <v>Hipercaloricos</v>
      </c>
      <c r="K1971">
        <v>3</v>
      </c>
      <c r="L1971">
        <f t="shared" si="786"/>
        <v>1</v>
      </c>
      <c r="M1971" t="str">
        <f t="shared" si="787"/>
        <v>Suele comer</v>
      </c>
      <c r="N1971">
        <v>3</v>
      </c>
      <c r="O1971">
        <f t="shared" si="788"/>
        <v>2</v>
      </c>
      <c r="P1971" t="str">
        <f t="shared" si="789"/>
        <v>Mas de 3</v>
      </c>
      <c r="Q1971">
        <v>1</v>
      </c>
      <c r="R1971" t="str">
        <f t="shared" si="790"/>
        <v>A veces</v>
      </c>
      <c r="S1971">
        <v>0</v>
      </c>
      <c r="T1971" t="str">
        <f t="shared" si="791"/>
        <v>No fuma</v>
      </c>
      <c r="U1971">
        <v>1074412</v>
      </c>
      <c r="V1971">
        <f t="shared" si="792"/>
        <v>2</v>
      </c>
      <c r="W1971" t="str">
        <f t="shared" si="793"/>
        <v>Siempre</v>
      </c>
      <c r="X1971">
        <v>0</v>
      </c>
      <c r="Y1971" t="str">
        <f t="shared" si="794"/>
        <v>No controla</v>
      </c>
      <c r="Z1971">
        <v>6.2649999999999997E-3</v>
      </c>
      <c r="AA1971">
        <f t="shared" si="795"/>
        <v>0</v>
      </c>
      <c r="AB1971" t="str">
        <f t="shared" si="796"/>
        <v>Nunca</v>
      </c>
      <c r="AC1971">
        <v>0.84563299999999997</v>
      </c>
      <c r="AD1971">
        <f t="shared" si="797"/>
        <v>0</v>
      </c>
      <c r="AE1971" t="str">
        <f t="shared" si="798"/>
        <v>Nunca</v>
      </c>
      <c r="AF1971">
        <v>1</v>
      </c>
      <c r="AG1971" t="str">
        <f t="shared" si="799"/>
        <v>A veces</v>
      </c>
      <c r="AH1971">
        <v>0</v>
      </c>
      <c r="AI1971" t="str">
        <f t="shared" si="800"/>
        <v>No usa</v>
      </c>
      <c r="AJ1971">
        <v>0</v>
      </c>
      <c r="AK1971" t="str">
        <f t="shared" si="801"/>
        <v>No usa</v>
      </c>
      <c r="AL1971">
        <v>0</v>
      </c>
      <c r="AM1971" t="str">
        <f t="shared" si="802"/>
        <v>No usa</v>
      </c>
      <c r="AN1971">
        <v>1</v>
      </c>
      <c r="AO1971" t="str">
        <f t="shared" si="803"/>
        <v>Usa Transporte</v>
      </c>
      <c r="AP1971">
        <v>0</v>
      </c>
      <c r="AQ1971" t="str">
        <f t="shared" si="804"/>
        <v>No camina</v>
      </c>
      <c r="AR1971">
        <v>1</v>
      </c>
      <c r="AS1971" t="str">
        <f t="shared" si="805"/>
        <v>Es Obeso</v>
      </c>
    </row>
    <row r="1972" spans="1:45" x14ac:dyDescent="0.25">
      <c r="A1972">
        <v>0</v>
      </c>
      <c r="B1972" t="str">
        <f t="shared" si="780"/>
        <v>F</v>
      </c>
      <c r="C1972">
        <v>25908829</v>
      </c>
      <c r="D1972">
        <f t="shared" si="781"/>
        <v>70</v>
      </c>
      <c r="E1972">
        <f t="shared" si="782"/>
        <v>70</v>
      </c>
      <c r="F1972" t="str">
        <f t="shared" si="783"/>
        <v>50-75</v>
      </c>
      <c r="G1972">
        <v>1</v>
      </c>
      <c r="H1972" t="str">
        <f t="shared" si="784"/>
        <v>Pariente gordo</v>
      </c>
      <c r="I1972">
        <v>1</v>
      </c>
      <c r="J1972" t="str">
        <f t="shared" si="785"/>
        <v>Hipercaloricos</v>
      </c>
      <c r="K1972">
        <v>3</v>
      </c>
      <c r="L1972">
        <f t="shared" si="786"/>
        <v>1</v>
      </c>
      <c r="M1972" t="str">
        <f t="shared" si="787"/>
        <v>Suele comer</v>
      </c>
      <c r="N1972">
        <v>3</v>
      </c>
      <c r="O1972">
        <f t="shared" si="788"/>
        <v>2</v>
      </c>
      <c r="P1972" t="str">
        <f t="shared" si="789"/>
        <v>Mas de 3</v>
      </c>
      <c r="Q1972">
        <v>1</v>
      </c>
      <c r="R1972" t="str">
        <f t="shared" si="790"/>
        <v>A veces</v>
      </c>
      <c r="S1972">
        <v>0</v>
      </c>
      <c r="T1972" t="str">
        <f t="shared" si="791"/>
        <v>No fuma</v>
      </c>
      <c r="U1972">
        <v>1030501</v>
      </c>
      <c r="V1972">
        <f t="shared" si="792"/>
        <v>2</v>
      </c>
      <c r="W1972" t="str">
        <f t="shared" si="793"/>
        <v>Siempre</v>
      </c>
      <c r="X1972">
        <v>0</v>
      </c>
      <c r="Y1972" t="str">
        <f t="shared" si="794"/>
        <v>No controla</v>
      </c>
      <c r="Z1972">
        <v>6.5820000000000004E-2</v>
      </c>
      <c r="AA1972">
        <f t="shared" si="795"/>
        <v>0</v>
      </c>
      <c r="AB1972" t="str">
        <f t="shared" si="796"/>
        <v>Nunca</v>
      </c>
      <c r="AC1972">
        <v>0.99147300000000005</v>
      </c>
      <c r="AD1972">
        <f t="shared" si="797"/>
        <v>0</v>
      </c>
      <c r="AE1972" t="str">
        <f t="shared" si="798"/>
        <v>Nunca</v>
      </c>
      <c r="AF1972">
        <v>1</v>
      </c>
      <c r="AG1972" t="str">
        <f t="shared" si="799"/>
        <v>A veces</v>
      </c>
      <c r="AH1972">
        <v>0</v>
      </c>
      <c r="AI1972" t="str">
        <f t="shared" si="800"/>
        <v>No usa</v>
      </c>
      <c r="AJ1972">
        <v>0</v>
      </c>
      <c r="AK1972" t="str">
        <f t="shared" si="801"/>
        <v>No usa</v>
      </c>
      <c r="AL1972">
        <v>0</v>
      </c>
      <c r="AM1972" t="str">
        <f t="shared" si="802"/>
        <v>No usa</v>
      </c>
      <c r="AN1972">
        <v>1</v>
      </c>
      <c r="AO1972" t="str">
        <f t="shared" si="803"/>
        <v>Usa Transporte</v>
      </c>
      <c r="AP1972">
        <v>0</v>
      </c>
      <c r="AQ1972" t="str">
        <f t="shared" si="804"/>
        <v>No camina</v>
      </c>
      <c r="AR1972">
        <v>1</v>
      </c>
      <c r="AS1972" t="str">
        <f t="shared" si="805"/>
        <v>Es Obeso</v>
      </c>
    </row>
    <row r="1973" spans="1:45" x14ac:dyDescent="0.25">
      <c r="A1973">
        <v>0</v>
      </c>
      <c r="B1973" t="str">
        <f t="shared" si="780"/>
        <v>F</v>
      </c>
      <c r="C1973">
        <v>19297004</v>
      </c>
      <c r="D1973">
        <f t="shared" si="781"/>
        <v>52</v>
      </c>
      <c r="E1973">
        <f t="shared" si="782"/>
        <v>52</v>
      </c>
      <c r="F1973" t="str">
        <f t="shared" si="783"/>
        <v>50-75</v>
      </c>
      <c r="G1973">
        <v>1</v>
      </c>
      <c r="H1973" t="str">
        <f t="shared" si="784"/>
        <v>Pariente gordo</v>
      </c>
      <c r="I1973">
        <v>1</v>
      </c>
      <c r="J1973" t="str">
        <f t="shared" si="785"/>
        <v>Hipercaloricos</v>
      </c>
      <c r="K1973">
        <v>3</v>
      </c>
      <c r="L1973">
        <f t="shared" si="786"/>
        <v>1</v>
      </c>
      <c r="M1973" t="str">
        <f t="shared" si="787"/>
        <v>Suele comer</v>
      </c>
      <c r="N1973">
        <v>3</v>
      </c>
      <c r="O1973">
        <f t="shared" si="788"/>
        <v>2</v>
      </c>
      <c r="P1973" t="str">
        <f t="shared" si="789"/>
        <v>Mas de 3</v>
      </c>
      <c r="Q1973">
        <v>1</v>
      </c>
      <c r="R1973" t="str">
        <f t="shared" si="790"/>
        <v>A veces</v>
      </c>
      <c r="S1973">
        <v>0</v>
      </c>
      <c r="T1973" t="str">
        <f t="shared" si="791"/>
        <v>No fuma</v>
      </c>
      <c r="U1973">
        <v>2699675</v>
      </c>
      <c r="V1973">
        <f t="shared" si="792"/>
        <v>2</v>
      </c>
      <c r="W1973" t="str">
        <f t="shared" si="793"/>
        <v>Siempre</v>
      </c>
      <c r="X1973">
        <v>0</v>
      </c>
      <c r="Y1973" t="str">
        <f t="shared" si="794"/>
        <v>No controla</v>
      </c>
      <c r="Z1973">
        <v>1520818</v>
      </c>
      <c r="AA1973">
        <f t="shared" si="795"/>
        <v>3</v>
      </c>
      <c r="AB1973" t="str">
        <f t="shared" si="796"/>
        <v>Siempre</v>
      </c>
      <c r="AC1973">
        <v>0.76398999999999995</v>
      </c>
      <c r="AD1973">
        <f t="shared" si="797"/>
        <v>0</v>
      </c>
      <c r="AE1973" t="str">
        <f t="shared" si="798"/>
        <v>Nunca</v>
      </c>
      <c r="AF1973">
        <v>1</v>
      </c>
      <c r="AG1973" t="str">
        <f t="shared" si="799"/>
        <v>A veces</v>
      </c>
      <c r="AH1973">
        <v>0</v>
      </c>
      <c r="AI1973" t="str">
        <f t="shared" si="800"/>
        <v>No usa</v>
      </c>
      <c r="AJ1973">
        <v>0</v>
      </c>
      <c r="AK1973" t="str">
        <f t="shared" si="801"/>
        <v>No usa</v>
      </c>
      <c r="AL1973">
        <v>0</v>
      </c>
      <c r="AM1973" t="str">
        <f t="shared" si="802"/>
        <v>No usa</v>
      </c>
      <c r="AN1973">
        <v>1</v>
      </c>
      <c r="AO1973" t="str">
        <f t="shared" si="803"/>
        <v>Usa Transporte</v>
      </c>
      <c r="AP1973">
        <v>0</v>
      </c>
      <c r="AQ1973" t="str">
        <f t="shared" si="804"/>
        <v>No camina</v>
      </c>
      <c r="AR1973">
        <v>1</v>
      </c>
      <c r="AS1973" t="str">
        <f t="shared" si="805"/>
        <v>Es Obeso</v>
      </c>
    </row>
    <row r="1974" spans="1:45" x14ac:dyDescent="0.25">
      <c r="A1974">
        <v>0</v>
      </c>
      <c r="B1974" t="str">
        <f t="shared" si="780"/>
        <v>F</v>
      </c>
      <c r="C1974">
        <v>18301773</v>
      </c>
      <c r="D1974">
        <f t="shared" si="781"/>
        <v>50</v>
      </c>
      <c r="E1974">
        <f t="shared" si="782"/>
        <v>50</v>
      </c>
      <c r="F1974" t="str">
        <f t="shared" si="783"/>
        <v>25-50</v>
      </c>
      <c r="G1974">
        <v>1</v>
      </c>
      <c r="H1974" t="str">
        <f t="shared" si="784"/>
        <v>Pariente gordo</v>
      </c>
      <c r="I1974">
        <v>1</v>
      </c>
      <c r="J1974" t="str">
        <f t="shared" si="785"/>
        <v>Hipercaloricos</v>
      </c>
      <c r="K1974">
        <v>3</v>
      </c>
      <c r="L1974">
        <f t="shared" si="786"/>
        <v>1</v>
      </c>
      <c r="M1974" t="str">
        <f t="shared" si="787"/>
        <v>Suele comer</v>
      </c>
      <c r="N1974">
        <v>3</v>
      </c>
      <c r="O1974">
        <f t="shared" si="788"/>
        <v>2</v>
      </c>
      <c r="P1974" t="str">
        <f t="shared" si="789"/>
        <v>Mas de 3</v>
      </c>
      <c r="Q1974">
        <v>1</v>
      </c>
      <c r="R1974" t="str">
        <f t="shared" si="790"/>
        <v>A veces</v>
      </c>
      <c r="S1974">
        <v>0</v>
      </c>
      <c r="T1974" t="str">
        <f t="shared" si="791"/>
        <v>No fuma</v>
      </c>
      <c r="U1974">
        <v>2830247</v>
      </c>
      <c r="V1974">
        <f t="shared" si="792"/>
        <v>2</v>
      </c>
      <c r="W1974" t="str">
        <f t="shared" si="793"/>
        <v>Siempre</v>
      </c>
      <c r="X1974">
        <v>0</v>
      </c>
      <c r="Y1974" t="str">
        <f t="shared" si="794"/>
        <v>No controla</v>
      </c>
      <c r="Z1974">
        <v>1783138</v>
      </c>
      <c r="AA1974">
        <f t="shared" si="795"/>
        <v>3</v>
      </c>
      <c r="AB1974" t="str">
        <f t="shared" si="796"/>
        <v>Siempre</v>
      </c>
      <c r="AC1974">
        <v>0.78906399999999999</v>
      </c>
      <c r="AD1974">
        <f t="shared" si="797"/>
        <v>0</v>
      </c>
      <c r="AE1974" t="str">
        <f t="shared" si="798"/>
        <v>Nunca</v>
      </c>
      <c r="AF1974">
        <v>1</v>
      </c>
      <c r="AG1974" t="str">
        <f t="shared" si="799"/>
        <v>A veces</v>
      </c>
      <c r="AH1974">
        <v>0</v>
      </c>
      <c r="AI1974" t="str">
        <f t="shared" si="800"/>
        <v>No usa</v>
      </c>
      <c r="AJ1974">
        <v>0</v>
      </c>
      <c r="AK1974" t="str">
        <f t="shared" si="801"/>
        <v>No usa</v>
      </c>
      <c r="AL1974">
        <v>0</v>
      </c>
      <c r="AM1974" t="str">
        <f t="shared" si="802"/>
        <v>No usa</v>
      </c>
      <c r="AN1974">
        <v>1</v>
      </c>
      <c r="AO1974" t="str">
        <f t="shared" si="803"/>
        <v>Usa Transporte</v>
      </c>
      <c r="AP1974">
        <v>0</v>
      </c>
      <c r="AQ1974" t="str">
        <f t="shared" si="804"/>
        <v>No camina</v>
      </c>
      <c r="AR1974">
        <v>1</v>
      </c>
      <c r="AS1974" t="str">
        <f t="shared" si="805"/>
        <v>Es Obeso</v>
      </c>
    </row>
    <row r="1975" spans="1:45" x14ac:dyDescent="0.25">
      <c r="A1975">
        <v>0</v>
      </c>
      <c r="B1975" t="str">
        <f t="shared" si="780"/>
        <v>F</v>
      </c>
      <c r="C1975">
        <v>19872667</v>
      </c>
      <c r="D1975">
        <f t="shared" si="781"/>
        <v>54</v>
      </c>
      <c r="E1975">
        <f t="shared" si="782"/>
        <v>54</v>
      </c>
      <c r="F1975" t="str">
        <f t="shared" si="783"/>
        <v>50-75</v>
      </c>
      <c r="G1975">
        <v>1</v>
      </c>
      <c r="H1975" t="str">
        <f t="shared" si="784"/>
        <v>Pariente gordo</v>
      </c>
      <c r="I1975">
        <v>1</v>
      </c>
      <c r="J1975" t="str">
        <f t="shared" si="785"/>
        <v>Hipercaloricos</v>
      </c>
      <c r="K1975">
        <v>3</v>
      </c>
      <c r="L1975">
        <f t="shared" si="786"/>
        <v>1</v>
      </c>
      <c r="M1975" t="str">
        <f t="shared" si="787"/>
        <v>Suele comer</v>
      </c>
      <c r="N1975">
        <v>3</v>
      </c>
      <c r="O1975">
        <f t="shared" si="788"/>
        <v>2</v>
      </c>
      <c r="P1975" t="str">
        <f t="shared" si="789"/>
        <v>Mas de 3</v>
      </c>
      <c r="Q1975">
        <v>1</v>
      </c>
      <c r="R1975" t="str">
        <f t="shared" si="790"/>
        <v>A veces</v>
      </c>
      <c r="S1975">
        <v>0</v>
      </c>
      <c r="T1975" t="str">
        <f t="shared" si="791"/>
        <v>No fuma</v>
      </c>
      <c r="U1975">
        <v>2305521</v>
      </c>
      <c r="V1975">
        <f t="shared" si="792"/>
        <v>2</v>
      </c>
      <c r="W1975" t="str">
        <f t="shared" si="793"/>
        <v>Siempre</v>
      </c>
      <c r="X1975">
        <v>0</v>
      </c>
      <c r="Y1975" t="str">
        <f t="shared" si="794"/>
        <v>No controla</v>
      </c>
      <c r="Z1975">
        <v>1956278</v>
      </c>
      <c r="AA1975">
        <f t="shared" si="795"/>
        <v>3</v>
      </c>
      <c r="AB1975" t="str">
        <f t="shared" si="796"/>
        <v>Siempre</v>
      </c>
      <c r="AC1975">
        <v>0.92376000000000003</v>
      </c>
      <c r="AD1975">
        <f t="shared" si="797"/>
        <v>0</v>
      </c>
      <c r="AE1975" t="str">
        <f t="shared" si="798"/>
        <v>Nunca</v>
      </c>
      <c r="AF1975">
        <v>1</v>
      </c>
      <c r="AG1975" t="str">
        <f t="shared" si="799"/>
        <v>A veces</v>
      </c>
      <c r="AH1975">
        <v>0</v>
      </c>
      <c r="AI1975" t="str">
        <f t="shared" si="800"/>
        <v>No usa</v>
      </c>
      <c r="AJ1975">
        <v>0</v>
      </c>
      <c r="AK1975" t="str">
        <f t="shared" si="801"/>
        <v>No usa</v>
      </c>
      <c r="AL1975">
        <v>0</v>
      </c>
      <c r="AM1975" t="str">
        <f t="shared" si="802"/>
        <v>No usa</v>
      </c>
      <c r="AN1975">
        <v>1</v>
      </c>
      <c r="AO1975" t="str">
        <f t="shared" si="803"/>
        <v>Usa Transporte</v>
      </c>
      <c r="AP1975">
        <v>0</v>
      </c>
      <c r="AQ1975" t="str">
        <f t="shared" si="804"/>
        <v>No camina</v>
      </c>
      <c r="AR1975">
        <v>1</v>
      </c>
      <c r="AS1975" t="str">
        <f t="shared" si="805"/>
        <v>Es Obeso</v>
      </c>
    </row>
    <row r="1976" spans="1:45" x14ac:dyDescent="0.25">
      <c r="A1976">
        <v>0</v>
      </c>
      <c r="B1976" t="str">
        <f t="shared" si="780"/>
        <v>F</v>
      </c>
      <c r="C1976">
        <v>1813782</v>
      </c>
      <c r="D1976">
        <f t="shared" si="781"/>
        <v>4</v>
      </c>
      <c r="E1976">
        <f t="shared" si="782"/>
        <v>4</v>
      </c>
      <c r="F1976" t="str">
        <f t="shared" si="783"/>
        <v>1-25</v>
      </c>
      <c r="G1976">
        <v>1</v>
      </c>
      <c r="H1976" t="str">
        <f t="shared" si="784"/>
        <v>Pariente gordo</v>
      </c>
      <c r="I1976">
        <v>1</v>
      </c>
      <c r="J1976" t="str">
        <f t="shared" si="785"/>
        <v>Hipercaloricos</v>
      </c>
      <c r="K1976">
        <v>3</v>
      </c>
      <c r="L1976">
        <f t="shared" si="786"/>
        <v>1</v>
      </c>
      <c r="M1976" t="str">
        <f t="shared" si="787"/>
        <v>Suele comer</v>
      </c>
      <c r="N1976">
        <v>3</v>
      </c>
      <c r="O1976">
        <f t="shared" si="788"/>
        <v>2</v>
      </c>
      <c r="P1976" t="str">
        <f t="shared" si="789"/>
        <v>Mas de 3</v>
      </c>
      <c r="Q1976">
        <v>1</v>
      </c>
      <c r="R1976" t="str">
        <f t="shared" si="790"/>
        <v>A veces</v>
      </c>
      <c r="S1976">
        <v>0</v>
      </c>
      <c r="T1976" t="str">
        <f t="shared" si="791"/>
        <v>No fuma</v>
      </c>
      <c r="U1976">
        <v>2155926</v>
      </c>
      <c r="V1976">
        <f t="shared" si="792"/>
        <v>2</v>
      </c>
      <c r="W1976" t="str">
        <f t="shared" si="793"/>
        <v>Siempre</v>
      </c>
      <c r="X1976">
        <v>0</v>
      </c>
      <c r="Y1976" t="str">
        <f t="shared" si="794"/>
        <v>No controla</v>
      </c>
      <c r="Z1976">
        <v>1999836</v>
      </c>
      <c r="AA1976">
        <f t="shared" si="795"/>
        <v>3</v>
      </c>
      <c r="AB1976" t="str">
        <f t="shared" si="796"/>
        <v>Siempre</v>
      </c>
      <c r="AC1976">
        <v>0.94603000000000004</v>
      </c>
      <c r="AD1976">
        <f t="shared" si="797"/>
        <v>0</v>
      </c>
      <c r="AE1976" t="str">
        <f t="shared" si="798"/>
        <v>Nunca</v>
      </c>
      <c r="AF1976">
        <v>1</v>
      </c>
      <c r="AG1976" t="str">
        <f t="shared" si="799"/>
        <v>A veces</v>
      </c>
      <c r="AH1976">
        <v>0</v>
      </c>
      <c r="AI1976" t="str">
        <f t="shared" si="800"/>
        <v>No usa</v>
      </c>
      <c r="AJ1976">
        <v>0</v>
      </c>
      <c r="AK1976" t="str">
        <f t="shared" si="801"/>
        <v>No usa</v>
      </c>
      <c r="AL1976">
        <v>0</v>
      </c>
      <c r="AM1976" t="str">
        <f t="shared" si="802"/>
        <v>No usa</v>
      </c>
      <c r="AN1976">
        <v>1</v>
      </c>
      <c r="AO1976" t="str">
        <f t="shared" si="803"/>
        <v>Usa Transporte</v>
      </c>
      <c r="AP1976">
        <v>0</v>
      </c>
      <c r="AQ1976" t="str">
        <f t="shared" si="804"/>
        <v>No camina</v>
      </c>
      <c r="AR1976">
        <v>1</v>
      </c>
      <c r="AS1976" t="str">
        <f t="shared" si="805"/>
        <v>Es Obeso</v>
      </c>
    </row>
    <row r="1977" spans="1:45" x14ac:dyDescent="0.25">
      <c r="A1977">
        <v>0</v>
      </c>
      <c r="B1977" t="str">
        <f t="shared" si="780"/>
        <v>F</v>
      </c>
      <c r="C1977">
        <v>26</v>
      </c>
      <c r="D1977">
        <f t="shared" si="781"/>
        <v>26</v>
      </c>
      <c r="E1977">
        <f t="shared" si="782"/>
        <v>26</v>
      </c>
      <c r="F1977" t="str">
        <f t="shared" si="783"/>
        <v>25-50</v>
      </c>
      <c r="G1977">
        <v>1</v>
      </c>
      <c r="H1977" t="str">
        <f t="shared" si="784"/>
        <v>Pariente gordo</v>
      </c>
      <c r="I1977">
        <v>1</v>
      </c>
      <c r="J1977" t="str">
        <f t="shared" si="785"/>
        <v>Hipercaloricos</v>
      </c>
      <c r="K1977">
        <v>3</v>
      </c>
      <c r="L1977">
        <f t="shared" si="786"/>
        <v>1</v>
      </c>
      <c r="M1977" t="str">
        <f t="shared" si="787"/>
        <v>Suele comer</v>
      </c>
      <c r="N1977">
        <v>3</v>
      </c>
      <c r="O1977">
        <f t="shared" si="788"/>
        <v>2</v>
      </c>
      <c r="P1977" t="str">
        <f t="shared" si="789"/>
        <v>Mas de 3</v>
      </c>
      <c r="Q1977">
        <v>1</v>
      </c>
      <c r="R1977" t="str">
        <f t="shared" si="790"/>
        <v>A veces</v>
      </c>
      <c r="S1977">
        <v>0</v>
      </c>
      <c r="T1977" t="str">
        <f t="shared" si="791"/>
        <v>No fuma</v>
      </c>
      <c r="U1977">
        <v>2784303</v>
      </c>
      <c r="V1977">
        <f t="shared" si="792"/>
        <v>2</v>
      </c>
      <c r="W1977" t="str">
        <f t="shared" si="793"/>
        <v>Siempre</v>
      </c>
      <c r="X1977">
        <v>0</v>
      </c>
      <c r="Y1977" t="str">
        <f t="shared" si="794"/>
        <v>No controla</v>
      </c>
      <c r="Z1977">
        <v>0</v>
      </c>
      <c r="AA1977">
        <f t="shared" si="795"/>
        <v>0</v>
      </c>
      <c r="AB1977" t="str">
        <f t="shared" si="796"/>
        <v>Nunca</v>
      </c>
      <c r="AC1977">
        <v>0.127775</v>
      </c>
      <c r="AD1977">
        <f t="shared" si="797"/>
        <v>0</v>
      </c>
      <c r="AE1977" t="str">
        <f t="shared" si="798"/>
        <v>Nunca</v>
      </c>
      <c r="AF1977">
        <v>1</v>
      </c>
      <c r="AG1977" t="str">
        <f t="shared" si="799"/>
        <v>A veces</v>
      </c>
      <c r="AH1977">
        <v>0</v>
      </c>
      <c r="AI1977" t="str">
        <f t="shared" si="800"/>
        <v>No usa</v>
      </c>
      <c r="AJ1977">
        <v>0</v>
      </c>
      <c r="AK1977" t="str">
        <f t="shared" si="801"/>
        <v>No usa</v>
      </c>
      <c r="AL1977">
        <v>0</v>
      </c>
      <c r="AM1977" t="str">
        <f t="shared" si="802"/>
        <v>No usa</v>
      </c>
      <c r="AN1977">
        <v>1</v>
      </c>
      <c r="AO1977" t="str">
        <f t="shared" si="803"/>
        <v>Usa Transporte</v>
      </c>
      <c r="AP1977">
        <v>0</v>
      </c>
      <c r="AQ1977" t="str">
        <f t="shared" si="804"/>
        <v>No camina</v>
      </c>
      <c r="AR1977">
        <v>1</v>
      </c>
      <c r="AS1977" t="str">
        <f t="shared" si="805"/>
        <v>Es Obeso</v>
      </c>
    </row>
    <row r="1978" spans="1:45" x14ac:dyDescent="0.25">
      <c r="A1978">
        <v>0</v>
      </c>
      <c r="B1978" t="str">
        <f t="shared" si="780"/>
        <v>F</v>
      </c>
      <c r="C1978">
        <v>26</v>
      </c>
      <c r="D1978">
        <f t="shared" si="781"/>
        <v>26</v>
      </c>
      <c r="E1978">
        <f t="shared" si="782"/>
        <v>26</v>
      </c>
      <c r="F1978" t="str">
        <f t="shared" si="783"/>
        <v>25-50</v>
      </c>
      <c r="G1978">
        <v>1</v>
      </c>
      <c r="H1978" t="str">
        <f t="shared" si="784"/>
        <v>Pariente gordo</v>
      </c>
      <c r="I1978">
        <v>1</v>
      </c>
      <c r="J1978" t="str">
        <f t="shared" si="785"/>
        <v>Hipercaloricos</v>
      </c>
      <c r="K1978">
        <v>3</v>
      </c>
      <c r="L1978">
        <f t="shared" si="786"/>
        <v>1</v>
      </c>
      <c r="M1978" t="str">
        <f t="shared" si="787"/>
        <v>Suele comer</v>
      </c>
      <c r="N1978">
        <v>3</v>
      </c>
      <c r="O1978">
        <f t="shared" si="788"/>
        <v>2</v>
      </c>
      <c r="P1978" t="str">
        <f t="shared" si="789"/>
        <v>Mas de 3</v>
      </c>
      <c r="Q1978">
        <v>1</v>
      </c>
      <c r="R1978" t="str">
        <f t="shared" si="790"/>
        <v>A veces</v>
      </c>
      <c r="S1978">
        <v>0</v>
      </c>
      <c r="T1978" t="str">
        <f t="shared" si="791"/>
        <v>No fuma</v>
      </c>
      <c r="U1978">
        <v>2786417</v>
      </c>
      <c r="V1978">
        <f t="shared" si="792"/>
        <v>2</v>
      </c>
      <c r="W1978" t="str">
        <f t="shared" si="793"/>
        <v>Siempre</v>
      </c>
      <c r="X1978">
        <v>0</v>
      </c>
      <c r="Y1978" t="str">
        <f t="shared" si="794"/>
        <v>No controla</v>
      </c>
      <c r="Z1978">
        <v>0</v>
      </c>
      <c r="AA1978">
        <f t="shared" si="795"/>
        <v>0</v>
      </c>
      <c r="AB1978" t="str">
        <f t="shared" si="796"/>
        <v>Nunca</v>
      </c>
      <c r="AC1978">
        <v>7.9672999999999994E-2</v>
      </c>
      <c r="AD1978">
        <f t="shared" si="797"/>
        <v>0</v>
      </c>
      <c r="AE1978" t="str">
        <f t="shared" si="798"/>
        <v>Nunca</v>
      </c>
      <c r="AF1978">
        <v>1</v>
      </c>
      <c r="AG1978" t="str">
        <f t="shared" si="799"/>
        <v>A veces</v>
      </c>
      <c r="AH1978">
        <v>0</v>
      </c>
      <c r="AI1978" t="str">
        <f t="shared" si="800"/>
        <v>No usa</v>
      </c>
      <c r="AJ1978">
        <v>0</v>
      </c>
      <c r="AK1978" t="str">
        <f t="shared" si="801"/>
        <v>No usa</v>
      </c>
      <c r="AL1978">
        <v>0</v>
      </c>
      <c r="AM1978" t="str">
        <f t="shared" si="802"/>
        <v>No usa</v>
      </c>
      <c r="AN1978">
        <v>1</v>
      </c>
      <c r="AO1978" t="str">
        <f t="shared" si="803"/>
        <v>Usa Transporte</v>
      </c>
      <c r="AP1978">
        <v>0</v>
      </c>
      <c r="AQ1978" t="str">
        <f t="shared" si="804"/>
        <v>No camina</v>
      </c>
      <c r="AR1978">
        <v>1</v>
      </c>
      <c r="AS1978" t="str">
        <f t="shared" si="805"/>
        <v>Es Obeso</v>
      </c>
    </row>
    <row r="1979" spans="1:45" x14ac:dyDescent="0.25">
      <c r="A1979">
        <v>0</v>
      </c>
      <c r="B1979" t="str">
        <f t="shared" si="780"/>
        <v>F</v>
      </c>
      <c r="C1979">
        <v>26</v>
      </c>
      <c r="D1979">
        <f t="shared" si="781"/>
        <v>26</v>
      </c>
      <c r="E1979">
        <f t="shared" si="782"/>
        <v>26</v>
      </c>
      <c r="F1979" t="str">
        <f t="shared" si="783"/>
        <v>25-50</v>
      </c>
      <c r="G1979">
        <v>1</v>
      </c>
      <c r="H1979" t="str">
        <f t="shared" si="784"/>
        <v>Pariente gordo</v>
      </c>
      <c r="I1979">
        <v>1</v>
      </c>
      <c r="J1979" t="str">
        <f t="shared" si="785"/>
        <v>Hipercaloricos</v>
      </c>
      <c r="K1979">
        <v>3</v>
      </c>
      <c r="L1979">
        <f t="shared" si="786"/>
        <v>1</v>
      </c>
      <c r="M1979" t="str">
        <f t="shared" si="787"/>
        <v>Suele comer</v>
      </c>
      <c r="N1979">
        <v>3</v>
      </c>
      <c r="O1979">
        <f t="shared" si="788"/>
        <v>2</v>
      </c>
      <c r="P1979" t="str">
        <f t="shared" si="789"/>
        <v>Mas de 3</v>
      </c>
      <c r="Q1979">
        <v>1</v>
      </c>
      <c r="R1979" t="str">
        <f t="shared" si="790"/>
        <v>A veces</v>
      </c>
      <c r="S1979">
        <v>0</v>
      </c>
      <c r="T1979" t="str">
        <f t="shared" si="791"/>
        <v>No fuma</v>
      </c>
      <c r="U1979">
        <v>2707201</v>
      </c>
      <c r="V1979">
        <f t="shared" si="792"/>
        <v>2</v>
      </c>
      <c r="W1979" t="str">
        <f t="shared" si="793"/>
        <v>Siempre</v>
      </c>
      <c r="X1979">
        <v>0</v>
      </c>
      <c r="Y1979" t="str">
        <f t="shared" si="794"/>
        <v>No controla</v>
      </c>
      <c r="Z1979">
        <v>0</v>
      </c>
      <c r="AA1979">
        <f t="shared" si="795"/>
        <v>0</v>
      </c>
      <c r="AB1979" t="str">
        <f t="shared" si="796"/>
        <v>Nunca</v>
      </c>
      <c r="AC1979">
        <v>0.167272</v>
      </c>
      <c r="AD1979">
        <f t="shared" si="797"/>
        <v>0</v>
      </c>
      <c r="AE1979" t="str">
        <f t="shared" si="798"/>
        <v>Nunca</v>
      </c>
      <c r="AF1979">
        <v>1</v>
      </c>
      <c r="AG1979" t="str">
        <f t="shared" si="799"/>
        <v>A veces</v>
      </c>
      <c r="AH1979">
        <v>0</v>
      </c>
      <c r="AI1979" t="str">
        <f t="shared" si="800"/>
        <v>No usa</v>
      </c>
      <c r="AJ1979">
        <v>0</v>
      </c>
      <c r="AK1979" t="str">
        <f t="shared" si="801"/>
        <v>No usa</v>
      </c>
      <c r="AL1979">
        <v>0</v>
      </c>
      <c r="AM1979" t="str">
        <f t="shared" si="802"/>
        <v>No usa</v>
      </c>
      <c r="AN1979">
        <v>1</v>
      </c>
      <c r="AO1979" t="str">
        <f t="shared" si="803"/>
        <v>Usa Transporte</v>
      </c>
      <c r="AP1979">
        <v>0</v>
      </c>
      <c r="AQ1979" t="str">
        <f t="shared" si="804"/>
        <v>No camina</v>
      </c>
      <c r="AR1979">
        <v>1</v>
      </c>
      <c r="AS1979" t="str">
        <f t="shared" si="805"/>
        <v>Es Obeso</v>
      </c>
    </row>
    <row r="1980" spans="1:45" x14ac:dyDescent="0.25">
      <c r="A1980">
        <v>0</v>
      </c>
      <c r="B1980" t="str">
        <f t="shared" si="780"/>
        <v>F</v>
      </c>
      <c r="C1980">
        <v>26</v>
      </c>
      <c r="D1980">
        <f t="shared" si="781"/>
        <v>26</v>
      </c>
      <c r="E1980">
        <f t="shared" si="782"/>
        <v>26</v>
      </c>
      <c r="F1980" t="str">
        <f t="shared" si="783"/>
        <v>25-50</v>
      </c>
      <c r="G1980">
        <v>1</v>
      </c>
      <c r="H1980" t="str">
        <f t="shared" si="784"/>
        <v>Pariente gordo</v>
      </c>
      <c r="I1980">
        <v>1</v>
      </c>
      <c r="J1980" t="str">
        <f t="shared" si="785"/>
        <v>Hipercaloricos</v>
      </c>
      <c r="K1980">
        <v>3</v>
      </c>
      <c r="L1980">
        <f t="shared" si="786"/>
        <v>1</v>
      </c>
      <c r="M1980" t="str">
        <f t="shared" si="787"/>
        <v>Suele comer</v>
      </c>
      <c r="N1980">
        <v>3</v>
      </c>
      <c r="O1980">
        <f t="shared" si="788"/>
        <v>2</v>
      </c>
      <c r="P1980" t="str">
        <f t="shared" si="789"/>
        <v>Mas de 3</v>
      </c>
      <c r="Q1980">
        <v>1</v>
      </c>
      <c r="R1980" t="str">
        <f t="shared" si="790"/>
        <v>A veces</v>
      </c>
      <c r="S1980">
        <v>0</v>
      </c>
      <c r="T1980" t="str">
        <f t="shared" si="791"/>
        <v>No fuma</v>
      </c>
      <c r="U1980">
        <v>2709428</v>
      </c>
      <c r="V1980">
        <f t="shared" si="792"/>
        <v>2</v>
      </c>
      <c r="W1980" t="str">
        <f t="shared" si="793"/>
        <v>Siempre</v>
      </c>
      <c r="X1980">
        <v>0</v>
      </c>
      <c r="Y1980" t="str">
        <f t="shared" si="794"/>
        <v>No controla</v>
      </c>
      <c r="Z1980">
        <v>0</v>
      </c>
      <c r="AA1980">
        <f t="shared" si="795"/>
        <v>0</v>
      </c>
      <c r="AB1980" t="str">
        <f t="shared" si="796"/>
        <v>Nunca</v>
      </c>
      <c r="AC1980">
        <v>0.22848599999999999</v>
      </c>
      <c r="AD1980">
        <f t="shared" si="797"/>
        <v>0</v>
      </c>
      <c r="AE1980" t="str">
        <f t="shared" si="798"/>
        <v>Nunca</v>
      </c>
      <c r="AF1980">
        <v>1</v>
      </c>
      <c r="AG1980" t="str">
        <f t="shared" si="799"/>
        <v>A veces</v>
      </c>
      <c r="AH1980">
        <v>0</v>
      </c>
      <c r="AI1980" t="str">
        <f t="shared" si="800"/>
        <v>No usa</v>
      </c>
      <c r="AJ1980">
        <v>0</v>
      </c>
      <c r="AK1980" t="str">
        <f t="shared" si="801"/>
        <v>No usa</v>
      </c>
      <c r="AL1980">
        <v>0</v>
      </c>
      <c r="AM1980" t="str">
        <f t="shared" si="802"/>
        <v>No usa</v>
      </c>
      <c r="AN1980">
        <v>1</v>
      </c>
      <c r="AO1980" t="str">
        <f t="shared" si="803"/>
        <v>Usa Transporte</v>
      </c>
      <c r="AP1980">
        <v>0</v>
      </c>
      <c r="AQ1980" t="str">
        <f t="shared" si="804"/>
        <v>No camina</v>
      </c>
      <c r="AR1980">
        <v>1</v>
      </c>
      <c r="AS1980" t="str">
        <f t="shared" si="805"/>
        <v>Es Obeso</v>
      </c>
    </row>
    <row r="1981" spans="1:45" x14ac:dyDescent="0.25">
      <c r="A1981">
        <v>0</v>
      </c>
      <c r="B1981" t="str">
        <f t="shared" si="780"/>
        <v>F</v>
      </c>
      <c r="C1981">
        <v>2542724</v>
      </c>
      <c r="D1981">
        <f t="shared" si="781"/>
        <v>6</v>
      </c>
      <c r="E1981">
        <f t="shared" si="782"/>
        <v>6</v>
      </c>
      <c r="F1981" t="str">
        <f t="shared" si="783"/>
        <v>1-25</v>
      </c>
      <c r="G1981">
        <v>1</v>
      </c>
      <c r="H1981" t="str">
        <f t="shared" si="784"/>
        <v>Pariente gordo</v>
      </c>
      <c r="I1981">
        <v>1</v>
      </c>
      <c r="J1981" t="str">
        <f t="shared" si="785"/>
        <v>Hipercaloricos</v>
      </c>
      <c r="K1981">
        <v>3</v>
      </c>
      <c r="L1981">
        <f t="shared" si="786"/>
        <v>1</v>
      </c>
      <c r="M1981" t="str">
        <f t="shared" si="787"/>
        <v>Suele comer</v>
      </c>
      <c r="N1981">
        <v>3</v>
      </c>
      <c r="O1981">
        <f t="shared" si="788"/>
        <v>2</v>
      </c>
      <c r="P1981" t="str">
        <f t="shared" si="789"/>
        <v>Mas de 3</v>
      </c>
      <c r="Q1981">
        <v>1</v>
      </c>
      <c r="R1981" t="str">
        <f t="shared" si="790"/>
        <v>A veces</v>
      </c>
      <c r="S1981">
        <v>0</v>
      </c>
      <c r="T1981" t="str">
        <f t="shared" si="791"/>
        <v>No fuma</v>
      </c>
      <c r="U1981">
        <v>1525127</v>
      </c>
      <c r="V1981">
        <f t="shared" si="792"/>
        <v>2</v>
      </c>
      <c r="W1981" t="str">
        <f t="shared" si="793"/>
        <v>Siempre</v>
      </c>
      <c r="X1981">
        <v>0</v>
      </c>
      <c r="Y1981" t="str">
        <f t="shared" si="794"/>
        <v>No controla</v>
      </c>
      <c r="Z1981">
        <v>0.22082499999999999</v>
      </c>
      <c r="AA1981">
        <f t="shared" si="795"/>
        <v>0</v>
      </c>
      <c r="AB1981" t="str">
        <f t="shared" si="796"/>
        <v>Nunca</v>
      </c>
      <c r="AC1981">
        <v>0.89610500000000004</v>
      </c>
      <c r="AD1981">
        <f t="shared" si="797"/>
        <v>0</v>
      </c>
      <c r="AE1981" t="str">
        <f t="shared" si="798"/>
        <v>Nunca</v>
      </c>
      <c r="AF1981">
        <v>1</v>
      </c>
      <c r="AG1981" t="str">
        <f t="shared" si="799"/>
        <v>A veces</v>
      </c>
      <c r="AH1981">
        <v>0</v>
      </c>
      <c r="AI1981" t="str">
        <f t="shared" si="800"/>
        <v>No usa</v>
      </c>
      <c r="AJ1981">
        <v>0</v>
      </c>
      <c r="AK1981" t="str">
        <f t="shared" si="801"/>
        <v>No usa</v>
      </c>
      <c r="AL1981">
        <v>0</v>
      </c>
      <c r="AM1981" t="str">
        <f t="shared" si="802"/>
        <v>No usa</v>
      </c>
      <c r="AN1981">
        <v>1</v>
      </c>
      <c r="AO1981" t="str">
        <f t="shared" si="803"/>
        <v>Usa Transporte</v>
      </c>
      <c r="AP1981">
        <v>0</v>
      </c>
      <c r="AQ1981" t="str">
        <f t="shared" si="804"/>
        <v>No camina</v>
      </c>
      <c r="AR1981">
        <v>1</v>
      </c>
      <c r="AS1981" t="str">
        <f t="shared" si="805"/>
        <v>Es Obeso</v>
      </c>
    </row>
    <row r="1982" spans="1:45" x14ac:dyDescent="0.25">
      <c r="A1982">
        <v>0</v>
      </c>
      <c r="B1982" t="str">
        <f t="shared" si="780"/>
        <v>F</v>
      </c>
      <c r="C1982">
        <v>25795187</v>
      </c>
      <c r="D1982">
        <f t="shared" si="781"/>
        <v>70</v>
      </c>
      <c r="E1982">
        <f t="shared" si="782"/>
        <v>70</v>
      </c>
      <c r="F1982" t="str">
        <f t="shared" si="783"/>
        <v>50-75</v>
      </c>
      <c r="G1982">
        <v>1</v>
      </c>
      <c r="H1982" t="str">
        <f t="shared" si="784"/>
        <v>Pariente gordo</v>
      </c>
      <c r="I1982">
        <v>1</v>
      </c>
      <c r="J1982" t="str">
        <f t="shared" si="785"/>
        <v>Hipercaloricos</v>
      </c>
      <c r="K1982">
        <v>3</v>
      </c>
      <c r="L1982">
        <f t="shared" si="786"/>
        <v>1</v>
      </c>
      <c r="M1982" t="str">
        <f t="shared" si="787"/>
        <v>Suele comer</v>
      </c>
      <c r="N1982">
        <v>3</v>
      </c>
      <c r="O1982">
        <f t="shared" si="788"/>
        <v>2</v>
      </c>
      <c r="P1982" t="str">
        <f t="shared" si="789"/>
        <v>Mas de 3</v>
      </c>
      <c r="Q1982">
        <v>1</v>
      </c>
      <c r="R1982" t="str">
        <f t="shared" si="790"/>
        <v>A veces</v>
      </c>
      <c r="S1982">
        <v>0</v>
      </c>
      <c r="T1982" t="str">
        <f t="shared" si="791"/>
        <v>No fuma</v>
      </c>
      <c r="U1982">
        <v>1554925</v>
      </c>
      <c r="V1982">
        <f t="shared" si="792"/>
        <v>2</v>
      </c>
      <c r="W1982" t="str">
        <f t="shared" si="793"/>
        <v>Siempre</v>
      </c>
      <c r="X1982">
        <v>0</v>
      </c>
      <c r="Y1982" t="str">
        <f t="shared" si="794"/>
        <v>No controla</v>
      </c>
      <c r="Z1982">
        <v>0.20958599999999999</v>
      </c>
      <c r="AA1982">
        <f t="shared" si="795"/>
        <v>0</v>
      </c>
      <c r="AB1982" t="str">
        <f t="shared" si="796"/>
        <v>Nunca</v>
      </c>
      <c r="AC1982">
        <v>0.82306900000000005</v>
      </c>
      <c r="AD1982">
        <f t="shared" si="797"/>
        <v>0</v>
      </c>
      <c r="AE1982" t="str">
        <f t="shared" si="798"/>
        <v>Nunca</v>
      </c>
      <c r="AF1982">
        <v>1</v>
      </c>
      <c r="AG1982" t="str">
        <f t="shared" si="799"/>
        <v>A veces</v>
      </c>
      <c r="AH1982">
        <v>0</v>
      </c>
      <c r="AI1982" t="str">
        <f t="shared" si="800"/>
        <v>No usa</v>
      </c>
      <c r="AJ1982">
        <v>0</v>
      </c>
      <c r="AK1982" t="str">
        <f t="shared" si="801"/>
        <v>No usa</v>
      </c>
      <c r="AL1982">
        <v>0</v>
      </c>
      <c r="AM1982" t="str">
        <f t="shared" si="802"/>
        <v>No usa</v>
      </c>
      <c r="AN1982">
        <v>1</v>
      </c>
      <c r="AO1982" t="str">
        <f t="shared" si="803"/>
        <v>Usa Transporte</v>
      </c>
      <c r="AP1982">
        <v>0</v>
      </c>
      <c r="AQ1982" t="str">
        <f t="shared" si="804"/>
        <v>No camina</v>
      </c>
      <c r="AR1982">
        <v>1</v>
      </c>
      <c r="AS1982" t="str">
        <f t="shared" si="805"/>
        <v>Es Obeso</v>
      </c>
    </row>
    <row r="1983" spans="1:45" x14ac:dyDescent="0.25">
      <c r="A1983">
        <v>0</v>
      </c>
      <c r="B1983" t="str">
        <f t="shared" si="780"/>
        <v>F</v>
      </c>
      <c r="C1983">
        <v>25493586</v>
      </c>
      <c r="D1983">
        <f t="shared" si="781"/>
        <v>69</v>
      </c>
      <c r="E1983">
        <f t="shared" si="782"/>
        <v>69</v>
      </c>
      <c r="F1983" t="str">
        <f t="shared" si="783"/>
        <v>50-75</v>
      </c>
      <c r="G1983">
        <v>1</v>
      </c>
      <c r="H1983" t="str">
        <f t="shared" si="784"/>
        <v>Pariente gordo</v>
      </c>
      <c r="I1983">
        <v>1</v>
      </c>
      <c r="J1983" t="str">
        <f t="shared" si="785"/>
        <v>Hipercaloricos</v>
      </c>
      <c r="K1983">
        <v>3</v>
      </c>
      <c r="L1983">
        <f t="shared" si="786"/>
        <v>1</v>
      </c>
      <c r="M1983" t="str">
        <f t="shared" si="787"/>
        <v>Suele comer</v>
      </c>
      <c r="N1983">
        <v>3</v>
      </c>
      <c r="O1983">
        <f t="shared" si="788"/>
        <v>2</v>
      </c>
      <c r="P1983" t="str">
        <f t="shared" si="789"/>
        <v>Mas de 3</v>
      </c>
      <c r="Q1983">
        <v>1</v>
      </c>
      <c r="R1983" t="str">
        <f t="shared" si="790"/>
        <v>A veces</v>
      </c>
      <c r="S1983">
        <v>0</v>
      </c>
      <c r="T1983" t="str">
        <f t="shared" si="791"/>
        <v>No fuma</v>
      </c>
      <c r="U1983">
        <v>1170515</v>
      </c>
      <c r="V1983">
        <f t="shared" si="792"/>
        <v>2</v>
      </c>
      <c r="W1983" t="str">
        <f t="shared" si="793"/>
        <v>Siempre</v>
      </c>
      <c r="X1983">
        <v>0</v>
      </c>
      <c r="Y1983" t="str">
        <f t="shared" si="794"/>
        <v>No controla</v>
      </c>
      <c r="Z1983">
        <v>0.26483099999999998</v>
      </c>
      <c r="AA1983">
        <f t="shared" si="795"/>
        <v>0</v>
      </c>
      <c r="AB1983" t="str">
        <f t="shared" si="796"/>
        <v>Nunca</v>
      </c>
      <c r="AC1983">
        <v>0.89684200000000003</v>
      </c>
      <c r="AD1983">
        <f t="shared" si="797"/>
        <v>0</v>
      </c>
      <c r="AE1983" t="str">
        <f t="shared" si="798"/>
        <v>Nunca</v>
      </c>
      <c r="AF1983">
        <v>1</v>
      </c>
      <c r="AG1983" t="str">
        <f t="shared" si="799"/>
        <v>A veces</v>
      </c>
      <c r="AH1983">
        <v>0</v>
      </c>
      <c r="AI1983" t="str">
        <f t="shared" si="800"/>
        <v>No usa</v>
      </c>
      <c r="AJ1983">
        <v>0</v>
      </c>
      <c r="AK1983" t="str">
        <f t="shared" si="801"/>
        <v>No usa</v>
      </c>
      <c r="AL1983">
        <v>0</v>
      </c>
      <c r="AM1983" t="str">
        <f t="shared" si="802"/>
        <v>No usa</v>
      </c>
      <c r="AN1983">
        <v>1</v>
      </c>
      <c r="AO1983" t="str">
        <f t="shared" si="803"/>
        <v>Usa Transporte</v>
      </c>
      <c r="AP1983">
        <v>0</v>
      </c>
      <c r="AQ1983" t="str">
        <f t="shared" si="804"/>
        <v>No camina</v>
      </c>
      <c r="AR1983">
        <v>1</v>
      </c>
      <c r="AS1983" t="str">
        <f t="shared" si="805"/>
        <v>Es Obeso</v>
      </c>
    </row>
    <row r="1984" spans="1:45" x14ac:dyDescent="0.25">
      <c r="A1984">
        <v>0</v>
      </c>
      <c r="B1984" t="str">
        <f t="shared" si="780"/>
        <v>F</v>
      </c>
      <c r="C1984">
        <v>25524336</v>
      </c>
      <c r="D1984">
        <f t="shared" si="781"/>
        <v>69</v>
      </c>
      <c r="E1984">
        <f t="shared" si="782"/>
        <v>69</v>
      </c>
      <c r="F1984" t="str">
        <f t="shared" si="783"/>
        <v>50-75</v>
      </c>
      <c r="G1984">
        <v>1</v>
      </c>
      <c r="H1984" t="str">
        <f t="shared" si="784"/>
        <v>Pariente gordo</v>
      </c>
      <c r="I1984">
        <v>1</v>
      </c>
      <c r="J1984" t="str">
        <f t="shared" si="785"/>
        <v>Hipercaloricos</v>
      </c>
      <c r="K1984">
        <v>3</v>
      </c>
      <c r="L1984">
        <f t="shared" si="786"/>
        <v>1</v>
      </c>
      <c r="M1984" t="str">
        <f t="shared" si="787"/>
        <v>Suele comer</v>
      </c>
      <c r="N1984">
        <v>3</v>
      </c>
      <c r="O1984">
        <f t="shared" si="788"/>
        <v>2</v>
      </c>
      <c r="P1984" t="str">
        <f t="shared" si="789"/>
        <v>Mas de 3</v>
      </c>
      <c r="Q1984">
        <v>1</v>
      </c>
      <c r="R1984" t="str">
        <f t="shared" si="790"/>
        <v>A veces</v>
      </c>
      <c r="S1984">
        <v>0</v>
      </c>
      <c r="T1984" t="str">
        <f t="shared" si="791"/>
        <v>No fuma</v>
      </c>
      <c r="U1984">
        <v>1436616</v>
      </c>
      <c r="V1984">
        <f t="shared" si="792"/>
        <v>2</v>
      </c>
      <c r="W1984" t="str">
        <f t="shared" si="793"/>
        <v>Siempre</v>
      </c>
      <c r="X1984">
        <v>0</v>
      </c>
      <c r="Y1984" t="str">
        <f t="shared" si="794"/>
        <v>No controla</v>
      </c>
      <c r="Z1984">
        <v>0.16708600000000001</v>
      </c>
      <c r="AA1984">
        <f t="shared" si="795"/>
        <v>0</v>
      </c>
      <c r="AB1984" t="str">
        <f t="shared" si="796"/>
        <v>Nunca</v>
      </c>
      <c r="AC1984">
        <v>0.76471699999999998</v>
      </c>
      <c r="AD1984">
        <f t="shared" si="797"/>
        <v>0</v>
      </c>
      <c r="AE1984" t="str">
        <f t="shared" si="798"/>
        <v>Nunca</v>
      </c>
      <c r="AF1984">
        <v>1</v>
      </c>
      <c r="AG1984" t="str">
        <f t="shared" si="799"/>
        <v>A veces</v>
      </c>
      <c r="AH1984">
        <v>0</v>
      </c>
      <c r="AI1984" t="str">
        <f t="shared" si="800"/>
        <v>No usa</v>
      </c>
      <c r="AJ1984">
        <v>0</v>
      </c>
      <c r="AK1984" t="str">
        <f t="shared" si="801"/>
        <v>No usa</v>
      </c>
      <c r="AL1984">
        <v>0</v>
      </c>
      <c r="AM1984" t="str">
        <f t="shared" si="802"/>
        <v>No usa</v>
      </c>
      <c r="AN1984">
        <v>1</v>
      </c>
      <c r="AO1984" t="str">
        <f t="shared" si="803"/>
        <v>Usa Transporte</v>
      </c>
      <c r="AP1984">
        <v>0</v>
      </c>
      <c r="AQ1984" t="str">
        <f t="shared" si="804"/>
        <v>No camina</v>
      </c>
      <c r="AR1984">
        <v>1</v>
      </c>
      <c r="AS1984" t="str">
        <f t="shared" si="805"/>
        <v>Es Obeso</v>
      </c>
    </row>
    <row r="1985" spans="1:45" x14ac:dyDescent="0.25">
      <c r="A1985">
        <v>0</v>
      </c>
      <c r="B1985" t="str">
        <f t="shared" si="780"/>
        <v>F</v>
      </c>
      <c r="C1985">
        <v>20908785</v>
      </c>
      <c r="D1985">
        <f t="shared" si="781"/>
        <v>57</v>
      </c>
      <c r="E1985">
        <f t="shared" si="782"/>
        <v>57</v>
      </c>
      <c r="F1985" t="str">
        <f t="shared" si="783"/>
        <v>50-75</v>
      </c>
      <c r="G1985">
        <v>1</v>
      </c>
      <c r="H1985" t="str">
        <f t="shared" si="784"/>
        <v>Pariente gordo</v>
      </c>
      <c r="I1985">
        <v>1</v>
      </c>
      <c r="J1985" t="str">
        <f t="shared" si="785"/>
        <v>Hipercaloricos</v>
      </c>
      <c r="K1985">
        <v>3</v>
      </c>
      <c r="L1985">
        <f t="shared" si="786"/>
        <v>1</v>
      </c>
      <c r="M1985" t="str">
        <f t="shared" si="787"/>
        <v>Suele comer</v>
      </c>
      <c r="N1985">
        <v>3</v>
      </c>
      <c r="O1985">
        <f t="shared" si="788"/>
        <v>2</v>
      </c>
      <c r="P1985" t="str">
        <f t="shared" si="789"/>
        <v>Mas de 3</v>
      </c>
      <c r="Q1985">
        <v>1</v>
      </c>
      <c r="R1985" t="str">
        <f t="shared" si="790"/>
        <v>A veces</v>
      </c>
      <c r="S1985">
        <v>0</v>
      </c>
      <c r="T1985" t="str">
        <f t="shared" si="791"/>
        <v>No fuma</v>
      </c>
      <c r="U1985">
        <v>1242832</v>
      </c>
      <c r="V1985">
        <f t="shared" si="792"/>
        <v>2</v>
      </c>
      <c r="W1985" t="str">
        <f t="shared" si="793"/>
        <v>Siempre</v>
      </c>
      <c r="X1985">
        <v>0</v>
      </c>
      <c r="Y1985" t="str">
        <f t="shared" si="794"/>
        <v>No controla</v>
      </c>
      <c r="Z1985">
        <v>0.53092499999999998</v>
      </c>
      <c r="AA1985">
        <f t="shared" si="795"/>
        <v>0</v>
      </c>
      <c r="AB1985" t="str">
        <f t="shared" si="796"/>
        <v>Nunca</v>
      </c>
      <c r="AC1985">
        <v>0.57596899999999995</v>
      </c>
      <c r="AD1985">
        <f t="shared" si="797"/>
        <v>0</v>
      </c>
      <c r="AE1985" t="str">
        <f t="shared" si="798"/>
        <v>Nunca</v>
      </c>
      <c r="AF1985">
        <v>1</v>
      </c>
      <c r="AG1985" t="str">
        <f t="shared" si="799"/>
        <v>A veces</v>
      </c>
      <c r="AH1985">
        <v>0</v>
      </c>
      <c r="AI1985" t="str">
        <f t="shared" si="800"/>
        <v>No usa</v>
      </c>
      <c r="AJ1985">
        <v>0</v>
      </c>
      <c r="AK1985" t="str">
        <f t="shared" si="801"/>
        <v>No usa</v>
      </c>
      <c r="AL1985">
        <v>0</v>
      </c>
      <c r="AM1985" t="str">
        <f t="shared" si="802"/>
        <v>No usa</v>
      </c>
      <c r="AN1985">
        <v>1</v>
      </c>
      <c r="AO1985" t="str">
        <f t="shared" si="803"/>
        <v>Usa Transporte</v>
      </c>
      <c r="AP1985">
        <v>0</v>
      </c>
      <c r="AQ1985" t="str">
        <f t="shared" si="804"/>
        <v>No camina</v>
      </c>
      <c r="AR1985">
        <v>1</v>
      </c>
      <c r="AS1985" t="str">
        <f t="shared" si="805"/>
        <v>Es Obeso</v>
      </c>
    </row>
    <row r="1986" spans="1:45" x14ac:dyDescent="0.25">
      <c r="A1986">
        <v>0</v>
      </c>
      <c r="B1986" t="str">
        <f t="shared" si="780"/>
        <v>F</v>
      </c>
      <c r="C1986">
        <v>20781751</v>
      </c>
      <c r="D1986">
        <f t="shared" si="781"/>
        <v>56</v>
      </c>
      <c r="E1986">
        <f t="shared" si="782"/>
        <v>56</v>
      </c>
      <c r="F1986" t="str">
        <f t="shared" si="783"/>
        <v>50-75</v>
      </c>
      <c r="G1986">
        <v>1</v>
      </c>
      <c r="H1986" t="str">
        <f t="shared" si="784"/>
        <v>Pariente gordo</v>
      </c>
      <c r="I1986">
        <v>1</v>
      </c>
      <c r="J1986" t="str">
        <f t="shared" si="785"/>
        <v>Hipercaloricos</v>
      </c>
      <c r="K1986">
        <v>3</v>
      </c>
      <c r="L1986">
        <f t="shared" si="786"/>
        <v>1</v>
      </c>
      <c r="M1986" t="str">
        <f t="shared" si="787"/>
        <v>Suele comer</v>
      </c>
      <c r="N1986">
        <v>3</v>
      </c>
      <c r="O1986">
        <f t="shared" si="788"/>
        <v>2</v>
      </c>
      <c r="P1986" t="str">
        <f t="shared" si="789"/>
        <v>Mas de 3</v>
      </c>
      <c r="Q1986">
        <v>1</v>
      </c>
      <c r="R1986" t="str">
        <f t="shared" si="790"/>
        <v>A veces</v>
      </c>
      <c r="S1986">
        <v>0</v>
      </c>
      <c r="T1986" t="str">
        <f t="shared" si="791"/>
        <v>No fuma</v>
      </c>
      <c r="U1986">
        <v>154249</v>
      </c>
      <c r="V1986">
        <f t="shared" si="792"/>
        <v>2</v>
      </c>
      <c r="W1986" t="str">
        <f t="shared" si="793"/>
        <v>Siempre</v>
      </c>
      <c r="X1986">
        <v>0</v>
      </c>
      <c r="Y1986" t="str">
        <f t="shared" si="794"/>
        <v>No controla</v>
      </c>
      <c r="Z1986">
        <v>0.62770000000000004</v>
      </c>
      <c r="AA1986">
        <f t="shared" si="795"/>
        <v>0</v>
      </c>
      <c r="AB1986" t="str">
        <f t="shared" si="796"/>
        <v>Nunca</v>
      </c>
      <c r="AC1986">
        <v>0.45047900000000002</v>
      </c>
      <c r="AD1986">
        <f t="shared" si="797"/>
        <v>0</v>
      </c>
      <c r="AE1986" t="str">
        <f t="shared" si="798"/>
        <v>Nunca</v>
      </c>
      <c r="AF1986">
        <v>1</v>
      </c>
      <c r="AG1986" t="str">
        <f t="shared" si="799"/>
        <v>A veces</v>
      </c>
      <c r="AH1986">
        <v>0</v>
      </c>
      <c r="AI1986" t="str">
        <f t="shared" si="800"/>
        <v>No usa</v>
      </c>
      <c r="AJ1986">
        <v>0</v>
      </c>
      <c r="AK1986" t="str">
        <f t="shared" si="801"/>
        <v>No usa</v>
      </c>
      <c r="AL1986">
        <v>0</v>
      </c>
      <c r="AM1986" t="str">
        <f t="shared" si="802"/>
        <v>No usa</v>
      </c>
      <c r="AN1986">
        <v>1</v>
      </c>
      <c r="AO1986" t="str">
        <f t="shared" si="803"/>
        <v>Usa Transporte</v>
      </c>
      <c r="AP1986">
        <v>0</v>
      </c>
      <c r="AQ1986" t="str">
        <f t="shared" si="804"/>
        <v>No camina</v>
      </c>
      <c r="AR1986">
        <v>1</v>
      </c>
      <c r="AS1986" t="str">
        <f t="shared" si="805"/>
        <v>Es Obeso</v>
      </c>
    </row>
    <row r="1987" spans="1:45" x14ac:dyDescent="0.25">
      <c r="A1987">
        <v>0</v>
      </c>
      <c r="B1987" t="str">
        <f t="shared" ref="B1987:B2050" si="806">IF(A1987=1,"M","F")</f>
        <v>F</v>
      </c>
      <c r="C1987">
        <v>21289104</v>
      </c>
      <c r="D1987">
        <f t="shared" ref="D1987:D2050" si="807">IF(C1987&lt;100,C1987,ROUNDDOWN((C1987/1000)/365,0))</f>
        <v>58</v>
      </c>
      <c r="E1987">
        <f t="shared" ref="E1987:E2050" si="808">IF(AND(D1987&gt;1,D1987&lt;=100),D1987,IF(D1987&gt;100,100,5))</f>
        <v>58</v>
      </c>
      <c r="F1987" t="str">
        <f t="shared" ref="F1987:F2050" si="809">IF(AND(E1987&gt;=1,E1987&lt;=25),"1-25",IF(AND(E1987&gt;25,E1987&lt;=50),"25-50",IF(AND(E1987&gt;50,E1987&lt;=75),"50-75","75-100")))</f>
        <v>50-75</v>
      </c>
      <c r="G1987">
        <v>1</v>
      </c>
      <c r="H1987" t="str">
        <f t="shared" ref="H1987:H2050" si="810">IF(G1987=1,"Pariente gordo","Pariente normal")</f>
        <v>Pariente gordo</v>
      </c>
      <c r="I1987">
        <v>1</v>
      </c>
      <c r="J1987" t="str">
        <f t="shared" ref="J1987:J2050" si="811">IF(I1987=1,"Hipercaloricos","Saludables")</f>
        <v>Hipercaloricos</v>
      </c>
      <c r="K1987">
        <v>3</v>
      </c>
      <c r="L1987">
        <f t="shared" ref="L1987:L2050" si="812">IF(AND(K1987&gt;=1,K1987&lt;=3),1,IF(AND(K1987&gt;3,K1987&lt;3000000),1))</f>
        <v>1</v>
      </c>
      <c r="M1987" t="str">
        <f t="shared" ref="M1987:M2050" si="813">IF(L1987=1,"Suele comer","No come")</f>
        <v>Suele comer</v>
      </c>
      <c r="N1987">
        <v>3</v>
      </c>
      <c r="O1987">
        <f t="shared" ref="O1987:O2050" si="814">IF(N1987=1,N1987,IF(AND(N1987&gt;=2,N1987&lt;4000000),2))</f>
        <v>2</v>
      </c>
      <c r="P1987" t="str">
        <f t="shared" ref="P1987:P2050" si="815">IF(O1987=0,"1-2",IF(O1987=1,3,"Mas de 3"))</f>
        <v>Mas de 3</v>
      </c>
      <c r="Q1987">
        <v>1</v>
      </c>
      <c r="R1987" t="str">
        <f t="shared" ref="R1987:R2050" si="816">IF(Q1987=0,"Nunca",IF(Q1987=1,"A veces",IF(Q1987=2,"Usualmente","Siempre")))</f>
        <v>A veces</v>
      </c>
      <c r="S1987">
        <v>0</v>
      </c>
      <c r="T1987" t="str">
        <f t="shared" ref="T1987:T2050" si="817">IF(S1987=1,"Fuma","No fuma")</f>
        <v>No fuma</v>
      </c>
      <c r="U1987">
        <v>1205548</v>
      </c>
      <c r="V1987">
        <f t="shared" ref="V1987:V2050" si="818">IF(U1987=1,U1987,IF(U1987=2,U1987,IF(AND(U1987&gt;=3,U1987&lt;3000000),2)))</f>
        <v>2</v>
      </c>
      <c r="W1987" t="str">
        <f t="shared" ref="W1987:W2050" si="819">IF(V1987=0,"Nunca",IF(V1987=1,"Usualmente","Siempre"))</f>
        <v>Siempre</v>
      </c>
      <c r="X1987">
        <v>0</v>
      </c>
      <c r="Y1987" t="str">
        <f t="shared" ref="Y1987:Y2050" si="820">IF(X1987=1,"Controla","No controla")</f>
        <v>No controla</v>
      </c>
      <c r="Z1987">
        <v>1723934</v>
      </c>
      <c r="AA1987">
        <f t="shared" ref="AA1987:AA2050" si="821">IF(Z1987=0,Z1987,IF(Z1987=1,Z1987,IF(Z1987=2,Z1987,IF(Z1987=3,Z1987,IF(AND(Z1987&gt;3,Z1987&lt;300000),2,IF(AND(Z1987&gt;300000,Z1987&lt;3000000),3,IF(AND(Z1987&gt;0,Z1987&lt;1),0)))))))</f>
        <v>3</v>
      </c>
      <c r="AB1987" t="str">
        <f t="shared" ref="AB1987:AB2050" si="822">IF(AA1987=0,"Nunca",IF(AA1987=1,"A veces",IF(AA1987=2,"Usualmente","Siempre")))</f>
        <v>Siempre</v>
      </c>
      <c r="AC1987">
        <v>0.95235199999999998</v>
      </c>
      <c r="AD1987">
        <f t="shared" ref="AD1987:AD2050" si="823">IF(AC1987= 0,AC1987,IF(AC1987=1,AC1987,IF(AC1987=2,AC1987,IF(AND(AC1987&gt;2,AC1987&lt;200000),1,IF(AND(AC1987&gt;200000,AC1987&lt;2000000),2,IF(AND(AC1987&gt;0,AC1987&lt;1),0))))))</f>
        <v>0</v>
      </c>
      <c r="AE1987" t="str">
        <f t="shared" ref="AE1987:AE2050" si="824">IF(AD1987=0,"Nunca",IF(AD1987=1,"Usualmente","Siempre"))</f>
        <v>Nunca</v>
      </c>
      <c r="AF1987">
        <v>1</v>
      </c>
      <c r="AG1987" t="str">
        <f t="shared" ref="AG1987:AG2050" si="825">IF(AF1987=0,"Nunca",IF(AF1987=1,"A veces",IF(AF1987=2,"Usualmente","Siempre")))</f>
        <v>A veces</v>
      </c>
      <c r="AH1987">
        <v>0</v>
      </c>
      <c r="AI1987" t="str">
        <f t="shared" ref="AI1987:AI2050" si="826">IF(AH1987=1,"Usa auto","No usa")</f>
        <v>No usa</v>
      </c>
      <c r="AJ1987">
        <v>0</v>
      </c>
      <c r="AK1987" t="str">
        <f t="shared" ref="AK1987:AK2050" si="827">IF(AJ1987=1,"Usa Bici","No usa")</f>
        <v>No usa</v>
      </c>
      <c r="AL1987">
        <v>0</v>
      </c>
      <c r="AM1987" t="str">
        <f t="shared" ref="AM1987:AM2050" si="828">IF(AL1987=1,"Usa Moto","No usa")</f>
        <v>No usa</v>
      </c>
      <c r="AN1987">
        <v>1</v>
      </c>
      <c r="AO1987" t="str">
        <f t="shared" ref="AO1987:AO2050" si="829">IF(AN1987=1,"Usa Transporte","No usa")</f>
        <v>Usa Transporte</v>
      </c>
      <c r="AP1987">
        <v>0</v>
      </c>
      <c r="AQ1987" t="str">
        <f t="shared" ref="AQ1987:AQ2050" si="830">IF(AP1987=1,"Camina","No camina")</f>
        <v>No camina</v>
      </c>
      <c r="AR1987">
        <v>1</v>
      </c>
      <c r="AS1987" t="str">
        <f t="shared" ref="AS1987:AS2050" si="831">IF(AR1987=1,"Es Obeso","No es obeso")</f>
        <v>Es Obeso</v>
      </c>
    </row>
    <row r="1988" spans="1:45" x14ac:dyDescent="0.25">
      <c r="A1988">
        <v>0</v>
      </c>
      <c r="B1988" t="str">
        <f t="shared" si="806"/>
        <v>F</v>
      </c>
      <c r="C1988">
        <v>21210732</v>
      </c>
      <c r="D1988">
        <f t="shared" si="807"/>
        <v>58</v>
      </c>
      <c r="E1988">
        <f t="shared" si="808"/>
        <v>58</v>
      </c>
      <c r="F1988" t="str">
        <f t="shared" si="809"/>
        <v>50-75</v>
      </c>
      <c r="G1988">
        <v>1</v>
      </c>
      <c r="H1988" t="str">
        <f t="shared" si="810"/>
        <v>Pariente gordo</v>
      </c>
      <c r="I1988">
        <v>1</v>
      </c>
      <c r="J1988" t="str">
        <f t="shared" si="811"/>
        <v>Hipercaloricos</v>
      </c>
      <c r="K1988">
        <v>3</v>
      </c>
      <c r="L1988">
        <f t="shared" si="812"/>
        <v>1</v>
      </c>
      <c r="M1988" t="str">
        <f t="shared" si="813"/>
        <v>Suele comer</v>
      </c>
      <c r="N1988">
        <v>3</v>
      </c>
      <c r="O1988">
        <f t="shared" si="814"/>
        <v>2</v>
      </c>
      <c r="P1988" t="str">
        <f t="shared" si="815"/>
        <v>Mas de 3</v>
      </c>
      <c r="Q1988">
        <v>1</v>
      </c>
      <c r="R1988" t="str">
        <f t="shared" si="816"/>
        <v>A veces</v>
      </c>
      <c r="S1988">
        <v>0</v>
      </c>
      <c r="T1988" t="str">
        <f t="shared" si="817"/>
        <v>No fuma</v>
      </c>
      <c r="U1988">
        <v>1301657</v>
      </c>
      <c r="V1988">
        <f t="shared" si="818"/>
        <v>2</v>
      </c>
      <c r="W1988" t="str">
        <f t="shared" si="819"/>
        <v>Siempre</v>
      </c>
      <c r="X1988">
        <v>0</v>
      </c>
      <c r="Y1988" t="str">
        <f t="shared" si="820"/>
        <v>No controla</v>
      </c>
      <c r="Z1988">
        <v>1718543</v>
      </c>
      <c r="AA1988">
        <f t="shared" si="821"/>
        <v>3</v>
      </c>
      <c r="AB1988" t="str">
        <f t="shared" si="822"/>
        <v>Siempre</v>
      </c>
      <c r="AC1988">
        <v>0.94788399999999995</v>
      </c>
      <c r="AD1988">
        <f t="shared" si="823"/>
        <v>0</v>
      </c>
      <c r="AE1988" t="str">
        <f t="shared" si="824"/>
        <v>Nunca</v>
      </c>
      <c r="AF1988">
        <v>1</v>
      </c>
      <c r="AG1988" t="str">
        <f t="shared" si="825"/>
        <v>A veces</v>
      </c>
      <c r="AH1988">
        <v>0</v>
      </c>
      <c r="AI1988" t="str">
        <f t="shared" si="826"/>
        <v>No usa</v>
      </c>
      <c r="AJ1988">
        <v>0</v>
      </c>
      <c r="AK1988" t="str">
        <f t="shared" si="827"/>
        <v>No usa</v>
      </c>
      <c r="AL1988">
        <v>0</v>
      </c>
      <c r="AM1988" t="str">
        <f t="shared" si="828"/>
        <v>No usa</v>
      </c>
      <c r="AN1988">
        <v>1</v>
      </c>
      <c r="AO1988" t="str">
        <f t="shared" si="829"/>
        <v>Usa Transporte</v>
      </c>
      <c r="AP1988">
        <v>0</v>
      </c>
      <c r="AQ1988" t="str">
        <f t="shared" si="830"/>
        <v>No camina</v>
      </c>
      <c r="AR1988">
        <v>1</v>
      </c>
      <c r="AS1988" t="str">
        <f t="shared" si="831"/>
        <v>Es Obeso</v>
      </c>
    </row>
    <row r="1989" spans="1:45" x14ac:dyDescent="0.25">
      <c r="A1989">
        <v>0</v>
      </c>
      <c r="B1989" t="str">
        <f t="shared" si="806"/>
        <v>F</v>
      </c>
      <c r="C1989">
        <v>26</v>
      </c>
      <c r="D1989">
        <f t="shared" si="807"/>
        <v>26</v>
      </c>
      <c r="E1989">
        <f t="shared" si="808"/>
        <v>26</v>
      </c>
      <c r="F1989" t="str">
        <f t="shared" si="809"/>
        <v>25-50</v>
      </c>
      <c r="G1989">
        <v>1</v>
      </c>
      <c r="H1989" t="str">
        <f t="shared" si="810"/>
        <v>Pariente gordo</v>
      </c>
      <c r="I1989">
        <v>1</v>
      </c>
      <c r="J1989" t="str">
        <f t="shared" si="811"/>
        <v>Hipercaloricos</v>
      </c>
      <c r="K1989">
        <v>3</v>
      </c>
      <c r="L1989">
        <f t="shared" si="812"/>
        <v>1</v>
      </c>
      <c r="M1989" t="str">
        <f t="shared" si="813"/>
        <v>Suele comer</v>
      </c>
      <c r="N1989">
        <v>3</v>
      </c>
      <c r="O1989">
        <f t="shared" si="814"/>
        <v>2</v>
      </c>
      <c r="P1989" t="str">
        <f t="shared" si="815"/>
        <v>Mas de 3</v>
      </c>
      <c r="Q1989">
        <v>1</v>
      </c>
      <c r="R1989" t="str">
        <f t="shared" si="816"/>
        <v>A veces</v>
      </c>
      <c r="S1989">
        <v>0</v>
      </c>
      <c r="T1989" t="str">
        <f t="shared" si="817"/>
        <v>No fuma</v>
      </c>
      <c r="U1989">
        <v>2704315</v>
      </c>
      <c r="V1989">
        <f t="shared" si="818"/>
        <v>2</v>
      </c>
      <c r="W1989" t="str">
        <f t="shared" si="819"/>
        <v>Siempre</v>
      </c>
      <c r="X1989">
        <v>0</v>
      </c>
      <c r="Y1989" t="str">
        <f t="shared" si="820"/>
        <v>No controla</v>
      </c>
      <c r="Z1989">
        <v>0</v>
      </c>
      <c r="AA1989">
        <f t="shared" si="821"/>
        <v>0</v>
      </c>
      <c r="AB1989" t="str">
        <f t="shared" si="822"/>
        <v>Nunca</v>
      </c>
      <c r="AC1989">
        <v>0.32266600000000001</v>
      </c>
      <c r="AD1989">
        <f t="shared" si="823"/>
        <v>0</v>
      </c>
      <c r="AE1989" t="str">
        <f t="shared" si="824"/>
        <v>Nunca</v>
      </c>
      <c r="AF1989">
        <v>1</v>
      </c>
      <c r="AG1989" t="str">
        <f t="shared" si="825"/>
        <v>A veces</v>
      </c>
      <c r="AH1989">
        <v>0</v>
      </c>
      <c r="AI1989" t="str">
        <f t="shared" si="826"/>
        <v>No usa</v>
      </c>
      <c r="AJ1989">
        <v>0</v>
      </c>
      <c r="AK1989" t="str">
        <f t="shared" si="827"/>
        <v>No usa</v>
      </c>
      <c r="AL1989">
        <v>0</v>
      </c>
      <c r="AM1989" t="str">
        <f t="shared" si="828"/>
        <v>No usa</v>
      </c>
      <c r="AN1989">
        <v>1</v>
      </c>
      <c r="AO1989" t="str">
        <f t="shared" si="829"/>
        <v>Usa Transporte</v>
      </c>
      <c r="AP1989">
        <v>0</v>
      </c>
      <c r="AQ1989" t="str">
        <f t="shared" si="830"/>
        <v>No camina</v>
      </c>
      <c r="AR1989">
        <v>1</v>
      </c>
      <c r="AS1989" t="str">
        <f t="shared" si="831"/>
        <v>Es Obeso</v>
      </c>
    </row>
    <row r="1990" spans="1:45" x14ac:dyDescent="0.25">
      <c r="A1990">
        <v>0</v>
      </c>
      <c r="B1990" t="str">
        <f t="shared" si="806"/>
        <v>F</v>
      </c>
      <c r="C1990">
        <v>26</v>
      </c>
      <c r="D1990">
        <f t="shared" si="807"/>
        <v>26</v>
      </c>
      <c r="E1990">
        <f t="shared" si="808"/>
        <v>26</v>
      </c>
      <c r="F1990" t="str">
        <f t="shared" si="809"/>
        <v>25-50</v>
      </c>
      <c r="G1990">
        <v>1</v>
      </c>
      <c r="H1990" t="str">
        <f t="shared" si="810"/>
        <v>Pariente gordo</v>
      </c>
      <c r="I1990">
        <v>1</v>
      </c>
      <c r="J1990" t="str">
        <f t="shared" si="811"/>
        <v>Hipercaloricos</v>
      </c>
      <c r="K1990">
        <v>3</v>
      </c>
      <c r="L1990">
        <f t="shared" si="812"/>
        <v>1</v>
      </c>
      <c r="M1990" t="str">
        <f t="shared" si="813"/>
        <v>Suele comer</v>
      </c>
      <c r="N1990">
        <v>3</v>
      </c>
      <c r="O1990">
        <f t="shared" si="814"/>
        <v>2</v>
      </c>
      <c r="P1990" t="str">
        <f t="shared" si="815"/>
        <v>Mas de 3</v>
      </c>
      <c r="Q1990">
        <v>1</v>
      </c>
      <c r="R1990" t="str">
        <f t="shared" si="816"/>
        <v>A veces</v>
      </c>
      <c r="S1990">
        <v>0</v>
      </c>
      <c r="T1990" t="str">
        <f t="shared" si="817"/>
        <v>No fuma</v>
      </c>
      <c r="U1990">
        <v>2639816</v>
      </c>
      <c r="V1990">
        <f t="shared" si="818"/>
        <v>2</v>
      </c>
      <c r="W1990" t="str">
        <f t="shared" si="819"/>
        <v>Siempre</v>
      </c>
      <c r="X1990">
        <v>0</v>
      </c>
      <c r="Y1990" t="str">
        <f t="shared" si="820"/>
        <v>No controla</v>
      </c>
      <c r="Z1990">
        <v>0</v>
      </c>
      <c r="AA1990">
        <f t="shared" si="821"/>
        <v>0</v>
      </c>
      <c r="AB1990" t="str">
        <f t="shared" si="822"/>
        <v>Nunca</v>
      </c>
      <c r="AC1990">
        <v>0.45223600000000003</v>
      </c>
      <c r="AD1990">
        <f t="shared" si="823"/>
        <v>0</v>
      </c>
      <c r="AE1990" t="str">
        <f t="shared" si="824"/>
        <v>Nunca</v>
      </c>
      <c r="AF1990">
        <v>1</v>
      </c>
      <c r="AG1990" t="str">
        <f t="shared" si="825"/>
        <v>A veces</v>
      </c>
      <c r="AH1990">
        <v>0</v>
      </c>
      <c r="AI1990" t="str">
        <f t="shared" si="826"/>
        <v>No usa</v>
      </c>
      <c r="AJ1990">
        <v>0</v>
      </c>
      <c r="AK1990" t="str">
        <f t="shared" si="827"/>
        <v>No usa</v>
      </c>
      <c r="AL1990">
        <v>0</v>
      </c>
      <c r="AM1990" t="str">
        <f t="shared" si="828"/>
        <v>No usa</v>
      </c>
      <c r="AN1990">
        <v>1</v>
      </c>
      <c r="AO1990" t="str">
        <f t="shared" si="829"/>
        <v>Usa Transporte</v>
      </c>
      <c r="AP1990">
        <v>0</v>
      </c>
      <c r="AQ1990" t="str">
        <f t="shared" si="830"/>
        <v>No camina</v>
      </c>
      <c r="AR1990">
        <v>1</v>
      </c>
      <c r="AS1990" t="str">
        <f t="shared" si="831"/>
        <v>Es Obeso</v>
      </c>
    </row>
    <row r="1991" spans="1:45" x14ac:dyDescent="0.25">
      <c r="A1991">
        <v>0</v>
      </c>
      <c r="B1991" t="str">
        <f t="shared" si="806"/>
        <v>F</v>
      </c>
      <c r="C1991">
        <v>26</v>
      </c>
      <c r="D1991">
        <f t="shared" si="807"/>
        <v>26</v>
      </c>
      <c r="E1991">
        <f t="shared" si="808"/>
        <v>26</v>
      </c>
      <c r="F1991" t="str">
        <f t="shared" si="809"/>
        <v>25-50</v>
      </c>
      <c r="G1991">
        <v>1</v>
      </c>
      <c r="H1991" t="str">
        <f t="shared" si="810"/>
        <v>Pariente gordo</v>
      </c>
      <c r="I1991">
        <v>1</v>
      </c>
      <c r="J1991" t="str">
        <f t="shared" si="811"/>
        <v>Hipercaloricos</v>
      </c>
      <c r="K1991">
        <v>3</v>
      </c>
      <c r="L1991">
        <f t="shared" si="812"/>
        <v>1</v>
      </c>
      <c r="M1991" t="str">
        <f t="shared" si="813"/>
        <v>Suele comer</v>
      </c>
      <c r="N1991">
        <v>3</v>
      </c>
      <c r="O1991">
        <f t="shared" si="814"/>
        <v>2</v>
      </c>
      <c r="P1991" t="str">
        <f t="shared" si="815"/>
        <v>Mas de 3</v>
      </c>
      <c r="Q1991">
        <v>1</v>
      </c>
      <c r="R1991" t="str">
        <f t="shared" si="816"/>
        <v>A veces</v>
      </c>
      <c r="S1991">
        <v>0</v>
      </c>
      <c r="T1991" t="str">
        <f t="shared" si="817"/>
        <v>No fuma</v>
      </c>
      <c r="U1991">
        <v>2708927</v>
      </c>
      <c r="V1991">
        <f t="shared" si="818"/>
        <v>2</v>
      </c>
      <c r="W1991" t="str">
        <f t="shared" si="819"/>
        <v>Siempre</v>
      </c>
      <c r="X1991">
        <v>0</v>
      </c>
      <c r="Y1991" t="str">
        <f t="shared" si="820"/>
        <v>No controla</v>
      </c>
      <c r="Z1991">
        <v>0</v>
      </c>
      <c r="AA1991">
        <f t="shared" si="821"/>
        <v>0</v>
      </c>
      <c r="AB1991" t="str">
        <f t="shared" si="822"/>
        <v>Nunca</v>
      </c>
      <c r="AC1991">
        <v>0.27896199999999999</v>
      </c>
      <c r="AD1991">
        <f t="shared" si="823"/>
        <v>0</v>
      </c>
      <c r="AE1991" t="str">
        <f t="shared" si="824"/>
        <v>Nunca</v>
      </c>
      <c r="AF1991">
        <v>1</v>
      </c>
      <c r="AG1991" t="str">
        <f t="shared" si="825"/>
        <v>A veces</v>
      </c>
      <c r="AH1991">
        <v>0</v>
      </c>
      <c r="AI1991" t="str">
        <f t="shared" si="826"/>
        <v>No usa</v>
      </c>
      <c r="AJ1991">
        <v>0</v>
      </c>
      <c r="AK1991" t="str">
        <f t="shared" si="827"/>
        <v>No usa</v>
      </c>
      <c r="AL1991">
        <v>0</v>
      </c>
      <c r="AM1991" t="str">
        <f t="shared" si="828"/>
        <v>No usa</v>
      </c>
      <c r="AN1991">
        <v>1</v>
      </c>
      <c r="AO1991" t="str">
        <f t="shared" si="829"/>
        <v>Usa Transporte</v>
      </c>
      <c r="AP1991">
        <v>0</v>
      </c>
      <c r="AQ1991" t="str">
        <f t="shared" si="830"/>
        <v>No camina</v>
      </c>
      <c r="AR1991">
        <v>1</v>
      </c>
      <c r="AS1991" t="str">
        <f t="shared" si="831"/>
        <v>Es Obeso</v>
      </c>
    </row>
    <row r="1992" spans="1:45" x14ac:dyDescent="0.25">
      <c r="A1992">
        <v>0</v>
      </c>
      <c r="B1992" t="str">
        <f t="shared" si="806"/>
        <v>F</v>
      </c>
      <c r="C1992">
        <v>26</v>
      </c>
      <c r="D1992">
        <f t="shared" si="807"/>
        <v>26</v>
      </c>
      <c r="E1992">
        <f t="shared" si="808"/>
        <v>26</v>
      </c>
      <c r="F1992" t="str">
        <f t="shared" si="809"/>
        <v>25-50</v>
      </c>
      <c r="G1992">
        <v>1</v>
      </c>
      <c r="H1992" t="str">
        <f t="shared" si="810"/>
        <v>Pariente gordo</v>
      </c>
      <c r="I1992">
        <v>1</v>
      </c>
      <c r="J1992" t="str">
        <f t="shared" si="811"/>
        <v>Hipercaloricos</v>
      </c>
      <c r="K1992">
        <v>3</v>
      </c>
      <c r="L1992">
        <f t="shared" si="812"/>
        <v>1</v>
      </c>
      <c r="M1992" t="str">
        <f t="shared" si="813"/>
        <v>Suele comer</v>
      </c>
      <c r="N1992">
        <v>3</v>
      </c>
      <c r="O1992">
        <f t="shared" si="814"/>
        <v>2</v>
      </c>
      <c r="P1992" t="str">
        <f t="shared" si="815"/>
        <v>Mas de 3</v>
      </c>
      <c r="Q1992">
        <v>1</v>
      </c>
      <c r="R1992" t="str">
        <f t="shared" si="816"/>
        <v>A veces</v>
      </c>
      <c r="S1992">
        <v>0</v>
      </c>
      <c r="T1992" t="str">
        <f t="shared" si="817"/>
        <v>No fuma</v>
      </c>
      <c r="U1992">
        <v>2704827</v>
      </c>
      <c r="V1992">
        <f t="shared" si="818"/>
        <v>2</v>
      </c>
      <c r="W1992" t="str">
        <f t="shared" si="819"/>
        <v>Siempre</v>
      </c>
      <c r="X1992">
        <v>0</v>
      </c>
      <c r="Y1992" t="str">
        <f t="shared" si="820"/>
        <v>No controla</v>
      </c>
      <c r="Z1992">
        <v>0</v>
      </c>
      <c r="AA1992">
        <f t="shared" si="821"/>
        <v>0</v>
      </c>
      <c r="AB1992" t="str">
        <f t="shared" si="822"/>
        <v>Nunca</v>
      </c>
      <c r="AC1992">
        <v>0.26957700000000001</v>
      </c>
      <c r="AD1992">
        <f t="shared" si="823"/>
        <v>0</v>
      </c>
      <c r="AE1992" t="str">
        <f t="shared" si="824"/>
        <v>Nunca</v>
      </c>
      <c r="AF1992">
        <v>1</v>
      </c>
      <c r="AG1992" t="str">
        <f t="shared" si="825"/>
        <v>A veces</v>
      </c>
      <c r="AH1992">
        <v>0</v>
      </c>
      <c r="AI1992" t="str">
        <f t="shared" si="826"/>
        <v>No usa</v>
      </c>
      <c r="AJ1992">
        <v>0</v>
      </c>
      <c r="AK1992" t="str">
        <f t="shared" si="827"/>
        <v>No usa</v>
      </c>
      <c r="AL1992">
        <v>0</v>
      </c>
      <c r="AM1992" t="str">
        <f t="shared" si="828"/>
        <v>No usa</v>
      </c>
      <c r="AN1992">
        <v>1</v>
      </c>
      <c r="AO1992" t="str">
        <f t="shared" si="829"/>
        <v>Usa Transporte</v>
      </c>
      <c r="AP1992">
        <v>0</v>
      </c>
      <c r="AQ1992" t="str">
        <f t="shared" si="830"/>
        <v>No camina</v>
      </c>
      <c r="AR1992">
        <v>1</v>
      </c>
      <c r="AS1992" t="str">
        <f t="shared" si="831"/>
        <v>Es Obeso</v>
      </c>
    </row>
    <row r="1993" spans="1:45" x14ac:dyDescent="0.25">
      <c r="A1993">
        <v>0</v>
      </c>
      <c r="B1993" t="str">
        <f t="shared" si="806"/>
        <v>F</v>
      </c>
      <c r="C1993">
        <v>21656907</v>
      </c>
      <c r="D1993">
        <f t="shared" si="807"/>
        <v>59</v>
      </c>
      <c r="E1993">
        <f t="shared" si="808"/>
        <v>59</v>
      </c>
      <c r="F1993" t="str">
        <f t="shared" si="809"/>
        <v>50-75</v>
      </c>
      <c r="G1993">
        <v>1</v>
      </c>
      <c r="H1993" t="str">
        <f t="shared" si="810"/>
        <v>Pariente gordo</v>
      </c>
      <c r="I1993">
        <v>1</v>
      </c>
      <c r="J1993" t="str">
        <f t="shared" si="811"/>
        <v>Hipercaloricos</v>
      </c>
      <c r="K1993">
        <v>3</v>
      </c>
      <c r="L1993">
        <f t="shared" si="812"/>
        <v>1</v>
      </c>
      <c r="M1993" t="str">
        <f t="shared" si="813"/>
        <v>Suele comer</v>
      </c>
      <c r="N1993">
        <v>3</v>
      </c>
      <c r="O1993">
        <f t="shared" si="814"/>
        <v>2</v>
      </c>
      <c r="P1993" t="str">
        <f t="shared" si="815"/>
        <v>Mas de 3</v>
      </c>
      <c r="Q1993">
        <v>1</v>
      </c>
      <c r="R1993" t="str">
        <f t="shared" si="816"/>
        <v>A veces</v>
      </c>
      <c r="S1993">
        <v>0</v>
      </c>
      <c r="T1993" t="str">
        <f t="shared" si="817"/>
        <v>No fuma</v>
      </c>
      <c r="U1993">
        <v>13954</v>
      </c>
      <c r="V1993">
        <f t="shared" si="818"/>
        <v>2</v>
      </c>
      <c r="W1993" t="str">
        <f t="shared" si="819"/>
        <v>Siempre</v>
      </c>
      <c r="X1993">
        <v>0</v>
      </c>
      <c r="Y1993" t="str">
        <f t="shared" si="820"/>
        <v>No controla</v>
      </c>
      <c r="Z1993">
        <v>1931173</v>
      </c>
      <c r="AA1993">
        <f t="shared" si="821"/>
        <v>3</v>
      </c>
      <c r="AB1993" t="str">
        <f t="shared" si="822"/>
        <v>Siempre</v>
      </c>
      <c r="AC1993">
        <v>0.87825799999999998</v>
      </c>
      <c r="AD1993">
        <f t="shared" si="823"/>
        <v>0</v>
      </c>
      <c r="AE1993" t="str">
        <f t="shared" si="824"/>
        <v>Nunca</v>
      </c>
      <c r="AF1993">
        <v>1</v>
      </c>
      <c r="AG1993" t="str">
        <f t="shared" si="825"/>
        <v>A veces</v>
      </c>
      <c r="AH1993">
        <v>0</v>
      </c>
      <c r="AI1993" t="str">
        <f t="shared" si="826"/>
        <v>No usa</v>
      </c>
      <c r="AJ1993">
        <v>0</v>
      </c>
      <c r="AK1993" t="str">
        <f t="shared" si="827"/>
        <v>No usa</v>
      </c>
      <c r="AL1993">
        <v>0</v>
      </c>
      <c r="AM1993" t="str">
        <f t="shared" si="828"/>
        <v>No usa</v>
      </c>
      <c r="AN1993">
        <v>1</v>
      </c>
      <c r="AO1993" t="str">
        <f t="shared" si="829"/>
        <v>Usa Transporte</v>
      </c>
      <c r="AP1993">
        <v>0</v>
      </c>
      <c r="AQ1993" t="str">
        <f t="shared" si="830"/>
        <v>No camina</v>
      </c>
      <c r="AR1993">
        <v>1</v>
      </c>
      <c r="AS1993" t="str">
        <f t="shared" si="831"/>
        <v>Es Obeso</v>
      </c>
    </row>
    <row r="1994" spans="1:45" x14ac:dyDescent="0.25">
      <c r="A1994">
        <v>0</v>
      </c>
      <c r="B1994" t="str">
        <f t="shared" si="806"/>
        <v>F</v>
      </c>
      <c r="C1994">
        <v>21760734</v>
      </c>
      <c r="D1994">
        <f t="shared" si="807"/>
        <v>59</v>
      </c>
      <c r="E1994">
        <f t="shared" si="808"/>
        <v>59</v>
      </c>
      <c r="F1994" t="str">
        <f t="shared" si="809"/>
        <v>50-75</v>
      </c>
      <c r="G1994">
        <v>1</v>
      </c>
      <c r="H1994" t="str">
        <f t="shared" si="810"/>
        <v>Pariente gordo</v>
      </c>
      <c r="I1994">
        <v>1</v>
      </c>
      <c r="J1994" t="str">
        <f t="shared" si="811"/>
        <v>Hipercaloricos</v>
      </c>
      <c r="K1994">
        <v>3</v>
      </c>
      <c r="L1994">
        <f t="shared" si="812"/>
        <v>1</v>
      </c>
      <c r="M1994" t="str">
        <f t="shared" si="813"/>
        <v>Suele comer</v>
      </c>
      <c r="N1994">
        <v>3</v>
      </c>
      <c r="O1994">
        <f t="shared" si="814"/>
        <v>2</v>
      </c>
      <c r="P1994" t="str">
        <f t="shared" si="815"/>
        <v>Mas de 3</v>
      </c>
      <c r="Q1994">
        <v>1</v>
      </c>
      <c r="R1994" t="str">
        <f t="shared" si="816"/>
        <v>A veces</v>
      </c>
      <c r="S1994">
        <v>0</v>
      </c>
      <c r="T1994" t="str">
        <f t="shared" si="817"/>
        <v>No fuma</v>
      </c>
      <c r="U1994">
        <v>2611654</v>
      </c>
      <c r="V1994">
        <f t="shared" si="818"/>
        <v>2</v>
      </c>
      <c r="W1994" t="str">
        <f t="shared" si="819"/>
        <v>Siempre</v>
      </c>
      <c r="X1994">
        <v>0</v>
      </c>
      <c r="Y1994" t="str">
        <f t="shared" si="820"/>
        <v>No controla</v>
      </c>
      <c r="Z1994">
        <v>1618512</v>
      </c>
      <c r="AA1994">
        <f t="shared" si="821"/>
        <v>3</v>
      </c>
      <c r="AB1994" t="str">
        <f t="shared" si="822"/>
        <v>Siempre</v>
      </c>
      <c r="AC1994">
        <v>0.868788</v>
      </c>
      <c r="AD1994">
        <f t="shared" si="823"/>
        <v>0</v>
      </c>
      <c r="AE1994" t="str">
        <f t="shared" si="824"/>
        <v>Nunca</v>
      </c>
      <c r="AF1994">
        <v>1</v>
      </c>
      <c r="AG1994" t="str">
        <f t="shared" si="825"/>
        <v>A veces</v>
      </c>
      <c r="AH1994">
        <v>0</v>
      </c>
      <c r="AI1994" t="str">
        <f t="shared" si="826"/>
        <v>No usa</v>
      </c>
      <c r="AJ1994">
        <v>0</v>
      </c>
      <c r="AK1994" t="str">
        <f t="shared" si="827"/>
        <v>No usa</v>
      </c>
      <c r="AL1994">
        <v>0</v>
      </c>
      <c r="AM1994" t="str">
        <f t="shared" si="828"/>
        <v>No usa</v>
      </c>
      <c r="AN1994">
        <v>1</v>
      </c>
      <c r="AO1994" t="str">
        <f t="shared" si="829"/>
        <v>Usa Transporte</v>
      </c>
      <c r="AP1994">
        <v>0</v>
      </c>
      <c r="AQ1994" t="str">
        <f t="shared" si="830"/>
        <v>No camina</v>
      </c>
      <c r="AR1994">
        <v>1</v>
      </c>
      <c r="AS1994" t="str">
        <f t="shared" si="831"/>
        <v>Es Obeso</v>
      </c>
    </row>
    <row r="1995" spans="1:45" x14ac:dyDescent="0.25">
      <c r="A1995">
        <v>0</v>
      </c>
      <c r="B1995" t="str">
        <f t="shared" si="806"/>
        <v>F</v>
      </c>
      <c r="C1995">
        <v>21028989</v>
      </c>
      <c r="D1995">
        <f t="shared" si="807"/>
        <v>57</v>
      </c>
      <c r="E1995">
        <f t="shared" si="808"/>
        <v>57</v>
      </c>
      <c r="F1995" t="str">
        <f t="shared" si="809"/>
        <v>50-75</v>
      </c>
      <c r="G1995">
        <v>1</v>
      </c>
      <c r="H1995" t="str">
        <f t="shared" si="810"/>
        <v>Pariente gordo</v>
      </c>
      <c r="I1995">
        <v>1</v>
      </c>
      <c r="J1995" t="str">
        <f t="shared" si="811"/>
        <v>Hipercaloricos</v>
      </c>
      <c r="K1995">
        <v>3</v>
      </c>
      <c r="L1995">
        <f t="shared" si="812"/>
        <v>1</v>
      </c>
      <c r="M1995" t="str">
        <f t="shared" si="813"/>
        <v>Suele comer</v>
      </c>
      <c r="N1995">
        <v>3</v>
      </c>
      <c r="O1995">
        <f t="shared" si="814"/>
        <v>2</v>
      </c>
      <c r="P1995" t="str">
        <f t="shared" si="815"/>
        <v>Mas de 3</v>
      </c>
      <c r="Q1995">
        <v>1</v>
      </c>
      <c r="R1995" t="str">
        <f t="shared" si="816"/>
        <v>A veces</v>
      </c>
      <c r="S1995">
        <v>0</v>
      </c>
      <c r="T1995" t="str">
        <f t="shared" si="817"/>
        <v>No fuma</v>
      </c>
      <c r="U1995">
        <v>2868167</v>
      </c>
      <c r="V1995">
        <f t="shared" si="818"/>
        <v>2</v>
      </c>
      <c r="W1995" t="str">
        <f t="shared" si="819"/>
        <v>Siempre</v>
      </c>
      <c r="X1995">
        <v>0</v>
      </c>
      <c r="Y1995" t="str">
        <f t="shared" si="820"/>
        <v>No controla</v>
      </c>
      <c r="Z1995">
        <v>148372</v>
      </c>
      <c r="AA1995">
        <f t="shared" si="821"/>
        <v>2</v>
      </c>
      <c r="AB1995" t="str">
        <f t="shared" si="822"/>
        <v>Usualmente</v>
      </c>
      <c r="AC1995">
        <v>0.83509</v>
      </c>
      <c r="AD1995">
        <f t="shared" si="823"/>
        <v>0</v>
      </c>
      <c r="AE1995" t="str">
        <f t="shared" si="824"/>
        <v>Nunca</v>
      </c>
      <c r="AF1995">
        <v>1</v>
      </c>
      <c r="AG1995" t="str">
        <f t="shared" si="825"/>
        <v>A veces</v>
      </c>
      <c r="AH1995">
        <v>0</v>
      </c>
      <c r="AI1995" t="str">
        <f t="shared" si="826"/>
        <v>No usa</v>
      </c>
      <c r="AJ1995">
        <v>0</v>
      </c>
      <c r="AK1995" t="str">
        <f t="shared" si="827"/>
        <v>No usa</v>
      </c>
      <c r="AL1995">
        <v>0</v>
      </c>
      <c r="AM1995" t="str">
        <f t="shared" si="828"/>
        <v>No usa</v>
      </c>
      <c r="AN1995">
        <v>1</v>
      </c>
      <c r="AO1995" t="str">
        <f t="shared" si="829"/>
        <v>Usa Transporte</v>
      </c>
      <c r="AP1995">
        <v>0</v>
      </c>
      <c r="AQ1995" t="str">
        <f t="shared" si="830"/>
        <v>No camina</v>
      </c>
      <c r="AR1995">
        <v>1</v>
      </c>
      <c r="AS1995" t="str">
        <f t="shared" si="831"/>
        <v>Es Obeso</v>
      </c>
    </row>
    <row r="1996" spans="1:45" x14ac:dyDescent="0.25">
      <c r="A1996">
        <v>0</v>
      </c>
      <c r="B1996" t="str">
        <f t="shared" si="806"/>
        <v>F</v>
      </c>
      <c r="C1996">
        <v>21282238</v>
      </c>
      <c r="D1996">
        <f t="shared" si="807"/>
        <v>58</v>
      </c>
      <c r="E1996">
        <f t="shared" si="808"/>
        <v>58</v>
      </c>
      <c r="F1996" t="str">
        <f t="shared" si="809"/>
        <v>50-75</v>
      </c>
      <c r="G1996">
        <v>1</v>
      </c>
      <c r="H1996" t="str">
        <f t="shared" si="810"/>
        <v>Pariente gordo</v>
      </c>
      <c r="I1996">
        <v>1</v>
      </c>
      <c r="J1996" t="str">
        <f t="shared" si="811"/>
        <v>Hipercaloricos</v>
      </c>
      <c r="K1996">
        <v>3</v>
      </c>
      <c r="L1996">
        <f t="shared" si="812"/>
        <v>1</v>
      </c>
      <c r="M1996" t="str">
        <f t="shared" si="813"/>
        <v>Suele comer</v>
      </c>
      <c r="N1996">
        <v>3</v>
      </c>
      <c r="O1996">
        <f t="shared" si="814"/>
        <v>2</v>
      </c>
      <c r="P1996" t="str">
        <f t="shared" si="815"/>
        <v>Mas de 3</v>
      </c>
      <c r="Q1996">
        <v>1</v>
      </c>
      <c r="R1996" t="str">
        <f t="shared" si="816"/>
        <v>A veces</v>
      </c>
      <c r="S1996">
        <v>0</v>
      </c>
      <c r="T1996" t="str">
        <f t="shared" si="817"/>
        <v>No fuma</v>
      </c>
      <c r="U1996">
        <v>2247979</v>
      </c>
      <c r="V1996">
        <f t="shared" si="818"/>
        <v>2</v>
      </c>
      <c r="W1996" t="str">
        <f t="shared" si="819"/>
        <v>Siempre</v>
      </c>
      <c r="X1996">
        <v>0</v>
      </c>
      <c r="Y1996" t="str">
        <f t="shared" si="820"/>
        <v>No controla</v>
      </c>
      <c r="Z1996">
        <v>1609938</v>
      </c>
      <c r="AA1996">
        <f t="shared" si="821"/>
        <v>3</v>
      </c>
      <c r="AB1996" t="str">
        <f t="shared" si="822"/>
        <v>Siempre</v>
      </c>
      <c r="AC1996">
        <v>0.84923599999999999</v>
      </c>
      <c r="AD1996">
        <f t="shared" si="823"/>
        <v>0</v>
      </c>
      <c r="AE1996" t="str">
        <f t="shared" si="824"/>
        <v>Nunca</v>
      </c>
      <c r="AF1996">
        <v>1</v>
      </c>
      <c r="AG1996" t="str">
        <f t="shared" si="825"/>
        <v>A veces</v>
      </c>
      <c r="AH1996">
        <v>0</v>
      </c>
      <c r="AI1996" t="str">
        <f t="shared" si="826"/>
        <v>No usa</v>
      </c>
      <c r="AJ1996">
        <v>0</v>
      </c>
      <c r="AK1996" t="str">
        <f t="shared" si="827"/>
        <v>No usa</v>
      </c>
      <c r="AL1996">
        <v>0</v>
      </c>
      <c r="AM1996" t="str">
        <f t="shared" si="828"/>
        <v>No usa</v>
      </c>
      <c r="AN1996">
        <v>1</v>
      </c>
      <c r="AO1996" t="str">
        <f t="shared" si="829"/>
        <v>Usa Transporte</v>
      </c>
      <c r="AP1996">
        <v>0</v>
      </c>
      <c r="AQ1996" t="str">
        <f t="shared" si="830"/>
        <v>No camina</v>
      </c>
      <c r="AR1996">
        <v>1</v>
      </c>
      <c r="AS1996" t="str">
        <f t="shared" si="831"/>
        <v>Es Obeso</v>
      </c>
    </row>
    <row r="1997" spans="1:45" x14ac:dyDescent="0.25">
      <c r="A1997">
        <v>0</v>
      </c>
      <c r="B1997" t="str">
        <f t="shared" si="806"/>
        <v>F</v>
      </c>
      <c r="C1997">
        <v>20388049</v>
      </c>
      <c r="D1997">
        <f t="shared" si="807"/>
        <v>55</v>
      </c>
      <c r="E1997">
        <f t="shared" si="808"/>
        <v>55</v>
      </c>
      <c r="F1997" t="str">
        <f t="shared" si="809"/>
        <v>50-75</v>
      </c>
      <c r="G1997">
        <v>1</v>
      </c>
      <c r="H1997" t="str">
        <f t="shared" si="810"/>
        <v>Pariente gordo</v>
      </c>
      <c r="I1997">
        <v>1</v>
      </c>
      <c r="J1997" t="str">
        <f t="shared" si="811"/>
        <v>Hipercaloricos</v>
      </c>
      <c r="K1997">
        <v>3</v>
      </c>
      <c r="L1997">
        <f t="shared" si="812"/>
        <v>1</v>
      </c>
      <c r="M1997" t="str">
        <f t="shared" si="813"/>
        <v>Suele comer</v>
      </c>
      <c r="N1997">
        <v>3</v>
      </c>
      <c r="O1997">
        <f t="shared" si="814"/>
        <v>2</v>
      </c>
      <c r="P1997" t="str">
        <f t="shared" si="815"/>
        <v>Mas de 3</v>
      </c>
      <c r="Q1997">
        <v>1</v>
      </c>
      <c r="R1997" t="str">
        <f t="shared" si="816"/>
        <v>A veces</v>
      </c>
      <c r="S1997">
        <v>0</v>
      </c>
      <c r="T1997" t="str">
        <f t="shared" si="817"/>
        <v>No fuma</v>
      </c>
      <c r="U1997">
        <v>2702789</v>
      </c>
      <c r="V1997">
        <f t="shared" si="818"/>
        <v>2</v>
      </c>
      <c r="W1997" t="str">
        <f t="shared" si="819"/>
        <v>Siempre</v>
      </c>
      <c r="X1997">
        <v>0</v>
      </c>
      <c r="Y1997" t="str">
        <f t="shared" si="820"/>
        <v>No controla</v>
      </c>
      <c r="Z1997">
        <v>1606109</v>
      </c>
      <c r="AA1997">
        <f t="shared" si="821"/>
        <v>3</v>
      </c>
      <c r="AB1997" t="str">
        <f t="shared" si="822"/>
        <v>Siempre</v>
      </c>
      <c r="AC1997">
        <v>0.731213</v>
      </c>
      <c r="AD1997">
        <f t="shared" si="823"/>
        <v>0</v>
      </c>
      <c r="AE1997" t="str">
        <f t="shared" si="824"/>
        <v>Nunca</v>
      </c>
      <c r="AF1997">
        <v>1</v>
      </c>
      <c r="AG1997" t="str">
        <f t="shared" si="825"/>
        <v>A veces</v>
      </c>
      <c r="AH1997">
        <v>0</v>
      </c>
      <c r="AI1997" t="str">
        <f t="shared" si="826"/>
        <v>No usa</v>
      </c>
      <c r="AJ1997">
        <v>0</v>
      </c>
      <c r="AK1997" t="str">
        <f t="shared" si="827"/>
        <v>No usa</v>
      </c>
      <c r="AL1997">
        <v>0</v>
      </c>
      <c r="AM1997" t="str">
        <f t="shared" si="828"/>
        <v>No usa</v>
      </c>
      <c r="AN1997">
        <v>1</v>
      </c>
      <c r="AO1997" t="str">
        <f t="shared" si="829"/>
        <v>Usa Transporte</v>
      </c>
      <c r="AP1997">
        <v>0</v>
      </c>
      <c r="AQ1997" t="str">
        <f t="shared" si="830"/>
        <v>No camina</v>
      </c>
      <c r="AR1997">
        <v>1</v>
      </c>
      <c r="AS1997" t="str">
        <f t="shared" si="831"/>
        <v>Es Obeso</v>
      </c>
    </row>
    <row r="1998" spans="1:45" x14ac:dyDescent="0.25">
      <c r="A1998">
        <v>0</v>
      </c>
      <c r="B1998" t="str">
        <f t="shared" si="806"/>
        <v>F</v>
      </c>
      <c r="C1998">
        <v>21022206</v>
      </c>
      <c r="D1998">
        <f t="shared" si="807"/>
        <v>57</v>
      </c>
      <c r="E1998">
        <f t="shared" si="808"/>
        <v>57</v>
      </c>
      <c r="F1998" t="str">
        <f t="shared" si="809"/>
        <v>50-75</v>
      </c>
      <c r="G1998">
        <v>1</v>
      </c>
      <c r="H1998" t="str">
        <f t="shared" si="810"/>
        <v>Pariente gordo</v>
      </c>
      <c r="I1998">
        <v>1</v>
      </c>
      <c r="J1998" t="str">
        <f t="shared" si="811"/>
        <v>Hipercaloricos</v>
      </c>
      <c r="K1998">
        <v>3</v>
      </c>
      <c r="L1998">
        <f t="shared" si="812"/>
        <v>1</v>
      </c>
      <c r="M1998" t="str">
        <f t="shared" si="813"/>
        <v>Suele comer</v>
      </c>
      <c r="N1998">
        <v>3</v>
      </c>
      <c r="O1998">
        <f t="shared" si="814"/>
        <v>2</v>
      </c>
      <c r="P1998" t="str">
        <f t="shared" si="815"/>
        <v>Mas de 3</v>
      </c>
      <c r="Q1998">
        <v>1</v>
      </c>
      <c r="R1998" t="str">
        <f t="shared" si="816"/>
        <v>A veces</v>
      </c>
      <c r="S1998">
        <v>0</v>
      </c>
      <c r="T1998" t="str">
        <f t="shared" si="817"/>
        <v>No fuma</v>
      </c>
      <c r="U1998">
        <v>1663213</v>
      </c>
      <c r="V1998">
        <f t="shared" si="818"/>
        <v>2</v>
      </c>
      <c r="W1998" t="str">
        <f t="shared" si="819"/>
        <v>Siempre</v>
      </c>
      <c r="X1998">
        <v>0</v>
      </c>
      <c r="Y1998" t="str">
        <f t="shared" si="820"/>
        <v>No controla</v>
      </c>
      <c r="Z1998">
        <v>1094035</v>
      </c>
      <c r="AA1998">
        <f t="shared" si="821"/>
        <v>3</v>
      </c>
      <c r="AB1998" t="str">
        <f t="shared" si="822"/>
        <v>Siempre</v>
      </c>
      <c r="AC1998">
        <v>0.78666499999999995</v>
      </c>
      <c r="AD1998">
        <f t="shared" si="823"/>
        <v>0</v>
      </c>
      <c r="AE1998" t="str">
        <f t="shared" si="824"/>
        <v>Nunca</v>
      </c>
      <c r="AF1998">
        <v>1</v>
      </c>
      <c r="AG1998" t="str">
        <f t="shared" si="825"/>
        <v>A veces</v>
      </c>
      <c r="AH1998">
        <v>0</v>
      </c>
      <c r="AI1998" t="str">
        <f t="shared" si="826"/>
        <v>No usa</v>
      </c>
      <c r="AJ1998">
        <v>0</v>
      </c>
      <c r="AK1998" t="str">
        <f t="shared" si="827"/>
        <v>No usa</v>
      </c>
      <c r="AL1998">
        <v>0</v>
      </c>
      <c r="AM1998" t="str">
        <f t="shared" si="828"/>
        <v>No usa</v>
      </c>
      <c r="AN1998">
        <v>1</v>
      </c>
      <c r="AO1998" t="str">
        <f t="shared" si="829"/>
        <v>Usa Transporte</v>
      </c>
      <c r="AP1998">
        <v>0</v>
      </c>
      <c r="AQ1998" t="str">
        <f t="shared" si="830"/>
        <v>No camina</v>
      </c>
      <c r="AR1998">
        <v>1</v>
      </c>
      <c r="AS1998" t="str">
        <f t="shared" si="831"/>
        <v>Es Obeso</v>
      </c>
    </row>
    <row r="1999" spans="1:45" x14ac:dyDescent="0.25">
      <c r="A1999">
        <v>0</v>
      </c>
      <c r="B1999" t="str">
        <f t="shared" si="806"/>
        <v>F</v>
      </c>
      <c r="C1999">
        <v>20102241</v>
      </c>
      <c r="D1999">
        <f t="shared" si="807"/>
        <v>55</v>
      </c>
      <c r="E1999">
        <f t="shared" si="808"/>
        <v>55</v>
      </c>
      <c r="F1999" t="str">
        <f t="shared" si="809"/>
        <v>50-75</v>
      </c>
      <c r="G1999">
        <v>1</v>
      </c>
      <c r="H1999" t="str">
        <f t="shared" si="810"/>
        <v>Pariente gordo</v>
      </c>
      <c r="I1999">
        <v>1</v>
      </c>
      <c r="J1999" t="str">
        <f t="shared" si="811"/>
        <v>Hipercaloricos</v>
      </c>
      <c r="K1999">
        <v>3</v>
      </c>
      <c r="L1999">
        <f t="shared" si="812"/>
        <v>1</v>
      </c>
      <c r="M1999" t="str">
        <f t="shared" si="813"/>
        <v>Suele comer</v>
      </c>
      <c r="N1999">
        <v>3</v>
      </c>
      <c r="O1999">
        <f t="shared" si="814"/>
        <v>2</v>
      </c>
      <c r="P1999" t="str">
        <f t="shared" si="815"/>
        <v>Mas de 3</v>
      </c>
      <c r="Q1999">
        <v>1</v>
      </c>
      <c r="R1999" t="str">
        <f t="shared" si="816"/>
        <v>A veces</v>
      </c>
      <c r="S1999">
        <v>0</v>
      </c>
      <c r="T1999" t="str">
        <f t="shared" si="817"/>
        <v>No fuma</v>
      </c>
      <c r="U1999">
        <v>2414739</v>
      </c>
      <c r="V1999">
        <f t="shared" si="818"/>
        <v>2</v>
      </c>
      <c r="W1999" t="str">
        <f t="shared" si="819"/>
        <v>Siempre</v>
      </c>
      <c r="X1999">
        <v>0</v>
      </c>
      <c r="Y1999" t="str">
        <f t="shared" si="820"/>
        <v>No controla</v>
      </c>
      <c r="Z1999">
        <v>1917014</v>
      </c>
      <c r="AA1999">
        <f t="shared" si="821"/>
        <v>3</v>
      </c>
      <c r="AB1999" t="str">
        <f t="shared" si="822"/>
        <v>Siempre</v>
      </c>
      <c r="AC1999">
        <v>0.92798199999999997</v>
      </c>
      <c r="AD1999">
        <f t="shared" si="823"/>
        <v>0</v>
      </c>
      <c r="AE1999" t="str">
        <f t="shared" si="824"/>
        <v>Nunca</v>
      </c>
      <c r="AF1999">
        <v>1</v>
      </c>
      <c r="AG1999" t="str">
        <f t="shared" si="825"/>
        <v>A veces</v>
      </c>
      <c r="AH1999">
        <v>0</v>
      </c>
      <c r="AI1999" t="str">
        <f t="shared" si="826"/>
        <v>No usa</v>
      </c>
      <c r="AJ1999">
        <v>0</v>
      </c>
      <c r="AK1999" t="str">
        <f t="shared" si="827"/>
        <v>No usa</v>
      </c>
      <c r="AL1999">
        <v>0</v>
      </c>
      <c r="AM1999" t="str">
        <f t="shared" si="828"/>
        <v>No usa</v>
      </c>
      <c r="AN1999">
        <v>1</v>
      </c>
      <c r="AO1999" t="str">
        <f t="shared" si="829"/>
        <v>Usa Transporte</v>
      </c>
      <c r="AP1999">
        <v>0</v>
      </c>
      <c r="AQ1999" t="str">
        <f t="shared" si="830"/>
        <v>No camina</v>
      </c>
      <c r="AR1999">
        <v>1</v>
      </c>
      <c r="AS1999" t="str">
        <f t="shared" si="831"/>
        <v>Es Obeso</v>
      </c>
    </row>
    <row r="2000" spans="1:45" x14ac:dyDescent="0.25">
      <c r="A2000">
        <v>0</v>
      </c>
      <c r="B2000" t="str">
        <f t="shared" si="806"/>
        <v>F</v>
      </c>
      <c r="C2000">
        <v>21291969</v>
      </c>
      <c r="D2000">
        <f t="shared" si="807"/>
        <v>58</v>
      </c>
      <c r="E2000">
        <f t="shared" si="808"/>
        <v>58</v>
      </c>
      <c r="F2000" t="str">
        <f t="shared" si="809"/>
        <v>50-75</v>
      </c>
      <c r="G2000">
        <v>1</v>
      </c>
      <c r="H2000" t="str">
        <f t="shared" si="810"/>
        <v>Pariente gordo</v>
      </c>
      <c r="I2000">
        <v>1</v>
      </c>
      <c r="J2000" t="str">
        <f t="shared" si="811"/>
        <v>Hipercaloricos</v>
      </c>
      <c r="K2000">
        <v>3</v>
      </c>
      <c r="L2000">
        <f t="shared" si="812"/>
        <v>1</v>
      </c>
      <c r="M2000" t="str">
        <f t="shared" si="813"/>
        <v>Suele comer</v>
      </c>
      <c r="N2000">
        <v>3</v>
      </c>
      <c r="O2000">
        <f t="shared" si="814"/>
        <v>2</v>
      </c>
      <c r="P2000" t="str">
        <f t="shared" si="815"/>
        <v>Mas de 3</v>
      </c>
      <c r="Q2000">
        <v>1</v>
      </c>
      <c r="R2000" t="str">
        <f t="shared" si="816"/>
        <v>A veces</v>
      </c>
      <c r="S2000">
        <v>0</v>
      </c>
      <c r="T2000" t="str">
        <f t="shared" si="817"/>
        <v>No fuma</v>
      </c>
      <c r="U2000">
        <v>2351193</v>
      </c>
      <c r="V2000">
        <f t="shared" si="818"/>
        <v>2</v>
      </c>
      <c r="W2000" t="str">
        <f t="shared" si="819"/>
        <v>Siempre</v>
      </c>
      <c r="X2000">
        <v>0</v>
      </c>
      <c r="Y2000" t="str">
        <f t="shared" si="820"/>
        <v>No controla</v>
      </c>
      <c r="Z2000">
        <v>1051889</v>
      </c>
      <c r="AA2000">
        <f t="shared" si="821"/>
        <v>3</v>
      </c>
      <c r="AB2000" t="str">
        <f t="shared" si="822"/>
        <v>Siempre</v>
      </c>
      <c r="AC2000">
        <v>0.68649099999999996</v>
      </c>
      <c r="AD2000">
        <f t="shared" si="823"/>
        <v>0</v>
      </c>
      <c r="AE2000" t="str">
        <f t="shared" si="824"/>
        <v>Nunca</v>
      </c>
      <c r="AF2000">
        <v>1</v>
      </c>
      <c r="AG2000" t="str">
        <f t="shared" si="825"/>
        <v>A veces</v>
      </c>
      <c r="AH2000">
        <v>0</v>
      </c>
      <c r="AI2000" t="str">
        <f t="shared" si="826"/>
        <v>No usa</v>
      </c>
      <c r="AJ2000">
        <v>0</v>
      </c>
      <c r="AK2000" t="str">
        <f t="shared" si="827"/>
        <v>No usa</v>
      </c>
      <c r="AL2000">
        <v>0</v>
      </c>
      <c r="AM2000" t="str">
        <f t="shared" si="828"/>
        <v>No usa</v>
      </c>
      <c r="AN2000">
        <v>1</v>
      </c>
      <c r="AO2000" t="str">
        <f t="shared" si="829"/>
        <v>Usa Transporte</v>
      </c>
      <c r="AP2000">
        <v>0</v>
      </c>
      <c r="AQ2000" t="str">
        <f t="shared" si="830"/>
        <v>No camina</v>
      </c>
      <c r="AR2000">
        <v>1</v>
      </c>
      <c r="AS2000" t="str">
        <f t="shared" si="831"/>
        <v>Es Obeso</v>
      </c>
    </row>
    <row r="2001" spans="1:45" x14ac:dyDescent="0.25">
      <c r="A2001">
        <v>0</v>
      </c>
      <c r="B2001" t="str">
        <f t="shared" si="806"/>
        <v>F</v>
      </c>
      <c r="C2001">
        <v>20530998</v>
      </c>
      <c r="D2001">
        <f t="shared" si="807"/>
        <v>56</v>
      </c>
      <c r="E2001">
        <f t="shared" si="808"/>
        <v>56</v>
      </c>
      <c r="F2001" t="str">
        <f t="shared" si="809"/>
        <v>50-75</v>
      </c>
      <c r="G2001">
        <v>1</v>
      </c>
      <c r="H2001" t="str">
        <f t="shared" si="810"/>
        <v>Pariente gordo</v>
      </c>
      <c r="I2001">
        <v>1</v>
      </c>
      <c r="J2001" t="str">
        <f t="shared" si="811"/>
        <v>Hipercaloricos</v>
      </c>
      <c r="K2001">
        <v>3</v>
      </c>
      <c r="L2001">
        <f t="shared" si="812"/>
        <v>1</v>
      </c>
      <c r="M2001" t="str">
        <f t="shared" si="813"/>
        <v>Suele comer</v>
      </c>
      <c r="N2001">
        <v>3</v>
      </c>
      <c r="O2001">
        <f t="shared" si="814"/>
        <v>2</v>
      </c>
      <c r="P2001" t="str">
        <f t="shared" si="815"/>
        <v>Mas de 3</v>
      </c>
      <c r="Q2001">
        <v>1</v>
      </c>
      <c r="R2001" t="str">
        <f t="shared" si="816"/>
        <v>A veces</v>
      </c>
      <c r="S2001">
        <v>0</v>
      </c>
      <c r="T2001" t="str">
        <f t="shared" si="817"/>
        <v>No fuma</v>
      </c>
      <c r="U2001">
        <v>2896088</v>
      </c>
      <c r="V2001">
        <f t="shared" si="818"/>
        <v>2</v>
      </c>
      <c r="W2001" t="str">
        <f t="shared" si="819"/>
        <v>Siempre</v>
      </c>
      <c r="X2001">
        <v>0</v>
      </c>
      <c r="Y2001" t="str">
        <f t="shared" si="820"/>
        <v>No controla</v>
      </c>
      <c r="Z2001">
        <v>1612741</v>
      </c>
      <c r="AA2001">
        <f t="shared" si="821"/>
        <v>3</v>
      </c>
      <c r="AB2001" t="str">
        <f t="shared" si="822"/>
        <v>Siempre</v>
      </c>
      <c r="AC2001">
        <v>0.77319000000000004</v>
      </c>
      <c r="AD2001">
        <f t="shared" si="823"/>
        <v>0</v>
      </c>
      <c r="AE2001" t="str">
        <f t="shared" si="824"/>
        <v>Nunca</v>
      </c>
      <c r="AF2001">
        <v>1</v>
      </c>
      <c r="AG2001" t="str">
        <f t="shared" si="825"/>
        <v>A veces</v>
      </c>
      <c r="AH2001">
        <v>0</v>
      </c>
      <c r="AI2001" t="str">
        <f t="shared" si="826"/>
        <v>No usa</v>
      </c>
      <c r="AJ2001">
        <v>0</v>
      </c>
      <c r="AK2001" t="str">
        <f t="shared" si="827"/>
        <v>No usa</v>
      </c>
      <c r="AL2001">
        <v>0</v>
      </c>
      <c r="AM2001" t="str">
        <f t="shared" si="828"/>
        <v>No usa</v>
      </c>
      <c r="AN2001">
        <v>1</v>
      </c>
      <c r="AO2001" t="str">
        <f t="shared" si="829"/>
        <v>Usa Transporte</v>
      </c>
      <c r="AP2001">
        <v>0</v>
      </c>
      <c r="AQ2001" t="str">
        <f t="shared" si="830"/>
        <v>No camina</v>
      </c>
      <c r="AR2001">
        <v>1</v>
      </c>
      <c r="AS2001" t="str">
        <f t="shared" si="831"/>
        <v>Es Obeso</v>
      </c>
    </row>
    <row r="2002" spans="1:45" x14ac:dyDescent="0.25">
      <c r="A2002">
        <v>0</v>
      </c>
      <c r="B2002" t="str">
        <f t="shared" si="806"/>
        <v>F</v>
      </c>
      <c r="C2002">
        <v>18976968</v>
      </c>
      <c r="D2002">
        <f t="shared" si="807"/>
        <v>51</v>
      </c>
      <c r="E2002">
        <f t="shared" si="808"/>
        <v>51</v>
      </c>
      <c r="F2002" t="str">
        <f t="shared" si="809"/>
        <v>50-75</v>
      </c>
      <c r="G2002">
        <v>1</v>
      </c>
      <c r="H2002" t="str">
        <f t="shared" si="810"/>
        <v>Pariente gordo</v>
      </c>
      <c r="I2002">
        <v>1</v>
      </c>
      <c r="J2002" t="str">
        <f t="shared" si="811"/>
        <v>Hipercaloricos</v>
      </c>
      <c r="K2002">
        <v>3</v>
      </c>
      <c r="L2002">
        <f t="shared" si="812"/>
        <v>1</v>
      </c>
      <c r="M2002" t="str">
        <f t="shared" si="813"/>
        <v>Suele comer</v>
      </c>
      <c r="N2002">
        <v>3</v>
      </c>
      <c r="O2002">
        <f t="shared" si="814"/>
        <v>2</v>
      </c>
      <c r="P2002" t="str">
        <f t="shared" si="815"/>
        <v>Mas de 3</v>
      </c>
      <c r="Q2002">
        <v>1</v>
      </c>
      <c r="R2002" t="str">
        <f t="shared" si="816"/>
        <v>A veces</v>
      </c>
      <c r="S2002">
        <v>0</v>
      </c>
      <c r="T2002" t="str">
        <f t="shared" si="817"/>
        <v>No fuma</v>
      </c>
      <c r="U2002">
        <v>2862408</v>
      </c>
      <c r="V2002">
        <f t="shared" si="818"/>
        <v>2</v>
      </c>
      <c r="W2002" t="str">
        <f t="shared" si="819"/>
        <v>Siempre</v>
      </c>
      <c r="X2002">
        <v>0</v>
      </c>
      <c r="Y2002" t="str">
        <f t="shared" si="820"/>
        <v>No controla</v>
      </c>
      <c r="Z2002">
        <v>1456933</v>
      </c>
      <c r="AA2002">
        <f t="shared" si="821"/>
        <v>3</v>
      </c>
      <c r="AB2002" t="str">
        <f t="shared" si="822"/>
        <v>Siempre</v>
      </c>
      <c r="AC2002">
        <v>0.74242300000000006</v>
      </c>
      <c r="AD2002">
        <f t="shared" si="823"/>
        <v>0</v>
      </c>
      <c r="AE2002" t="str">
        <f t="shared" si="824"/>
        <v>Nunca</v>
      </c>
      <c r="AF2002">
        <v>1</v>
      </c>
      <c r="AG2002" t="str">
        <f t="shared" si="825"/>
        <v>A veces</v>
      </c>
      <c r="AH2002">
        <v>0</v>
      </c>
      <c r="AI2002" t="str">
        <f t="shared" si="826"/>
        <v>No usa</v>
      </c>
      <c r="AJ2002">
        <v>0</v>
      </c>
      <c r="AK2002" t="str">
        <f t="shared" si="827"/>
        <v>No usa</v>
      </c>
      <c r="AL2002">
        <v>0</v>
      </c>
      <c r="AM2002" t="str">
        <f t="shared" si="828"/>
        <v>No usa</v>
      </c>
      <c r="AN2002">
        <v>1</v>
      </c>
      <c r="AO2002" t="str">
        <f t="shared" si="829"/>
        <v>Usa Transporte</v>
      </c>
      <c r="AP2002">
        <v>0</v>
      </c>
      <c r="AQ2002" t="str">
        <f t="shared" si="830"/>
        <v>No camina</v>
      </c>
      <c r="AR2002">
        <v>1</v>
      </c>
      <c r="AS2002" t="str">
        <f t="shared" si="831"/>
        <v>Es Obeso</v>
      </c>
    </row>
    <row r="2003" spans="1:45" x14ac:dyDescent="0.25">
      <c r="A2003">
        <v>0</v>
      </c>
      <c r="B2003" t="str">
        <f t="shared" si="806"/>
        <v>F</v>
      </c>
      <c r="C2003">
        <v>20924956</v>
      </c>
      <c r="D2003">
        <f t="shared" si="807"/>
        <v>57</v>
      </c>
      <c r="E2003">
        <f t="shared" si="808"/>
        <v>57</v>
      </c>
      <c r="F2003" t="str">
        <f t="shared" si="809"/>
        <v>50-75</v>
      </c>
      <c r="G2003">
        <v>1</v>
      </c>
      <c r="H2003" t="str">
        <f t="shared" si="810"/>
        <v>Pariente gordo</v>
      </c>
      <c r="I2003">
        <v>1</v>
      </c>
      <c r="J2003" t="str">
        <f t="shared" si="811"/>
        <v>Hipercaloricos</v>
      </c>
      <c r="K2003">
        <v>3</v>
      </c>
      <c r="L2003">
        <f t="shared" si="812"/>
        <v>1</v>
      </c>
      <c r="M2003" t="str">
        <f t="shared" si="813"/>
        <v>Suele comer</v>
      </c>
      <c r="N2003">
        <v>3</v>
      </c>
      <c r="O2003">
        <f t="shared" si="814"/>
        <v>2</v>
      </c>
      <c r="P2003" t="str">
        <f t="shared" si="815"/>
        <v>Mas de 3</v>
      </c>
      <c r="Q2003">
        <v>1</v>
      </c>
      <c r="R2003" t="str">
        <f t="shared" si="816"/>
        <v>A veces</v>
      </c>
      <c r="S2003">
        <v>0</v>
      </c>
      <c r="T2003" t="str">
        <f t="shared" si="817"/>
        <v>No fuma</v>
      </c>
      <c r="U2003">
        <v>2887659</v>
      </c>
      <c r="V2003">
        <f t="shared" si="818"/>
        <v>2</v>
      </c>
      <c r="W2003" t="str">
        <f t="shared" si="819"/>
        <v>Siempre</v>
      </c>
      <c r="X2003">
        <v>0</v>
      </c>
      <c r="Y2003" t="str">
        <f t="shared" si="820"/>
        <v>No controla</v>
      </c>
      <c r="Z2003">
        <v>1480919</v>
      </c>
      <c r="AA2003">
        <f t="shared" si="821"/>
        <v>3</v>
      </c>
      <c r="AB2003" t="str">
        <f t="shared" si="822"/>
        <v>Siempre</v>
      </c>
      <c r="AC2003">
        <v>0.77964100000000003</v>
      </c>
      <c r="AD2003">
        <f t="shared" si="823"/>
        <v>0</v>
      </c>
      <c r="AE2003" t="str">
        <f t="shared" si="824"/>
        <v>Nunca</v>
      </c>
      <c r="AF2003">
        <v>1</v>
      </c>
      <c r="AG2003" t="str">
        <f t="shared" si="825"/>
        <v>A veces</v>
      </c>
      <c r="AH2003">
        <v>0</v>
      </c>
      <c r="AI2003" t="str">
        <f t="shared" si="826"/>
        <v>No usa</v>
      </c>
      <c r="AJ2003">
        <v>0</v>
      </c>
      <c r="AK2003" t="str">
        <f t="shared" si="827"/>
        <v>No usa</v>
      </c>
      <c r="AL2003">
        <v>0</v>
      </c>
      <c r="AM2003" t="str">
        <f t="shared" si="828"/>
        <v>No usa</v>
      </c>
      <c r="AN2003">
        <v>1</v>
      </c>
      <c r="AO2003" t="str">
        <f t="shared" si="829"/>
        <v>Usa Transporte</v>
      </c>
      <c r="AP2003">
        <v>0</v>
      </c>
      <c r="AQ2003" t="str">
        <f t="shared" si="830"/>
        <v>No camina</v>
      </c>
      <c r="AR2003">
        <v>1</v>
      </c>
      <c r="AS2003" t="str">
        <f t="shared" si="831"/>
        <v>Es Obeso</v>
      </c>
    </row>
    <row r="2004" spans="1:45" x14ac:dyDescent="0.25">
      <c r="A2004">
        <v>0</v>
      </c>
      <c r="B2004" t="str">
        <f t="shared" si="806"/>
        <v>F</v>
      </c>
      <c r="C2004">
        <v>2128253</v>
      </c>
      <c r="D2004">
        <f t="shared" si="807"/>
        <v>5</v>
      </c>
      <c r="E2004">
        <f t="shared" si="808"/>
        <v>5</v>
      </c>
      <c r="F2004" t="str">
        <f t="shared" si="809"/>
        <v>1-25</v>
      </c>
      <c r="G2004">
        <v>1</v>
      </c>
      <c r="H2004" t="str">
        <f t="shared" si="810"/>
        <v>Pariente gordo</v>
      </c>
      <c r="I2004">
        <v>1</v>
      </c>
      <c r="J2004" t="str">
        <f t="shared" si="811"/>
        <v>Hipercaloricos</v>
      </c>
      <c r="K2004">
        <v>3</v>
      </c>
      <c r="L2004">
        <f t="shared" si="812"/>
        <v>1</v>
      </c>
      <c r="M2004" t="str">
        <f t="shared" si="813"/>
        <v>Suele comer</v>
      </c>
      <c r="N2004">
        <v>3</v>
      </c>
      <c r="O2004">
        <f t="shared" si="814"/>
        <v>2</v>
      </c>
      <c r="P2004" t="str">
        <f t="shared" si="815"/>
        <v>Mas de 3</v>
      </c>
      <c r="Q2004">
        <v>1</v>
      </c>
      <c r="R2004" t="str">
        <f t="shared" si="816"/>
        <v>A veces</v>
      </c>
      <c r="S2004">
        <v>0</v>
      </c>
      <c r="T2004" t="str">
        <f t="shared" si="817"/>
        <v>No fuma</v>
      </c>
      <c r="U2004">
        <v>2893062</v>
      </c>
      <c r="V2004">
        <f t="shared" si="818"/>
        <v>2</v>
      </c>
      <c r="W2004" t="str">
        <f t="shared" si="819"/>
        <v>Siempre</v>
      </c>
      <c r="X2004">
        <v>0</v>
      </c>
      <c r="Y2004" t="str">
        <f t="shared" si="820"/>
        <v>No controla</v>
      </c>
      <c r="Z2004">
        <v>1408177</v>
      </c>
      <c r="AA2004">
        <f t="shared" si="821"/>
        <v>3</v>
      </c>
      <c r="AB2004" t="str">
        <f t="shared" si="822"/>
        <v>Siempre</v>
      </c>
      <c r="AC2004">
        <v>0.80745699999999998</v>
      </c>
      <c r="AD2004">
        <f t="shared" si="823"/>
        <v>0</v>
      </c>
      <c r="AE2004" t="str">
        <f t="shared" si="824"/>
        <v>Nunca</v>
      </c>
      <c r="AF2004">
        <v>1</v>
      </c>
      <c r="AG2004" t="str">
        <f t="shared" si="825"/>
        <v>A veces</v>
      </c>
      <c r="AH2004">
        <v>0</v>
      </c>
      <c r="AI2004" t="str">
        <f t="shared" si="826"/>
        <v>No usa</v>
      </c>
      <c r="AJ2004">
        <v>0</v>
      </c>
      <c r="AK2004" t="str">
        <f t="shared" si="827"/>
        <v>No usa</v>
      </c>
      <c r="AL2004">
        <v>0</v>
      </c>
      <c r="AM2004" t="str">
        <f t="shared" si="828"/>
        <v>No usa</v>
      </c>
      <c r="AN2004">
        <v>1</v>
      </c>
      <c r="AO2004" t="str">
        <f t="shared" si="829"/>
        <v>Usa Transporte</v>
      </c>
      <c r="AP2004">
        <v>0</v>
      </c>
      <c r="AQ2004" t="str">
        <f t="shared" si="830"/>
        <v>No camina</v>
      </c>
      <c r="AR2004">
        <v>1</v>
      </c>
      <c r="AS2004" t="str">
        <f t="shared" si="831"/>
        <v>Es Obeso</v>
      </c>
    </row>
    <row r="2005" spans="1:45" x14ac:dyDescent="0.25">
      <c r="A2005">
        <v>0</v>
      </c>
      <c r="B2005" t="str">
        <f t="shared" si="806"/>
        <v>F</v>
      </c>
      <c r="C2005">
        <v>26</v>
      </c>
      <c r="D2005">
        <f t="shared" si="807"/>
        <v>26</v>
      </c>
      <c r="E2005">
        <f t="shared" si="808"/>
        <v>26</v>
      </c>
      <c r="F2005" t="str">
        <f t="shared" si="809"/>
        <v>25-50</v>
      </c>
      <c r="G2005">
        <v>1</v>
      </c>
      <c r="H2005" t="str">
        <f t="shared" si="810"/>
        <v>Pariente gordo</v>
      </c>
      <c r="I2005">
        <v>1</v>
      </c>
      <c r="J2005" t="str">
        <f t="shared" si="811"/>
        <v>Hipercaloricos</v>
      </c>
      <c r="K2005">
        <v>3</v>
      </c>
      <c r="L2005">
        <f t="shared" si="812"/>
        <v>1</v>
      </c>
      <c r="M2005" t="str">
        <f t="shared" si="813"/>
        <v>Suele comer</v>
      </c>
      <c r="N2005">
        <v>3</v>
      </c>
      <c r="O2005">
        <f t="shared" si="814"/>
        <v>2</v>
      </c>
      <c r="P2005" t="str">
        <f t="shared" si="815"/>
        <v>Mas de 3</v>
      </c>
      <c r="Q2005">
        <v>1</v>
      </c>
      <c r="R2005" t="str">
        <f t="shared" si="816"/>
        <v>A veces</v>
      </c>
      <c r="S2005">
        <v>0</v>
      </c>
      <c r="T2005" t="str">
        <f t="shared" si="817"/>
        <v>No fuma</v>
      </c>
      <c r="U2005">
        <v>2619517</v>
      </c>
      <c r="V2005">
        <f t="shared" si="818"/>
        <v>2</v>
      </c>
      <c r="W2005" t="str">
        <f t="shared" si="819"/>
        <v>Siempre</v>
      </c>
      <c r="X2005">
        <v>0</v>
      </c>
      <c r="Y2005" t="str">
        <f t="shared" si="820"/>
        <v>No controla</v>
      </c>
      <c r="Z2005">
        <v>0</v>
      </c>
      <c r="AA2005">
        <f t="shared" si="821"/>
        <v>0</v>
      </c>
      <c r="AB2005" t="str">
        <f t="shared" si="822"/>
        <v>Nunca</v>
      </c>
      <c r="AC2005">
        <v>0.14036799999999999</v>
      </c>
      <c r="AD2005">
        <f t="shared" si="823"/>
        <v>0</v>
      </c>
      <c r="AE2005" t="str">
        <f t="shared" si="824"/>
        <v>Nunca</v>
      </c>
      <c r="AF2005">
        <v>1</v>
      </c>
      <c r="AG2005" t="str">
        <f t="shared" si="825"/>
        <v>A veces</v>
      </c>
      <c r="AH2005">
        <v>0</v>
      </c>
      <c r="AI2005" t="str">
        <f t="shared" si="826"/>
        <v>No usa</v>
      </c>
      <c r="AJ2005">
        <v>0</v>
      </c>
      <c r="AK2005" t="str">
        <f t="shared" si="827"/>
        <v>No usa</v>
      </c>
      <c r="AL2005">
        <v>0</v>
      </c>
      <c r="AM2005" t="str">
        <f t="shared" si="828"/>
        <v>No usa</v>
      </c>
      <c r="AN2005">
        <v>1</v>
      </c>
      <c r="AO2005" t="str">
        <f t="shared" si="829"/>
        <v>Usa Transporte</v>
      </c>
      <c r="AP2005">
        <v>0</v>
      </c>
      <c r="AQ2005" t="str">
        <f t="shared" si="830"/>
        <v>No camina</v>
      </c>
      <c r="AR2005">
        <v>1</v>
      </c>
      <c r="AS2005" t="str">
        <f t="shared" si="831"/>
        <v>Es Obeso</v>
      </c>
    </row>
    <row r="2006" spans="1:45" x14ac:dyDescent="0.25">
      <c r="A2006">
        <v>0</v>
      </c>
      <c r="B2006" t="str">
        <f t="shared" si="806"/>
        <v>F</v>
      </c>
      <c r="C2006">
        <v>26</v>
      </c>
      <c r="D2006">
        <f t="shared" si="807"/>
        <v>26</v>
      </c>
      <c r="E2006">
        <f t="shared" si="808"/>
        <v>26</v>
      </c>
      <c r="F2006" t="str">
        <f t="shared" si="809"/>
        <v>25-50</v>
      </c>
      <c r="G2006">
        <v>1</v>
      </c>
      <c r="H2006" t="str">
        <f t="shared" si="810"/>
        <v>Pariente gordo</v>
      </c>
      <c r="I2006">
        <v>1</v>
      </c>
      <c r="J2006" t="str">
        <f t="shared" si="811"/>
        <v>Hipercaloricos</v>
      </c>
      <c r="K2006">
        <v>3</v>
      </c>
      <c r="L2006">
        <f t="shared" si="812"/>
        <v>1</v>
      </c>
      <c r="M2006" t="str">
        <f t="shared" si="813"/>
        <v>Suele comer</v>
      </c>
      <c r="N2006">
        <v>3</v>
      </c>
      <c r="O2006">
        <f t="shared" si="814"/>
        <v>2</v>
      </c>
      <c r="P2006" t="str">
        <f t="shared" si="815"/>
        <v>Mas de 3</v>
      </c>
      <c r="Q2006">
        <v>1</v>
      </c>
      <c r="R2006" t="str">
        <f t="shared" si="816"/>
        <v>A veces</v>
      </c>
      <c r="S2006">
        <v>0</v>
      </c>
      <c r="T2006" t="str">
        <f t="shared" si="817"/>
        <v>No fuma</v>
      </c>
      <c r="U2006">
        <v>2682804</v>
      </c>
      <c r="V2006">
        <f t="shared" si="818"/>
        <v>2</v>
      </c>
      <c r="W2006" t="str">
        <f t="shared" si="819"/>
        <v>Siempre</v>
      </c>
      <c r="X2006">
        <v>0</v>
      </c>
      <c r="Y2006" t="str">
        <f t="shared" si="820"/>
        <v>No controla</v>
      </c>
      <c r="Z2006">
        <v>0</v>
      </c>
      <c r="AA2006">
        <f t="shared" si="821"/>
        <v>0</v>
      </c>
      <c r="AB2006" t="str">
        <f t="shared" si="822"/>
        <v>Nunca</v>
      </c>
      <c r="AC2006">
        <v>0.15171000000000001</v>
      </c>
      <c r="AD2006">
        <f t="shared" si="823"/>
        <v>0</v>
      </c>
      <c r="AE2006" t="str">
        <f t="shared" si="824"/>
        <v>Nunca</v>
      </c>
      <c r="AF2006">
        <v>1</v>
      </c>
      <c r="AG2006" t="str">
        <f t="shared" si="825"/>
        <v>A veces</v>
      </c>
      <c r="AH2006">
        <v>0</v>
      </c>
      <c r="AI2006" t="str">
        <f t="shared" si="826"/>
        <v>No usa</v>
      </c>
      <c r="AJ2006">
        <v>0</v>
      </c>
      <c r="AK2006" t="str">
        <f t="shared" si="827"/>
        <v>No usa</v>
      </c>
      <c r="AL2006">
        <v>0</v>
      </c>
      <c r="AM2006" t="str">
        <f t="shared" si="828"/>
        <v>No usa</v>
      </c>
      <c r="AN2006">
        <v>1</v>
      </c>
      <c r="AO2006" t="str">
        <f t="shared" si="829"/>
        <v>Usa Transporte</v>
      </c>
      <c r="AP2006">
        <v>0</v>
      </c>
      <c r="AQ2006" t="str">
        <f t="shared" si="830"/>
        <v>No camina</v>
      </c>
      <c r="AR2006">
        <v>1</v>
      </c>
      <c r="AS2006" t="str">
        <f t="shared" si="831"/>
        <v>Es Obeso</v>
      </c>
    </row>
    <row r="2007" spans="1:45" x14ac:dyDescent="0.25">
      <c r="A2007">
        <v>0</v>
      </c>
      <c r="B2007" t="str">
        <f t="shared" si="806"/>
        <v>F</v>
      </c>
      <c r="C2007">
        <v>26</v>
      </c>
      <c r="D2007">
        <f t="shared" si="807"/>
        <v>26</v>
      </c>
      <c r="E2007">
        <f t="shared" si="808"/>
        <v>26</v>
      </c>
      <c r="F2007" t="str">
        <f t="shared" si="809"/>
        <v>25-50</v>
      </c>
      <c r="G2007">
        <v>1</v>
      </c>
      <c r="H2007" t="str">
        <f t="shared" si="810"/>
        <v>Pariente gordo</v>
      </c>
      <c r="I2007">
        <v>1</v>
      </c>
      <c r="J2007" t="str">
        <f t="shared" si="811"/>
        <v>Hipercaloricos</v>
      </c>
      <c r="K2007">
        <v>3</v>
      </c>
      <c r="L2007">
        <f t="shared" si="812"/>
        <v>1</v>
      </c>
      <c r="M2007" t="str">
        <f t="shared" si="813"/>
        <v>Suele comer</v>
      </c>
      <c r="N2007">
        <v>3</v>
      </c>
      <c r="O2007">
        <f t="shared" si="814"/>
        <v>2</v>
      </c>
      <c r="P2007" t="str">
        <f t="shared" si="815"/>
        <v>Mas de 3</v>
      </c>
      <c r="Q2007">
        <v>1</v>
      </c>
      <c r="R2007" t="str">
        <f t="shared" si="816"/>
        <v>A veces</v>
      </c>
      <c r="S2007">
        <v>0</v>
      </c>
      <c r="T2007" t="str">
        <f t="shared" si="817"/>
        <v>No fuma</v>
      </c>
      <c r="U2007">
        <v>2552388</v>
      </c>
      <c r="V2007">
        <f t="shared" si="818"/>
        <v>2</v>
      </c>
      <c r="W2007" t="str">
        <f t="shared" si="819"/>
        <v>Siempre</v>
      </c>
      <c r="X2007">
        <v>0</v>
      </c>
      <c r="Y2007" t="str">
        <f t="shared" si="820"/>
        <v>No controla</v>
      </c>
      <c r="Z2007">
        <v>0</v>
      </c>
      <c r="AA2007">
        <f t="shared" si="821"/>
        <v>0</v>
      </c>
      <c r="AB2007" t="str">
        <f t="shared" si="822"/>
        <v>Nunca</v>
      </c>
      <c r="AC2007">
        <v>0.19628799999999999</v>
      </c>
      <c r="AD2007">
        <f t="shared" si="823"/>
        <v>0</v>
      </c>
      <c r="AE2007" t="str">
        <f t="shared" si="824"/>
        <v>Nunca</v>
      </c>
      <c r="AF2007">
        <v>1</v>
      </c>
      <c r="AG2007" t="str">
        <f t="shared" si="825"/>
        <v>A veces</v>
      </c>
      <c r="AH2007">
        <v>0</v>
      </c>
      <c r="AI2007" t="str">
        <f t="shared" si="826"/>
        <v>No usa</v>
      </c>
      <c r="AJ2007">
        <v>0</v>
      </c>
      <c r="AK2007" t="str">
        <f t="shared" si="827"/>
        <v>No usa</v>
      </c>
      <c r="AL2007">
        <v>0</v>
      </c>
      <c r="AM2007" t="str">
        <f t="shared" si="828"/>
        <v>No usa</v>
      </c>
      <c r="AN2007">
        <v>1</v>
      </c>
      <c r="AO2007" t="str">
        <f t="shared" si="829"/>
        <v>Usa Transporte</v>
      </c>
      <c r="AP2007">
        <v>0</v>
      </c>
      <c r="AQ2007" t="str">
        <f t="shared" si="830"/>
        <v>No camina</v>
      </c>
      <c r="AR2007">
        <v>1</v>
      </c>
      <c r="AS2007" t="str">
        <f t="shared" si="831"/>
        <v>Es Obeso</v>
      </c>
    </row>
    <row r="2008" spans="1:45" x14ac:dyDescent="0.25">
      <c r="A2008">
        <v>0</v>
      </c>
      <c r="B2008" t="str">
        <f t="shared" si="806"/>
        <v>F</v>
      </c>
      <c r="C2008">
        <v>26</v>
      </c>
      <c r="D2008">
        <f t="shared" si="807"/>
        <v>26</v>
      </c>
      <c r="E2008">
        <f t="shared" si="808"/>
        <v>26</v>
      </c>
      <c r="F2008" t="str">
        <f t="shared" si="809"/>
        <v>25-50</v>
      </c>
      <c r="G2008">
        <v>1</v>
      </c>
      <c r="H2008" t="str">
        <f t="shared" si="810"/>
        <v>Pariente gordo</v>
      </c>
      <c r="I2008">
        <v>1</v>
      </c>
      <c r="J2008" t="str">
        <f t="shared" si="811"/>
        <v>Hipercaloricos</v>
      </c>
      <c r="K2008">
        <v>3</v>
      </c>
      <c r="L2008">
        <f t="shared" si="812"/>
        <v>1</v>
      </c>
      <c r="M2008" t="str">
        <f t="shared" si="813"/>
        <v>Suele comer</v>
      </c>
      <c r="N2008">
        <v>3</v>
      </c>
      <c r="O2008">
        <f t="shared" si="814"/>
        <v>2</v>
      </c>
      <c r="P2008" t="str">
        <f t="shared" si="815"/>
        <v>Mas de 3</v>
      </c>
      <c r="Q2008">
        <v>1</v>
      </c>
      <c r="R2008" t="str">
        <f t="shared" si="816"/>
        <v>A veces</v>
      </c>
      <c r="S2008">
        <v>0</v>
      </c>
      <c r="T2008" t="str">
        <f t="shared" si="817"/>
        <v>No fuma</v>
      </c>
      <c r="U2008">
        <v>2617401</v>
      </c>
      <c r="V2008">
        <f t="shared" si="818"/>
        <v>2</v>
      </c>
      <c r="W2008" t="str">
        <f t="shared" si="819"/>
        <v>Siempre</v>
      </c>
      <c r="X2008">
        <v>0</v>
      </c>
      <c r="Y2008" t="str">
        <f t="shared" si="820"/>
        <v>No controla</v>
      </c>
      <c r="Z2008">
        <v>0</v>
      </c>
      <c r="AA2008">
        <f t="shared" si="821"/>
        <v>0</v>
      </c>
      <c r="AB2008" t="str">
        <f t="shared" si="822"/>
        <v>Nunca</v>
      </c>
      <c r="AC2008">
        <v>0.200379</v>
      </c>
      <c r="AD2008">
        <f t="shared" si="823"/>
        <v>0</v>
      </c>
      <c r="AE2008" t="str">
        <f t="shared" si="824"/>
        <v>Nunca</v>
      </c>
      <c r="AF2008">
        <v>1</v>
      </c>
      <c r="AG2008" t="str">
        <f t="shared" si="825"/>
        <v>A veces</v>
      </c>
      <c r="AH2008">
        <v>0</v>
      </c>
      <c r="AI2008" t="str">
        <f t="shared" si="826"/>
        <v>No usa</v>
      </c>
      <c r="AJ2008">
        <v>0</v>
      </c>
      <c r="AK2008" t="str">
        <f t="shared" si="827"/>
        <v>No usa</v>
      </c>
      <c r="AL2008">
        <v>0</v>
      </c>
      <c r="AM2008" t="str">
        <f t="shared" si="828"/>
        <v>No usa</v>
      </c>
      <c r="AN2008">
        <v>1</v>
      </c>
      <c r="AO2008" t="str">
        <f t="shared" si="829"/>
        <v>Usa Transporte</v>
      </c>
      <c r="AP2008">
        <v>0</v>
      </c>
      <c r="AQ2008" t="str">
        <f t="shared" si="830"/>
        <v>No camina</v>
      </c>
      <c r="AR2008">
        <v>1</v>
      </c>
      <c r="AS2008" t="str">
        <f t="shared" si="831"/>
        <v>Es Obeso</v>
      </c>
    </row>
    <row r="2009" spans="1:45" x14ac:dyDescent="0.25">
      <c r="A2009">
        <v>0</v>
      </c>
      <c r="B2009" t="str">
        <f t="shared" si="806"/>
        <v>F</v>
      </c>
      <c r="C2009">
        <v>25999174</v>
      </c>
      <c r="D2009">
        <f t="shared" si="807"/>
        <v>71</v>
      </c>
      <c r="E2009">
        <f t="shared" si="808"/>
        <v>71</v>
      </c>
      <c r="F2009" t="str">
        <f t="shared" si="809"/>
        <v>50-75</v>
      </c>
      <c r="G2009">
        <v>1</v>
      </c>
      <c r="H2009" t="str">
        <f t="shared" si="810"/>
        <v>Pariente gordo</v>
      </c>
      <c r="I2009">
        <v>1</v>
      </c>
      <c r="J2009" t="str">
        <f t="shared" si="811"/>
        <v>Hipercaloricos</v>
      </c>
      <c r="K2009">
        <v>3</v>
      </c>
      <c r="L2009">
        <f t="shared" si="812"/>
        <v>1</v>
      </c>
      <c r="M2009" t="str">
        <f t="shared" si="813"/>
        <v>Suele comer</v>
      </c>
      <c r="N2009">
        <v>3</v>
      </c>
      <c r="O2009">
        <f t="shared" si="814"/>
        <v>2</v>
      </c>
      <c r="P2009" t="str">
        <f t="shared" si="815"/>
        <v>Mas de 3</v>
      </c>
      <c r="Q2009">
        <v>1</v>
      </c>
      <c r="R2009" t="str">
        <f t="shared" si="816"/>
        <v>A veces</v>
      </c>
      <c r="S2009">
        <v>0</v>
      </c>
      <c r="T2009" t="str">
        <f t="shared" si="817"/>
        <v>No fuma</v>
      </c>
      <c r="U2009">
        <v>2654636</v>
      </c>
      <c r="V2009">
        <f t="shared" si="818"/>
        <v>2</v>
      </c>
      <c r="W2009" t="str">
        <f t="shared" si="819"/>
        <v>Siempre</v>
      </c>
      <c r="X2009">
        <v>0</v>
      </c>
      <c r="Y2009" t="str">
        <f t="shared" si="820"/>
        <v>No controla</v>
      </c>
      <c r="Z2009">
        <v>6.9237999999999994E-2</v>
      </c>
      <c r="AA2009">
        <f t="shared" si="821"/>
        <v>0</v>
      </c>
      <c r="AB2009" t="str">
        <f t="shared" si="822"/>
        <v>Nunca</v>
      </c>
      <c r="AC2009">
        <v>0.62957799999999997</v>
      </c>
      <c r="AD2009">
        <f t="shared" si="823"/>
        <v>0</v>
      </c>
      <c r="AE2009" t="str">
        <f t="shared" si="824"/>
        <v>Nunca</v>
      </c>
      <c r="AF2009">
        <v>1</v>
      </c>
      <c r="AG2009" t="str">
        <f t="shared" si="825"/>
        <v>A veces</v>
      </c>
      <c r="AH2009">
        <v>0</v>
      </c>
      <c r="AI2009" t="str">
        <f t="shared" si="826"/>
        <v>No usa</v>
      </c>
      <c r="AJ2009">
        <v>0</v>
      </c>
      <c r="AK2009" t="str">
        <f t="shared" si="827"/>
        <v>No usa</v>
      </c>
      <c r="AL2009">
        <v>0</v>
      </c>
      <c r="AM2009" t="str">
        <f t="shared" si="828"/>
        <v>No usa</v>
      </c>
      <c r="AN2009">
        <v>1</v>
      </c>
      <c r="AO2009" t="str">
        <f t="shared" si="829"/>
        <v>Usa Transporte</v>
      </c>
      <c r="AP2009">
        <v>0</v>
      </c>
      <c r="AQ2009" t="str">
        <f t="shared" si="830"/>
        <v>No camina</v>
      </c>
      <c r="AR2009">
        <v>1</v>
      </c>
      <c r="AS2009" t="str">
        <f t="shared" si="831"/>
        <v>Es Obeso</v>
      </c>
    </row>
    <row r="2010" spans="1:45" x14ac:dyDescent="0.25">
      <c r="A2010">
        <v>0</v>
      </c>
      <c r="B2010" t="str">
        <f t="shared" si="806"/>
        <v>F</v>
      </c>
      <c r="C2010">
        <v>25999942</v>
      </c>
      <c r="D2010">
        <f t="shared" si="807"/>
        <v>71</v>
      </c>
      <c r="E2010">
        <f t="shared" si="808"/>
        <v>71</v>
      </c>
      <c r="F2010" t="str">
        <f t="shared" si="809"/>
        <v>50-75</v>
      </c>
      <c r="G2010">
        <v>1</v>
      </c>
      <c r="H2010" t="str">
        <f t="shared" si="810"/>
        <v>Pariente gordo</v>
      </c>
      <c r="I2010">
        <v>1</v>
      </c>
      <c r="J2010" t="str">
        <f t="shared" si="811"/>
        <v>Hipercaloricos</v>
      </c>
      <c r="K2010">
        <v>3</v>
      </c>
      <c r="L2010">
        <f t="shared" si="812"/>
        <v>1</v>
      </c>
      <c r="M2010" t="str">
        <f t="shared" si="813"/>
        <v>Suele comer</v>
      </c>
      <c r="N2010">
        <v>3</v>
      </c>
      <c r="O2010">
        <f t="shared" si="814"/>
        <v>2</v>
      </c>
      <c r="P2010" t="str">
        <f t="shared" si="815"/>
        <v>Mas de 3</v>
      </c>
      <c r="Q2010">
        <v>1</v>
      </c>
      <c r="R2010" t="str">
        <f t="shared" si="816"/>
        <v>A veces</v>
      </c>
      <c r="S2010">
        <v>0</v>
      </c>
      <c r="T2010" t="str">
        <f t="shared" si="817"/>
        <v>No fuma</v>
      </c>
      <c r="U2010">
        <v>2569364</v>
      </c>
      <c r="V2010">
        <f t="shared" si="818"/>
        <v>2</v>
      </c>
      <c r="W2010" t="str">
        <f t="shared" si="819"/>
        <v>Siempre</v>
      </c>
      <c r="X2010">
        <v>0</v>
      </c>
      <c r="Y2010" t="str">
        <f t="shared" si="820"/>
        <v>No controla</v>
      </c>
      <c r="Z2010">
        <v>0.15925500000000001</v>
      </c>
      <c r="AA2010">
        <f t="shared" si="821"/>
        <v>0</v>
      </c>
      <c r="AB2010" t="str">
        <f t="shared" si="822"/>
        <v>Nunca</v>
      </c>
      <c r="AC2010">
        <v>0.41944599999999999</v>
      </c>
      <c r="AD2010">
        <f t="shared" si="823"/>
        <v>0</v>
      </c>
      <c r="AE2010" t="str">
        <f t="shared" si="824"/>
        <v>Nunca</v>
      </c>
      <c r="AF2010">
        <v>1</v>
      </c>
      <c r="AG2010" t="str">
        <f t="shared" si="825"/>
        <v>A veces</v>
      </c>
      <c r="AH2010">
        <v>0</v>
      </c>
      <c r="AI2010" t="str">
        <f t="shared" si="826"/>
        <v>No usa</v>
      </c>
      <c r="AJ2010">
        <v>0</v>
      </c>
      <c r="AK2010" t="str">
        <f t="shared" si="827"/>
        <v>No usa</v>
      </c>
      <c r="AL2010">
        <v>0</v>
      </c>
      <c r="AM2010" t="str">
        <f t="shared" si="828"/>
        <v>No usa</v>
      </c>
      <c r="AN2010">
        <v>1</v>
      </c>
      <c r="AO2010" t="str">
        <f t="shared" si="829"/>
        <v>Usa Transporte</v>
      </c>
      <c r="AP2010">
        <v>0</v>
      </c>
      <c r="AQ2010" t="str">
        <f t="shared" si="830"/>
        <v>No camina</v>
      </c>
      <c r="AR2010">
        <v>1</v>
      </c>
      <c r="AS2010" t="str">
        <f t="shared" si="831"/>
        <v>Es Obeso</v>
      </c>
    </row>
    <row r="2011" spans="1:45" x14ac:dyDescent="0.25">
      <c r="A2011">
        <v>0</v>
      </c>
      <c r="B2011" t="str">
        <f t="shared" si="806"/>
        <v>F</v>
      </c>
      <c r="C2011">
        <v>26</v>
      </c>
      <c r="D2011">
        <f t="shared" si="807"/>
        <v>26</v>
      </c>
      <c r="E2011">
        <f t="shared" si="808"/>
        <v>26</v>
      </c>
      <c r="F2011" t="str">
        <f t="shared" si="809"/>
        <v>25-50</v>
      </c>
      <c r="G2011">
        <v>1</v>
      </c>
      <c r="H2011" t="str">
        <f t="shared" si="810"/>
        <v>Pariente gordo</v>
      </c>
      <c r="I2011">
        <v>1</v>
      </c>
      <c r="J2011" t="str">
        <f t="shared" si="811"/>
        <v>Hipercaloricos</v>
      </c>
      <c r="K2011">
        <v>3</v>
      </c>
      <c r="L2011">
        <f t="shared" si="812"/>
        <v>1</v>
      </c>
      <c r="M2011" t="str">
        <f t="shared" si="813"/>
        <v>Suele comer</v>
      </c>
      <c r="N2011">
        <v>3</v>
      </c>
      <c r="O2011">
        <f t="shared" si="814"/>
        <v>2</v>
      </c>
      <c r="P2011" t="str">
        <f t="shared" si="815"/>
        <v>Mas de 3</v>
      </c>
      <c r="Q2011">
        <v>1</v>
      </c>
      <c r="R2011" t="str">
        <f t="shared" si="816"/>
        <v>A veces</v>
      </c>
      <c r="S2011">
        <v>0</v>
      </c>
      <c r="T2011" t="str">
        <f t="shared" si="817"/>
        <v>No fuma</v>
      </c>
      <c r="U2011">
        <v>1322004</v>
      </c>
      <c r="V2011">
        <f t="shared" si="818"/>
        <v>2</v>
      </c>
      <c r="W2011" t="str">
        <f t="shared" si="819"/>
        <v>Siempre</v>
      </c>
      <c r="X2011">
        <v>0</v>
      </c>
      <c r="Y2011" t="str">
        <f t="shared" si="820"/>
        <v>No controla</v>
      </c>
      <c r="Z2011">
        <v>0</v>
      </c>
      <c r="AA2011">
        <f t="shared" si="821"/>
        <v>0</v>
      </c>
      <c r="AB2011" t="str">
        <f t="shared" si="822"/>
        <v>Nunca</v>
      </c>
      <c r="AC2011">
        <v>0.53987600000000002</v>
      </c>
      <c r="AD2011">
        <f t="shared" si="823"/>
        <v>0</v>
      </c>
      <c r="AE2011" t="str">
        <f t="shared" si="824"/>
        <v>Nunca</v>
      </c>
      <c r="AF2011">
        <v>1</v>
      </c>
      <c r="AG2011" t="str">
        <f t="shared" si="825"/>
        <v>A veces</v>
      </c>
      <c r="AH2011">
        <v>0</v>
      </c>
      <c r="AI2011" t="str">
        <f t="shared" si="826"/>
        <v>No usa</v>
      </c>
      <c r="AJ2011">
        <v>0</v>
      </c>
      <c r="AK2011" t="str">
        <f t="shared" si="827"/>
        <v>No usa</v>
      </c>
      <c r="AL2011">
        <v>0</v>
      </c>
      <c r="AM2011" t="str">
        <f t="shared" si="828"/>
        <v>No usa</v>
      </c>
      <c r="AN2011">
        <v>1</v>
      </c>
      <c r="AO2011" t="str">
        <f t="shared" si="829"/>
        <v>Usa Transporte</v>
      </c>
      <c r="AP2011">
        <v>0</v>
      </c>
      <c r="AQ2011" t="str">
        <f t="shared" si="830"/>
        <v>No camina</v>
      </c>
      <c r="AR2011">
        <v>1</v>
      </c>
      <c r="AS2011" t="str">
        <f t="shared" si="831"/>
        <v>Es Obeso</v>
      </c>
    </row>
    <row r="2012" spans="1:45" x14ac:dyDescent="0.25">
      <c r="A2012">
        <v>0</v>
      </c>
      <c r="B2012" t="str">
        <f t="shared" si="806"/>
        <v>F</v>
      </c>
      <c r="C2012">
        <v>26</v>
      </c>
      <c r="D2012">
        <f t="shared" si="807"/>
        <v>26</v>
      </c>
      <c r="E2012">
        <f t="shared" si="808"/>
        <v>26</v>
      </c>
      <c r="F2012" t="str">
        <f t="shared" si="809"/>
        <v>25-50</v>
      </c>
      <c r="G2012">
        <v>1</v>
      </c>
      <c r="H2012" t="str">
        <f t="shared" si="810"/>
        <v>Pariente gordo</v>
      </c>
      <c r="I2012">
        <v>1</v>
      </c>
      <c r="J2012" t="str">
        <f t="shared" si="811"/>
        <v>Hipercaloricos</v>
      </c>
      <c r="K2012">
        <v>3</v>
      </c>
      <c r="L2012">
        <f t="shared" si="812"/>
        <v>1</v>
      </c>
      <c r="M2012" t="str">
        <f t="shared" si="813"/>
        <v>Suele comer</v>
      </c>
      <c r="N2012">
        <v>3</v>
      </c>
      <c r="O2012">
        <f t="shared" si="814"/>
        <v>2</v>
      </c>
      <c r="P2012" t="str">
        <f t="shared" si="815"/>
        <v>Mas de 3</v>
      </c>
      <c r="Q2012">
        <v>1</v>
      </c>
      <c r="R2012" t="str">
        <f t="shared" si="816"/>
        <v>A veces</v>
      </c>
      <c r="S2012">
        <v>0</v>
      </c>
      <c r="T2012" t="str">
        <f t="shared" si="817"/>
        <v>No fuma</v>
      </c>
      <c r="U2012">
        <v>1292479</v>
      </c>
      <c r="V2012">
        <f t="shared" si="818"/>
        <v>2</v>
      </c>
      <c r="W2012" t="str">
        <f t="shared" si="819"/>
        <v>Siempre</v>
      </c>
      <c r="X2012">
        <v>0</v>
      </c>
      <c r="Y2012" t="str">
        <f t="shared" si="820"/>
        <v>No controla</v>
      </c>
      <c r="Z2012">
        <v>0</v>
      </c>
      <c r="AA2012">
        <f t="shared" si="821"/>
        <v>0</v>
      </c>
      <c r="AB2012" t="str">
        <f t="shared" si="822"/>
        <v>Nunca</v>
      </c>
      <c r="AC2012">
        <v>0.54130900000000004</v>
      </c>
      <c r="AD2012">
        <f t="shared" si="823"/>
        <v>0</v>
      </c>
      <c r="AE2012" t="str">
        <f t="shared" si="824"/>
        <v>Nunca</v>
      </c>
      <c r="AF2012">
        <v>1</v>
      </c>
      <c r="AG2012" t="str">
        <f t="shared" si="825"/>
        <v>A veces</v>
      </c>
      <c r="AH2012">
        <v>0</v>
      </c>
      <c r="AI2012" t="str">
        <f t="shared" si="826"/>
        <v>No usa</v>
      </c>
      <c r="AJ2012">
        <v>0</v>
      </c>
      <c r="AK2012" t="str">
        <f t="shared" si="827"/>
        <v>No usa</v>
      </c>
      <c r="AL2012">
        <v>0</v>
      </c>
      <c r="AM2012" t="str">
        <f t="shared" si="828"/>
        <v>No usa</v>
      </c>
      <c r="AN2012">
        <v>1</v>
      </c>
      <c r="AO2012" t="str">
        <f t="shared" si="829"/>
        <v>Usa Transporte</v>
      </c>
      <c r="AP2012">
        <v>0</v>
      </c>
      <c r="AQ2012" t="str">
        <f t="shared" si="830"/>
        <v>No camina</v>
      </c>
      <c r="AR2012">
        <v>1</v>
      </c>
      <c r="AS2012" t="str">
        <f t="shared" si="831"/>
        <v>Es Obeso</v>
      </c>
    </row>
    <row r="2013" spans="1:45" x14ac:dyDescent="0.25">
      <c r="A2013">
        <v>0</v>
      </c>
      <c r="B2013" t="str">
        <f t="shared" si="806"/>
        <v>F</v>
      </c>
      <c r="C2013">
        <v>23365041</v>
      </c>
      <c r="D2013">
        <f t="shared" si="807"/>
        <v>64</v>
      </c>
      <c r="E2013">
        <f t="shared" si="808"/>
        <v>64</v>
      </c>
      <c r="F2013" t="str">
        <f t="shared" si="809"/>
        <v>50-75</v>
      </c>
      <c r="G2013">
        <v>1</v>
      </c>
      <c r="H2013" t="str">
        <f t="shared" si="810"/>
        <v>Pariente gordo</v>
      </c>
      <c r="I2013">
        <v>1</v>
      </c>
      <c r="J2013" t="str">
        <f t="shared" si="811"/>
        <v>Hipercaloricos</v>
      </c>
      <c r="K2013">
        <v>3</v>
      </c>
      <c r="L2013">
        <f t="shared" si="812"/>
        <v>1</v>
      </c>
      <c r="M2013" t="str">
        <f t="shared" si="813"/>
        <v>Suele comer</v>
      </c>
      <c r="N2013">
        <v>3</v>
      </c>
      <c r="O2013">
        <f t="shared" si="814"/>
        <v>2</v>
      </c>
      <c r="P2013" t="str">
        <f t="shared" si="815"/>
        <v>Mas de 3</v>
      </c>
      <c r="Q2013">
        <v>1</v>
      </c>
      <c r="R2013" t="str">
        <f t="shared" si="816"/>
        <v>A veces</v>
      </c>
      <c r="S2013">
        <v>0</v>
      </c>
      <c r="T2013" t="str">
        <f t="shared" si="817"/>
        <v>No fuma</v>
      </c>
      <c r="U2013">
        <v>2839069</v>
      </c>
      <c r="V2013">
        <f t="shared" si="818"/>
        <v>2</v>
      </c>
      <c r="W2013" t="str">
        <f t="shared" si="819"/>
        <v>Siempre</v>
      </c>
      <c r="X2013">
        <v>0</v>
      </c>
      <c r="Y2013" t="str">
        <f t="shared" si="820"/>
        <v>No controla</v>
      </c>
      <c r="Z2013">
        <v>1231031</v>
      </c>
      <c r="AA2013">
        <f t="shared" si="821"/>
        <v>3</v>
      </c>
      <c r="AB2013" t="str">
        <f t="shared" si="822"/>
        <v>Siempre</v>
      </c>
      <c r="AC2013">
        <v>0.79249599999999998</v>
      </c>
      <c r="AD2013">
        <f t="shared" si="823"/>
        <v>0</v>
      </c>
      <c r="AE2013" t="str">
        <f t="shared" si="824"/>
        <v>Nunca</v>
      </c>
      <c r="AF2013">
        <v>1</v>
      </c>
      <c r="AG2013" t="str">
        <f t="shared" si="825"/>
        <v>A veces</v>
      </c>
      <c r="AH2013">
        <v>0</v>
      </c>
      <c r="AI2013" t="str">
        <f t="shared" si="826"/>
        <v>No usa</v>
      </c>
      <c r="AJ2013">
        <v>0</v>
      </c>
      <c r="AK2013" t="str">
        <f t="shared" si="827"/>
        <v>No usa</v>
      </c>
      <c r="AL2013">
        <v>0</v>
      </c>
      <c r="AM2013" t="str">
        <f t="shared" si="828"/>
        <v>No usa</v>
      </c>
      <c r="AN2013">
        <v>1</v>
      </c>
      <c r="AO2013" t="str">
        <f t="shared" si="829"/>
        <v>Usa Transporte</v>
      </c>
      <c r="AP2013">
        <v>0</v>
      </c>
      <c r="AQ2013" t="str">
        <f t="shared" si="830"/>
        <v>No camina</v>
      </c>
      <c r="AR2013">
        <v>1</v>
      </c>
      <c r="AS2013" t="str">
        <f t="shared" si="831"/>
        <v>Es Obeso</v>
      </c>
    </row>
    <row r="2014" spans="1:45" x14ac:dyDescent="0.25">
      <c r="A2014">
        <v>0</v>
      </c>
      <c r="B2014" t="str">
        <f t="shared" si="806"/>
        <v>F</v>
      </c>
      <c r="C2014">
        <v>23421726</v>
      </c>
      <c r="D2014">
        <f t="shared" si="807"/>
        <v>64</v>
      </c>
      <c r="E2014">
        <f t="shared" si="808"/>
        <v>64</v>
      </c>
      <c r="F2014" t="str">
        <f t="shared" si="809"/>
        <v>50-75</v>
      </c>
      <c r="G2014">
        <v>1</v>
      </c>
      <c r="H2014" t="str">
        <f t="shared" si="810"/>
        <v>Pariente gordo</v>
      </c>
      <c r="I2014">
        <v>1</v>
      </c>
      <c r="J2014" t="str">
        <f t="shared" si="811"/>
        <v>Hipercaloricos</v>
      </c>
      <c r="K2014">
        <v>3</v>
      </c>
      <c r="L2014">
        <f t="shared" si="812"/>
        <v>1</v>
      </c>
      <c r="M2014" t="str">
        <f t="shared" si="813"/>
        <v>Suele comer</v>
      </c>
      <c r="N2014">
        <v>3</v>
      </c>
      <c r="O2014">
        <f t="shared" si="814"/>
        <v>2</v>
      </c>
      <c r="P2014" t="str">
        <f t="shared" si="815"/>
        <v>Mas de 3</v>
      </c>
      <c r="Q2014">
        <v>1</v>
      </c>
      <c r="R2014" t="str">
        <f t="shared" si="816"/>
        <v>A veces</v>
      </c>
      <c r="S2014">
        <v>0</v>
      </c>
      <c r="T2014" t="str">
        <f t="shared" si="817"/>
        <v>No fuma</v>
      </c>
      <c r="U2014">
        <v>2843782</v>
      </c>
      <c r="V2014">
        <f t="shared" si="818"/>
        <v>2</v>
      </c>
      <c r="W2014" t="str">
        <f t="shared" si="819"/>
        <v>Siempre</v>
      </c>
      <c r="X2014">
        <v>0</v>
      </c>
      <c r="Y2014" t="str">
        <f t="shared" si="820"/>
        <v>No controla</v>
      </c>
      <c r="Z2014">
        <v>1302507</v>
      </c>
      <c r="AA2014">
        <f t="shared" si="821"/>
        <v>3</v>
      </c>
      <c r="AB2014" t="str">
        <f t="shared" si="822"/>
        <v>Siempre</v>
      </c>
      <c r="AC2014">
        <v>0.77380700000000002</v>
      </c>
      <c r="AD2014">
        <f t="shared" si="823"/>
        <v>0</v>
      </c>
      <c r="AE2014" t="str">
        <f t="shared" si="824"/>
        <v>Nunca</v>
      </c>
      <c r="AF2014">
        <v>1</v>
      </c>
      <c r="AG2014" t="str">
        <f t="shared" si="825"/>
        <v>A veces</v>
      </c>
      <c r="AH2014">
        <v>0</v>
      </c>
      <c r="AI2014" t="str">
        <f t="shared" si="826"/>
        <v>No usa</v>
      </c>
      <c r="AJ2014">
        <v>0</v>
      </c>
      <c r="AK2014" t="str">
        <f t="shared" si="827"/>
        <v>No usa</v>
      </c>
      <c r="AL2014">
        <v>0</v>
      </c>
      <c r="AM2014" t="str">
        <f t="shared" si="828"/>
        <v>No usa</v>
      </c>
      <c r="AN2014">
        <v>1</v>
      </c>
      <c r="AO2014" t="str">
        <f t="shared" si="829"/>
        <v>Usa Transporte</v>
      </c>
      <c r="AP2014">
        <v>0</v>
      </c>
      <c r="AQ2014" t="str">
        <f t="shared" si="830"/>
        <v>No camina</v>
      </c>
      <c r="AR2014">
        <v>1</v>
      </c>
      <c r="AS2014" t="str">
        <f t="shared" si="831"/>
        <v>Es Obeso</v>
      </c>
    </row>
    <row r="2015" spans="1:45" x14ac:dyDescent="0.25">
      <c r="A2015">
        <v>0</v>
      </c>
      <c r="B2015" t="str">
        <f t="shared" si="806"/>
        <v>F</v>
      </c>
      <c r="C2015">
        <v>18826782</v>
      </c>
      <c r="D2015">
        <f t="shared" si="807"/>
        <v>51</v>
      </c>
      <c r="E2015">
        <f t="shared" si="808"/>
        <v>51</v>
      </c>
      <c r="F2015" t="str">
        <f t="shared" si="809"/>
        <v>50-75</v>
      </c>
      <c r="G2015">
        <v>1</v>
      </c>
      <c r="H2015" t="str">
        <f t="shared" si="810"/>
        <v>Pariente gordo</v>
      </c>
      <c r="I2015">
        <v>1</v>
      </c>
      <c r="J2015" t="str">
        <f t="shared" si="811"/>
        <v>Hipercaloricos</v>
      </c>
      <c r="K2015">
        <v>3</v>
      </c>
      <c r="L2015">
        <f t="shared" si="812"/>
        <v>1</v>
      </c>
      <c r="M2015" t="str">
        <f t="shared" si="813"/>
        <v>Suele comer</v>
      </c>
      <c r="N2015">
        <v>3</v>
      </c>
      <c r="O2015">
        <f t="shared" si="814"/>
        <v>2</v>
      </c>
      <c r="P2015" t="str">
        <f t="shared" si="815"/>
        <v>Mas de 3</v>
      </c>
      <c r="Q2015">
        <v>1</v>
      </c>
      <c r="R2015" t="str">
        <f t="shared" si="816"/>
        <v>A veces</v>
      </c>
      <c r="S2015">
        <v>0</v>
      </c>
      <c r="T2015" t="str">
        <f t="shared" si="817"/>
        <v>No fuma</v>
      </c>
      <c r="U2015">
        <v>2858389</v>
      </c>
      <c r="V2015">
        <f t="shared" si="818"/>
        <v>2</v>
      </c>
      <c r="W2015" t="str">
        <f t="shared" si="819"/>
        <v>Siempre</v>
      </c>
      <c r="X2015">
        <v>0</v>
      </c>
      <c r="Y2015" t="str">
        <f t="shared" si="820"/>
        <v>No controla</v>
      </c>
      <c r="Z2015">
        <v>1444382</v>
      </c>
      <c r="AA2015">
        <f t="shared" si="821"/>
        <v>3</v>
      </c>
      <c r="AB2015" t="str">
        <f t="shared" si="822"/>
        <v>Siempre</v>
      </c>
      <c r="AC2015">
        <v>0.71382299999999999</v>
      </c>
      <c r="AD2015">
        <f t="shared" si="823"/>
        <v>0</v>
      </c>
      <c r="AE2015" t="str">
        <f t="shared" si="824"/>
        <v>Nunca</v>
      </c>
      <c r="AF2015">
        <v>1</v>
      </c>
      <c r="AG2015" t="str">
        <f t="shared" si="825"/>
        <v>A veces</v>
      </c>
      <c r="AH2015">
        <v>0</v>
      </c>
      <c r="AI2015" t="str">
        <f t="shared" si="826"/>
        <v>No usa</v>
      </c>
      <c r="AJ2015">
        <v>0</v>
      </c>
      <c r="AK2015" t="str">
        <f t="shared" si="827"/>
        <v>No usa</v>
      </c>
      <c r="AL2015">
        <v>0</v>
      </c>
      <c r="AM2015" t="str">
        <f t="shared" si="828"/>
        <v>No usa</v>
      </c>
      <c r="AN2015">
        <v>1</v>
      </c>
      <c r="AO2015" t="str">
        <f t="shared" si="829"/>
        <v>Usa Transporte</v>
      </c>
      <c r="AP2015">
        <v>0</v>
      </c>
      <c r="AQ2015" t="str">
        <f t="shared" si="830"/>
        <v>No camina</v>
      </c>
      <c r="AR2015">
        <v>1</v>
      </c>
      <c r="AS2015" t="str">
        <f t="shared" si="831"/>
        <v>Es Obeso</v>
      </c>
    </row>
    <row r="2016" spans="1:45" x14ac:dyDescent="0.25">
      <c r="A2016">
        <v>0</v>
      </c>
      <c r="B2016" t="str">
        <f t="shared" si="806"/>
        <v>F</v>
      </c>
      <c r="C2016">
        <v>1894093</v>
      </c>
      <c r="D2016">
        <f t="shared" si="807"/>
        <v>5</v>
      </c>
      <c r="E2016">
        <f t="shared" si="808"/>
        <v>5</v>
      </c>
      <c r="F2016" t="str">
        <f t="shared" si="809"/>
        <v>1-25</v>
      </c>
      <c r="G2016">
        <v>1</v>
      </c>
      <c r="H2016" t="str">
        <f t="shared" si="810"/>
        <v>Pariente gordo</v>
      </c>
      <c r="I2016">
        <v>1</v>
      </c>
      <c r="J2016" t="str">
        <f t="shared" si="811"/>
        <v>Hipercaloricos</v>
      </c>
      <c r="K2016">
        <v>3</v>
      </c>
      <c r="L2016">
        <f t="shared" si="812"/>
        <v>1</v>
      </c>
      <c r="M2016" t="str">
        <f t="shared" si="813"/>
        <v>Suele comer</v>
      </c>
      <c r="N2016">
        <v>3</v>
      </c>
      <c r="O2016">
        <f t="shared" si="814"/>
        <v>2</v>
      </c>
      <c r="P2016" t="str">
        <f t="shared" si="815"/>
        <v>Mas de 3</v>
      </c>
      <c r="Q2016">
        <v>1</v>
      </c>
      <c r="R2016" t="str">
        <f t="shared" si="816"/>
        <v>A veces</v>
      </c>
      <c r="S2016">
        <v>0</v>
      </c>
      <c r="T2016" t="str">
        <f t="shared" si="817"/>
        <v>No fuma</v>
      </c>
      <c r="U2016">
        <v>2864933</v>
      </c>
      <c r="V2016">
        <f t="shared" si="818"/>
        <v>2</v>
      </c>
      <c r="W2016" t="str">
        <f t="shared" si="819"/>
        <v>Siempre</v>
      </c>
      <c r="X2016">
        <v>0</v>
      </c>
      <c r="Y2016" t="str">
        <f t="shared" si="820"/>
        <v>No controla</v>
      </c>
      <c r="Z2016">
        <v>1501647</v>
      </c>
      <c r="AA2016">
        <f t="shared" si="821"/>
        <v>3</v>
      </c>
      <c r="AB2016" t="str">
        <f t="shared" si="822"/>
        <v>Siempre</v>
      </c>
      <c r="AC2016">
        <v>0.78684600000000005</v>
      </c>
      <c r="AD2016">
        <f t="shared" si="823"/>
        <v>0</v>
      </c>
      <c r="AE2016" t="str">
        <f t="shared" si="824"/>
        <v>Nunca</v>
      </c>
      <c r="AF2016">
        <v>1</v>
      </c>
      <c r="AG2016" t="str">
        <f t="shared" si="825"/>
        <v>A veces</v>
      </c>
      <c r="AH2016">
        <v>0</v>
      </c>
      <c r="AI2016" t="str">
        <f t="shared" si="826"/>
        <v>No usa</v>
      </c>
      <c r="AJ2016">
        <v>0</v>
      </c>
      <c r="AK2016" t="str">
        <f t="shared" si="827"/>
        <v>No usa</v>
      </c>
      <c r="AL2016">
        <v>0</v>
      </c>
      <c r="AM2016" t="str">
        <f t="shared" si="828"/>
        <v>No usa</v>
      </c>
      <c r="AN2016">
        <v>1</v>
      </c>
      <c r="AO2016" t="str">
        <f t="shared" si="829"/>
        <v>Usa Transporte</v>
      </c>
      <c r="AP2016">
        <v>0</v>
      </c>
      <c r="AQ2016" t="str">
        <f t="shared" si="830"/>
        <v>No camina</v>
      </c>
      <c r="AR2016">
        <v>1</v>
      </c>
      <c r="AS2016" t="str">
        <f t="shared" si="831"/>
        <v>Es Obeso</v>
      </c>
    </row>
    <row r="2017" spans="1:45" x14ac:dyDescent="0.25">
      <c r="A2017">
        <v>0</v>
      </c>
      <c r="B2017" t="str">
        <f t="shared" si="806"/>
        <v>F</v>
      </c>
      <c r="C2017">
        <v>25921678</v>
      </c>
      <c r="D2017">
        <f t="shared" si="807"/>
        <v>71</v>
      </c>
      <c r="E2017">
        <f t="shared" si="808"/>
        <v>71</v>
      </c>
      <c r="F2017" t="str">
        <f t="shared" si="809"/>
        <v>50-75</v>
      </c>
      <c r="G2017">
        <v>1</v>
      </c>
      <c r="H2017" t="str">
        <f t="shared" si="810"/>
        <v>Pariente gordo</v>
      </c>
      <c r="I2017">
        <v>1</v>
      </c>
      <c r="J2017" t="str">
        <f t="shared" si="811"/>
        <v>Hipercaloricos</v>
      </c>
      <c r="K2017">
        <v>3</v>
      </c>
      <c r="L2017">
        <f t="shared" si="812"/>
        <v>1</v>
      </c>
      <c r="M2017" t="str">
        <f t="shared" si="813"/>
        <v>Suele comer</v>
      </c>
      <c r="N2017">
        <v>3</v>
      </c>
      <c r="O2017">
        <f t="shared" si="814"/>
        <v>2</v>
      </c>
      <c r="P2017" t="str">
        <f t="shared" si="815"/>
        <v>Mas de 3</v>
      </c>
      <c r="Q2017">
        <v>1</v>
      </c>
      <c r="R2017" t="str">
        <f t="shared" si="816"/>
        <v>A veces</v>
      </c>
      <c r="S2017">
        <v>0</v>
      </c>
      <c r="T2017" t="str">
        <f t="shared" si="817"/>
        <v>No fuma</v>
      </c>
      <c r="U2017">
        <v>1031701</v>
      </c>
      <c r="V2017">
        <f t="shared" si="818"/>
        <v>2</v>
      </c>
      <c r="W2017" t="str">
        <f t="shared" si="819"/>
        <v>Siempre</v>
      </c>
      <c r="X2017">
        <v>0</v>
      </c>
      <c r="Y2017" t="str">
        <f t="shared" si="820"/>
        <v>No controla</v>
      </c>
      <c r="Z2017">
        <v>3.465E-2</v>
      </c>
      <c r="AA2017">
        <f t="shared" si="821"/>
        <v>0</v>
      </c>
      <c r="AB2017" t="str">
        <f t="shared" si="822"/>
        <v>Nunca</v>
      </c>
      <c r="AC2017">
        <v>0.91234499999999996</v>
      </c>
      <c r="AD2017">
        <f t="shared" si="823"/>
        <v>0</v>
      </c>
      <c r="AE2017" t="str">
        <f t="shared" si="824"/>
        <v>Nunca</v>
      </c>
      <c r="AF2017">
        <v>1</v>
      </c>
      <c r="AG2017" t="str">
        <f t="shared" si="825"/>
        <v>A veces</v>
      </c>
      <c r="AH2017">
        <v>0</v>
      </c>
      <c r="AI2017" t="str">
        <f t="shared" si="826"/>
        <v>No usa</v>
      </c>
      <c r="AJ2017">
        <v>0</v>
      </c>
      <c r="AK2017" t="str">
        <f t="shared" si="827"/>
        <v>No usa</v>
      </c>
      <c r="AL2017">
        <v>0</v>
      </c>
      <c r="AM2017" t="str">
        <f t="shared" si="828"/>
        <v>No usa</v>
      </c>
      <c r="AN2017">
        <v>1</v>
      </c>
      <c r="AO2017" t="str">
        <f t="shared" si="829"/>
        <v>Usa Transporte</v>
      </c>
      <c r="AP2017">
        <v>0</v>
      </c>
      <c r="AQ2017" t="str">
        <f t="shared" si="830"/>
        <v>No camina</v>
      </c>
      <c r="AR2017">
        <v>1</v>
      </c>
      <c r="AS2017" t="str">
        <f t="shared" si="831"/>
        <v>Es Obeso</v>
      </c>
    </row>
    <row r="2018" spans="1:45" x14ac:dyDescent="0.25">
      <c r="A2018">
        <v>0</v>
      </c>
      <c r="B2018" t="str">
        <f t="shared" si="806"/>
        <v>F</v>
      </c>
      <c r="C2018">
        <v>25940153</v>
      </c>
      <c r="D2018">
        <f t="shared" si="807"/>
        <v>71</v>
      </c>
      <c r="E2018">
        <f t="shared" si="808"/>
        <v>71</v>
      </c>
      <c r="F2018" t="str">
        <f t="shared" si="809"/>
        <v>50-75</v>
      </c>
      <c r="G2018">
        <v>1</v>
      </c>
      <c r="H2018" t="str">
        <f t="shared" si="810"/>
        <v>Pariente gordo</v>
      </c>
      <c r="I2018">
        <v>1</v>
      </c>
      <c r="J2018" t="str">
        <f t="shared" si="811"/>
        <v>Hipercaloricos</v>
      </c>
      <c r="K2018">
        <v>3</v>
      </c>
      <c r="L2018">
        <f t="shared" si="812"/>
        <v>1</v>
      </c>
      <c r="M2018" t="str">
        <f t="shared" si="813"/>
        <v>Suele comer</v>
      </c>
      <c r="N2018">
        <v>3</v>
      </c>
      <c r="O2018">
        <f t="shared" si="814"/>
        <v>2</v>
      </c>
      <c r="P2018" t="str">
        <f t="shared" si="815"/>
        <v>Mas de 3</v>
      </c>
      <c r="Q2018">
        <v>1</v>
      </c>
      <c r="R2018" t="str">
        <f t="shared" si="816"/>
        <v>A veces</v>
      </c>
      <c r="S2018">
        <v>0</v>
      </c>
      <c r="T2018" t="str">
        <f t="shared" si="817"/>
        <v>No fuma</v>
      </c>
      <c r="U2018">
        <v>1000536</v>
      </c>
      <c r="V2018">
        <f t="shared" si="818"/>
        <v>2</v>
      </c>
      <c r="W2018" t="str">
        <f t="shared" si="819"/>
        <v>Siempre</v>
      </c>
      <c r="X2018">
        <v>0</v>
      </c>
      <c r="Y2018" t="str">
        <f t="shared" si="820"/>
        <v>No controla</v>
      </c>
      <c r="Z2018">
        <v>5.9389999999999998E-3</v>
      </c>
      <c r="AA2018">
        <f t="shared" si="821"/>
        <v>0</v>
      </c>
      <c r="AB2018" t="str">
        <f t="shared" si="822"/>
        <v>Nunca</v>
      </c>
      <c r="AC2018">
        <v>0.566353</v>
      </c>
      <c r="AD2018">
        <f t="shared" si="823"/>
        <v>0</v>
      </c>
      <c r="AE2018" t="str">
        <f t="shared" si="824"/>
        <v>Nunca</v>
      </c>
      <c r="AF2018">
        <v>1</v>
      </c>
      <c r="AG2018" t="str">
        <f t="shared" si="825"/>
        <v>A veces</v>
      </c>
      <c r="AH2018">
        <v>0</v>
      </c>
      <c r="AI2018" t="str">
        <f t="shared" si="826"/>
        <v>No usa</v>
      </c>
      <c r="AJ2018">
        <v>0</v>
      </c>
      <c r="AK2018" t="str">
        <f t="shared" si="827"/>
        <v>No usa</v>
      </c>
      <c r="AL2018">
        <v>0</v>
      </c>
      <c r="AM2018" t="str">
        <f t="shared" si="828"/>
        <v>No usa</v>
      </c>
      <c r="AN2018">
        <v>1</v>
      </c>
      <c r="AO2018" t="str">
        <f t="shared" si="829"/>
        <v>Usa Transporte</v>
      </c>
      <c r="AP2018">
        <v>0</v>
      </c>
      <c r="AQ2018" t="str">
        <f t="shared" si="830"/>
        <v>No camina</v>
      </c>
      <c r="AR2018">
        <v>1</v>
      </c>
      <c r="AS2018" t="str">
        <f t="shared" si="831"/>
        <v>Es Obeso</v>
      </c>
    </row>
    <row r="2019" spans="1:45" x14ac:dyDescent="0.25">
      <c r="A2019">
        <v>0</v>
      </c>
      <c r="B2019" t="str">
        <f t="shared" si="806"/>
        <v>F</v>
      </c>
      <c r="C2019">
        <v>25999636</v>
      </c>
      <c r="D2019">
        <f t="shared" si="807"/>
        <v>71</v>
      </c>
      <c r="E2019">
        <f t="shared" si="808"/>
        <v>71</v>
      </c>
      <c r="F2019" t="str">
        <f t="shared" si="809"/>
        <v>50-75</v>
      </c>
      <c r="G2019">
        <v>1</v>
      </c>
      <c r="H2019" t="str">
        <f t="shared" si="810"/>
        <v>Pariente gordo</v>
      </c>
      <c r="I2019">
        <v>1</v>
      </c>
      <c r="J2019" t="str">
        <f t="shared" si="811"/>
        <v>Hipercaloricos</v>
      </c>
      <c r="K2019">
        <v>3</v>
      </c>
      <c r="L2019">
        <f t="shared" si="812"/>
        <v>1</v>
      </c>
      <c r="M2019" t="str">
        <f t="shared" si="813"/>
        <v>Suele comer</v>
      </c>
      <c r="N2019">
        <v>3</v>
      </c>
      <c r="O2019">
        <f t="shared" si="814"/>
        <v>2</v>
      </c>
      <c r="P2019" t="str">
        <f t="shared" si="815"/>
        <v>Mas de 3</v>
      </c>
      <c r="Q2019">
        <v>1</v>
      </c>
      <c r="R2019" t="str">
        <f t="shared" si="816"/>
        <v>A veces</v>
      </c>
      <c r="S2019">
        <v>0</v>
      </c>
      <c r="T2019" t="str">
        <f t="shared" si="817"/>
        <v>No fuma</v>
      </c>
      <c r="U2019">
        <v>1020313</v>
      </c>
      <c r="V2019">
        <f t="shared" si="818"/>
        <v>2</v>
      </c>
      <c r="W2019" t="str">
        <f t="shared" si="819"/>
        <v>Siempre</v>
      </c>
      <c r="X2019">
        <v>0</v>
      </c>
      <c r="Y2019" t="str">
        <f t="shared" si="820"/>
        <v>No controla</v>
      </c>
      <c r="Z2019">
        <v>0.108386</v>
      </c>
      <c r="AA2019">
        <f t="shared" si="821"/>
        <v>0</v>
      </c>
      <c r="AB2019" t="str">
        <f t="shared" si="822"/>
        <v>Nunca</v>
      </c>
      <c r="AC2019">
        <v>1</v>
      </c>
      <c r="AD2019">
        <f t="shared" si="823"/>
        <v>1</v>
      </c>
      <c r="AE2019" t="str">
        <f t="shared" si="824"/>
        <v>Usualmente</v>
      </c>
      <c r="AF2019">
        <v>1</v>
      </c>
      <c r="AG2019" t="str">
        <f t="shared" si="825"/>
        <v>A veces</v>
      </c>
      <c r="AH2019">
        <v>0</v>
      </c>
      <c r="AI2019" t="str">
        <f t="shared" si="826"/>
        <v>No usa</v>
      </c>
      <c r="AJ2019">
        <v>0</v>
      </c>
      <c r="AK2019" t="str">
        <f t="shared" si="827"/>
        <v>No usa</v>
      </c>
      <c r="AL2019">
        <v>0</v>
      </c>
      <c r="AM2019" t="str">
        <f t="shared" si="828"/>
        <v>No usa</v>
      </c>
      <c r="AN2019">
        <v>1</v>
      </c>
      <c r="AO2019" t="str">
        <f t="shared" si="829"/>
        <v>Usa Transporte</v>
      </c>
      <c r="AP2019">
        <v>0</v>
      </c>
      <c r="AQ2019" t="str">
        <f t="shared" si="830"/>
        <v>No camina</v>
      </c>
      <c r="AR2019">
        <v>1</v>
      </c>
      <c r="AS2019" t="str">
        <f t="shared" si="831"/>
        <v>Es Obeso</v>
      </c>
    </row>
    <row r="2020" spans="1:45" x14ac:dyDescent="0.25">
      <c r="A2020">
        <v>0</v>
      </c>
      <c r="B2020" t="str">
        <f t="shared" si="806"/>
        <v>F</v>
      </c>
      <c r="C2020">
        <v>25907833</v>
      </c>
      <c r="D2020">
        <f t="shared" si="807"/>
        <v>70</v>
      </c>
      <c r="E2020">
        <f t="shared" si="808"/>
        <v>70</v>
      </c>
      <c r="F2020" t="str">
        <f t="shared" si="809"/>
        <v>50-75</v>
      </c>
      <c r="G2020">
        <v>1</v>
      </c>
      <c r="H2020" t="str">
        <f t="shared" si="810"/>
        <v>Pariente gordo</v>
      </c>
      <c r="I2020">
        <v>1</v>
      </c>
      <c r="J2020" t="str">
        <f t="shared" si="811"/>
        <v>Hipercaloricos</v>
      </c>
      <c r="K2020">
        <v>3</v>
      </c>
      <c r="L2020">
        <f t="shared" si="812"/>
        <v>1</v>
      </c>
      <c r="M2020" t="str">
        <f t="shared" si="813"/>
        <v>Suele comer</v>
      </c>
      <c r="N2020">
        <v>3</v>
      </c>
      <c r="O2020">
        <f t="shared" si="814"/>
        <v>2</v>
      </c>
      <c r="P2020" t="str">
        <f t="shared" si="815"/>
        <v>Mas de 3</v>
      </c>
      <c r="Q2020">
        <v>1</v>
      </c>
      <c r="R2020" t="str">
        <f t="shared" si="816"/>
        <v>A veces</v>
      </c>
      <c r="S2020">
        <v>0</v>
      </c>
      <c r="T2020" t="str">
        <f t="shared" si="817"/>
        <v>No fuma</v>
      </c>
      <c r="U2020">
        <v>1063422</v>
      </c>
      <c r="V2020">
        <f t="shared" si="818"/>
        <v>2</v>
      </c>
      <c r="W2020" t="str">
        <f t="shared" si="819"/>
        <v>Siempre</v>
      </c>
      <c r="X2020">
        <v>0</v>
      </c>
      <c r="Y2020" t="str">
        <f t="shared" si="820"/>
        <v>No controla</v>
      </c>
      <c r="Z2020">
        <v>5.1096999999999997E-2</v>
      </c>
      <c r="AA2020">
        <f t="shared" si="821"/>
        <v>0</v>
      </c>
      <c r="AB2020" t="str">
        <f t="shared" si="822"/>
        <v>Nunca</v>
      </c>
      <c r="AC2020">
        <v>0.54311799999999999</v>
      </c>
      <c r="AD2020">
        <f t="shared" si="823"/>
        <v>0</v>
      </c>
      <c r="AE2020" t="str">
        <f t="shared" si="824"/>
        <v>Nunca</v>
      </c>
      <c r="AF2020">
        <v>1</v>
      </c>
      <c r="AG2020" t="str">
        <f t="shared" si="825"/>
        <v>A veces</v>
      </c>
      <c r="AH2020">
        <v>0</v>
      </c>
      <c r="AI2020" t="str">
        <f t="shared" si="826"/>
        <v>No usa</v>
      </c>
      <c r="AJ2020">
        <v>0</v>
      </c>
      <c r="AK2020" t="str">
        <f t="shared" si="827"/>
        <v>No usa</v>
      </c>
      <c r="AL2020">
        <v>0</v>
      </c>
      <c r="AM2020" t="str">
        <f t="shared" si="828"/>
        <v>No usa</v>
      </c>
      <c r="AN2020">
        <v>1</v>
      </c>
      <c r="AO2020" t="str">
        <f t="shared" si="829"/>
        <v>Usa Transporte</v>
      </c>
      <c r="AP2020">
        <v>0</v>
      </c>
      <c r="AQ2020" t="str">
        <f t="shared" si="830"/>
        <v>No camina</v>
      </c>
      <c r="AR2020">
        <v>1</v>
      </c>
      <c r="AS2020" t="str">
        <f t="shared" si="831"/>
        <v>Es Obeso</v>
      </c>
    </row>
    <row r="2021" spans="1:45" x14ac:dyDescent="0.25">
      <c r="A2021">
        <v>0</v>
      </c>
      <c r="B2021" t="str">
        <f t="shared" si="806"/>
        <v>F</v>
      </c>
      <c r="C2021">
        <v>25991194</v>
      </c>
      <c r="D2021">
        <f t="shared" si="807"/>
        <v>71</v>
      </c>
      <c r="E2021">
        <f t="shared" si="808"/>
        <v>71</v>
      </c>
      <c r="F2021" t="str">
        <f t="shared" si="809"/>
        <v>50-75</v>
      </c>
      <c r="G2021">
        <v>1</v>
      </c>
      <c r="H2021" t="str">
        <f t="shared" si="810"/>
        <v>Pariente gordo</v>
      </c>
      <c r="I2021">
        <v>1</v>
      </c>
      <c r="J2021" t="str">
        <f t="shared" si="811"/>
        <v>Hipercaloricos</v>
      </c>
      <c r="K2021">
        <v>3</v>
      </c>
      <c r="L2021">
        <f t="shared" si="812"/>
        <v>1</v>
      </c>
      <c r="M2021" t="str">
        <f t="shared" si="813"/>
        <v>Suele comer</v>
      </c>
      <c r="N2021">
        <v>3</v>
      </c>
      <c r="O2021">
        <f t="shared" si="814"/>
        <v>2</v>
      </c>
      <c r="P2021" t="str">
        <f t="shared" si="815"/>
        <v>Mas de 3</v>
      </c>
      <c r="Q2021">
        <v>1</v>
      </c>
      <c r="R2021" t="str">
        <f t="shared" si="816"/>
        <v>A veces</v>
      </c>
      <c r="S2021">
        <v>0</v>
      </c>
      <c r="T2021" t="str">
        <f t="shared" si="817"/>
        <v>No fuma</v>
      </c>
      <c r="U2021">
        <v>245126</v>
      </c>
      <c r="V2021">
        <f t="shared" si="818"/>
        <v>2</v>
      </c>
      <c r="W2021" t="str">
        <f t="shared" si="819"/>
        <v>Siempre</v>
      </c>
      <c r="X2021">
        <v>0</v>
      </c>
      <c r="Y2021" t="str">
        <f t="shared" si="820"/>
        <v>No controla</v>
      </c>
      <c r="Z2021">
        <v>4.3688999999999999E-2</v>
      </c>
      <c r="AA2021">
        <f t="shared" si="821"/>
        <v>0</v>
      </c>
      <c r="AB2021" t="str">
        <f t="shared" si="822"/>
        <v>Nunca</v>
      </c>
      <c r="AC2021">
        <v>0.67040200000000005</v>
      </c>
      <c r="AD2021">
        <f t="shared" si="823"/>
        <v>0</v>
      </c>
      <c r="AE2021" t="str">
        <f t="shared" si="824"/>
        <v>Nunca</v>
      </c>
      <c r="AF2021">
        <v>1</v>
      </c>
      <c r="AG2021" t="str">
        <f t="shared" si="825"/>
        <v>A veces</v>
      </c>
      <c r="AH2021">
        <v>0</v>
      </c>
      <c r="AI2021" t="str">
        <f t="shared" si="826"/>
        <v>No usa</v>
      </c>
      <c r="AJ2021">
        <v>0</v>
      </c>
      <c r="AK2021" t="str">
        <f t="shared" si="827"/>
        <v>No usa</v>
      </c>
      <c r="AL2021">
        <v>0</v>
      </c>
      <c r="AM2021" t="str">
        <f t="shared" si="828"/>
        <v>No usa</v>
      </c>
      <c r="AN2021">
        <v>1</v>
      </c>
      <c r="AO2021" t="str">
        <f t="shared" si="829"/>
        <v>Usa Transporte</v>
      </c>
      <c r="AP2021">
        <v>0</v>
      </c>
      <c r="AQ2021" t="str">
        <f t="shared" si="830"/>
        <v>No camina</v>
      </c>
      <c r="AR2021">
        <v>1</v>
      </c>
      <c r="AS2021" t="str">
        <f t="shared" si="831"/>
        <v>Es Obeso</v>
      </c>
    </row>
    <row r="2022" spans="1:45" x14ac:dyDescent="0.25">
      <c r="A2022">
        <v>0</v>
      </c>
      <c r="B2022" t="str">
        <f t="shared" si="806"/>
        <v>F</v>
      </c>
      <c r="C2022">
        <v>25993154</v>
      </c>
      <c r="D2022">
        <f t="shared" si="807"/>
        <v>71</v>
      </c>
      <c r="E2022">
        <f t="shared" si="808"/>
        <v>71</v>
      </c>
      <c r="F2022" t="str">
        <f t="shared" si="809"/>
        <v>50-75</v>
      </c>
      <c r="G2022">
        <v>1</v>
      </c>
      <c r="H2022" t="str">
        <f t="shared" si="810"/>
        <v>Pariente gordo</v>
      </c>
      <c r="I2022">
        <v>1</v>
      </c>
      <c r="J2022" t="str">
        <f t="shared" si="811"/>
        <v>Hipercaloricos</v>
      </c>
      <c r="K2022">
        <v>3</v>
      </c>
      <c r="L2022">
        <f t="shared" si="812"/>
        <v>1</v>
      </c>
      <c r="M2022" t="str">
        <f t="shared" si="813"/>
        <v>Suele comer</v>
      </c>
      <c r="N2022">
        <v>3</v>
      </c>
      <c r="O2022">
        <f t="shared" si="814"/>
        <v>2</v>
      </c>
      <c r="P2022" t="str">
        <f t="shared" si="815"/>
        <v>Mas de 3</v>
      </c>
      <c r="Q2022">
        <v>1</v>
      </c>
      <c r="R2022" t="str">
        <f t="shared" si="816"/>
        <v>A veces</v>
      </c>
      <c r="S2022">
        <v>0</v>
      </c>
      <c r="T2022" t="str">
        <f t="shared" si="817"/>
        <v>No fuma</v>
      </c>
      <c r="U2022">
        <v>2613504</v>
      </c>
      <c r="V2022">
        <f t="shared" si="818"/>
        <v>2</v>
      </c>
      <c r="W2022" t="str">
        <f t="shared" si="819"/>
        <v>Siempre</v>
      </c>
      <c r="X2022">
        <v>0</v>
      </c>
      <c r="Y2022" t="str">
        <f t="shared" si="820"/>
        <v>No controla</v>
      </c>
      <c r="Z2022">
        <v>6.7985000000000004E-2</v>
      </c>
      <c r="AA2022">
        <f t="shared" si="821"/>
        <v>0</v>
      </c>
      <c r="AB2022" t="str">
        <f t="shared" si="822"/>
        <v>Nunca</v>
      </c>
      <c r="AC2022">
        <v>0.77863199999999999</v>
      </c>
      <c r="AD2022">
        <f t="shared" si="823"/>
        <v>0</v>
      </c>
      <c r="AE2022" t="str">
        <f t="shared" si="824"/>
        <v>Nunca</v>
      </c>
      <c r="AF2022">
        <v>1</v>
      </c>
      <c r="AG2022" t="str">
        <f t="shared" si="825"/>
        <v>A veces</v>
      </c>
      <c r="AH2022">
        <v>0</v>
      </c>
      <c r="AI2022" t="str">
        <f t="shared" si="826"/>
        <v>No usa</v>
      </c>
      <c r="AJ2022">
        <v>0</v>
      </c>
      <c r="AK2022" t="str">
        <f t="shared" si="827"/>
        <v>No usa</v>
      </c>
      <c r="AL2022">
        <v>0</v>
      </c>
      <c r="AM2022" t="str">
        <f t="shared" si="828"/>
        <v>No usa</v>
      </c>
      <c r="AN2022">
        <v>1</v>
      </c>
      <c r="AO2022" t="str">
        <f t="shared" si="829"/>
        <v>Usa Transporte</v>
      </c>
      <c r="AP2022">
        <v>0</v>
      </c>
      <c r="AQ2022" t="str">
        <f t="shared" si="830"/>
        <v>No camina</v>
      </c>
      <c r="AR2022">
        <v>1</v>
      </c>
      <c r="AS2022" t="str">
        <f t="shared" si="831"/>
        <v>Es Obeso</v>
      </c>
    </row>
    <row r="2023" spans="1:45" x14ac:dyDescent="0.25">
      <c r="A2023">
        <v>0</v>
      </c>
      <c r="B2023" t="str">
        <f t="shared" si="806"/>
        <v>F</v>
      </c>
      <c r="C2023">
        <v>25988668</v>
      </c>
      <c r="D2023">
        <f t="shared" si="807"/>
        <v>71</v>
      </c>
      <c r="E2023">
        <f t="shared" si="808"/>
        <v>71</v>
      </c>
      <c r="F2023" t="str">
        <f t="shared" si="809"/>
        <v>50-75</v>
      </c>
      <c r="G2023">
        <v>1</v>
      </c>
      <c r="H2023" t="str">
        <f t="shared" si="810"/>
        <v>Pariente gordo</v>
      </c>
      <c r="I2023">
        <v>1</v>
      </c>
      <c r="J2023" t="str">
        <f t="shared" si="811"/>
        <v>Hipercaloricos</v>
      </c>
      <c r="K2023">
        <v>3</v>
      </c>
      <c r="L2023">
        <f t="shared" si="812"/>
        <v>1</v>
      </c>
      <c r="M2023" t="str">
        <f t="shared" si="813"/>
        <v>Suele comer</v>
      </c>
      <c r="N2023">
        <v>3</v>
      </c>
      <c r="O2023">
        <f t="shared" si="814"/>
        <v>2</v>
      </c>
      <c r="P2023" t="str">
        <f t="shared" si="815"/>
        <v>Mas de 3</v>
      </c>
      <c r="Q2023">
        <v>1</v>
      </c>
      <c r="R2023" t="str">
        <f t="shared" si="816"/>
        <v>A veces</v>
      </c>
      <c r="S2023">
        <v>0</v>
      </c>
      <c r="T2023" t="str">
        <f t="shared" si="817"/>
        <v>No fuma</v>
      </c>
      <c r="U2023">
        <v>1042989</v>
      </c>
      <c r="V2023">
        <f t="shared" si="818"/>
        <v>2</v>
      </c>
      <c r="W2023" t="str">
        <f t="shared" si="819"/>
        <v>Siempre</v>
      </c>
      <c r="X2023">
        <v>0</v>
      </c>
      <c r="Y2023" t="str">
        <f t="shared" si="820"/>
        <v>No controla</v>
      </c>
      <c r="Z2023">
        <v>9.7114000000000006E-2</v>
      </c>
      <c r="AA2023">
        <f t="shared" si="821"/>
        <v>0</v>
      </c>
      <c r="AB2023" t="str">
        <f t="shared" si="822"/>
        <v>Nunca</v>
      </c>
      <c r="AC2023">
        <v>0.42953999999999998</v>
      </c>
      <c r="AD2023">
        <f t="shared" si="823"/>
        <v>0</v>
      </c>
      <c r="AE2023" t="str">
        <f t="shared" si="824"/>
        <v>Nunca</v>
      </c>
      <c r="AF2023">
        <v>1</v>
      </c>
      <c r="AG2023" t="str">
        <f t="shared" si="825"/>
        <v>A veces</v>
      </c>
      <c r="AH2023">
        <v>0</v>
      </c>
      <c r="AI2023" t="str">
        <f t="shared" si="826"/>
        <v>No usa</v>
      </c>
      <c r="AJ2023">
        <v>0</v>
      </c>
      <c r="AK2023" t="str">
        <f t="shared" si="827"/>
        <v>No usa</v>
      </c>
      <c r="AL2023">
        <v>0</v>
      </c>
      <c r="AM2023" t="str">
        <f t="shared" si="828"/>
        <v>No usa</v>
      </c>
      <c r="AN2023">
        <v>1</v>
      </c>
      <c r="AO2023" t="str">
        <f t="shared" si="829"/>
        <v>Usa Transporte</v>
      </c>
      <c r="AP2023">
        <v>0</v>
      </c>
      <c r="AQ2023" t="str">
        <f t="shared" si="830"/>
        <v>No camina</v>
      </c>
      <c r="AR2023">
        <v>1</v>
      </c>
      <c r="AS2023" t="str">
        <f t="shared" si="831"/>
        <v>Es Obeso</v>
      </c>
    </row>
    <row r="2024" spans="1:45" x14ac:dyDescent="0.25">
      <c r="A2024">
        <v>0</v>
      </c>
      <c r="B2024" t="str">
        <f t="shared" si="806"/>
        <v>F</v>
      </c>
      <c r="C2024">
        <v>25976209</v>
      </c>
      <c r="D2024">
        <f t="shared" si="807"/>
        <v>71</v>
      </c>
      <c r="E2024">
        <f t="shared" si="808"/>
        <v>71</v>
      </c>
      <c r="F2024" t="str">
        <f t="shared" si="809"/>
        <v>50-75</v>
      </c>
      <c r="G2024">
        <v>1</v>
      </c>
      <c r="H2024" t="str">
        <f t="shared" si="810"/>
        <v>Pariente gordo</v>
      </c>
      <c r="I2024">
        <v>1</v>
      </c>
      <c r="J2024" t="str">
        <f t="shared" si="811"/>
        <v>Hipercaloricos</v>
      </c>
      <c r="K2024">
        <v>3</v>
      </c>
      <c r="L2024">
        <f t="shared" si="812"/>
        <v>1</v>
      </c>
      <c r="M2024" t="str">
        <f t="shared" si="813"/>
        <v>Suele comer</v>
      </c>
      <c r="N2024">
        <v>3</v>
      </c>
      <c r="O2024">
        <f t="shared" si="814"/>
        <v>2</v>
      </c>
      <c r="P2024" t="str">
        <f t="shared" si="815"/>
        <v>Mas de 3</v>
      </c>
      <c r="Q2024">
        <v>1</v>
      </c>
      <c r="R2024" t="str">
        <f t="shared" si="816"/>
        <v>A veces</v>
      </c>
      <c r="S2024">
        <v>0</v>
      </c>
      <c r="T2024" t="str">
        <f t="shared" si="817"/>
        <v>No fuma</v>
      </c>
      <c r="U2024">
        <v>1237557</v>
      </c>
      <c r="V2024">
        <f t="shared" si="818"/>
        <v>2</v>
      </c>
      <c r="W2024" t="str">
        <f t="shared" si="819"/>
        <v>Siempre</v>
      </c>
      <c r="X2024">
        <v>0</v>
      </c>
      <c r="Y2024" t="str">
        <f t="shared" si="820"/>
        <v>No controla</v>
      </c>
      <c r="Z2024">
        <v>8.3674999999999999E-2</v>
      </c>
      <c r="AA2024">
        <f t="shared" si="821"/>
        <v>0</v>
      </c>
      <c r="AB2024" t="str">
        <f t="shared" si="822"/>
        <v>Nunca</v>
      </c>
      <c r="AC2024">
        <v>0.54376100000000005</v>
      </c>
      <c r="AD2024">
        <f t="shared" si="823"/>
        <v>0</v>
      </c>
      <c r="AE2024" t="str">
        <f t="shared" si="824"/>
        <v>Nunca</v>
      </c>
      <c r="AF2024">
        <v>1</v>
      </c>
      <c r="AG2024" t="str">
        <f t="shared" si="825"/>
        <v>A veces</v>
      </c>
      <c r="AH2024">
        <v>0</v>
      </c>
      <c r="AI2024" t="str">
        <f t="shared" si="826"/>
        <v>No usa</v>
      </c>
      <c r="AJ2024">
        <v>0</v>
      </c>
      <c r="AK2024" t="str">
        <f t="shared" si="827"/>
        <v>No usa</v>
      </c>
      <c r="AL2024">
        <v>0</v>
      </c>
      <c r="AM2024" t="str">
        <f t="shared" si="828"/>
        <v>No usa</v>
      </c>
      <c r="AN2024">
        <v>1</v>
      </c>
      <c r="AO2024" t="str">
        <f t="shared" si="829"/>
        <v>Usa Transporte</v>
      </c>
      <c r="AP2024">
        <v>0</v>
      </c>
      <c r="AQ2024" t="str">
        <f t="shared" si="830"/>
        <v>No camina</v>
      </c>
      <c r="AR2024">
        <v>1</v>
      </c>
      <c r="AS2024" t="str">
        <f t="shared" si="831"/>
        <v>Es Obeso</v>
      </c>
    </row>
    <row r="2025" spans="1:45" x14ac:dyDescent="0.25">
      <c r="A2025">
        <v>0</v>
      </c>
      <c r="B2025" t="str">
        <f t="shared" si="806"/>
        <v>F</v>
      </c>
      <c r="C2025">
        <v>18743587</v>
      </c>
      <c r="D2025">
        <f t="shared" si="807"/>
        <v>51</v>
      </c>
      <c r="E2025">
        <f t="shared" si="808"/>
        <v>51</v>
      </c>
      <c r="F2025" t="str">
        <f t="shared" si="809"/>
        <v>50-75</v>
      </c>
      <c r="G2025">
        <v>1</v>
      </c>
      <c r="H2025" t="str">
        <f t="shared" si="810"/>
        <v>Pariente gordo</v>
      </c>
      <c r="I2025">
        <v>1</v>
      </c>
      <c r="J2025" t="str">
        <f t="shared" si="811"/>
        <v>Hipercaloricos</v>
      </c>
      <c r="K2025">
        <v>3</v>
      </c>
      <c r="L2025">
        <f t="shared" si="812"/>
        <v>1</v>
      </c>
      <c r="M2025" t="str">
        <f t="shared" si="813"/>
        <v>Suele comer</v>
      </c>
      <c r="N2025">
        <v>3</v>
      </c>
      <c r="O2025">
        <f t="shared" si="814"/>
        <v>2</v>
      </c>
      <c r="P2025" t="str">
        <f t="shared" si="815"/>
        <v>Mas de 3</v>
      </c>
      <c r="Q2025">
        <v>1</v>
      </c>
      <c r="R2025" t="str">
        <f t="shared" si="816"/>
        <v>A veces</v>
      </c>
      <c r="S2025">
        <v>0</v>
      </c>
      <c r="T2025" t="str">
        <f t="shared" si="817"/>
        <v>No fuma</v>
      </c>
      <c r="U2025">
        <v>283377</v>
      </c>
      <c r="V2025">
        <f t="shared" si="818"/>
        <v>2</v>
      </c>
      <c r="W2025" t="str">
        <f t="shared" si="819"/>
        <v>Siempre</v>
      </c>
      <c r="X2025">
        <v>0</v>
      </c>
      <c r="Y2025" t="str">
        <f t="shared" si="820"/>
        <v>No controla</v>
      </c>
      <c r="Z2025">
        <v>0.80642199999999997</v>
      </c>
      <c r="AA2025">
        <f t="shared" si="821"/>
        <v>0</v>
      </c>
      <c r="AB2025" t="str">
        <f t="shared" si="822"/>
        <v>Nunca</v>
      </c>
      <c r="AC2025">
        <v>0.67251300000000003</v>
      </c>
      <c r="AD2025">
        <f t="shared" si="823"/>
        <v>0</v>
      </c>
      <c r="AE2025" t="str">
        <f t="shared" si="824"/>
        <v>Nunca</v>
      </c>
      <c r="AF2025">
        <v>1</v>
      </c>
      <c r="AG2025" t="str">
        <f t="shared" si="825"/>
        <v>A veces</v>
      </c>
      <c r="AH2025">
        <v>0</v>
      </c>
      <c r="AI2025" t="str">
        <f t="shared" si="826"/>
        <v>No usa</v>
      </c>
      <c r="AJ2025">
        <v>0</v>
      </c>
      <c r="AK2025" t="str">
        <f t="shared" si="827"/>
        <v>No usa</v>
      </c>
      <c r="AL2025">
        <v>0</v>
      </c>
      <c r="AM2025" t="str">
        <f t="shared" si="828"/>
        <v>No usa</v>
      </c>
      <c r="AN2025">
        <v>1</v>
      </c>
      <c r="AO2025" t="str">
        <f t="shared" si="829"/>
        <v>Usa Transporte</v>
      </c>
      <c r="AP2025">
        <v>0</v>
      </c>
      <c r="AQ2025" t="str">
        <f t="shared" si="830"/>
        <v>No camina</v>
      </c>
      <c r="AR2025">
        <v>1</v>
      </c>
      <c r="AS2025" t="str">
        <f t="shared" si="831"/>
        <v>Es Obeso</v>
      </c>
    </row>
    <row r="2026" spans="1:45" x14ac:dyDescent="0.25">
      <c r="A2026">
        <v>0</v>
      </c>
      <c r="B2026" t="str">
        <f t="shared" si="806"/>
        <v>F</v>
      </c>
      <c r="C2026">
        <v>20323767</v>
      </c>
      <c r="D2026">
        <f t="shared" si="807"/>
        <v>55</v>
      </c>
      <c r="E2026">
        <f t="shared" si="808"/>
        <v>55</v>
      </c>
      <c r="F2026" t="str">
        <f t="shared" si="809"/>
        <v>50-75</v>
      </c>
      <c r="G2026">
        <v>1</v>
      </c>
      <c r="H2026" t="str">
        <f t="shared" si="810"/>
        <v>Pariente gordo</v>
      </c>
      <c r="I2026">
        <v>1</v>
      </c>
      <c r="J2026" t="str">
        <f t="shared" si="811"/>
        <v>Hipercaloricos</v>
      </c>
      <c r="K2026">
        <v>3</v>
      </c>
      <c r="L2026">
        <f t="shared" si="812"/>
        <v>1</v>
      </c>
      <c r="M2026" t="str">
        <f t="shared" si="813"/>
        <v>Suele comer</v>
      </c>
      <c r="N2026">
        <v>3</v>
      </c>
      <c r="O2026">
        <f t="shared" si="814"/>
        <v>2</v>
      </c>
      <c r="P2026" t="str">
        <f t="shared" si="815"/>
        <v>Mas de 3</v>
      </c>
      <c r="Q2026">
        <v>1</v>
      </c>
      <c r="R2026" t="str">
        <f t="shared" si="816"/>
        <v>A veces</v>
      </c>
      <c r="S2026">
        <v>0</v>
      </c>
      <c r="T2026" t="str">
        <f t="shared" si="817"/>
        <v>No fuma</v>
      </c>
      <c r="U2026">
        <v>2816052</v>
      </c>
      <c r="V2026">
        <f t="shared" si="818"/>
        <v>2</v>
      </c>
      <c r="W2026" t="str">
        <f t="shared" si="819"/>
        <v>Siempre</v>
      </c>
      <c r="X2026">
        <v>0</v>
      </c>
      <c r="Y2026" t="str">
        <f t="shared" si="820"/>
        <v>No controla</v>
      </c>
      <c r="Z2026">
        <v>1571865</v>
      </c>
      <c r="AA2026">
        <f t="shared" si="821"/>
        <v>3</v>
      </c>
      <c r="AB2026" t="str">
        <f t="shared" si="822"/>
        <v>Siempre</v>
      </c>
      <c r="AC2026">
        <v>0.68805799999999995</v>
      </c>
      <c r="AD2026">
        <f t="shared" si="823"/>
        <v>0</v>
      </c>
      <c r="AE2026" t="str">
        <f t="shared" si="824"/>
        <v>Nunca</v>
      </c>
      <c r="AF2026">
        <v>1</v>
      </c>
      <c r="AG2026" t="str">
        <f t="shared" si="825"/>
        <v>A veces</v>
      </c>
      <c r="AH2026">
        <v>0</v>
      </c>
      <c r="AI2026" t="str">
        <f t="shared" si="826"/>
        <v>No usa</v>
      </c>
      <c r="AJ2026">
        <v>0</v>
      </c>
      <c r="AK2026" t="str">
        <f t="shared" si="827"/>
        <v>No usa</v>
      </c>
      <c r="AL2026">
        <v>0</v>
      </c>
      <c r="AM2026" t="str">
        <f t="shared" si="828"/>
        <v>No usa</v>
      </c>
      <c r="AN2026">
        <v>1</v>
      </c>
      <c r="AO2026" t="str">
        <f t="shared" si="829"/>
        <v>Usa Transporte</v>
      </c>
      <c r="AP2026">
        <v>0</v>
      </c>
      <c r="AQ2026" t="str">
        <f t="shared" si="830"/>
        <v>No camina</v>
      </c>
      <c r="AR2026">
        <v>1</v>
      </c>
      <c r="AS2026" t="str">
        <f t="shared" si="831"/>
        <v>Es Obeso</v>
      </c>
    </row>
    <row r="2027" spans="1:45" x14ac:dyDescent="0.25">
      <c r="A2027">
        <v>0</v>
      </c>
      <c r="B2027" t="str">
        <f t="shared" si="806"/>
        <v>F</v>
      </c>
      <c r="C2027">
        <v>21394047</v>
      </c>
      <c r="D2027">
        <f t="shared" si="807"/>
        <v>58</v>
      </c>
      <c r="E2027">
        <f t="shared" si="808"/>
        <v>58</v>
      </c>
      <c r="F2027" t="str">
        <f t="shared" si="809"/>
        <v>50-75</v>
      </c>
      <c r="G2027">
        <v>1</v>
      </c>
      <c r="H2027" t="str">
        <f t="shared" si="810"/>
        <v>Pariente gordo</v>
      </c>
      <c r="I2027">
        <v>1</v>
      </c>
      <c r="J2027" t="str">
        <f t="shared" si="811"/>
        <v>Hipercaloricos</v>
      </c>
      <c r="K2027">
        <v>3</v>
      </c>
      <c r="L2027">
        <f t="shared" si="812"/>
        <v>1</v>
      </c>
      <c r="M2027" t="str">
        <f t="shared" si="813"/>
        <v>Suele comer</v>
      </c>
      <c r="N2027">
        <v>3</v>
      </c>
      <c r="O2027">
        <f t="shared" si="814"/>
        <v>2</v>
      </c>
      <c r="P2027" t="str">
        <f t="shared" si="815"/>
        <v>Mas de 3</v>
      </c>
      <c r="Q2027">
        <v>1</v>
      </c>
      <c r="R2027" t="str">
        <f t="shared" si="816"/>
        <v>A veces</v>
      </c>
      <c r="S2027">
        <v>0</v>
      </c>
      <c r="T2027" t="str">
        <f t="shared" si="817"/>
        <v>No fuma</v>
      </c>
      <c r="U2027">
        <v>2682909</v>
      </c>
      <c r="V2027">
        <f t="shared" si="818"/>
        <v>2</v>
      </c>
      <c r="W2027" t="str">
        <f t="shared" si="819"/>
        <v>Siempre</v>
      </c>
      <c r="X2027">
        <v>0</v>
      </c>
      <c r="Y2027" t="str">
        <f t="shared" si="820"/>
        <v>No controla</v>
      </c>
      <c r="Z2027">
        <v>1318743</v>
      </c>
      <c r="AA2027">
        <f t="shared" si="821"/>
        <v>3</v>
      </c>
      <c r="AB2027" t="str">
        <f t="shared" si="822"/>
        <v>Siempre</v>
      </c>
      <c r="AC2027">
        <v>0.90049699999999999</v>
      </c>
      <c r="AD2027">
        <f t="shared" si="823"/>
        <v>0</v>
      </c>
      <c r="AE2027" t="str">
        <f t="shared" si="824"/>
        <v>Nunca</v>
      </c>
      <c r="AF2027">
        <v>1</v>
      </c>
      <c r="AG2027" t="str">
        <f t="shared" si="825"/>
        <v>A veces</v>
      </c>
      <c r="AH2027">
        <v>0</v>
      </c>
      <c r="AI2027" t="str">
        <f t="shared" si="826"/>
        <v>No usa</v>
      </c>
      <c r="AJ2027">
        <v>0</v>
      </c>
      <c r="AK2027" t="str">
        <f t="shared" si="827"/>
        <v>No usa</v>
      </c>
      <c r="AL2027">
        <v>0</v>
      </c>
      <c r="AM2027" t="str">
        <f t="shared" si="828"/>
        <v>No usa</v>
      </c>
      <c r="AN2027">
        <v>1</v>
      </c>
      <c r="AO2027" t="str">
        <f t="shared" si="829"/>
        <v>Usa Transporte</v>
      </c>
      <c r="AP2027">
        <v>0</v>
      </c>
      <c r="AQ2027" t="str">
        <f t="shared" si="830"/>
        <v>No camina</v>
      </c>
      <c r="AR2027">
        <v>1</v>
      </c>
      <c r="AS2027" t="str">
        <f t="shared" si="831"/>
        <v>Es Obeso</v>
      </c>
    </row>
    <row r="2028" spans="1:45" x14ac:dyDescent="0.25">
      <c r="A2028">
        <v>0</v>
      </c>
      <c r="B2028" t="str">
        <f t="shared" si="806"/>
        <v>F</v>
      </c>
      <c r="C2028">
        <v>21838323</v>
      </c>
      <c r="D2028">
        <f t="shared" si="807"/>
        <v>59</v>
      </c>
      <c r="E2028">
        <f t="shared" si="808"/>
        <v>59</v>
      </c>
      <c r="F2028" t="str">
        <f t="shared" si="809"/>
        <v>50-75</v>
      </c>
      <c r="G2028">
        <v>1</v>
      </c>
      <c r="H2028" t="str">
        <f t="shared" si="810"/>
        <v>Pariente gordo</v>
      </c>
      <c r="I2028">
        <v>1</v>
      </c>
      <c r="J2028" t="str">
        <f t="shared" si="811"/>
        <v>Hipercaloricos</v>
      </c>
      <c r="K2028">
        <v>3</v>
      </c>
      <c r="L2028">
        <f t="shared" si="812"/>
        <v>1</v>
      </c>
      <c r="M2028" t="str">
        <f t="shared" si="813"/>
        <v>Suele comer</v>
      </c>
      <c r="N2028">
        <v>3</v>
      </c>
      <c r="O2028">
        <f t="shared" si="814"/>
        <v>2</v>
      </c>
      <c r="P2028" t="str">
        <f t="shared" si="815"/>
        <v>Mas de 3</v>
      </c>
      <c r="Q2028">
        <v>1</v>
      </c>
      <c r="R2028" t="str">
        <f t="shared" si="816"/>
        <v>A veces</v>
      </c>
      <c r="S2028">
        <v>0</v>
      </c>
      <c r="T2028" t="str">
        <f t="shared" si="817"/>
        <v>No fuma</v>
      </c>
      <c r="U2028">
        <v>2640539</v>
      </c>
      <c r="V2028">
        <f t="shared" si="818"/>
        <v>2</v>
      </c>
      <c r="W2028" t="str">
        <f t="shared" si="819"/>
        <v>Siempre</v>
      </c>
      <c r="X2028">
        <v>0</v>
      </c>
      <c r="Y2028" t="str">
        <f t="shared" si="820"/>
        <v>No controla</v>
      </c>
      <c r="Z2028">
        <v>1879818</v>
      </c>
      <c r="AA2028">
        <f t="shared" si="821"/>
        <v>3</v>
      </c>
      <c r="AB2028" t="str">
        <f t="shared" si="822"/>
        <v>Siempre</v>
      </c>
      <c r="AC2028">
        <v>0.88599300000000003</v>
      </c>
      <c r="AD2028">
        <f t="shared" si="823"/>
        <v>0</v>
      </c>
      <c r="AE2028" t="str">
        <f t="shared" si="824"/>
        <v>Nunca</v>
      </c>
      <c r="AF2028">
        <v>1</v>
      </c>
      <c r="AG2028" t="str">
        <f t="shared" si="825"/>
        <v>A veces</v>
      </c>
      <c r="AH2028">
        <v>0</v>
      </c>
      <c r="AI2028" t="str">
        <f t="shared" si="826"/>
        <v>No usa</v>
      </c>
      <c r="AJ2028">
        <v>0</v>
      </c>
      <c r="AK2028" t="str">
        <f t="shared" si="827"/>
        <v>No usa</v>
      </c>
      <c r="AL2028">
        <v>0</v>
      </c>
      <c r="AM2028" t="str">
        <f t="shared" si="828"/>
        <v>No usa</v>
      </c>
      <c r="AN2028">
        <v>1</v>
      </c>
      <c r="AO2028" t="str">
        <f t="shared" si="829"/>
        <v>Usa Transporte</v>
      </c>
      <c r="AP2028">
        <v>0</v>
      </c>
      <c r="AQ2028" t="str">
        <f t="shared" si="830"/>
        <v>No camina</v>
      </c>
      <c r="AR2028">
        <v>1</v>
      </c>
      <c r="AS2028" t="str">
        <f t="shared" si="831"/>
        <v>Es Obeso</v>
      </c>
    </row>
    <row r="2029" spans="1:45" x14ac:dyDescent="0.25">
      <c r="A2029">
        <v>0</v>
      </c>
      <c r="B2029" t="str">
        <f t="shared" si="806"/>
        <v>F</v>
      </c>
      <c r="C2029">
        <v>1820634</v>
      </c>
      <c r="D2029">
        <f t="shared" si="807"/>
        <v>4</v>
      </c>
      <c r="E2029">
        <f t="shared" si="808"/>
        <v>4</v>
      </c>
      <c r="F2029" t="str">
        <f t="shared" si="809"/>
        <v>1-25</v>
      </c>
      <c r="G2029">
        <v>1</v>
      </c>
      <c r="H2029" t="str">
        <f t="shared" si="810"/>
        <v>Pariente gordo</v>
      </c>
      <c r="I2029">
        <v>1</v>
      </c>
      <c r="J2029" t="str">
        <f t="shared" si="811"/>
        <v>Hipercaloricos</v>
      </c>
      <c r="K2029">
        <v>3</v>
      </c>
      <c r="L2029">
        <f t="shared" si="812"/>
        <v>1</v>
      </c>
      <c r="M2029" t="str">
        <f t="shared" si="813"/>
        <v>Suele comer</v>
      </c>
      <c r="N2029">
        <v>3</v>
      </c>
      <c r="O2029">
        <f t="shared" si="814"/>
        <v>2</v>
      </c>
      <c r="P2029" t="str">
        <f t="shared" si="815"/>
        <v>Mas de 3</v>
      </c>
      <c r="Q2029">
        <v>1</v>
      </c>
      <c r="R2029" t="str">
        <f t="shared" si="816"/>
        <v>A veces</v>
      </c>
      <c r="S2029">
        <v>0</v>
      </c>
      <c r="T2029" t="str">
        <f t="shared" si="817"/>
        <v>No fuma</v>
      </c>
      <c r="U2029">
        <v>2472903</v>
      </c>
      <c r="V2029">
        <f t="shared" si="818"/>
        <v>2</v>
      </c>
      <c r="W2029" t="str">
        <f t="shared" si="819"/>
        <v>Siempre</v>
      </c>
      <c r="X2029">
        <v>0</v>
      </c>
      <c r="Y2029" t="str">
        <f t="shared" si="820"/>
        <v>No controla</v>
      </c>
      <c r="Z2029">
        <v>1998047</v>
      </c>
      <c r="AA2029">
        <f t="shared" si="821"/>
        <v>3</v>
      </c>
      <c r="AB2029" t="str">
        <f t="shared" si="822"/>
        <v>Siempre</v>
      </c>
      <c r="AC2029">
        <v>0.84091099999999996</v>
      </c>
      <c r="AD2029">
        <f t="shared" si="823"/>
        <v>0</v>
      </c>
      <c r="AE2029" t="str">
        <f t="shared" si="824"/>
        <v>Nunca</v>
      </c>
      <c r="AF2029">
        <v>1</v>
      </c>
      <c r="AG2029" t="str">
        <f t="shared" si="825"/>
        <v>A veces</v>
      </c>
      <c r="AH2029">
        <v>0</v>
      </c>
      <c r="AI2029" t="str">
        <f t="shared" si="826"/>
        <v>No usa</v>
      </c>
      <c r="AJ2029">
        <v>0</v>
      </c>
      <c r="AK2029" t="str">
        <f t="shared" si="827"/>
        <v>No usa</v>
      </c>
      <c r="AL2029">
        <v>0</v>
      </c>
      <c r="AM2029" t="str">
        <f t="shared" si="828"/>
        <v>No usa</v>
      </c>
      <c r="AN2029">
        <v>1</v>
      </c>
      <c r="AO2029" t="str">
        <f t="shared" si="829"/>
        <v>Usa Transporte</v>
      </c>
      <c r="AP2029">
        <v>0</v>
      </c>
      <c r="AQ2029" t="str">
        <f t="shared" si="830"/>
        <v>No camina</v>
      </c>
      <c r="AR2029">
        <v>1</v>
      </c>
      <c r="AS2029" t="str">
        <f t="shared" si="831"/>
        <v>Es Obeso</v>
      </c>
    </row>
    <row r="2030" spans="1:45" x14ac:dyDescent="0.25">
      <c r="A2030">
        <v>0</v>
      </c>
      <c r="B2030" t="str">
        <f t="shared" si="806"/>
        <v>F</v>
      </c>
      <c r="C2030">
        <v>18532826</v>
      </c>
      <c r="D2030">
        <f t="shared" si="807"/>
        <v>50</v>
      </c>
      <c r="E2030">
        <f t="shared" si="808"/>
        <v>50</v>
      </c>
      <c r="F2030" t="str">
        <f t="shared" si="809"/>
        <v>25-50</v>
      </c>
      <c r="G2030">
        <v>1</v>
      </c>
      <c r="H2030" t="str">
        <f t="shared" si="810"/>
        <v>Pariente gordo</v>
      </c>
      <c r="I2030">
        <v>1</v>
      </c>
      <c r="J2030" t="str">
        <f t="shared" si="811"/>
        <v>Hipercaloricos</v>
      </c>
      <c r="K2030">
        <v>3</v>
      </c>
      <c r="L2030">
        <f t="shared" si="812"/>
        <v>1</v>
      </c>
      <c r="M2030" t="str">
        <f t="shared" si="813"/>
        <v>Suele comer</v>
      </c>
      <c r="N2030">
        <v>3</v>
      </c>
      <c r="O2030">
        <f t="shared" si="814"/>
        <v>2</v>
      </c>
      <c r="P2030" t="str">
        <f t="shared" si="815"/>
        <v>Mas de 3</v>
      </c>
      <c r="Q2030">
        <v>1</v>
      </c>
      <c r="R2030" t="str">
        <f t="shared" si="816"/>
        <v>A veces</v>
      </c>
      <c r="S2030">
        <v>0</v>
      </c>
      <c r="T2030" t="str">
        <f t="shared" si="817"/>
        <v>No fuma</v>
      </c>
      <c r="U2030">
        <v>2372058</v>
      </c>
      <c r="V2030">
        <f t="shared" si="818"/>
        <v>2</v>
      </c>
      <c r="W2030" t="str">
        <f t="shared" si="819"/>
        <v>Siempre</v>
      </c>
      <c r="X2030">
        <v>0</v>
      </c>
      <c r="Y2030" t="str">
        <f t="shared" si="820"/>
        <v>No controla</v>
      </c>
      <c r="Z2030">
        <v>1324805</v>
      </c>
      <c r="AA2030">
        <f t="shared" si="821"/>
        <v>3</v>
      </c>
      <c r="AB2030" t="str">
        <f t="shared" si="822"/>
        <v>Siempre</v>
      </c>
      <c r="AC2030">
        <v>0.87079499999999999</v>
      </c>
      <c r="AD2030">
        <f t="shared" si="823"/>
        <v>0</v>
      </c>
      <c r="AE2030" t="str">
        <f t="shared" si="824"/>
        <v>Nunca</v>
      </c>
      <c r="AF2030">
        <v>1</v>
      </c>
      <c r="AG2030" t="str">
        <f t="shared" si="825"/>
        <v>A veces</v>
      </c>
      <c r="AH2030">
        <v>0</v>
      </c>
      <c r="AI2030" t="str">
        <f t="shared" si="826"/>
        <v>No usa</v>
      </c>
      <c r="AJ2030">
        <v>0</v>
      </c>
      <c r="AK2030" t="str">
        <f t="shared" si="827"/>
        <v>No usa</v>
      </c>
      <c r="AL2030">
        <v>0</v>
      </c>
      <c r="AM2030" t="str">
        <f t="shared" si="828"/>
        <v>No usa</v>
      </c>
      <c r="AN2030">
        <v>1</v>
      </c>
      <c r="AO2030" t="str">
        <f t="shared" si="829"/>
        <v>Usa Transporte</v>
      </c>
      <c r="AP2030">
        <v>0</v>
      </c>
      <c r="AQ2030" t="str">
        <f t="shared" si="830"/>
        <v>No camina</v>
      </c>
      <c r="AR2030">
        <v>1</v>
      </c>
      <c r="AS2030" t="str">
        <f t="shared" si="831"/>
        <v>Es Obeso</v>
      </c>
    </row>
    <row r="2031" spans="1:45" x14ac:dyDescent="0.25">
      <c r="A2031">
        <v>0</v>
      </c>
      <c r="B2031" t="str">
        <f t="shared" si="806"/>
        <v>F</v>
      </c>
      <c r="C2031">
        <v>20438478</v>
      </c>
      <c r="D2031">
        <f t="shared" si="807"/>
        <v>55</v>
      </c>
      <c r="E2031">
        <f t="shared" si="808"/>
        <v>55</v>
      </c>
      <c r="F2031" t="str">
        <f t="shared" si="809"/>
        <v>50-75</v>
      </c>
      <c r="G2031">
        <v>1</v>
      </c>
      <c r="H2031" t="str">
        <f t="shared" si="810"/>
        <v>Pariente gordo</v>
      </c>
      <c r="I2031">
        <v>1</v>
      </c>
      <c r="J2031" t="str">
        <f t="shared" si="811"/>
        <v>Hipercaloricos</v>
      </c>
      <c r="K2031">
        <v>3</v>
      </c>
      <c r="L2031">
        <f t="shared" si="812"/>
        <v>1</v>
      </c>
      <c r="M2031" t="str">
        <f t="shared" si="813"/>
        <v>Suele comer</v>
      </c>
      <c r="N2031">
        <v>3</v>
      </c>
      <c r="O2031">
        <f t="shared" si="814"/>
        <v>2</v>
      </c>
      <c r="P2031" t="str">
        <f t="shared" si="815"/>
        <v>Mas de 3</v>
      </c>
      <c r="Q2031">
        <v>1</v>
      </c>
      <c r="R2031" t="str">
        <f t="shared" si="816"/>
        <v>A veces</v>
      </c>
      <c r="S2031">
        <v>0</v>
      </c>
      <c r="T2031" t="str">
        <f t="shared" si="817"/>
        <v>No fuma</v>
      </c>
      <c r="U2031">
        <v>2387991</v>
      </c>
      <c r="V2031">
        <f t="shared" si="818"/>
        <v>2</v>
      </c>
      <c r="W2031" t="str">
        <f t="shared" si="819"/>
        <v>Siempre</v>
      </c>
      <c r="X2031">
        <v>0</v>
      </c>
      <c r="Y2031" t="str">
        <f t="shared" si="820"/>
        <v>No controla</v>
      </c>
      <c r="Z2031">
        <v>0.850715</v>
      </c>
      <c r="AA2031">
        <f t="shared" si="821"/>
        <v>0</v>
      </c>
      <c r="AB2031" t="str">
        <f t="shared" si="822"/>
        <v>Nunca</v>
      </c>
      <c r="AC2031">
        <v>0.65649100000000005</v>
      </c>
      <c r="AD2031">
        <f t="shared" si="823"/>
        <v>0</v>
      </c>
      <c r="AE2031" t="str">
        <f t="shared" si="824"/>
        <v>Nunca</v>
      </c>
      <c r="AF2031">
        <v>1</v>
      </c>
      <c r="AG2031" t="str">
        <f t="shared" si="825"/>
        <v>A veces</v>
      </c>
      <c r="AH2031">
        <v>0</v>
      </c>
      <c r="AI2031" t="str">
        <f t="shared" si="826"/>
        <v>No usa</v>
      </c>
      <c r="AJ2031">
        <v>0</v>
      </c>
      <c r="AK2031" t="str">
        <f t="shared" si="827"/>
        <v>No usa</v>
      </c>
      <c r="AL2031">
        <v>0</v>
      </c>
      <c r="AM2031" t="str">
        <f t="shared" si="828"/>
        <v>No usa</v>
      </c>
      <c r="AN2031">
        <v>1</v>
      </c>
      <c r="AO2031" t="str">
        <f t="shared" si="829"/>
        <v>Usa Transporte</v>
      </c>
      <c r="AP2031">
        <v>0</v>
      </c>
      <c r="AQ2031" t="str">
        <f t="shared" si="830"/>
        <v>No camina</v>
      </c>
      <c r="AR2031">
        <v>1</v>
      </c>
      <c r="AS2031" t="str">
        <f t="shared" si="831"/>
        <v>Es Obeso</v>
      </c>
    </row>
    <row r="2032" spans="1:45" x14ac:dyDescent="0.25">
      <c r="A2032">
        <v>0</v>
      </c>
      <c r="B2032" t="str">
        <f t="shared" si="806"/>
        <v>F</v>
      </c>
      <c r="C2032">
        <v>20796266</v>
      </c>
      <c r="D2032">
        <f t="shared" si="807"/>
        <v>56</v>
      </c>
      <c r="E2032">
        <f t="shared" si="808"/>
        <v>56</v>
      </c>
      <c r="F2032" t="str">
        <f t="shared" si="809"/>
        <v>50-75</v>
      </c>
      <c r="G2032">
        <v>1</v>
      </c>
      <c r="H2032" t="str">
        <f t="shared" si="810"/>
        <v>Pariente gordo</v>
      </c>
      <c r="I2032">
        <v>1</v>
      </c>
      <c r="J2032" t="str">
        <f t="shared" si="811"/>
        <v>Hipercaloricos</v>
      </c>
      <c r="K2032">
        <v>3</v>
      </c>
      <c r="L2032">
        <f t="shared" si="812"/>
        <v>1</v>
      </c>
      <c r="M2032" t="str">
        <f t="shared" si="813"/>
        <v>Suele comer</v>
      </c>
      <c r="N2032">
        <v>3</v>
      </c>
      <c r="O2032">
        <f t="shared" si="814"/>
        <v>2</v>
      </c>
      <c r="P2032" t="str">
        <f t="shared" si="815"/>
        <v>Mas de 3</v>
      </c>
      <c r="Q2032">
        <v>1</v>
      </c>
      <c r="R2032" t="str">
        <f t="shared" si="816"/>
        <v>A veces</v>
      </c>
      <c r="S2032">
        <v>0</v>
      </c>
      <c r="T2032" t="str">
        <f t="shared" si="817"/>
        <v>No fuma</v>
      </c>
      <c r="U2032">
        <v>2322003</v>
      </c>
      <c r="V2032">
        <f t="shared" si="818"/>
        <v>2</v>
      </c>
      <c r="W2032" t="str">
        <f t="shared" si="819"/>
        <v>Siempre</v>
      </c>
      <c r="X2032">
        <v>0</v>
      </c>
      <c r="Y2032" t="str">
        <f t="shared" si="820"/>
        <v>No controla</v>
      </c>
      <c r="Z2032">
        <v>0.886602</v>
      </c>
      <c r="AA2032">
        <f t="shared" si="821"/>
        <v>0</v>
      </c>
      <c r="AB2032" t="str">
        <f t="shared" si="822"/>
        <v>Nunca</v>
      </c>
      <c r="AC2032">
        <v>0.843283</v>
      </c>
      <c r="AD2032">
        <f t="shared" si="823"/>
        <v>0</v>
      </c>
      <c r="AE2032" t="str">
        <f t="shared" si="824"/>
        <v>Nunca</v>
      </c>
      <c r="AF2032">
        <v>1</v>
      </c>
      <c r="AG2032" t="str">
        <f t="shared" si="825"/>
        <v>A veces</v>
      </c>
      <c r="AH2032">
        <v>0</v>
      </c>
      <c r="AI2032" t="str">
        <f t="shared" si="826"/>
        <v>No usa</v>
      </c>
      <c r="AJ2032">
        <v>0</v>
      </c>
      <c r="AK2032" t="str">
        <f t="shared" si="827"/>
        <v>No usa</v>
      </c>
      <c r="AL2032">
        <v>0</v>
      </c>
      <c r="AM2032" t="str">
        <f t="shared" si="828"/>
        <v>No usa</v>
      </c>
      <c r="AN2032">
        <v>1</v>
      </c>
      <c r="AO2032" t="str">
        <f t="shared" si="829"/>
        <v>Usa Transporte</v>
      </c>
      <c r="AP2032">
        <v>0</v>
      </c>
      <c r="AQ2032" t="str">
        <f t="shared" si="830"/>
        <v>No camina</v>
      </c>
      <c r="AR2032">
        <v>1</v>
      </c>
      <c r="AS2032" t="str">
        <f t="shared" si="831"/>
        <v>Es Obeso</v>
      </c>
    </row>
    <row r="2033" spans="1:45" x14ac:dyDescent="0.25">
      <c r="A2033">
        <v>0</v>
      </c>
      <c r="B2033" t="str">
        <f t="shared" si="806"/>
        <v>F</v>
      </c>
      <c r="C2033">
        <v>26</v>
      </c>
      <c r="D2033">
        <f t="shared" si="807"/>
        <v>26</v>
      </c>
      <c r="E2033">
        <f t="shared" si="808"/>
        <v>26</v>
      </c>
      <c r="F2033" t="str">
        <f t="shared" si="809"/>
        <v>25-50</v>
      </c>
      <c r="G2033">
        <v>1</v>
      </c>
      <c r="H2033" t="str">
        <f t="shared" si="810"/>
        <v>Pariente gordo</v>
      </c>
      <c r="I2033">
        <v>1</v>
      </c>
      <c r="J2033" t="str">
        <f t="shared" si="811"/>
        <v>Hipercaloricos</v>
      </c>
      <c r="K2033">
        <v>3</v>
      </c>
      <c r="L2033">
        <f t="shared" si="812"/>
        <v>1</v>
      </c>
      <c r="M2033" t="str">
        <f t="shared" si="813"/>
        <v>Suele comer</v>
      </c>
      <c r="N2033">
        <v>3</v>
      </c>
      <c r="O2033">
        <f t="shared" si="814"/>
        <v>2</v>
      </c>
      <c r="P2033" t="str">
        <f t="shared" si="815"/>
        <v>Mas de 3</v>
      </c>
      <c r="Q2033">
        <v>1</v>
      </c>
      <c r="R2033" t="str">
        <f t="shared" si="816"/>
        <v>A veces</v>
      </c>
      <c r="S2033">
        <v>0</v>
      </c>
      <c r="T2033" t="str">
        <f t="shared" si="817"/>
        <v>No fuma</v>
      </c>
      <c r="U2033">
        <v>2737353</v>
      </c>
      <c r="V2033">
        <f t="shared" si="818"/>
        <v>2</v>
      </c>
      <c r="W2033" t="str">
        <f t="shared" si="819"/>
        <v>Siempre</v>
      </c>
      <c r="X2033">
        <v>0</v>
      </c>
      <c r="Y2033" t="str">
        <f t="shared" si="820"/>
        <v>No controla</v>
      </c>
      <c r="Z2033">
        <v>0</v>
      </c>
      <c r="AA2033">
        <f t="shared" si="821"/>
        <v>0</v>
      </c>
      <c r="AB2033" t="str">
        <f t="shared" si="822"/>
        <v>Nunca</v>
      </c>
      <c r="AC2033">
        <v>7.6093999999999995E-2</v>
      </c>
      <c r="AD2033">
        <f t="shared" si="823"/>
        <v>0</v>
      </c>
      <c r="AE2033" t="str">
        <f t="shared" si="824"/>
        <v>Nunca</v>
      </c>
      <c r="AF2033">
        <v>1</v>
      </c>
      <c r="AG2033" t="str">
        <f t="shared" si="825"/>
        <v>A veces</v>
      </c>
      <c r="AH2033">
        <v>0</v>
      </c>
      <c r="AI2033" t="str">
        <f t="shared" si="826"/>
        <v>No usa</v>
      </c>
      <c r="AJ2033">
        <v>0</v>
      </c>
      <c r="AK2033" t="str">
        <f t="shared" si="827"/>
        <v>No usa</v>
      </c>
      <c r="AL2033">
        <v>0</v>
      </c>
      <c r="AM2033" t="str">
        <f t="shared" si="828"/>
        <v>No usa</v>
      </c>
      <c r="AN2033">
        <v>1</v>
      </c>
      <c r="AO2033" t="str">
        <f t="shared" si="829"/>
        <v>Usa Transporte</v>
      </c>
      <c r="AP2033">
        <v>0</v>
      </c>
      <c r="AQ2033" t="str">
        <f t="shared" si="830"/>
        <v>No camina</v>
      </c>
      <c r="AR2033">
        <v>1</v>
      </c>
      <c r="AS2033" t="str">
        <f t="shared" si="831"/>
        <v>Es Obeso</v>
      </c>
    </row>
    <row r="2034" spans="1:45" x14ac:dyDescent="0.25">
      <c r="A2034">
        <v>0</v>
      </c>
      <c r="B2034" t="str">
        <f t="shared" si="806"/>
        <v>F</v>
      </c>
      <c r="C2034">
        <v>26</v>
      </c>
      <c r="D2034">
        <f t="shared" si="807"/>
        <v>26</v>
      </c>
      <c r="E2034">
        <f t="shared" si="808"/>
        <v>26</v>
      </c>
      <c r="F2034" t="str">
        <f t="shared" si="809"/>
        <v>25-50</v>
      </c>
      <c r="G2034">
        <v>1</v>
      </c>
      <c r="H2034" t="str">
        <f t="shared" si="810"/>
        <v>Pariente gordo</v>
      </c>
      <c r="I2034">
        <v>1</v>
      </c>
      <c r="J2034" t="str">
        <f t="shared" si="811"/>
        <v>Hipercaloricos</v>
      </c>
      <c r="K2034">
        <v>3</v>
      </c>
      <c r="L2034">
        <f t="shared" si="812"/>
        <v>1</v>
      </c>
      <c r="M2034" t="str">
        <f t="shared" si="813"/>
        <v>Suele comer</v>
      </c>
      <c r="N2034">
        <v>3</v>
      </c>
      <c r="O2034">
        <f t="shared" si="814"/>
        <v>2</v>
      </c>
      <c r="P2034" t="str">
        <f t="shared" si="815"/>
        <v>Mas de 3</v>
      </c>
      <c r="Q2034">
        <v>1</v>
      </c>
      <c r="R2034" t="str">
        <f t="shared" si="816"/>
        <v>A veces</v>
      </c>
      <c r="S2034">
        <v>0</v>
      </c>
      <c r="T2034" t="str">
        <f t="shared" si="817"/>
        <v>No fuma</v>
      </c>
      <c r="U2034">
        <v>2739351</v>
      </c>
      <c r="V2034">
        <f t="shared" si="818"/>
        <v>2</v>
      </c>
      <c r="W2034" t="str">
        <f t="shared" si="819"/>
        <v>Siempre</v>
      </c>
      <c r="X2034">
        <v>0</v>
      </c>
      <c r="Y2034" t="str">
        <f t="shared" si="820"/>
        <v>No controla</v>
      </c>
      <c r="Z2034">
        <v>0</v>
      </c>
      <c r="AA2034">
        <f t="shared" si="821"/>
        <v>0</v>
      </c>
      <c r="AB2034" t="str">
        <f t="shared" si="822"/>
        <v>Nunca</v>
      </c>
      <c r="AC2034">
        <v>6.4768999999999993E-2</v>
      </c>
      <c r="AD2034">
        <f t="shared" si="823"/>
        <v>0</v>
      </c>
      <c r="AE2034" t="str">
        <f t="shared" si="824"/>
        <v>Nunca</v>
      </c>
      <c r="AF2034">
        <v>1</v>
      </c>
      <c r="AG2034" t="str">
        <f t="shared" si="825"/>
        <v>A veces</v>
      </c>
      <c r="AH2034">
        <v>0</v>
      </c>
      <c r="AI2034" t="str">
        <f t="shared" si="826"/>
        <v>No usa</v>
      </c>
      <c r="AJ2034">
        <v>0</v>
      </c>
      <c r="AK2034" t="str">
        <f t="shared" si="827"/>
        <v>No usa</v>
      </c>
      <c r="AL2034">
        <v>0</v>
      </c>
      <c r="AM2034" t="str">
        <f t="shared" si="828"/>
        <v>No usa</v>
      </c>
      <c r="AN2034">
        <v>1</v>
      </c>
      <c r="AO2034" t="str">
        <f t="shared" si="829"/>
        <v>Usa Transporte</v>
      </c>
      <c r="AP2034">
        <v>0</v>
      </c>
      <c r="AQ2034" t="str">
        <f t="shared" si="830"/>
        <v>No camina</v>
      </c>
      <c r="AR2034">
        <v>1</v>
      </c>
      <c r="AS2034" t="str">
        <f t="shared" si="831"/>
        <v>Es Obeso</v>
      </c>
    </row>
    <row r="2035" spans="1:45" x14ac:dyDescent="0.25">
      <c r="A2035">
        <v>0</v>
      </c>
      <c r="B2035" t="str">
        <f t="shared" si="806"/>
        <v>F</v>
      </c>
      <c r="C2035">
        <v>26</v>
      </c>
      <c r="D2035">
        <f t="shared" si="807"/>
        <v>26</v>
      </c>
      <c r="E2035">
        <f t="shared" si="808"/>
        <v>26</v>
      </c>
      <c r="F2035" t="str">
        <f t="shared" si="809"/>
        <v>25-50</v>
      </c>
      <c r="G2035">
        <v>1</v>
      </c>
      <c r="H2035" t="str">
        <f t="shared" si="810"/>
        <v>Pariente gordo</v>
      </c>
      <c r="I2035">
        <v>1</v>
      </c>
      <c r="J2035" t="str">
        <f t="shared" si="811"/>
        <v>Hipercaloricos</v>
      </c>
      <c r="K2035">
        <v>3</v>
      </c>
      <c r="L2035">
        <f t="shared" si="812"/>
        <v>1</v>
      </c>
      <c r="M2035" t="str">
        <f t="shared" si="813"/>
        <v>Suele comer</v>
      </c>
      <c r="N2035">
        <v>3</v>
      </c>
      <c r="O2035">
        <f t="shared" si="814"/>
        <v>2</v>
      </c>
      <c r="P2035" t="str">
        <f t="shared" si="815"/>
        <v>Mas de 3</v>
      </c>
      <c r="Q2035">
        <v>1</v>
      </c>
      <c r="R2035" t="str">
        <f t="shared" si="816"/>
        <v>A veces</v>
      </c>
      <c r="S2035">
        <v>0</v>
      </c>
      <c r="T2035" t="str">
        <f t="shared" si="817"/>
        <v>No fuma</v>
      </c>
      <c r="U2035">
        <v>2632498</v>
      </c>
      <c r="V2035">
        <f t="shared" si="818"/>
        <v>2</v>
      </c>
      <c r="W2035" t="str">
        <f t="shared" si="819"/>
        <v>Siempre</v>
      </c>
      <c r="X2035">
        <v>0</v>
      </c>
      <c r="Y2035" t="str">
        <f t="shared" si="820"/>
        <v>No controla</v>
      </c>
      <c r="Z2035">
        <v>0</v>
      </c>
      <c r="AA2035">
        <f t="shared" si="821"/>
        <v>0</v>
      </c>
      <c r="AB2035" t="str">
        <f t="shared" si="822"/>
        <v>Nunca</v>
      </c>
      <c r="AC2035">
        <v>0.140792</v>
      </c>
      <c r="AD2035">
        <f t="shared" si="823"/>
        <v>0</v>
      </c>
      <c r="AE2035" t="str">
        <f t="shared" si="824"/>
        <v>Nunca</v>
      </c>
      <c r="AF2035">
        <v>1</v>
      </c>
      <c r="AG2035" t="str">
        <f t="shared" si="825"/>
        <v>A veces</v>
      </c>
      <c r="AH2035">
        <v>0</v>
      </c>
      <c r="AI2035" t="str">
        <f t="shared" si="826"/>
        <v>No usa</v>
      </c>
      <c r="AJ2035">
        <v>0</v>
      </c>
      <c r="AK2035" t="str">
        <f t="shared" si="827"/>
        <v>No usa</v>
      </c>
      <c r="AL2035">
        <v>0</v>
      </c>
      <c r="AM2035" t="str">
        <f t="shared" si="828"/>
        <v>No usa</v>
      </c>
      <c r="AN2035">
        <v>1</v>
      </c>
      <c r="AO2035" t="str">
        <f t="shared" si="829"/>
        <v>Usa Transporte</v>
      </c>
      <c r="AP2035">
        <v>0</v>
      </c>
      <c r="AQ2035" t="str">
        <f t="shared" si="830"/>
        <v>No camina</v>
      </c>
      <c r="AR2035">
        <v>1</v>
      </c>
      <c r="AS2035" t="str">
        <f t="shared" si="831"/>
        <v>Es Obeso</v>
      </c>
    </row>
    <row r="2036" spans="1:45" x14ac:dyDescent="0.25">
      <c r="A2036">
        <v>0</v>
      </c>
      <c r="B2036" t="str">
        <f t="shared" si="806"/>
        <v>F</v>
      </c>
      <c r="C2036">
        <v>26</v>
      </c>
      <c r="D2036">
        <f t="shared" si="807"/>
        <v>26</v>
      </c>
      <c r="E2036">
        <f t="shared" si="808"/>
        <v>26</v>
      </c>
      <c r="F2036" t="str">
        <f t="shared" si="809"/>
        <v>25-50</v>
      </c>
      <c r="G2036">
        <v>1</v>
      </c>
      <c r="H2036" t="str">
        <f t="shared" si="810"/>
        <v>Pariente gordo</v>
      </c>
      <c r="I2036">
        <v>1</v>
      </c>
      <c r="J2036" t="str">
        <f t="shared" si="811"/>
        <v>Hipercaloricos</v>
      </c>
      <c r="K2036">
        <v>3</v>
      </c>
      <c r="L2036">
        <f t="shared" si="812"/>
        <v>1</v>
      </c>
      <c r="M2036" t="str">
        <f t="shared" si="813"/>
        <v>Suele comer</v>
      </c>
      <c r="N2036">
        <v>3</v>
      </c>
      <c r="O2036">
        <f t="shared" si="814"/>
        <v>2</v>
      </c>
      <c r="P2036" t="str">
        <f t="shared" si="815"/>
        <v>Mas de 3</v>
      </c>
      <c r="Q2036">
        <v>1</v>
      </c>
      <c r="R2036" t="str">
        <f t="shared" si="816"/>
        <v>A veces</v>
      </c>
      <c r="S2036">
        <v>0</v>
      </c>
      <c r="T2036" t="str">
        <f t="shared" si="817"/>
        <v>No fuma</v>
      </c>
      <c r="U2036">
        <v>2632253</v>
      </c>
      <c r="V2036">
        <f t="shared" si="818"/>
        <v>2</v>
      </c>
      <c r="W2036" t="str">
        <f t="shared" si="819"/>
        <v>Siempre</v>
      </c>
      <c r="X2036">
        <v>0</v>
      </c>
      <c r="Y2036" t="str">
        <f t="shared" si="820"/>
        <v>No controla</v>
      </c>
      <c r="Z2036">
        <v>0</v>
      </c>
      <c r="AA2036">
        <f t="shared" si="821"/>
        <v>0</v>
      </c>
      <c r="AB2036" t="str">
        <f t="shared" si="822"/>
        <v>Nunca</v>
      </c>
      <c r="AC2036">
        <v>0.24420500000000001</v>
      </c>
      <c r="AD2036">
        <f t="shared" si="823"/>
        <v>0</v>
      </c>
      <c r="AE2036" t="str">
        <f t="shared" si="824"/>
        <v>Nunca</v>
      </c>
      <c r="AF2036">
        <v>1</v>
      </c>
      <c r="AG2036" t="str">
        <f t="shared" si="825"/>
        <v>A veces</v>
      </c>
      <c r="AH2036">
        <v>0</v>
      </c>
      <c r="AI2036" t="str">
        <f t="shared" si="826"/>
        <v>No usa</v>
      </c>
      <c r="AJ2036">
        <v>0</v>
      </c>
      <c r="AK2036" t="str">
        <f t="shared" si="827"/>
        <v>No usa</v>
      </c>
      <c r="AL2036">
        <v>0</v>
      </c>
      <c r="AM2036" t="str">
        <f t="shared" si="828"/>
        <v>No usa</v>
      </c>
      <c r="AN2036">
        <v>1</v>
      </c>
      <c r="AO2036" t="str">
        <f t="shared" si="829"/>
        <v>Usa Transporte</v>
      </c>
      <c r="AP2036">
        <v>0</v>
      </c>
      <c r="AQ2036" t="str">
        <f t="shared" si="830"/>
        <v>No camina</v>
      </c>
      <c r="AR2036">
        <v>1</v>
      </c>
      <c r="AS2036" t="str">
        <f t="shared" si="831"/>
        <v>Es Obeso</v>
      </c>
    </row>
    <row r="2037" spans="1:45" x14ac:dyDescent="0.25">
      <c r="A2037">
        <v>0</v>
      </c>
      <c r="B2037" t="str">
        <f t="shared" si="806"/>
        <v>F</v>
      </c>
      <c r="C2037">
        <v>26</v>
      </c>
      <c r="D2037">
        <f t="shared" si="807"/>
        <v>26</v>
      </c>
      <c r="E2037">
        <f t="shared" si="808"/>
        <v>26</v>
      </c>
      <c r="F2037" t="str">
        <f t="shared" si="809"/>
        <v>25-50</v>
      </c>
      <c r="G2037">
        <v>1</v>
      </c>
      <c r="H2037" t="str">
        <f t="shared" si="810"/>
        <v>Pariente gordo</v>
      </c>
      <c r="I2037">
        <v>1</v>
      </c>
      <c r="J2037" t="str">
        <f t="shared" si="811"/>
        <v>Hipercaloricos</v>
      </c>
      <c r="K2037">
        <v>3</v>
      </c>
      <c r="L2037">
        <f t="shared" si="812"/>
        <v>1</v>
      </c>
      <c r="M2037" t="str">
        <f t="shared" si="813"/>
        <v>Suele comer</v>
      </c>
      <c r="N2037">
        <v>3</v>
      </c>
      <c r="O2037">
        <f t="shared" si="814"/>
        <v>2</v>
      </c>
      <c r="P2037" t="str">
        <f t="shared" si="815"/>
        <v>Mas de 3</v>
      </c>
      <c r="Q2037">
        <v>1</v>
      </c>
      <c r="R2037" t="str">
        <f t="shared" si="816"/>
        <v>A veces</v>
      </c>
      <c r="S2037">
        <v>0</v>
      </c>
      <c r="T2037" t="str">
        <f t="shared" si="817"/>
        <v>No fuma</v>
      </c>
      <c r="U2037">
        <v>257721</v>
      </c>
      <c r="V2037">
        <f t="shared" si="818"/>
        <v>2</v>
      </c>
      <c r="W2037" t="str">
        <f t="shared" si="819"/>
        <v>Siempre</v>
      </c>
      <c r="X2037">
        <v>0</v>
      </c>
      <c r="Y2037" t="str">
        <f t="shared" si="820"/>
        <v>No controla</v>
      </c>
      <c r="Z2037">
        <v>0</v>
      </c>
      <c r="AA2037">
        <f t="shared" si="821"/>
        <v>0</v>
      </c>
      <c r="AB2037" t="str">
        <f t="shared" si="822"/>
        <v>Nunca</v>
      </c>
      <c r="AC2037">
        <v>0.40207500000000002</v>
      </c>
      <c r="AD2037">
        <f t="shared" si="823"/>
        <v>0</v>
      </c>
      <c r="AE2037" t="str">
        <f t="shared" si="824"/>
        <v>Nunca</v>
      </c>
      <c r="AF2037">
        <v>1</v>
      </c>
      <c r="AG2037" t="str">
        <f t="shared" si="825"/>
        <v>A veces</v>
      </c>
      <c r="AH2037">
        <v>0</v>
      </c>
      <c r="AI2037" t="str">
        <f t="shared" si="826"/>
        <v>No usa</v>
      </c>
      <c r="AJ2037">
        <v>0</v>
      </c>
      <c r="AK2037" t="str">
        <f t="shared" si="827"/>
        <v>No usa</v>
      </c>
      <c r="AL2037">
        <v>0</v>
      </c>
      <c r="AM2037" t="str">
        <f t="shared" si="828"/>
        <v>No usa</v>
      </c>
      <c r="AN2037">
        <v>1</v>
      </c>
      <c r="AO2037" t="str">
        <f t="shared" si="829"/>
        <v>Usa Transporte</v>
      </c>
      <c r="AP2037">
        <v>0</v>
      </c>
      <c r="AQ2037" t="str">
        <f t="shared" si="830"/>
        <v>No camina</v>
      </c>
      <c r="AR2037">
        <v>1</v>
      </c>
      <c r="AS2037" t="str">
        <f t="shared" si="831"/>
        <v>Es Obeso</v>
      </c>
    </row>
    <row r="2038" spans="1:45" x14ac:dyDescent="0.25">
      <c r="A2038">
        <v>0</v>
      </c>
      <c r="B2038" t="str">
        <f t="shared" si="806"/>
        <v>F</v>
      </c>
      <c r="C2038">
        <v>25992898</v>
      </c>
      <c r="D2038">
        <f t="shared" si="807"/>
        <v>71</v>
      </c>
      <c r="E2038">
        <f t="shared" si="808"/>
        <v>71</v>
      </c>
      <c r="F2038" t="str">
        <f t="shared" si="809"/>
        <v>50-75</v>
      </c>
      <c r="G2038">
        <v>1</v>
      </c>
      <c r="H2038" t="str">
        <f t="shared" si="810"/>
        <v>Pariente gordo</v>
      </c>
      <c r="I2038">
        <v>1</v>
      </c>
      <c r="J2038" t="str">
        <f t="shared" si="811"/>
        <v>Hipercaloricos</v>
      </c>
      <c r="K2038">
        <v>3</v>
      </c>
      <c r="L2038">
        <f t="shared" si="812"/>
        <v>1</v>
      </c>
      <c r="M2038" t="str">
        <f t="shared" si="813"/>
        <v>Suele comer</v>
      </c>
      <c r="N2038">
        <v>3</v>
      </c>
      <c r="O2038">
        <f t="shared" si="814"/>
        <v>2</v>
      </c>
      <c r="P2038" t="str">
        <f t="shared" si="815"/>
        <v>Mas de 3</v>
      </c>
      <c r="Q2038">
        <v>1</v>
      </c>
      <c r="R2038" t="str">
        <f t="shared" si="816"/>
        <v>A veces</v>
      </c>
      <c r="S2038">
        <v>0</v>
      </c>
      <c r="T2038" t="str">
        <f t="shared" si="817"/>
        <v>No fuma</v>
      </c>
      <c r="U2038">
        <v>2419153</v>
      </c>
      <c r="V2038">
        <f t="shared" si="818"/>
        <v>2</v>
      </c>
      <c r="W2038" t="str">
        <f t="shared" si="819"/>
        <v>Siempre</v>
      </c>
      <c r="X2038">
        <v>0</v>
      </c>
      <c r="Y2038" t="str">
        <f t="shared" si="820"/>
        <v>No controla</v>
      </c>
      <c r="Z2038">
        <v>1.9404000000000001E-2</v>
      </c>
      <c r="AA2038">
        <f t="shared" si="821"/>
        <v>0</v>
      </c>
      <c r="AB2038" t="str">
        <f t="shared" si="822"/>
        <v>Nunca</v>
      </c>
      <c r="AC2038">
        <v>0.59762599999999999</v>
      </c>
      <c r="AD2038">
        <f t="shared" si="823"/>
        <v>0</v>
      </c>
      <c r="AE2038" t="str">
        <f t="shared" si="824"/>
        <v>Nunca</v>
      </c>
      <c r="AF2038">
        <v>1</v>
      </c>
      <c r="AG2038" t="str">
        <f t="shared" si="825"/>
        <v>A veces</v>
      </c>
      <c r="AH2038">
        <v>0</v>
      </c>
      <c r="AI2038" t="str">
        <f t="shared" si="826"/>
        <v>No usa</v>
      </c>
      <c r="AJ2038">
        <v>0</v>
      </c>
      <c r="AK2038" t="str">
        <f t="shared" si="827"/>
        <v>No usa</v>
      </c>
      <c r="AL2038">
        <v>0</v>
      </c>
      <c r="AM2038" t="str">
        <f t="shared" si="828"/>
        <v>No usa</v>
      </c>
      <c r="AN2038">
        <v>1</v>
      </c>
      <c r="AO2038" t="str">
        <f t="shared" si="829"/>
        <v>Usa Transporte</v>
      </c>
      <c r="AP2038">
        <v>0</v>
      </c>
      <c r="AQ2038" t="str">
        <f t="shared" si="830"/>
        <v>No camina</v>
      </c>
      <c r="AR2038">
        <v>1</v>
      </c>
      <c r="AS2038" t="str">
        <f t="shared" si="831"/>
        <v>Es Obeso</v>
      </c>
    </row>
    <row r="2039" spans="1:45" x14ac:dyDescent="0.25">
      <c r="A2039">
        <v>0</v>
      </c>
      <c r="B2039" t="str">
        <f t="shared" si="806"/>
        <v>F</v>
      </c>
      <c r="C2039">
        <v>26</v>
      </c>
      <c r="D2039">
        <f t="shared" si="807"/>
        <v>26</v>
      </c>
      <c r="E2039">
        <f t="shared" si="808"/>
        <v>26</v>
      </c>
      <c r="F2039" t="str">
        <f t="shared" si="809"/>
        <v>25-50</v>
      </c>
      <c r="G2039">
        <v>1</v>
      </c>
      <c r="H2039" t="str">
        <f t="shared" si="810"/>
        <v>Pariente gordo</v>
      </c>
      <c r="I2039">
        <v>1</v>
      </c>
      <c r="J2039" t="str">
        <f t="shared" si="811"/>
        <v>Hipercaloricos</v>
      </c>
      <c r="K2039">
        <v>3</v>
      </c>
      <c r="L2039">
        <f t="shared" si="812"/>
        <v>1</v>
      </c>
      <c r="M2039" t="str">
        <f t="shared" si="813"/>
        <v>Suele comer</v>
      </c>
      <c r="N2039">
        <v>3</v>
      </c>
      <c r="O2039">
        <f t="shared" si="814"/>
        <v>2</v>
      </c>
      <c r="P2039" t="str">
        <f t="shared" si="815"/>
        <v>Mas de 3</v>
      </c>
      <c r="Q2039">
        <v>1</v>
      </c>
      <c r="R2039" t="str">
        <f t="shared" si="816"/>
        <v>A veces</v>
      </c>
      <c r="S2039">
        <v>0</v>
      </c>
      <c r="T2039" t="str">
        <f t="shared" si="817"/>
        <v>No fuma</v>
      </c>
      <c r="U2039">
        <v>2609052</v>
      </c>
      <c r="V2039">
        <f t="shared" si="818"/>
        <v>2</v>
      </c>
      <c r="W2039" t="str">
        <f t="shared" si="819"/>
        <v>Siempre</v>
      </c>
      <c r="X2039">
        <v>0</v>
      </c>
      <c r="Y2039" t="str">
        <f t="shared" si="820"/>
        <v>No controla</v>
      </c>
      <c r="Z2039">
        <v>0</v>
      </c>
      <c r="AA2039">
        <f t="shared" si="821"/>
        <v>0</v>
      </c>
      <c r="AB2039" t="str">
        <f t="shared" si="822"/>
        <v>Nunca</v>
      </c>
      <c r="AC2039">
        <v>0.54859000000000002</v>
      </c>
      <c r="AD2039">
        <f t="shared" si="823"/>
        <v>0</v>
      </c>
      <c r="AE2039" t="str">
        <f t="shared" si="824"/>
        <v>Nunca</v>
      </c>
      <c r="AF2039">
        <v>1</v>
      </c>
      <c r="AG2039" t="str">
        <f t="shared" si="825"/>
        <v>A veces</v>
      </c>
      <c r="AH2039">
        <v>0</v>
      </c>
      <c r="AI2039" t="str">
        <f t="shared" si="826"/>
        <v>No usa</v>
      </c>
      <c r="AJ2039">
        <v>0</v>
      </c>
      <c r="AK2039" t="str">
        <f t="shared" si="827"/>
        <v>No usa</v>
      </c>
      <c r="AL2039">
        <v>0</v>
      </c>
      <c r="AM2039" t="str">
        <f t="shared" si="828"/>
        <v>No usa</v>
      </c>
      <c r="AN2039">
        <v>1</v>
      </c>
      <c r="AO2039" t="str">
        <f t="shared" si="829"/>
        <v>Usa Transporte</v>
      </c>
      <c r="AP2039">
        <v>0</v>
      </c>
      <c r="AQ2039" t="str">
        <f t="shared" si="830"/>
        <v>No camina</v>
      </c>
      <c r="AR2039">
        <v>1</v>
      </c>
      <c r="AS2039" t="str">
        <f t="shared" si="831"/>
        <v>Es Obeso</v>
      </c>
    </row>
    <row r="2040" spans="1:45" x14ac:dyDescent="0.25">
      <c r="A2040">
        <v>0</v>
      </c>
      <c r="B2040" t="str">
        <f t="shared" si="806"/>
        <v>F</v>
      </c>
      <c r="C2040">
        <v>26</v>
      </c>
      <c r="D2040">
        <f t="shared" si="807"/>
        <v>26</v>
      </c>
      <c r="E2040">
        <f t="shared" si="808"/>
        <v>26</v>
      </c>
      <c r="F2040" t="str">
        <f t="shared" si="809"/>
        <v>25-50</v>
      </c>
      <c r="G2040">
        <v>1</v>
      </c>
      <c r="H2040" t="str">
        <f t="shared" si="810"/>
        <v>Pariente gordo</v>
      </c>
      <c r="I2040">
        <v>1</v>
      </c>
      <c r="J2040" t="str">
        <f t="shared" si="811"/>
        <v>Hipercaloricos</v>
      </c>
      <c r="K2040">
        <v>3</v>
      </c>
      <c r="L2040">
        <f t="shared" si="812"/>
        <v>1</v>
      </c>
      <c r="M2040" t="str">
        <f t="shared" si="813"/>
        <v>Suele comer</v>
      </c>
      <c r="N2040">
        <v>3</v>
      </c>
      <c r="O2040">
        <f t="shared" si="814"/>
        <v>2</v>
      </c>
      <c r="P2040" t="str">
        <f t="shared" si="815"/>
        <v>Mas de 3</v>
      </c>
      <c r="Q2040">
        <v>1</v>
      </c>
      <c r="R2040" t="str">
        <f t="shared" si="816"/>
        <v>A veces</v>
      </c>
      <c r="S2040">
        <v>0</v>
      </c>
      <c r="T2040" t="str">
        <f t="shared" si="817"/>
        <v>No fuma</v>
      </c>
      <c r="U2040">
        <v>2476002</v>
      </c>
      <c r="V2040">
        <f t="shared" si="818"/>
        <v>2</v>
      </c>
      <c r="W2040" t="str">
        <f t="shared" si="819"/>
        <v>Siempre</v>
      </c>
      <c r="X2040">
        <v>0</v>
      </c>
      <c r="Y2040" t="str">
        <f t="shared" si="820"/>
        <v>No controla</v>
      </c>
      <c r="Z2040">
        <v>0</v>
      </c>
      <c r="AA2040">
        <f t="shared" si="821"/>
        <v>0</v>
      </c>
      <c r="AB2040" t="str">
        <f t="shared" si="822"/>
        <v>Nunca</v>
      </c>
      <c r="AC2040">
        <v>0.54634499999999997</v>
      </c>
      <c r="AD2040">
        <f t="shared" si="823"/>
        <v>0</v>
      </c>
      <c r="AE2040" t="str">
        <f t="shared" si="824"/>
        <v>Nunca</v>
      </c>
      <c r="AF2040">
        <v>1</v>
      </c>
      <c r="AG2040" t="str">
        <f t="shared" si="825"/>
        <v>A veces</v>
      </c>
      <c r="AH2040">
        <v>0</v>
      </c>
      <c r="AI2040" t="str">
        <f t="shared" si="826"/>
        <v>No usa</v>
      </c>
      <c r="AJ2040">
        <v>0</v>
      </c>
      <c r="AK2040" t="str">
        <f t="shared" si="827"/>
        <v>No usa</v>
      </c>
      <c r="AL2040">
        <v>0</v>
      </c>
      <c r="AM2040" t="str">
        <f t="shared" si="828"/>
        <v>No usa</v>
      </c>
      <c r="AN2040">
        <v>1</v>
      </c>
      <c r="AO2040" t="str">
        <f t="shared" si="829"/>
        <v>Usa Transporte</v>
      </c>
      <c r="AP2040">
        <v>0</v>
      </c>
      <c r="AQ2040" t="str">
        <f t="shared" si="830"/>
        <v>No camina</v>
      </c>
      <c r="AR2040">
        <v>1</v>
      </c>
      <c r="AS2040" t="str">
        <f t="shared" si="831"/>
        <v>Es Obeso</v>
      </c>
    </row>
    <row r="2041" spans="1:45" x14ac:dyDescent="0.25">
      <c r="A2041">
        <v>0</v>
      </c>
      <c r="B2041" t="str">
        <f t="shared" si="806"/>
        <v>F</v>
      </c>
      <c r="C2041">
        <v>25951737</v>
      </c>
      <c r="D2041">
        <f t="shared" si="807"/>
        <v>71</v>
      </c>
      <c r="E2041">
        <f t="shared" si="808"/>
        <v>71</v>
      </c>
      <c r="F2041" t="str">
        <f t="shared" si="809"/>
        <v>50-75</v>
      </c>
      <c r="G2041">
        <v>1</v>
      </c>
      <c r="H2041" t="str">
        <f t="shared" si="810"/>
        <v>Pariente gordo</v>
      </c>
      <c r="I2041">
        <v>1</v>
      </c>
      <c r="J2041" t="str">
        <f t="shared" si="811"/>
        <v>Hipercaloricos</v>
      </c>
      <c r="K2041">
        <v>3</v>
      </c>
      <c r="L2041">
        <f t="shared" si="812"/>
        <v>1</v>
      </c>
      <c r="M2041" t="str">
        <f t="shared" si="813"/>
        <v>Suele comer</v>
      </c>
      <c r="N2041">
        <v>3</v>
      </c>
      <c r="O2041">
        <f t="shared" si="814"/>
        <v>2</v>
      </c>
      <c r="P2041" t="str">
        <f t="shared" si="815"/>
        <v>Mas de 3</v>
      </c>
      <c r="Q2041">
        <v>1</v>
      </c>
      <c r="R2041" t="str">
        <f t="shared" si="816"/>
        <v>A veces</v>
      </c>
      <c r="S2041">
        <v>0</v>
      </c>
      <c r="T2041" t="str">
        <f t="shared" si="817"/>
        <v>No fuma</v>
      </c>
      <c r="U2041">
        <v>2225139</v>
      </c>
      <c r="V2041">
        <f t="shared" si="818"/>
        <v>2</v>
      </c>
      <c r="W2041" t="str">
        <f t="shared" si="819"/>
        <v>Siempre</v>
      </c>
      <c r="X2041">
        <v>0</v>
      </c>
      <c r="Y2041" t="str">
        <f t="shared" si="820"/>
        <v>No controla</v>
      </c>
      <c r="Z2041">
        <v>3.5928000000000002E-2</v>
      </c>
      <c r="AA2041">
        <f t="shared" si="821"/>
        <v>0</v>
      </c>
      <c r="AB2041" t="str">
        <f t="shared" si="822"/>
        <v>Nunca</v>
      </c>
      <c r="AC2041">
        <v>0.56531500000000001</v>
      </c>
      <c r="AD2041">
        <f t="shared" si="823"/>
        <v>0</v>
      </c>
      <c r="AE2041" t="str">
        <f t="shared" si="824"/>
        <v>Nunca</v>
      </c>
      <c r="AF2041">
        <v>1</v>
      </c>
      <c r="AG2041" t="str">
        <f t="shared" si="825"/>
        <v>A veces</v>
      </c>
      <c r="AH2041">
        <v>0</v>
      </c>
      <c r="AI2041" t="str">
        <f t="shared" si="826"/>
        <v>No usa</v>
      </c>
      <c r="AJ2041">
        <v>0</v>
      </c>
      <c r="AK2041" t="str">
        <f t="shared" si="827"/>
        <v>No usa</v>
      </c>
      <c r="AL2041">
        <v>0</v>
      </c>
      <c r="AM2041" t="str">
        <f t="shared" si="828"/>
        <v>No usa</v>
      </c>
      <c r="AN2041">
        <v>1</v>
      </c>
      <c r="AO2041" t="str">
        <f t="shared" si="829"/>
        <v>Usa Transporte</v>
      </c>
      <c r="AP2041">
        <v>0</v>
      </c>
      <c r="AQ2041" t="str">
        <f t="shared" si="830"/>
        <v>No camina</v>
      </c>
      <c r="AR2041">
        <v>1</v>
      </c>
      <c r="AS2041" t="str">
        <f t="shared" si="831"/>
        <v>Es Obeso</v>
      </c>
    </row>
    <row r="2042" spans="1:45" x14ac:dyDescent="0.25">
      <c r="A2042">
        <v>0</v>
      </c>
      <c r="B2042" t="str">
        <f t="shared" si="806"/>
        <v>F</v>
      </c>
      <c r="C2042">
        <v>25982261</v>
      </c>
      <c r="D2042">
        <f t="shared" si="807"/>
        <v>71</v>
      </c>
      <c r="E2042">
        <f t="shared" si="808"/>
        <v>71</v>
      </c>
      <c r="F2042" t="str">
        <f t="shared" si="809"/>
        <v>50-75</v>
      </c>
      <c r="G2042">
        <v>1</v>
      </c>
      <c r="H2042" t="str">
        <f t="shared" si="810"/>
        <v>Pariente gordo</v>
      </c>
      <c r="I2042">
        <v>1</v>
      </c>
      <c r="J2042" t="str">
        <f t="shared" si="811"/>
        <v>Hipercaloricos</v>
      </c>
      <c r="K2042">
        <v>3</v>
      </c>
      <c r="L2042">
        <f t="shared" si="812"/>
        <v>1</v>
      </c>
      <c r="M2042" t="str">
        <f t="shared" si="813"/>
        <v>Suele comer</v>
      </c>
      <c r="N2042">
        <v>3</v>
      </c>
      <c r="O2042">
        <f t="shared" si="814"/>
        <v>2</v>
      </c>
      <c r="P2042" t="str">
        <f t="shared" si="815"/>
        <v>Mas de 3</v>
      </c>
      <c r="Q2042">
        <v>1</v>
      </c>
      <c r="R2042" t="str">
        <f t="shared" si="816"/>
        <v>A veces</v>
      </c>
      <c r="S2042">
        <v>0</v>
      </c>
      <c r="T2042" t="str">
        <f t="shared" si="817"/>
        <v>No fuma</v>
      </c>
      <c r="U2042">
        <v>2556068</v>
      </c>
      <c r="V2042">
        <f t="shared" si="818"/>
        <v>2</v>
      </c>
      <c r="W2042" t="str">
        <f t="shared" si="819"/>
        <v>Siempre</v>
      </c>
      <c r="X2042">
        <v>0</v>
      </c>
      <c r="Y2042" t="str">
        <f t="shared" si="820"/>
        <v>No controla</v>
      </c>
      <c r="Z2042">
        <v>1.6820000000000002E-2</v>
      </c>
      <c r="AA2042">
        <f t="shared" si="821"/>
        <v>0</v>
      </c>
      <c r="AB2042" t="str">
        <f t="shared" si="822"/>
        <v>Nunca</v>
      </c>
      <c r="AC2042">
        <v>0.58284000000000002</v>
      </c>
      <c r="AD2042">
        <f t="shared" si="823"/>
        <v>0</v>
      </c>
      <c r="AE2042" t="str">
        <f t="shared" si="824"/>
        <v>Nunca</v>
      </c>
      <c r="AF2042">
        <v>1</v>
      </c>
      <c r="AG2042" t="str">
        <f t="shared" si="825"/>
        <v>A veces</v>
      </c>
      <c r="AH2042">
        <v>0</v>
      </c>
      <c r="AI2042" t="str">
        <f t="shared" si="826"/>
        <v>No usa</v>
      </c>
      <c r="AJ2042">
        <v>0</v>
      </c>
      <c r="AK2042" t="str">
        <f t="shared" si="827"/>
        <v>No usa</v>
      </c>
      <c r="AL2042">
        <v>0</v>
      </c>
      <c r="AM2042" t="str">
        <f t="shared" si="828"/>
        <v>No usa</v>
      </c>
      <c r="AN2042">
        <v>1</v>
      </c>
      <c r="AO2042" t="str">
        <f t="shared" si="829"/>
        <v>Usa Transporte</v>
      </c>
      <c r="AP2042">
        <v>0</v>
      </c>
      <c r="AQ2042" t="str">
        <f t="shared" si="830"/>
        <v>No camina</v>
      </c>
      <c r="AR2042">
        <v>1</v>
      </c>
      <c r="AS2042" t="str">
        <f t="shared" si="831"/>
        <v>Es Obeso</v>
      </c>
    </row>
    <row r="2043" spans="1:45" x14ac:dyDescent="0.25">
      <c r="A2043">
        <v>0</v>
      </c>
      <c r="B2043" t="str">
        <f t="shared" si="806"/>
        <v>F</v>
      </c>
      <c r="C2043">
        <v>25470652</v>
      </c>
      <c r="D2043">
        <f t="shared" si="807"/>
        <v>69</v>
      </c>
      <c r="E2043">
        <f t="shared" si="808"/>
        <v>69</v>
      </c>
      <c r="F2043" t="str">
        <f t="shared" si="809"/>
        <v>50-75</v>
      </c>
      <c r="G2043">
        <v>1</v>
      </c>
      <c r="H2043" t="str">
        <f t="shared" si="810"/>
        <v>Pariente gordo</v>
      </c>
      <c r="I2043">
        <v>1</v>
      </c>
      <c r="J2043" t="str">
        <f t="shared" si="811"/>
        <v>Hipercaloricos</v>
      </c>
      <c r="K2043">
        <v>3</v>
      </c>
      <c r="L2043">
        <f t="shared" si="812"/>
        <v>1</v>
      </c>
      <c r="M2043" t="str">
        <f t="shared" si="813"/>
        <v>Suele comer</v>
      </c>
      <c r="N2043">
        <v>3</v>
      </c>
      <c r="O2043">
        <f t="shared" si="814"/>
        <v>2</v>
      </c>
      <c r="P2043" t="str">
        <f t="shared" si="815"/>
        <v>Mas de 3</v>
      </c>
      <c r="Q2043">
        <v>1</v>
      </c>
      <c r="R2043" t="str">
        <f t="shared" si="816"/>
        <v>A veces</v>
      </c>
      <c r="S2043">
        <v>0</v>
      </c>
      <c r="T2043" t="str">
        <f t="shared" si="817"/>
        <v>No fuma</v>
      </c>
      <c r="U2043">
        <v>1423073</v>
      </c>
      <c r="V2043">
        <f t="shared" si="818"/>
        <v>2</v>
      </c>
      <c r="W2043" t="str">
        <f t="shared" si="819"/>
        <v>Siempre</v>
      </c>
      <c r="X2043">
        <v>0</v>
      </c>
      <c r="Y2043" t="str">
        <f t="shared" si="820"/>
        <v>No controla</v>
      </c>
      <c r="Z2043">
        <v>0.197993</v>
      </c>
      <c r="AA2043">
        <f t="shared" si="821"/>
        <v>0</v>
      </c>
      <c r="AB2043" t="str">
        <f t="shared" si="822"/>
        <v>Nunca</v>
      </c>
      <c r="AC2043">
        <v>0.76335900000000001</v>
      </c>
      <c r="AD2043">
        <f t="shared" si="823"/>
        <v>0</v>
      </c>
      <c r="AE2043" t="str">
        <f t="shared" si="824"/>
        <v>Nunca</v>
      </c>
      <c r="AF2043">
        <v>1</v>
      </c>
      <c r="AG2043" t="str">
        <f t="shared" si="825"/>
        <v>A veces</v>
      </c>
      <c r="AH2043">
        <v>0</v>
      </c>
      <c r="AI2043" t="str">
        <f t="shared" si="826"/>
        <v>No usa</v>
      </c>
      <c r="AJ2043">
        <v>0</v>
      </c>
      <c r="AK2043" t="str">
        <f t="shared" si="827"/>
        <v>No usa</v>
      </c>
      <c r="AL2043">
        <v>0</v>
      </c>
      <c r="AM2043" t="str">
        <f t="shared" si="828"/>
        <v>No usa</v>
      </c>
      <c r="AN2043">
        <v>1</v>
      </c>
      <c r="AO2043" t="str">
        <f t="shared" si="829"/>
        <v>Usa Transporte</v>
      </c>
      <c r="AP2043">
        <v>0</v>
      </c>
      <c r="AQ2043" t="str">
        <f t="shared" si="830"/>
        <v>No camina</v>
      </c>
      <c r="AR2043">
        <v>1</v>
      </c>
      <c r="AS2043" t="str">
        <f t="shared" si="831"/>
        <v>Es Obeso</v>
      </c>
    </row>
    <row r="2044" spans="1:45" x14ac:dyDescent="0.25">
      <c r="A2044">
        <v>0</v>
      </c>
      <c r="B2044" t="str">
        <f t="shared" si="806"/>
        <v>F</v>
      </c>
      <c r="C2044">
        <v>25289428</v>
      </c>
      <c r="D2044">
        <f t="shared" si="807"/>
        <v>69</v>
      </c>
      <c r="E2044">
        <f t="shared" si="808"/>
        <v>69</v>
      </c>
      <c r="F2044" t="str">
        <f t="shared" si="809"/>
        <v>50-75</v>
      </c>
      <c r="G2044">
        <v>1</v>
      </c>
      <c r="H2044" t="str">
        <f t="shared" si="810"/>
        <v>Pariente gordo</v>
      </c>
      <c r="I2044">
        <v>1</v>
      </c>
      <c r="J2044" t="str">
        <f t="shared" si="811"/>
        <v>Hipercaloricos</v>
      </c>
      <c r="K2044">
        <v>3</v>
      </c>
      <c r="L2044">
        <f t="shared" si="812"/>
        <v>1</v>
      </c>
      <c r="M2044" t="str">
        <f t="shared" si="813"/>
        <v>Suele comer</v>
      </c>
      <c r="N2044">
        <v>3</v>
      </c>
      <c r="O2044">
        <f t="shared" si="814"/>
        <v>2</v>
      </c>
      <c r="P2044" t="str">
        <f t="shared" si="815"/>
        <v>Mas de 3</v>
      </c>
      <c r="Q2044">
        <v>1</v>
      </c>
      <c r="R2044" t="str">
        <f t="shared" si="816"/>
        <v>A veces</v>
      </c>
      <c r="S2044">
        <v>0</v>
      </c>
      <c r="T2044" t="str">
        <f t="shared" si="817"/>
        <v>No fuma</v>
      </c>
      <c r="U2044">
        <v>1299194</v>
      </c>
      <c r="V2044">
        <f t="shared" si="818"/>
        <v>2</v>
      </c>
      <c r="W2044" t="str">
        <f t="shared" si="819"/>
        <v>Siempre</v>
      </c>
      <c r="X2044">
        <v>0</v>
      </c>
      <c r="Y2044" t="str">
        <f t="shared" si="820"/>
        <v>No controla</v>
      </c>
      <c r="Z2044">
        <v>0.23430300000000001</v>
      </c>
      <c r="AA2044">
        <f t="shared" si="821"/>
        <v>0</v>
      </c>
      <c r="AB2044" t="str">
        <f t="shared" si="822"/>
        <v>Nunca</v>
      </c>
      <c r="AC2044">
        <v>0.94688799999999995</v>
      </c>
      <c r="AD2044">
        <f t="shared" si="823"/>
        <v>0</v>
      </c>
      <c r="AE2044" t="str">
        <f t="shared" si="824"/>
        <v>Nunca</v>
      </c>
      <c r="AF2044">
        <v>1</v>
      </c>
      <c r="AG2044" t="str">
        <f t="shared" si="825"/>
        <v>A veces</v>
      </c>
      <c r="AH2044">
        <v>0</v>
      </c>
      <c r="AI2044" t="str">
        <f t="shared" si="826"/>
        <v>No usa</v>
      </c>
      <c r="AJ2044">
        <v>0</v>
      </c>
      <c r="AK2044" t="str">
        <f t="shared" si="827"/>
        <v>No usa</v>
      </c>
      <c r="AL2044">
        <v>0</v>
      </c>
      <c r="AM2044" t="str">
        <f t="shared" si="828"/>
        <v>No usa</v>
      </c>
      <c r="AN2044">
        <v>1</v>
      </c>
      <c r="AO2044" t="str">
        <f t="shared" si="829"/>
        <v>Usa Transporte</v>
      </c>
      <c r="AP2044">
        <v>0</v>
      </c>
      <c r="AQ2044" t="str">
        <f t="shared" si="830"/>
        <v>No camina</v>
      </c>
      <c r="AR2044">
        <v>1</v>
      </c>
      <c r="AS2044" t="str">
        <f t="shared" si="831"/>
        <v>Es Obeso</v>
      </c>
    </row>
    <row r="2045" spans="1:45" x14ac:dyDescent="0.25">
      <c r="A2045">
        <v>0</v>
      </c>
      <c r="B2045" t="str">
        <f t="shared" si="806"/>
        <v>F</v>
      </c>
      <c r="C2045">
        <v>25696073</v>
      </c>
      <c r="D2045">
        <f t="shared" si="807"/>
        <v>70</v>
      </c>
      <c r="E2045">
        <f t="shared" si="808"/>
        <v>70</v>
      </c>
      <c r="F2045" t="str">
        <f t="shared" si="809"/>
        <v>50-75</v>
      </c>
      <c r="G2045">
        <v>1</v>
      </c>
      <c r="H2045" t="str">
        <f t="shared" si="810"/>
        <v>Pariente gordo</v>
      </c>
      <c r="I2045">
        <v>1</v>
      </c>
      <c r="J2045" t="str">
        <f t="shared" si="811"/>
        <v>Hipercaloricos</v>
      </c>
      <c r="K2045">
        <v>3</v>
      </c>
      <c r="L2045">
        <f t="shared" si="812"/>
        <v>1</v>
      </c>
      <c r="M2045" t="str">
        <f t="shared" si="813"/>
        <v>Suele comer</v>
      </c>
      <c r="N2045">
        <v>3</v>
      </c>
      <c r="O2045">
        <f t="shared" si="814"/>
        <v>2</v>
      </c>
      <c r="P2045" t="str">
        <f t="shared" si="815"/>
        <v>Mas de 3</v>
      </c>
      <c r="Q2045">
        <v>1</v>
      </c>
      <c r="R2045" t="str">
        <f t="shared" si="816"/>
        <v>A veces</v>
      </c>
      <c r="S2045">
        <v>0</v>
      </c>
      <c r="T2045" t="str">
        <f t="shared" si="817"/>
        <v>No fuma</v>
      </c>
      <c r="U2045">
        <v>1679489</v>
      </c>
      <c r="V2045">
        <f t="shared" si="818"/>
        <v>2</v>
      </c>
      <c r="W2045" t="str">
        <f t="shared" si="819"/>
        <v>Siempre</v>
      </c>
      <c r="X2045">
        <v>0</v>
      </c>
      <c r="Y2045" t="str">
        <f t="shared" si="820"/>
        <v>No controla</v>
      </c>
      <c r="Z2045">
        <v>1.7804E-2</v>
      </c>
      <c r="AA2045">
        <f t="shared" si="821"/>
        <v>0</v>
      </c>
      <c r="AB2045" t="str">
        <f t="shared" si="822"/>
        <v>Nunca</v>
      </c>
      <c r="AC2045">
        <v>0.21523</v>
      </c>
      <c r="AD2045">
        <f t="shared" si="823"/>
        <v>0</v>
      </c>
      <c r="AE2045" t="str">
        <f t="shared" si="824"/>
        <v>Nunca</v>
      </c>
      <c r="AF2045">
        <v>1</v>
      </c>
      <c r="AG2045" t="str">
        <f t="shared" si="825"/>
        <v>A veces</v>
      </c>
      <c r="AH2045">
        <v>0</v>
      </c>
      <c r="AI2045" t="str">
        <f t="shared" si="826"/>
        <v>No usa</v>
      </c>
      <c r="AJ2045">
        <v>0</v>
      </c>
      <c r="AK2045" t="str">
        <f t="shared" si="827"/>
        <v>No usa</v>
      </c>
      <c r="AL2045">
        <v>0</v>
      </c>
      <c r="AM2045" t="str">
        <f t="shared" si="828"/>
        <v>No usa</v>
      </c>
      <c r="AN2045">
        <v>1</v>
      </c>
      <c r="AO2045" t="str">
        <f t="shared" si="829"/>
        <v>Usa Transporte</v>
      </c>
      <c r="AP2045">
        <v>0</v>
      </c>
      <c r="AQ2045" t="str">
        <f t="shared" si="830"/>
        <v>No camina</v>
      </c>
      <c r="AR2045">
        <v>1</v>
      </c>
      <c r="AS2045" t="str">
        <f t="shared" si="831"/>
        <v>Es Obeso</v>
      </c>
    </row>
    <row r="2046" spans="1:45" x14ac:dyDescent="0.25">
      <c r="A2046">
        <v>0</v>
      </c>
      <c r="B2046" t="str">
        <f t="shared" si="806"/>
        <v>F</v>
      </c>
      <c r="C2046">
        <v>25561868</v>
      </c>
      <c r="D2046">
        <f t="shared" si="807"/>
        <v>70</v>
      </c>
      <c r="E2046">
        <f t="shared" si="808"/>
        <v>70</v>
      </c>
      <c r="F2046" t="str">
        <f t="shared" si="809"/>
        <v>50-75</v>
      </c>
      <c r="G2046">
        <v>1</v>
      </c>
      <c r="H2046" t="str">
        <f t="shared" si="810"/>
        <v>Pariente gordo</v>
      </c>
      <c r="I2046">
        <v>1</v>
      </c>
      <c r="J2046" t="str">
        <f t="shared" si="811"/>
        <v>Hipercaloricos</v>
      </c>
      <c r="K2046">
        <v>3</v>
      </c>
      <c r="L2046">
        <f t="shared" si="812"/>
        <v>1</v>
      </c>
      <c r="M2046" t="str">
        <f t="shared" si="813"/>
        <v>Suele comer</v>
      </c>
      <c r="N2046">
        <v>3</v>
      </c>
      <c r="O2046">
        <f t="shared" si="814"/>
        <v>2</v>
      </c>
      <c r="P2046" t="str">
        <f t="shared" si="815"/>
        <v>Mas de 3</v>
      </c>
      <c r="Q2046">
        <v>1</v>
      </c>
      <c r="R2046" t="str">
        <f t="shared" si="816"/>
        <v>A veces</v>
      </c>
      <c r="S2046">
        <v>0</v>
      </c>
      <c r="T2046" t="str">
        <f t="shared" si="817"/>
        <v>No fuma</v>
      </c>
      <c r="U2046">
        <v>149583</v>
      </c>
      <c r="V2046">
        <f t="shared" si="818"/>
        <v>2</v>
      </c>
      <c r="W2046" t="str">
        <f t="shared" si="819"/>
        <v>Siempre</v>
      </c>
      <c r="X2046">
        <v>0</v>
      </c>
      <c r="Y2046" t="str">
        <f t="shared" si="820"/>
        <v>No controla</v>
      </c>
      <c r="Z2046">
        <v>0.10932699999999999</v>
      </c>
      <c r="AA2046">
        <f t="shared" si="821"/>
        <v>0</v>
      </c>
      <c r="AB2046" t="str">
        <f t="shared" si="822"/>
        <v>Nunca</v>
      </c>
      <c r="AC2046">
        <v>0.384129</v>
      </c>
      <c r="AD2046">
        <f t="shared" si="823"/>
        <v>0</v>
      </c>
      <c r="AE2046" t="str">
        <f t="shared" si="824"/>
        <v>Nunca</v>
      </c>
      <c r="AF2046">
        <v>1</v>
      </c>
      <c r="AG2046" t="str">
        <f t="shared" si="825"/>
        <v>A veces</v>
      </c>
      <c r="AH2046">
        <v>0</v>
      </c>
      <c r="AI2046" t="str">
        <f t="shared" si="826"/>
        <v>No usa</v>
      </c>
      <c r="AJ2046">
        <v>0</v>
      </c>
      <c r="AK2046" t="str">
        <f t="shared" si="827"/>
        <v>No usa</v>
      </c>
      <c r="AL2046">
        <v>0</v>
      </c>
      <c r="AM2046" t="str">
        <f t="shared" si="828"/>
        <v>No usa</v>
      </c>
      <c r="AN2046">
        <v>1</v>
      </c>
      <c r="AO2046" t="str">
        <f t="shared" si="829"/>
        <v>Usa Transporte</v>
      </c>
      <c r="AP2046">
        <v>0</v>
      </c>
      <c r="AQ2046" t="str">
        <f t="shared" si="830"/>
        <v>No camina</v>
      </c>
      <c r="AR2046">
        <v>1</v>
      </c>
      <c r="AS2046" t="str">
        <f t="shared" si="831"/>
        <v>Es Obeso</v>
      </c>
    </row>
    <row r="2047" spans="1:45" x14ac:dyDescent="0.25">
      <c r="A2047">
        <v>0</v>
      </c>
      <c r="B2047" t="str">
        <f t="shared" si="806"/>
        <v>F</v>
      </c>
      <c r="C2047">
        <v>25834018</v>
      </c>
      <c r="D2047">
        <f t="shared" si="807"/>
        <v>70</v>
      </c>
      <c r="E2047">
        <f t="shared" si="808"/>
        <v>70</v>
      </c>
      <c r="F2047" t="str">
        <f t="shared" si="809"/>
        <v>50-75</v>
      </c>
      <c r="G2047">
        <v>1</v>
      </c>
      <c r="H2047" t="str">
        <f t="shared" si="810"/>
        <v>Pariente gordo</v>
      </c>
      <c r="I2047">
        <v>1</v>
      </c>
      <c r="J2047" t="str">
        <f t="shared" si="811"/>
        <v>Hipercaloricos</v>
      </c>
      <c r="K2047">
        <v>3</v>
      </c>
      <c r="L2047">
        <f t="shared" si="812"/>
        <v>1</v>
      </c>
      <c r="M2047" t="str">
        <f t="shared" si="813"/>
        <v>Suele comer</v>
      </c>
      <c r="N2047">
        <v>3</v>
      </c>
      <c r="O2047">
        <f t="shared" si="814"/>
        <v>2</v>
      </c>
      <c r="P2047" t="str">
        <f t="shared" si="815"/>
        <v>Mas de 3</v>
      </c>
      <c r="Q2047">
        <v>1</v>
      </c>
      <c r="R2047" t="str">
        <f t="shared" si="816"/>
        <v>A veces</v>
      </c>
      <c r="S2047">
        <v>0</v>
      </c>
      <c r="T2047" t="str">
        <f t="shared" si="817"/>
        <v>No fuma</v>
      </c>
      <c r="U2047">
        <v>181786</v>
      </c>
      <c r="V2047">
        <f t="shared" si="818"/>
        <v>2</v>
      </c>
      <c r="W2047" t="str">
        <f t="shared" si="819"/>
        <v>Siempre</v>
      </c>
      <c r="X2047">
        <v>0</v>
      </c>
      <c r="Y2047" t="str">
        <f t="shared" si="820"/>
        <v>No controla</v>
      </c>
      <c r="Z2047">
        <v>1.1161000000000001E-2</v>
      </c>
      <c r="AA2047">
        <f t="shared" si="821"/>
        <v>0</v>
      </c>
      <c r="AB2047" t="str">
        <f t="shared" si="822"/>
        <v>Nunca</v>
      </c>
      <c r="AC2047">
        <v>0.44722400000000001</v>
      </c>
      <c r="AD2047">
        <f t="shared" si="823"/>
        <v>0</v>
      </c>
      <c r="AE2047" t="str">
        <f t="shared" si="824"/>
        <v>Nunca</v>
      </c>
      <c r="AF2047">
        <v>1</v>
      </c>
      <c r="AG2047" t="str">
        <f t="shared" si="825"/>
        <v>A veces</v>
      </c>
      <c r="AH2047">
        <v>0</v>
      </c>
      <c r="AI2047" t="str">
        <f t="shared" si="826"/>
        <v>No usa</v>
      </c>
      <c r="AJ2047">
        <v>0</v>
      </c>
      <c r="AK2047" t="str">
        <f t="shared" si="827"/>
        <v>No usa</v>
      </c>
      <c r="AL2047">
        <v>0</v>
      </c>
      <c r="AM2047" t="str">
        <f t="shared" si="828"/>
        <v>No usa</v>
      </c>
      <c r="AN2047">
        <v>1</v>
      </c>
      <c r="AO2047" t="str">
        <f t="shared" si="829"/>
        <v>Usa Transporte</v>
      </c>
      <c r="AP2047">
        <v>0</v>
      </c>
      <c r="AQ2047" t="str">
        <f t="shared" si="830"/>
        <v>No camina</v>
      </c>
      <c r="AR2047">
        <v>1</v>
      </c>
      <c r="AS2047" t="str">
        <f t="shared" si="831"/>
        <v>Es Obeso</v>
      </c>
    </row>
    <row r="2048" spans="1:45" x14ac:dyDescent="0.25">
      <c r="A2048">
        <v>0</v>
      </c>
      <c r="B2048" t="str">
        <f t="shared" si="806"/>
        <v>F</v>
      </c>
      <c r="C2048">
        <v>25895546</v>
      </c>
      <c r="D2048">
        <f t="shared" si="807"/>
        <v>70</v>
      </c>
      <c r="E2048">
        <f t="shared" si="808"/>
        <v>70</v>
      </c>
      <c r="F2048" t="str">
        <f t="shared" si="809"/>
        <v>50-75</v>
      </c>
      <c r="G2048">
        <v>1</v>
      </c>
      <c r="H2048" t="str">
        <f t="shared" si="810"/>
        <v>Pariente gordo</v>
      </c>
      <c r="I2048">
        <v>1</v>
      </c>
      <c r="J2048" t="str">
        <f t="shared" si="811"/>
        <v>Hipercaloricos</v>
      </c>
      <c r="K2048">
        <v>3</v>
      </c>
      <c r="L2048">
        <f t="shared" si="812"/>
        <v>1</v>
      </c>
      <c r="M2048" t="str">
        <f t="shared" si="813"/>
        <v>Suele comer</v>
      </c>
      <c r="N2048">
        <v>3</v>
      </c>
      <c r="O2048">
        <f t="shared" si="814"/>
        <v>2</v>
      </c>
      <c r="P2048" t="str">
        <f t="shared" si="815"/>
        <v>Mas de 3</v>
      </c>
      <c r="Q2048">
        <v>1</v>
      </c>
      <c r="R2048" t="str">
        <f t="shared" si="816"/>
        <v>A veces</v>
      </c>
      <c r="S2048">
        <v>0</v>
      </c>
      <c r="T2048" t="str">
        <f t="shared" si="817"/>
        <v>No fuma</v>
      </c>
      <c r="U2048">
        <v>1967707</v>
      </c>
      <c r="V2048">
        <f t="shared" si="818"/>
        <v>2</v>
      </c>
      <c r="W2048" t="str">
        <f t="shared" si="819"/>
        <v>Siempre</v>
      </c>
      <c r="X2048">
        <v>0</v>
      </c>
      <c r="Y2048" t="str">
        <f t="shared" si="820"/>
        <v>No controla</v>
      </c>
      <c r="Z2048">
        <v>1.4370000000000001E-2</v>
      </c>
      <c r="AA2048">
        <f t="shared" si="821"/>
        <v>0</v>
      </c>
      <c r="AB2048" t="str">
        <f t="shared" si="822"/>
        <v>Nunca</v>
      </c>
      <c r="AC2048">
        <v>0.43407299999999999</v>
      </c>
      <c r="AD2048">
        <f t="shared" si="823"/>
        <v>0</v>
      </c>
      <c r="AE2048" t="str">
        <f t="shared" si="824"/>
        <v>Nunca</v>
      </c>
      <c r="AF2048">
        <v>1</v>
      </c>
      <c r="AG2048" t="str">
        <f t="shared" si="825"/>
        <v>A veces</v>
      </c>
      <c r="AH2048">
        <v>0</v>
      </c>
      <c r="AI2048" t="str">
        <f t="shared" si="826"/>
        <v>No usa</v>
      </c>
      <c r="AJ2048">
        <v>0</v>
      </c>
      <c r="AK2048" t="str">
        <f t="shared" si="827"/>
        <v>No usa</v>
      </c>
      <c r="AL2048">
        <v>0</v>
      </c>
      <c r="AM2048" t="str">
        <f t="shared" si="828"/>
        <v>No usa</v>
      </c>
      <c r="AN2048">
        <v>1</v>
      </c>
      <c r="AO2048" t="str">
        <f t="shared" si="829"/>
        <v>Usa Transporte</v>
      </c>
      <c r="AP2048">
        <v>0</v>
      </c>
      <c r="AQ2048" t="str">
        <f t="shared" si="830"/>
        <v>No camina</v>
      </c>
      <c r="AR2048">
        <v>1</v>
      </c>
      <c r="AS2048" t="str">
        <f t="shared" si="831"/>
        <v>Es Obeso</v>
      </c>
    </row>
    <row r="2049" spans="1:45" x14ac:dyDescent="0.25">
      <c r="A2049">
        <v>0</v>
      </c>
      <c r="B2049" t="str">
        <f t="shared" si="806"/>
        <v>F</v>
      </c>
      <c r="C2049">
        <v>19035557</v>
      </c>
      <c r="D2049">
        <f t="shared" si="807"/>
        <v>52</v>
      </c>
      <c r="E2049">
        <f t="shared" si="808"/>
        <v>52</v>
      </c>
      <c r="F2049" t="str">
        <f t="shared" si="809"/>
        <v>50-75</v>
      </c>
      <c r="G2049">
        <v>1</v>
      </c>
      <c r="H2049" t="str">
        <f t="shared" si="810"/>
        <v>Pariente gordo</v>
      </c>
      <c r="I2049">
        <v>1</v>
      </c>
      <c r="J2049" t="str">
        <f t="shared" si="811"/>
        <v>Hipercaloricos</v>
      </c>
      <c r="K2049">
        <v>3</v>
      </c>
      <c r="L2049">
        <f t="shared" si="812"/>
        <v>1</v>
      </c>
      <c r="M2049" t="str">
        <f t="shared" si="813"/>
        <v>Suele comer</v>
      </c>
      <c r="N2049">
        <v>3</v>
      </c>
      <c r="O2049">
        <f t="shared" si="814"/>
        <v>2</v>
      </c>
      <c r="P2049" t="str">
        <f t="shared" si="815"/>
        <v>Mas de 3</v>
      </c>
      <c r="Q2049">
        <v>1</v>
      </c>
      <c r="R2049" t="str">
        <f t="shared" si="816"/>
        <v>A veces</v>
      </c>
      <c r="S2049">
        <v>0</v>
      </c>
      <c r="T2049" t="str">
        <f t="shared" si="817"/>
        <v>No fuma</v>
      </c>
      <c r="U2049">
        <v>1441289</v>
      </c>
      <c r="V2049">
        <f t="shared" si="818"/>
        <v>2</v>
      </c>
      <c r="W2049" t="str">
        <f t="shared" si="819"/>
        <v>Siempre</v>
      </c>
      <c r="X2049">
        <v>0</v>
      </c>
      <c r="Y2049" t="str">
        <f t="shared" si="820"/>
        <v>No controla</v>
      </c>
      <c r="Z2049">
        <v>1425712</v>
      </c>
      <c r="AA2049">
        <f t="shared" si="821"/>
        <v>3</v>
      </c>
      <c r="AB2049" t="str">
        <f t="shared" si="822"/>
        <v>Siempre</v>
      </c>
      <c r="AC2049">
        <v>0.662277</v>
      </c>
      <c r="AD2049">
        <f t="shared" si="823"/>
        <v>0</v>
      </c>
      <c r="AE2049" t="str">
        <f t="shared" si="824"/>
        <v>Nunca</v>
      </c>
      <c r="AF2049">
        <v>1</v>
      </c>
      <c r="AG2049" t="str">
        <f t="shared" si="825"/>
        <v>A veces</v>
      </c>
      <c r="AH2049">
        <v>0</v>
      </c>
      <c r="AI2049" t="str">
        <f t="shared" si="826"/>
        <v>No usa</v>
      </c>
      <c r="AJ2049">
        <v>0</v>
      </c>
      <c r="AK2049" t="str">
        <f t="shared" si="827"/>
        <v>No usa</v>
      </c>
      <c r="AL2049">
        <v>0</v>
      </c>
      <c r="AM2049" t="str">
        <f t="shared" si="828"/>
        <v>No usa</v>
      </c>
      <c r="AN2049">
        <v>1</v>
      </c>
      <c r="AO2049" t="str">
        <f t="shared" si="829"/>
        <v>Usa Transporte</v>
      </c>
      <c r="AP2049">
        <v>0</v>
      </c>
      <c r="AQ2049" t="str">
        <f t="shared" si="830"/>
        <v>No camina</v>
      </c>
      <c r="AR2049">
        <v>1</v>
      </c>
      <c r="AS2049" t="str">
        <f t="shared" si="831"/>
        <v>Es Obeso</v>
      </c>
    </row>
    <row r="2050" spans="1:45" x14ac:dyDescent="0.25">
      <c r="A2050">
        <v>0</v>
      </c>
      <c r="B2050" t="str">
        <f t="shared" si="806"/>
        <v>F</v>
      </c>
      <c r="C2050">
        <v>18634286</v>
      </c>
      <c r="D2050">
        <f t="shared" si="807"/>
        <v>51</v>
      </c>
      <c r="E2050">
        <f t="shared" si="808"/>
        <v>51</v>
      </c>
      <c r="F2050" t="str">
        <f t="shared" si="809"/>
        <v>50-75</v>
      </c>
      <c r="G2050">
        <v>1</v>
      </c>
      <c r="H2050" t="str">
        <f t="shared" si="810"/>
        <v>Pariente gordo</v>
      </c>
      <c r="I2050">
        <v>1</v>
      </c>
      <c r="J2050" t="str">
        <f t="shared" si="811"/>
        <v>Hipercaloricos</v>
      </c>
      <c r="K2050">
        <v>3</v>
      </c>
      <c r="L2050">
        <f t="shared" si="812"/>
        <v>1</v>
      </c>
      <c r="M2050" t="str">
        <f t="shared" si="813"/>
        <v>Suele comer</v>
      </c>
      <c r="N2050">
        <v>3</v>
      </c>
      <c r="O2050">
        <f t="shared" si="814"/>
        <v>2</v>
      </c>
      <c r="P2050" t="str">
        <f t="shared" si="815"/>
        <v>Mas de 3</v>
      </c>
      <c r="Q2050">
        <v>1</v>
      </c>
      <c r="R2050" t="str">
        <f t="shared" si="816"/>
        <v>A veces</v>
      </c>
      <c r="S2050">
        <v>0</v>
      </c>
      <c r="T2050" t="str">
        <f t="shared" si="817"/>
        <v>No fuma</v>
      </c>
      <c r="U2050">
        <v>1144539</v>
      </c>
      <c r="V2050">
        <f t="shared" si="818"/>
        <v>2</v>
      </c>
      <c r="W2050" t="str">
        <f t="shared" si="819"/>
        <v>Siempre</v>
      </c>
      <c r="X2050">
        <v>0</v>
      </c>
      <c r="Y2050" t="str">
        <f t="shared" si="820"/>
        <v>No controla</v>
      </c>
      <c r="Z2050">
        <v>0.922014</v>
      </c>
      <c r="AA2050">
        <f t="shared" si="821"/>
        <v>0</v>
      </c>
      <c r="AB2050" t="str">
        <f t="shared" si="822"/>
        <v>Nunca</v>
      </c>
      <c r="AC2050">
        <v>0.89967299999999994</v>
      </c>
      <c r="AD2050">
        <f t="shared" si="823"/>
        <v>0</v>
      </c>
      <c r="AE2050" t="str">
        <f t="shared" si="824"/>
        <v>Nunca</v>
      </c>
      <c r="AF2050">
        <v>1</v>
      </c>
      <c r="AG2050" t="str">
        <f t="shared" si="825"/>
        <v>A veces</v>
      </c>
      <c r="AH2050">
        <v>0</v>
      </c>
      <c r="AI2050" t="str">
        <f t="shared" si="826"/>
        <v>No usa</v>
      </c>
      <c r="AJ2050">
        <v>0</v>
      </c>
      <c r="AK2050" t="str">
        <f t="shared" si="827"/>
        <v>No usa</v>
      </c>
      <c r="AL2050">
        <v>0</v>
      </c>
      <c r="AM2050" t="str">
        <f t="shared" si="828"/>
        <v>No usa</v>
      </c>
      <c r="AN2050">
        <v>1</v>
      </c>
      <c r="AO2050" t="str">
        <f t="shared" si="829"/>
        <v>Usa Transporte</v>
      </c>
      <c r="AP2050">
        <v>0</v>
      </c>
      <c r="AQ2050" t="str">
        <f t="shared" si="830"/>
        <v>No camina</v>
      </c>
      <c r="AR2050">
        <v>1</v>
      </c>
      <c r="AS2050" t="str">
        <f t="shared" si="831"/>
        <v>Es Obeso</v>
      </c>
    </row>
    <row r="2051" spans="1:45" x14ac:dyDescent="0.25">
      <c r="A2051">
        <v>0</v>
      </c>
      <c r="B2051" t="str">
        <f t="shared" ref="B2051:B2112" si="832">IF(A2051=1,"M","F")</f>
        <v>F</v>
      </c>
      <c r="C2051">
        <v>20700876</v>
      </c>
      <c r="D2051">
        <f t="shared" ref="D2051:D2112" si="833">IF(C2051&lt;100,C2051,ROUNDDOWN((C2051/1000)/365,0))</f>
        <v>56</v>
      </c>
      <c r="E2051">
        <f t="shared" ref="E2051:E2112" si="834">IF(AND(D2051&gt;1,D2051&lt;=100),D2051,IF(D2051&gt;100,100,5))</f>
        <v>56</v>
      </c>
      <c r="F2051" t="str">
        <f t="shared" ref="F2051:F2112" si="835">IF(AND(E2051&gt;=1,E2051&lt;=25),"1-25",IF(AND(E2051&gt;25,E2051&lt;=50),"25-50",IF(AND(E2051&gt;50,E2051&lt;=75),"50-75","75-100")))</f>
        <v>50-75</v>
      </c>
      <c r="G2051">
        <v>1</v>
      </c>
      <c r="H2051" t="str">
        <f t="shared" ref="H2051:H2112" si="836">IF(G2051=1,"Pariente gordo","Pariente normal")</f>
        <v>Pariente gordo</v>
      </c>
      <c r="I2051">
        <v>1</v>
      </c>
      <c r="J2051" t="str">
        <f t="shared" ref="J2051:J2112" si="837">IF(I2051=1,"Hipercaloricos","Saludables")</f>
        <v>Hipercaloricos</v>
      </c>
      <c r="K2051">
        <v>3</v>
      </c>
      <c r="L2051">
        <f t="shared" ref="L2051:L2112" si="838">IF(AND(K2051&gt;=1,K2051&lt;=3),1,IF(AND(K2051&gt;3,K2051&lt;3000000),1))</f>
        <v>1</v>
      </c>
      <c r="M2051" t="str">
        <f t="shared" ref="M2051:M2112" si="839">IF(L2051=1,"Suele comer","No come")</f>
        <v>Suele comer</v>
      </c>
      <c r="N2051">
        <v>3</v>
      </c>
      <c r="O2051">
        <f t="shared" ref="O2051:O2112" si="840">IF(N2051=1,N2051,IF(AND(N2051&gt;=2,N2051&lt;4000000),2))</f>
        <v>2</v>
      </c>
      <c r="P2051" t="str">
        <f t="shared" ref="P2051:P2112" si="841">IF(O2051=0,"1-2",IF(O2051=1,3,"Mas de 3"))</f>
        <v>Mas de 3</v>
      </c>
      <c r="Q2051">
        <v>1</v>
      </c>
      <c r="R2051" t="str">
        <f t="shared" ref="R2051:R2112" si="842">IF(Q2051=0,"Nunca",IF(Q2051=1,"A veces",IF(Q2051=2,"Usualmente","Siempre")))</f>
        <v>A veces</v>
      </c>
      <c r="S2051">
        <v>0</v>
      </c>
      <c r="T2051" t="str">
        <f t="shared" ref="T2051:T2112" si="843">IF(S2051=1,"Fuma","No fuma")</f>
        <v>No fuma</v>
      </c>
      <c r="U2051">
        <v>1353167</v>
      </c>
      <c r="V2051">
        <f t="shared" ref="V2051:V2112" si="844">IF(U2051=1,U2051,IF(U2051=2,U2051,IF(AND(U2051&gt;=3,U2051&lt;3000000),2)))</f>
        <v>2</v>
      </c>
      <c r="W2051" t="str">
        <f t="shared" ref="W2051:W2112" si="845">IF(V2051=0,"Nunca",IF(V2051=1,"Usualmente","Siempre"))</f>
        <v>Siempre</v>
      </c>
      <c r="X2051">
        <v>0</v>
      </c>
      <c r="Y2051" t="str">
        <f t="shared" ref="Y2051:Y2112" si="846">IF(X2051=1,"Controla","No controla")</f>
        <v>No controla</v>
      </c>
      <c r="Z2051">
        <v>1093679</v>
      </c>
      <c r="AA2051">
        <f t="shared" ref="AA2051:AA2112" si="847">IF(Z2051=0,Z2051,IF(Z2051=1,Z2051,IF(Z2051=2,Z2051,IF(Z2051=3,Z2051,IF(AND(Z2051&gt;3,Z2051&lt;300000),2,IF(AND(Z2051&gt;300000,Z2051&lt;3000000),3,IF(AND(Z2051&gt;0,Z2051&lt;1),0)))))))</f>
        <v>3</v>
      </c>
      <c r="AB2051" t="str">
        <f t="shared" ref="AB2051:AB2112" si="848">IF(AA2051=0,"Nunca",IF(AA2051=1,"A veces",IF(AA2051=2,"Usualmente","Siempre")))</f>
        <v>Siempre</v>
      </c>
      <c r="AC2051">
        <v>0.53455299999999994</v>
      </c>
      <c r="AD2051">
        <f t="shared" ref="AD2051:AD2112" si="849">IF(AC2051= 0,AC2051,IF(AC2051=1,AC2051,IF(AC2051=2,AC2051,IF(AND(AC2051&gt;2,AC2051&lt;200000),1,IF(AND(AC2051&gt;200000,AC2051&lt;2000000),2,IF(AND(AC2051&gt;0,AC2051&lt;1),0))))))</f>
        <v>0</v>
      </c>
      <c r="AE2051" t="str">
        <f t="shared" ref="AE2051:AE2112" si="850">IF(AD2051=0,"Nunca",IF(AD2051=1,"Usualmente","Siempre"))</f>
        <v>Nunca</v>
      </c>
      <c r="AF2051">
        <v>1</v>
      </c>
      <c r="AG2051" t="str">
        <f t="shared" ref="AG2051:AG2112" si="851">IF(AF2051=0,"Nunca",IF(AF2051=1,"A veces",IF(AF2051=2,"Usualmente","Siempre")))</f>
        <v>A veces</v>
      </c>
      <c r="AH2051">
        <v>0</v>
      </c>
      <c r="AI2051" t="str">
        <f t="shared" ref="AI2051:AI2112" si="852">IF(AH2051=1,"Usa auto","No usa")</f>
        <v>No usa</v>
      </c>
      <c r="AJ2051">
        <v>0</v>
      </c>
      <c r="AK2051" t="str">
        <f t="shared" ref="AK2051:AK2112" si="853">IF(AJ2051=1,"Usa Bici","No usa")</f>
        <v>No usa</v>
      </c>
      <c r="AL2051">
        <v>0</v>
      </c>
      <c r="AM2051" t="str">
        <f t="shared" ref="AM2051:AM2112" si="854">IF(AL2051=1,"Usa Moto","No usa")</f>
        <v>No usa</v>
      </c>
      <c r="AN2051">
        <v>1</v>
      </c>
      <c r="AO2051" t="str">
        <f t="shared" ref="AO2051:AO2112" si="855">IF(AN2051=1,"Usa Transporte","No usa")</f>
        <v>Usa Transporte</v>
      </c>
      <c r="AP2051">
        <v>0</v>
      </c>
      <c r="AQ2051" t="str">
        <f t="shared" ref="AQ2051:AQ2112" si="856">IF(AP2051=1,"Camina","No camina")</f>
        <v>No camina</v>
      </c>
      <c r="AR2051">
        <v>1</v>
      </c>
      <c r="AS2051" t="str">
        <f t="shared" ref="AS2051:AS2112" si="857">IF(AR2051=1,"Es Obeso","No es obeso")</f>
        <v>Es Obeso</v>
      </c>
    </row>
    <row r="2052" spans="1:45" x14ac:dyDescent="0.25">
      <c r="A2052">
        <v>0</v>
      </c>
      <c r="B2052" t="str">
        <f t="shared" si="832"/>
        <v>F</v>
      </c>
      <c r="C2052">
        <v>20741442</v>
      </c>
      <c r="D2052">
        <f t="shared" si="833"/>
        <v>56</v>
      </c>
      <c r="E2052">
        <f t="shared" si="834"/>
        <v>56</v>
      </c>
      <c r="F2052" t="str">
        <f t="shared" si="835"/>
        <v>50-75</v>
      </c>
      <c r="G2052">
        <v>1</v>
      </c>
      <c r="H2052" t="str">
        <f t="shared" si="836"/>
        <v>Pariente gordo</v>
      </c>
      <c r="I2052">
        <v>1</v>
      </c>
      <c r="J2052" t="str">
        <f t="shared" si="837"/>
        <v>Hipercaloricos</v>
      </c>
      <c r="K2052">
        <v>3</v>
      </c>
      <c r="L2052">
        <f t="shared" si="838"/>
        <v>1</v>
      </c>
      <c r="M2052" t="str">
        <f t="shared" si="839"/>
        <v>Suele comer</v>
      </c>
      <c r="N2052">
        <v>3</v>
      </c>
      <c r="O2052">
        <f t="shared" si="840"/>
        <v>2</v>
      </c>
      <c r="P2052" t="str">
        <f t="shared" si="841"/>
        <v>Mas de 3</v>
      </c>
      <c r="Q2052">
        <v>1</v>
      </c>
      <c r="R2052" t="str">
        <f t="shared" si="842"/>
        <v>A veces</v>
      </c>
      <c r="S2052">
        <v>0</v>
      </c>
      <c r="T2052" t="str">
        <f t="shared" si="843"/>
        <v>No fuma</v>
      </c>
      <c r="U2052">
        <v>1409444</v>
      </c>
      <c r="V2052">
        <f t="shared" si="844"/>
        <v>2</v>
      </c>
      <c r="W2052" t="str">
        <f t="shared" si="845"/>
        <v>Siempre</v>
      </c>
      <c r="X2052">
        <v>0</v>
      </c>
      <c r="Y2052" t="str">
        <f t="shared" si="846"/>
        <v>No controla</v>
      </c>
      <c r="Z2052">
        <v>0.93359499999999995</v>
      </c>
      <c r="AA2052">
        <f t="shared" si="847"/>
        <v>0</v>
      </c>
      <c r="AB2052" t="str">
        <f t="shared" si="848"/>
        <v>Nunca</v>
      </c>
      <c r="AC2052">
        <v>0.84039299999999995</v>
      </c>
      <c r="AD2052">
        <f t="shared" si="849"/>
        <v>0</v>
      </c>
      <c r="AE2052" t="str">
        <f t="shared" si="850"/>
        <v>Nunca</v>
      </c>
      <c r="AF2052">
        <v>1</v>
      </c>
      <c r="AG2052" t="str">
        <f t="shared" si="851"/>
        <v>A veces</v>
      </c>
      <c r="AH2052">
        <v>0</v>
      </c>
      <c r="AI2052" t="str">
        <f t="shared" si="852"/>
        <v>No usa</v>
      </c>
      <c r="AJ2052">
        <v>0</v>
      </c>
      <c r="AK2052" t="str">
        <f t="shared" si="853"/>
        <v>No usa</v>
      </c>
      <c r="AL2052">
        <v>0</v>
      </c>
      <c r="AM2052" t="str">
        <f t="shared" si="854"/>
        <v>No usa</v>
      </c>
      <c r="AN2052">
        <v>1</v>
      </c>
      <c r="AO2052" t="str">
        <f t="shared" si="855"/>
        <v>Usa Transporte</v>
      </c>
      <c r="AP2052">
        <v>0</v>
      </c>
      <c r="AQ2052" t="str">
        <f t="shared" si="856"/>
        <v>No camina</v>
      </c>
      <c r="AR2052">
        <v>1</v>
      </c>
      <c r="AS2052" t="str">
        <f t="shared" si="857"/>
        <v>Es Obeso</v>
      </c>
    </row>
    <row r="2053" spans="1:45" x14ac:dyDescent="0.25">
      <c r="A2053">
        <v>0</v>
      </c>
      <c r="B2053" t="str">
        <f t="shared" si="832"/>
        <v>F</v>
      </c>
      <c r="C2053">
        <v>21695892</v>
      </c>
      <c r="D2053">
        <f t="shared" si="833"/>
        <v>59</v>
      </c>
      <c r="E2053">
        <f t="shared" si="834"/>
        <v>59</v>
      </c>
      <c r="F2053" t="str">
        <f t="shared" si="835"/>
        <v>50-75</v>
      </c>
      <c r="G2053">
        <v>1</v>
      </c>
      <c r="H2053" t="str">
        <f t="shared" si="836"/>
        <v>Pariente gordo</v>
      </c>
      <c r="I2053">
        <v>1</v>
      </c>
      <c r="J2053" t="str">
        <f t="shared" si="837"/>
        <v>Hipercaloricos</v>
      </c>
      <c r="K2053">
        <v>3</v>
      </c>
      <c r="L2053">
        <f t="shared" si="838"/>
        <v>1</v>
      </c>
      <c r="M2053" t="str">
        <f t="shared" si="839"/>
        <v>Suele comer</v>
      </c>
      <c r="N2053">
        <v>3</v>
      </c>
      <c r="O2053">
        <f t="shared" si="840"/>
        <v>2</v>
      </c>
      <c r="P2053" t="str">
        <f t="shared" si="841"/>
        <v>Mas de 3</v>
      </c>
      <c r="Q2053">
        <v>1</v>
      </c>
      <c r="R2053" t="str">
        <f t="shared" si="842"/>
        <v>A veces</v>
      </c>
      <c r="S2053">
        <v>0</v>
      </c>
      <c r="T2053" t="str">
        <f t="shared" si="843"/>
        <v>No fuma</v>
      </c>
      <c r="U2053">
        <v>1959287</v>
      </c>
      <c r="V2053">
        <f t="shared" si="844"/>
        <v>2</v>
      </c>
      <c r="W2053" t="str">
        <f t="shared" si="845"/>
        <v>Siempre</v>
      </c>
      <c r="X2053">
        <v>0</v>
      </c>
      <c r="Y2053" t="str">
        <f t="shared" si="846"/>
        <v>No controla</v>
      </c>
      <c r="Z2053">
        <v>1433151</v>
      </c>
      <c r="AA2053">
        <f t="shared" si="847"/>
        <v>3</v>
      </c>
      <c r="AB2053" t="str">
        <f t="shared" si="848"/>
        <v>Siempre</v>
      </c>
      <c r="AC2053">
        <v>0.91133500000000001</v>
      </c>
      <c r="AD2053">
        <f t="shared" si="849"/>
        <v>0</v>
      </c>
      <c r="AE2053" t="str">
        <f t="shared" si="850"/>
        <v>Nunca</v>
      </c>
      <c r="AF2053">
        <v>1</v>
      </c>
      <c r="AG2053" t="str">
        <f t="shared" si="851"/>
        <v>A veces</v>
      </c>
      <c r="AH2053">
        <v>0</v>
      </c>
      <c r="AI2053" t="str">
        <f t="shared" si="852"/>
        <v>No usa</v>
      </c>
      <c r="AJ2053">
        <v>0</v>
      </c>
      <c r="AK2053" t="str">
        <f t="shared" si="853"/>
        <v>No usa</v>
      </c>
      <c r="AL2053">
        <v>0</v>
      </c>
      <c r="AM2053" t="str">
        <f t="shared" si="854"/>
        <v>No usa</v>
      </c>
      <c r="AN2053">
        <v>1</v>
      </c>
      <c r="AO2053" t="str">
        <f t="shared" si="855"/>
        <v>Usa Transporte</v>
      </c>
      <c r="AP2053">
        <v>0</v>
      </c>
      <c r="AQ2053" t="str">
        <f t="shared" si="856"/>
        <v>No camina</v>
      </c>
      <c r="AR2053">
        <v>1</v>
      </c>
      <c r="AS2053" t="str">
        <f t="shared" si="857"/>
        <v>Es Obeso</v>
      </c>
    </row>
    <row r="2054" spans="1:45" x14ac:dyDescent="0.25">
      <c r="A2054">
        <v>0</v>
      </c>
      <c r="B2054" t="str">
        <f t="shared" si="832"/>
        <v>F</v>
      </c>
      <c r="C2054">
        <v>21635977</v>
      </c>
      <c r="D2054">
        <f t="shared" si="833"/>
        <v>59</v>
      </c>
      <c r="E2054">
        <f t="shared" si="834"/>
        <v>59</v>
      </c>
      <c r="F2054" t="str">
        <f t="shared" si="835"/>
        <v>50-75</v>
      </c>
      <c r="G2054">
        <v>1</v>
      </c>
      <c r="H2054" t="str">
        <f t="shared" si="836"/>
        <v>Pariente gordo</v>
      </c>
      <c r="I2054">
        <v>1</v>
      </c>
      <c r="J2054" t="str">
        <f t="shared" si="837"/>
        <v>Hipercaloricos</v>
      </c>
      <c r="K2054">
        <v>3</v>
      </c>
      <c r="L2054">
        <f t="shared" si="838"/>
        <v>1</v>
      </c>
      <c r="M2054" t="str">
        <f t="shared" si="839"/>
        <v>Suele comer</v>
      </c>
      <c r="N2054">
        <v>3</v>
      </c>
      <c r="O2054">
        <f t="shared" si="840"/>
        <v>2</v>
      </c>
      <c r="P2054" t="str">
        <f t="shared" si="841"/>
        <v>Mas de 3</v>
      </c>
      <c r="Q2054">
        <v>1</v>
      </c>
      <c r="R2054" t="str">
        <f t="shared" si="842"/>
        <v>A veces</v>
      </c>
      <c r="S2054">
        <v>0</v>
      </c>
      <c r="T2054" t="str">
        <f t="shared" si="843"/>
        <v>No fuma</v>
      </c>
      <c r="U2054">
        <v>1931163</v>
      </c>
      <c r="V2054">
        <f t="shared" si="844"/>
        <v>2</v>
      </c>
      <c r="W2054" t="str">
        <f t="shared" si="845"/>
        <v>Siempre</v>
      </c>
      <c r="X2054">
        <v>0</v>
      </c>
      <c r="Y2054" t="str">
        <f t="shared" si="846"/>
        <v>No controla</v>
      </c>
      <c r="Z2054">
        <v>1562213</v>
      </c>
      <c r="AA2054">
        <f t="shared" si="847"/>
        <v>3</v>
      </c>
      <c r="AB2054" t="str">
        <f t="shared" si="848"/>
        <v>Siempre</v>
      </c>
      <c r="AC2054">
        <v>0.92656499999999997</v>
      </c>
      <c r="AD2054">
        <f t="shared" si="849"/>
        <v>0</v>
      </c>
      <c r="AE2054" t="str">
        <f t="shared" si="850"/>
        <v>Nunca</v>
      </c>
      <c r="AF2054">
        <v>1</v>
      </c>
      <c r="AG2054" t="str">
        <f t="shared" si="851"/>
        <v>A veces</v>
      </c>
      <c r="AH2054">
        <v>0</v>
      </c>
      <c r="AI2054" t="str">
        <f t="shared" si="852"/>
        <v>No usa</v>
      </c>
      <c r="AJ2054">
        <v>0</v>
      </c>
      <c r="AK2054" t="str">
        <f t="shared" si="853"/>
        <v>No usa</v>
      </c>
      <c r="AL2054">
        <v>0</v>
      </c>
      <c r="AM2054" t="str">
        <f t="shared" si="854"/>
        <v>No usa</v>
      </c>
      <c r="AN2054">
        <v>1</v>
      </c>
      <c r="AO2054" t="str">
        <f t="shared" si="855"/>
        <v>Usa Transporte</v>
      </c>
      <c r="AP2054">
        <v>0</v>
      </c>
      <c r="AQ2054" t="str">
        <f t="shared" si="856"/>
        <v>No camina</v>
      </c>
      <c r="AR2054">
        <v>1</v>
      </c>
      <c r="AS2054" t="str">
        <f t="shared" si="857"/>
        <v>Es Obeso</v>
      </c>
    </row>
    <row r="2055" spans="1:45" x14ac:dyDescent="0.25">
      <c r="A2055">
        <v>0</v>
      </c>
      <c r="B2055" t="str">
        <f t="shared" si="832"/>
        <v>F</v>
      </c>
      <c r="C2055">
        <v>21232659</v>
      </c>
      <c r="D2055">
        <f t="shared" si="833"/>
        <v>58</v>
      </c>
      <c r="E2055">
        <f t="shared" si="834"/>
        <v>58</v>
      </c>
      <c r="F2055" t="str">
        <f t="shared" si="835"/>
        <v>50-75</v>
      </c>
      <c r="G2055">
        <v>1</v>
      </c>
      <c r="H2055" t="str">
        <f t="shared" si="836"/>
        <v>Pariente gordo</v>
      </c>
      <c r="I2055">
        <v>1</v>
      </c>
      <c r="J2055" t="str">
        <f t="shared" si="837"/>
        <v>Hipercaloricos</v>
      </c>
      <c r="K2055">
        <v>3</v>
      </c>
      <c r="L2055">
        <f t="shared" si="838"/>
        <v>1</v>
      </c>
      <c r="M2055" t="str">
        <f t="shared" si="839"/>
        <v>Suele comer</v>
      </c>
      <c r="N2055">
        <v>3</v>
      </c>
      <c r="O2055">
        <f t="shared" si="840"/>
        <v>2</v>
      </c>
      <c r="P2055" t="str">
        <f t="shared" si="841"/>
        <v>Mas de 3</v>
      </c>
      <c r="Q2055">
        <v>1</v>
      </c>
      <c r="R2055" t="str">
        <f t="shared" si="842"/>
        <v>A veces</v>
      </c>
      <c r="S2055">
        <v>0</v>
      </c>
      <c r="T2055" t="str">
        <f t="shared" si="843"/>
        <v>No fuma</v>
      </c>
      <c r="U2055">
        <v>1651462</v>
      </c>
      <c r="V2055">
        <f t="shared" si="844"/>
        <v>2</v>
      </c>
      <c r="W2055" t="str">
        <f t="shared" si="845"/>
        <v>Siempre</v>
      </c>
      <c r="X2055">
        <v>0</v>
      </c>
      <c r="Y2055" t="str">
        <f t="shared" si="846"/>
        <v>No controla</v>
      </c>
      <c r="Z2055">
        <v>1655993</v>
      </c>
      <c r="AA2055">
        <f t="shared" si="847"/>
        <v>3</v>
      </c>
      <c r="AB2055" t="str">
        <f t="shared" si="848"/>
        <v>Siempre</v>
      </c>
      <c r="AC2055">
        <v>0.93998199999999998</v>
      </c>
      <c r="AD2055">
        <f t="shared" si="849"/>
        <v>0</v>
      </c>
      <c r="AE2055" t="str">
        <f t="shared" si="850"/>
        <v>Nunca</v>
      </c>
      <c r="AF2055">
        <v>1</v>
      </c>
      <c r="AG2055" t="str">
        <f t="shared" si="851"/>
        <v>A veces</v>
      </c>
      <c r="AH2055">
        <v>0</v>
      </c>
      <c r="AI2055" t="str">
        <f t="shared" si="852"/>
        <v>No usa</v>
      </c>
      <c r="AJ2055">
        <v>0</v>
      </c>
      <c r="AK2055" t="str">
        <f t="shared" si="853"/>
        <v>No usa</v>
      </c>
      <c r="AL2055">
        <v>0</v>
      </c>
      <c r="AM2055" t="str">
        <f t="shared" si="854"/>
        <v>No usa</v>
      </c>
      <c r="AN2055">
        <v>1</v>
      </c>
      <c r="AO2055" t="str">
        <f t="shared" si="855"/>
        <v>Usa Transporte</v>
      </c>
      <c r="AP2055">
        <v>0</v>
      </c>
      <c r="AQ2055" t="str">
        <f t="shared" si="856"/>
        <v>No camina</v>
      </c>
      <c r="AR2055">
        <v>1</v>
      </c>
      <c r="AS2055" t="str">
        <f t="shared" si="857"/>
        <v>Es Obeso</v>
      </c>
    </row>
    <row r="2056" spans="1:45" x14ac:dyDescent="0.25">
      <c r="A2056">
        <v>0</v>
      </c>
      <c r="B2056" t="str">
        <f t="shared" si="832"/>
        <v>F</v>
      </c>
      <c r="C2056">
        <v>21008297</v>
      </c>
      <c r="D2056">
        <f t="shared" si="833"/>
        <v>57</v>
      </c>
      <c r="E2056">
        <f t="shared" si="834"/>
        <v>57</v>
      </c>
      <c r="F2056" t="str">
        <f t="shared" si="835"/>
        <v>50-75</v>
      </c>
      <c r="G2056">
        <v>1</v>
      </c>
      <c r="H2056" t="str">
        <f t="shared" si="836"/>
        <v>Pariente gordo</v>
      </c>
      <c r="I2056">
        <v>1</v>
      </c>
      <c r="J2056" t="str">
        <f t="shared" si="837"/>
        <v>Hipercaloricos</v>
      </c>
      <c r="K2056">
        <v>3</v>
      </c>
      <c r="L2056">
        <f t="shared" si="838"/>
        <v>1</v>
      </c>
      <c r="M2056" t="str">
        <f t="shared" si="839"/>
        <v>Suele comer</v>
      </c>
      <c r="N2056">
        <v>3</v>
      </c>
      <c r="O2056">
        <f t="shared" si="840"/>
        <v>2</v>
      </c>
      <c r="P2056" t="str">
        <f t="shared" si="841"/>
        <v>Mas de 3</v>
      </c>
      <c r="Q2056">
        <v>1</v>
      </c>
      <c r="R2056" t="str">
        <f t="shared" si="842"/>
        <v>A veces</v>
      </c>
      <c r="S2056">
        <v>0</v>
      </c>
      <c r="T2056" t="str">
        <f t="shared" si="843"/>
        <v>No fuma</v>
      </c>
      <c r="U2056">
        <v>1683448</v>
      </c>
      <c r="V2056">
        <f t="shared" si="844"/>
        <v>2</v>
      </c>
      <c r="W2056" t="str">
        <f t="shared" si="845"/>
        <v>Siempre</v>
      </c>
      <c r="X2056">
        <v>0</v>
      </c>
      <c r="Y2056" t="str">
        <f t="shared" si="846"/>
        <v>No controla</v>
      </c>
      <c r="Z2056">
        <v>1645532</v>
      </c>
      <c r="AA2056">
        <f t="shared" si="847"/>
        <v>3</v>
      </c>
      <c r="AB2056" t="str">
        <f t="shared" si="848"/>
        <v>Siempre</v>
      </c>
      <c r="AC2056">
        <v>0.85805900000000002</v>
      </c>
      <c r="AD2056">
        <f t="shared" si="849"/>
        <v>0</v>
      </c>
      <c r="AE2056" t="str">
        <f t="shared" si="850"/>
        <v>Nunca</v>
      </c>
      <c r="AF2056">
        <v>1</v>
      </c>
      <c r="AG2056" t="str">
        <f t="shared" si="851"/>
        <v>A veces</v>
      </c>
      <c r="AH2056">
        <v>0</v>
      </c>
      <c r="AI2056" t="str">
        <f t="shared" si="852"/>
        <v>No usa</v>
      </c>
      <c r="AJ2056">
        <v>0</v>
      </c>
      <c r="AK2056" t="str">
        <f t="shared" si="853"/>
        <v>No usa</v>
      </c>
      <c r="AL2056">
        <v>0</v>
      </c>
      <c r="AM2056" t="str">
        <f t="shared" si="854"/>
        <v>No usa</v>
      </c>
      <c r="AN2056">
        <v>1</v>
      </c>
      <c r="AO2056" t="str">
        <f t="shared" si="855"/>
        <v>Usa Transporte</v>
      </c>
      <c r="AP2056">
        <v>0</v>
      </c>
      <c r="AQ2056" t="str">
        <f t="shared" si="856"/>
        <v>No camina</v>
      </c>
      <c r="AR2056">
        <v>1</v>
      </c>
      <c r="AS2056" t="str">
        <f t="shared" si="857"/>
        <v>Es Obeso</v>
      </c>
    </row>
    <row r="2057" spans="1:45" x14ac:dyDescent="0.25">
      <c r="A2057">
        <v>0</v>
      </c>
      <c r="B2057" t="str">
        <f t="shared" si="832"/>
        <v>F</v>
      </c>
      <c r="C2057">
        <v>25962949</v>
      </c>
      <c r="D2057">
        <f t="shared" si="833"/>
        <v>71</v>
      </c>
      <c r="E2057">
        <f t="shared" si="834"/>
        <v>71</v>
      </c>
      <c r="F2057" t="str">
        <f t="shared" si="835"/>
        <v>50-75</v>
      </c>
      <c r="G2057">
        <v>1</v>
      </c>
      <c r="H2057" t="str">
        <f t="shared" si="836"/>
        <v>Pariente gordo</v>
      </c>
      <c r="I2057">
        <v>1</v>
      </c>
      <c r="J2057" t="str">
        <f t="shared" si="837"/>
        <v>Hipercaloricos</v>
      </c>
      <c r="K2057">
        <v>3</v>
      </c>
      <c r="L2057">
        <f t="shared" si="838"/>
        <v>1</v>
      </c>
      <c r="M2057" t="str">
        <f t="shared" si="839"/>
        <v>Suele comer</v>
      </c>
      <c r="N2057">
        <v>3</v>
      </c>
      <c r="O2057">
        <f t="shared" si="840"/>
        <v>2</v>
      </c>
      <c r="P2057" t="str">
        <f t="shared" si="841"/>
        <v>Mas de 3</v>
      </c>
      <c r="Q2057">
        <v>1</v>
      </c>
      <c r="R2057" t="str">
        <f t="shared" si="842"/>
        <v>A veces</v>
      </c>
      <c r="S2057">
        <v>0</v>
      </c>
      <c r="T2057" t="str">
        <f t="shared" si="843"/>
        <v>No fuma</v>
      </c>
      <c r="U2057">
        <v>2395387</v>
      </c>
      <c r="V2057">
        <f t="shared" si="844"/>
        <v>2</v>
      </c>
      <c r="W2057" t="str">
        <f t="shared" si="845"/>
        <v>Siempre</v>
      </c>
      <c r="X2057">
        <v>0</v>
      </c>
      <c r="Y2057" t="str">
        <f t="shared" si="846"/>
        <v>No controla</v>
      </c>
      <c r="Z2057">
        <v>2.72E-4</v>
      </c>
      <c r="AA2057">
        <f t="shared" si="847"/>
        <v>0</v>
      </c>
      <c r="AB2057" t="str">
        <f t="shared" si="848"/>
        <v>Nunca</v>
      </c>
      <c r="AC2057">
        <v>0.461532</v>
      </c>
      <c r="AD2057">
        <f t="shared" si="849"/>
        <v>0</v>
      </c>
      <c r="AE2057" t="str">
        <f t="shared" si="850"/>
        <v>Nunca</v>
      </c>
      <c r="AF2057">
        <v>1</v>
      </c>
      <c r="AG2057" t="str">
        <f t="shared" si="851"/>
        <v>A veces</v>
      </c>
      <c r="AH2057">
        <v>0</v>
      </c>
      <c r="AI2057" t="str">
        <f t="shared" si="852"/>
        <v>No usa</v>
      </c>
      <c r="AJ2057">
        <v>0</v>
      </c>
      <c r="AK2057" t="str">
        <f t="shared" si="853"/>
        <v>No usa</v>
      </c>
      <c r="AL2057">
        <v>0</v>
      </c>
      <c r="AM2057" t="str">
        <f t="shared" si="854"/>
        <v>No usa</v>
      </c>
      <c r="AN2057">
        <v>1</v>
      </c>
      <c r="AO2057" t="str">
        <f t="shared" si="855"/>
        <v>Usa Transporte</v>
      </c>
      <c r="AP2057">
        <v>0</v>
      </c>
      <c r="AQ2057" t="str">
        <f t="shared" si="856"/>
        <v>No camina</v>
      </c>
      <c r="AR2057">
        <v>1</v>
      </c>
      <c r="AS2057" t="str">
        <f t="shared" si="857"/>
        <v>Es Obeso</v>
      </c>
    </row>
    <row r="2058" spans="1:45" x14ac:dyDescent="0.25">
      <c r="A2058">
        <v>0</v>
      </c>
      <c r="B2058" t="str">
        <f t="shared" si="832"/>
        <v>F</v>
      </c>
      <c r="C2058">
        <v>26</v>
      </c>
      <c r="D2058">
        <f t="shared" si="833"/>
        <v>26</v>
      </c>
      <c r="E2058">
        <f t="shared" si="834"/>
        <v>26</v>
      </c>
      <c r="F2058" t="str">
        <f t="shared" si="835"/>
        <v>25-50</v>
      </c>
      <c r="G2058">
        <v>1</v>
      </c>
      <c r="H2058" t="str">
        <f t="shared" si="836"/>
        <v>Pariente gordo</v>
      </c>
      <c r="I2058">
        <v>1</v>
      </c>
      <c r="J2058" t="str">
        <f t="shared" si="837"/>
        <v>Hipercaloricos</v>
      </c>
      <c r="K2058">
        <v>3</v>
      </c>
      <c r="L2058">
        <f t="shared" si="838"/>
        <v>1</v>
      </c>
      <c r="M2058" t="str">
        <f t="shared" si="839"/>
        <v>Suele comer</v>
      </c>
      <c r="N2058">
        <v>3</v>
      </c>
      <c r="O2058">
        <f t="shared" si="840"/>
        <v>2</v>
      </c>
      <c r="P2058" t="str">
        <f t="shared" si="841"/>
        <v>Mas de 3</v>
      </c>
      <c r="Q2058">
        <v>1</v>
      </c>
      <c r="R2058" t="str">
        <f t="shared" si="842"/>
        <v>A veces</v>
      </c>
      <c r="S2058">
        <v>0</v>
      </c>
      <c r="T2058" t="str">
        <f t="shared" si="843"/>
        <v>No fuma</v>
      </c>
      <c r="U2058">
        <v>2523793</v>
      </c>
      <c r="V2058">
        <f t="shared" si="844"/>
        <v>2</v>
      </c>
      <c r="W2058" t="str">
        <f t="shared" si="845"/>
        <v>Siempre</v>
      </c>
      <c r="X2058">
        <v>0</v>
      </c>
      <c r="Y2058" t="str">
        <f t="shared" si="846"/>
        <v>No controla</v>
      </c>
      <c r="Z2058">
        <v>0</v>
      </c>
      <c r="AA2058">
        <f t="shared" si="847"/>
        <v>0</v>
      </c>
      <c r="AB2058" t="str">
        <f t="shared" si="848"/>
        <v>Nunca</v>
      </c>
      <c r="AC2058">
        <v>0.38395299999999999</v>
      </c>
      <c r="AD2058">
        <f t="shared" si="849"/>
        <v>0</v>
      </c>
      <c r="AE2058" t="str">
        <f t="shared" si="850"/>
        <v>Nunca</v>
      </c>
      <c r="AF2058">
        <v>1</v>
      </c>
      <c r="AG2058" t="str">
        <f t="shared" si="851"/>
        <v>A veces</v>
      </c>
      <c r="AH2058">
        <v>0</v>
      </c>
      <c r="AI2058" t="str">
        <f t="shared" si="852"/>
        <v>No usa</v>
      </c>
      <c r="AJ2058">
        <v>0</v>
      </c>
      <c r="AK2058" t="str">
        <f t="shared" si="853"/>
        <v>No usa</v>
      </c>
      <c r="AL2058">
        <v>0</v>
      </c>
      <c r="AM2058" t="str">
        <f t="shared" si="854"/>
        <v>No usa</v>
      </c>
      <c r="AN2058">
        <v>1</v>
      </c>
      <c r="AO2058" t="str">
        <f t="shared" si="855"/>
        <v>Usa Transporte</v>
      </c>
      <c r="AP2058">
        <v>0</v>
      </c>
      <c r="AQ2058" t="str">
        <f t="shared" si="856"/>
        <v>No camina</v>
      </c>
      <c r="AR2058">
        <v>1</v>
      </c>
      <c r="AS2058" t="str">
        <f t="shared" si="857"/>
        <v>Es Obeso</v>
      </c>
    </row>
    <row r="2059" spans="1:45" x14ac:dyDescent="0.25">
      <c r="A2059">
        <v>0</v>
      </c>
      <c r="B2059" t="str">
        <f t="shared" si="832"/>
        <v>F</v>
      </c>
      <c r="C2059">
        <v>26</v>
      </c>
      <c r="D2059">
        <f t="shared" si="833"/>
        <v>26</v>
      </c>
      <c r="E2059">
        <f t="shared" si="834"/>
        <v>26</v>
      </c>
      <c r="F2059" t="str">
        <f t="shared" si="835"/>
        <v>25-50</v>
      </c>
      <c r="G2059">
        <v>1</v>
      </c>
      <c r="H2059" t="str">
        <f t="shared" si="836"/>
        <v>Pariente gordo</v>
      </c>
      <c r="I2059">
        <v>1</v>
      </c>
      <c r="J2059" t="str">
        <f t="shared" si="837"/>
        <v>Hipercaloricos</v>
      </c>
      <c r="K2059">
        <v>3</v>
      </c>
      <c r="L2059">
        <f t="shared" si="838"/>
        <v>1</v>
      </c>
      <c r="M2059" t="str">
        <f t="shared" si="839"/>
        <v>Suele comer</v>
      </c>
      <c r="N2059">
        <v>3</v>
      </c>
      <c r="O2059">
        <f t="shared" si="840"/>
        <v>2</v>
      </c>
      <c r="P2059" t="str">
        <f t="shared" si="841"/>
        <v>Mas de 3</v>
      </c>
      <c r="Q2059">
        <v>1</v>
      </c>
      <c r="R2059" t="str">
        <f t="shared" si="842"/>
        <v>A veces</v>
      </c>
      <c r="S2059">
        <v>0</v>
      </c>
      <c r="T2059" t="str">
        <f t="shared" si="843"/>
        <v>No fuma</v>
      </c>
      <c r="U2059">
        <v>2638896</v>
      </c>
      <c r="V2059">
        <f t="shared" si="844"/>
        <v>2</v>
      </c>
      <c r="W2059" t="str">
        <f t="shared" si="845"/>
        <v>Siempre</v>
      </c>
      <c r="X2059">
        <v>0</v>
      </c>
      <c r="Y2059" t="str">
        <f t="shared" si="846"/>
        <v>No controla</v>
      </c>
      <c r="Z2059">
        <v>0</v>
      </c>
      <c r="AA2059">
        <f t="shared" si="847"/>
        <v>0</v>
      </c>
      <c r="AB2059" t="str">
        <f t="shared" si="848"/>
        <v>Nunca</v>
      </c>
      <c r="AC2059">
        <v>0.22455900000000001</v>
      </c>
      <c r="AD2059">
        <f t="shared" si="849"/>
        <v>0</v>
      </c>
      <c r="AE2059" t="str">
        <f t="shared" si="850"/>
        <v>Nunca</v>
      </c>
      <c r="AF2059">
        <v>1</v>
      </c>
      <c r="AG2059" t="str">
        <f t="shared" si="851"/>
        <v>A veces</v>
      </c>
      <c r="AH2059">
        <v>0</v>
      </c>
      <c r="AI2059" t="str">
        <f t="shared" si="852"/>
        <v>No usa</v>
      </c>
      <c r="AJ2059">
        <v>0</v>
      </c>
      <c r="AK2059" t="str">
        <f t="shared" si="853"/>
        <v>No usa</v>
      </c>
      <c r="AL2059">
        <v>0</v>
      </c>
      <c r="AM2059" t="str">
        <f t="shared" si="854"/>
        <v>No usa</v>
      </c>
      <c r="AN2059">
        <v>1</v>
      </c>
      <c r="AO2059" t="str">
        <f t="shared" si="855"/>
        <v>Usa Transporte</v>
      </c>
      <c r="AP2059">
        <v>0</v>
      </c>
      <c r="AQ2059" t="str">
        <f t="shared" si="856"/>
        <v>No camina</v>
      </c>
      <c r="AR2059">
        <v>1</v>
      </c>
      <c r="AS2059" t="str">
        <f t="shared" si="857"/>
        <v>Es Obeso</v>
      </c>
    </row>
    <row r="2060" spans="1:45" x14ac:dyDescent="0.25">
      <c r="A2060">
        <v>0</v>
      </c>
      <c r="B2060" t="str">
        <f t="shared" si="832"/>
        <v>F</v>
      </c>
      <c r="C2060">
        <v>26</v>
      </c>
      <c r="D2060">
        <f t="shared" si="833"/>
        <v>26</v>
      </c>
      <c r="E2060">
        <f t="shared" si="834"/>
        <v>26</v>
      </c>
      <c r="F2060" t="str">
        <f t="shared" si="835"/>
        <v>25-50</v>
      </c>
      <c r="G2060">
        <v>1</v>
      </c>
      <c r="H2060" t="str">
        <f t="shared" si="836"/>
        <v>Pariente gordo</v>
      </c>
      <c r="I2060">
        <v>1</v>
      </c>
      <c r="J2060" t="str">
        <f t="shared" si="837"/>
        <v>Hipercaloricos</v>
      </c>
      <c r="K2060">
        <v>3</v>
      </c>
      <c r="L2060">
        <f t="shared" si="838"/>
        <v>1</v>
      </c>
      <c r="M2060" t="str">
        <f t="shared" si="839"/>
        <v>Suele comer</v>
      </c>
      <c r="N2060">
        <v>3</v>
      </c>
      <c r="O2060">
        <f t="shared" si="840"/>
        <v>2</v>
      </c>
      <c r="P2060" t="str">
        <f t="shared" si="841"/>
        <v>Mas de 3</v>
      </c>
      <c r="Q2060">
        <v>1</v>
      </c>
      <c r="R2060" t="str">
        <f t="shared" si="842"/>
        <v>A veces</v>
      </c>
      <c r="S2060">
        <v>0</v>
      </c>
      <c r="T2060" t="str">
        <f t="shared" si="843"/>
        <v>No fuma</v>
      </c>
      <c r="U2060">
        <v>2666178</v>
      </c>
      <c r="V2060">
        <f t="shared" si="844"/>
        <v>2</v>
      </c>
      <c r="W2060" t="str">
        <f t="shared" si="845"/>
        <v>Siempre</v>
      </c>
      <c r="X2060">
        <v>0</v>
      </c>
      <c r="Y2060" t="str">
        <f t="shared" si="846"/>
        <v>No controla</v>
      </c>
      <c r="Z2060">
        <v>0</v>
      </c>
      <c r="AA2060">
        <f t="shared" si="847"/>
        <v>0</v>
      </c>
      <c r="AB2060" t="str">
        <f t="shared" si="848"/>
        <v>Nunca</v>
      </c>
      <c r="AC2060">
        <v>0.27690700000000001</v>
      </c>
      <c r="AD2060">
        <f t="shared" si="849"/>
        <v>0</v>
      </c>
      <c r="AE2060" t="str">
        <f t="shared" si="850"/>
        <v>Nunca</v>
      </c>
      <c r="AF2060">
        <v>1</v>
      </c>
      <c r="AG2060" t="str">
        <f t="shared" si="851"/>
        <v>A veces</v>
      </c>
      <c r="AH2060">
        <v>0</v>
      </c>
      <c r="AI2060" t="str">
        <f t="shared" si="852"/>
        <v>No usa</v>
      </c>
      <c r="AJ2060">
        <v>0</v>
      </c>
      <c r="AK2060" t="str">
        <f t="shared" si="853"/>
        <v>No usa</v>
      </c>
      <c r="AL2060">
        <v>0</v>
      </c>
      <c r="AM2060" t="str">
        <f t="shared" si="854"/>
        <v>No usa</v>
      </c>
      <c r="AN2060">
        <v>1</v>
      </c>
      <c r="AO2060" t="str">
        <f t="shared" si="855"/>
        <v>Usa Transporte</v>
      </c>
      <c r="AP2060">
        <v>0</v>
      </c>
      <c r="AQ2060" t="str">
        <f t="shared" si="856"/>
        <v>No camina</v>
      </c>
      <c r="AR2060">
        <v>1</v>
      </c>
      <c r="AS2060" t="str">
        <f t="shared" si="857"/>
        <v>Es Obeso</v>
      </c>
    </row>
    <row r="2061" spans="1:45" x14ac:dyDescent="0.25">
      <c r="A2061">
        <v>0</v>
      </c>
      <c r="B2061" t="str">
        <f t="shared" si="832"/>
        <v>F</v>
      </c>
      <c r="C2061">
        <v>26</v>
      </c>
      <c r="D2061">
        <f t="shared" si="833"/>
        <v>26</v>
      </c>
      <c r="E2061">
        <f t="shared" si="834"/>
        <v>26</v>
      </c>
      <c r="F2061" t="str">
        <f t="shared" si="835"/>
        <v>25-50</v>
      </c>
      <c r="G2061">
        <v>1</v>
      </c>
      <c r="H2061" t="str">
        <f t="shared" si="836"/>
        <v>Pariente gordo</v>
      </c>
      <c r="I2061">
        <v>1</v>
      </c>
      <c r="J2061" t="str">
        <f t="shared" si="837"/>
        <v>Hipercaloricos</v>
      </c>
      <c r="K2061">
        <v>3</v>
      </c>
      <c r="L2061">
        <f t="shared" si="838"/>
        <v>1</v>
      </c>
      <c r="M2061" t="str">
        <f t="shared" si="839"/>
        <v>Suele comer</v>
      </c>
      <c r="N2061">
        <v>3</v>
      </c>
      <c r="O2061">
        <f t="shared" si="840"/>
        <v>2</v>
      </c>
      <c r="P2061" t="str">
        <f t="shared" si="841"/>
        <v>Mas de 3</v>
      </c>
      <c r="Q2061">
        <v>1</v>
      </c>
      <c r="R2061" t="str">
        <f t="shared" si="842"/>
        <v>A veces</v>
      </c>
      <c r="S2061">
        <v>0</v>
      </c>
      <c r="T2061" t="str">
        <f t="shared" si="843"/>
        <v>No fuma</v>
      </c>
      <c r="U2061">
        <v>2495851</v>
      </c>
      <c r="V2061">
        <f t="shared" si="844"/>
        <v>2</v>
      </c>
      <c r="W2061" t="str">
        <f t="shared" si="845"/>
        <v>Siempre</v>
      </c>
      <c r="X2061">
        <v>0</v>
      </c>
      <c r="Y2061" t="str">
        <f t="shared" si="846"/>
        <v>No controla</v>
      </c>
      <c r="Z2061">
        <v>0</v>
      </c>
      <c r="AA2061">
        <f t="shared" si="847"/>
        <v>0</v>
      </c>
      <c r="AB2061" t="str">
        <f t="shared" si="848"/>
        <v>Nunca</v>
      </c>
      <c r="AC2061">
        <v>0.21864500000000001</v>
      </c>
      <c r="AD2061">
        <f t="shared" si="849"/>
        <v>0</v>
      </c>
      <c r="AE2061" t="str">
        <f t="shared" si="850"/>
        <v>Nunca</v>
      </c>
      <c r="AF2061">
        <v>1</v>
      </c>
      <c r="AG2061" t="str">
        <f t="shared" si="851"/>
        <v>A veces</v>
      </c>
      <c r="AH2061">
        <v>0</v>
      </c>
      <c r="AI2061" t="str">
        <f t="shared" si="852"/>
        <v>No usa</v>
      </c>
      <c r="AJ2061">
        <v>0</v>
      </c>
      <c r="AK2061" t="str">
        <f t="shared" si="853"/>
        <v>No usa</v>
      </c>
      <c r="AL2061">
        <v>0</v>
      </c>
      <c r="AM2061" t="str">
        <f t="shared" si="854"/>
        <v>No usa</v>
      </c>
      <c r="AN2061">
        <v>1</v>
      </c>
      <c r="AO2061" t="str">
        <f t="shared" si="855"/>
        <v>Usa Transporte</v>
      </c>
      <c r="AP2061">
        <v>0</v>
      </c>
      <c r="AQ2061" t="str">
        <f t="shared" si="856"/>
        <v>No camina</v>
      </c>
      <c r="AR2061">
        <v>1</v>
      </c>
      <c r="AS2061" t="str">
        <f t="shared" si="857"/>
        <v>Es Obeso</v>
      </c>
    </row>
    <row r="2062" spans="1:45" x14ac:dyDescent="0.25">
      <c r="A2062">
        <v>0</v>
      </c>
      <c r="B2062" t="str">
        <f t="shared" si="832"/>
        <v>F</v>
      </c>
      <c r="C2062">
        <v>26</v>
      </c>
      <c r="D2062">
        <f t="shared" si="833"/>
        <v>26</v>
      </c>
      <c r="E2062">
        <f t="shared" si="834"/>
        <v>26</v>
      </c>
      <c r="F2062" t="str">
        <f t="shared" si="835"/>
        <v>25-50</v>
      </c>
      <c r="G2062">
        <v>1</v>
      </c>
      <c r="H2062" t="str">
        <f t="shared" si="836"/>
        <v>Pariente gordo</v>
      </c>
      <c r="I2062">
        <v>1</v>
      </c>
      <c r="J2062" t="str">
        <f t="shared" si="837"/>
        <v>Hipercaloricos</v>
      </c>
      <c r="K2062">
        <v>3</v>
      </c>
      <c r="L2062">
        <f t="shared" si="838"/>
        <v>1</v>
      </c>
      <c r="M2062" t="str">
        <f t="shared" si="839"/>
        <v>Suele comer</v>
      </c>
      <c r="N2062">
        <v>3</v>
      </c>
      <c r="O2062">
        <f t="shared" si="840"/>
        <v>2</v>
      </c>
      <c r="P2062" t="str">
        <f t="shared" si="841"/>
        <v>Mas de 3</v>
      </c>
      <c r="Q2062">
        <v>1</v>
      </c>
      <c r="R2062" t="str">
        <f t="shared" si="842"/>
        <v>A veces</v>
      </c>
      <c r="S2062">
        <v>0</v>
      </c>
      <c r="T2062" t="str">
        <f t="shared" si="843"/>
        <v>No fuma</v>
      </c>
      <c r="U2062">
        <v>2609188</v>
      </c>
      <c r="V2062">
        <f t="shared" si="844"/>
        <v>2</v>
      </c>
      <c r="W2062" t="str">
        <f t="shared" si="845"/>
        <v>Siempre</v>
      </c>
      <c r="X2062">
        <v>0</v>
      </c>
      <c r="Y2062" t="str">
        <f t="shared" si="846"/>
        <v>No controla</v>
      </c>
      <c r="Z2062">
        <v>0</v>
      </c>
      <c r="AA2062">
        <f t="shared" si="847"/>
        <v>0</v>
      </c>
      <c r="AB2062" t="str">
        <f t="shared" si="848"/>
        <v>Nunca</v>
      </c>
      <c r="AC2062">
        <v>0.17402999999999999</v>
      </c>
      <c r="AD2062">
        <f t="shared" si="849"/>
        <v>0</v>
      </c>
      <c r="AE2062" t="str">
        <f t="shared" si="850"/>
        <v>Nunca</v>
      </c>
      <c r="AF2062">
        <v>1</v>
      </c>
      <c r="AG2062" t="str">
        <f t="shared" si="851"/>
        <v>A veces</v>
      </c>
      <c r="AH2062">
        <v>0</v>
      </c>
      <c r="AI2062" t="str">
        <f t="shared" si="852"/>
        <v>No usa</v>
      </c>
      <c r="AJ2062">
        <v>0</v>
      </c>
      <c r="AK2062" t="str">
        <f t="shared" si="853"/>
        <v>No usa</v>
      </c>
      <c r="AL2062">
        <v>0</v>
      </c>
      <c r="AM2062" t="str">
        <f t="shared" si="854"/>
        <v>No usa</v>
      </c>
      <c r="AN2062">
        <v>1</v>
      </c>
      <c r="AO2062" t="str">
        <f t="shared" si="855"/>
        <v>Usa Transporte</v>
      </c>
      <c r="AP2062">
        <v>0</v>
      </c>
      <c r="AQ2062" t="str">
        <f t="shared" si="856"/>
        <v>No camina</v>
      </c>
      <c r="AR2062">
        <v>1</v>
      </c>
      <c r="AS2062" t="str">
        <f t="shared" si="857"/>
        <v>Es Obeso</v>
      </c>
    </row>
    <row r="2063" spans="1:45" x14ac:dyDescent="0.25">
      <c r="A2063">
        <v>0</v>
      </c>
      <c r="B2063" t="str">
        <f t="shared" si="832"/>
        <v>F</v>
      </c>
      <c r="C2063">
        <v>25964788</v>
      </c>
      <c r="D2063">
        <f t="shared" si="833"/>
        <v>71</v>
      </c>
      <c r="E2063">
        <f t="shared" si="834"/>
        <v>71</v>
      </c>
      <c r="F2063" t="str">
        <f t="shared" si="835"/>
        <v>50-75</v>
      </c>
      <c r="G2063">
        <v>1</v>
      </c>
      <c r="H2063" t="str">
        <f t="shared" si="836"/>
        <v>Pariente gordo</v>
      </c>
      <c r="I2063">
        <v>1</v>
      </c>
      <c r="J2063" t="str">
        <f t="shared" si="837"/>
        <v>Hipercaloricos</v>
      </c>
      <c r="K2063">
        <v>3</v>
      </c>
      <c r="L2063">
        <f t="shared" si="838"/>
        <v>1</v>
      </c>
      <c r="M2063" t="str">
        <f t="shared" si="839"/>
        <v>Suele comer</v>
      </c>
      <c r="N2063">
        <v>3</v>
      </c>
      <c r="O2063">
        <f t="shared" si="840"/>
        <v>2</v>
      </c>
      <c r="P2063" t="str">
        <f t="shared" si="841"/>
        <v>Mas de 3</v>
      </c>
      <c r="Q2063">
        <v>1</v>
      </c>
      <c r="R2063" t="str">
        <f t="shared" si="842"/>
        <v>A veces</v>
      </c>
      <c r="S2063">
        <v>0</v>
      </c>
      <c r="T2063" t="str">
        <f t="shared" si="843"/>
        <v>No fuma</v>
      </c>
      <c r="U2063">
        <v>2471721</v>
      </c>
      <c r="V2063">
        <f t="shared" si="844"/>
        <v>2</v>
      </c>
      <c r="W2063" t="str">
        <f t="shared" si="845"/>
        <v>Siempre</v>
      </c>
      <c r="X2063">
        <v>0</v>
      </c>
      <c r="Y2063" t="str">
        <f t="shared" si="846"/>
        <v>No controla</v>
      </c>
      <c r="Z2063">
        <v>9.6000000000000002E-5</v>
      </c>
      <c r="AA2063">
        <f t="shared" si="847"/>
        <v>0</v>
      </c>
      <c r="AB2063" t="str">
        <f t="shared" si="848"/>
        <v>Nunca</v>
      </c>
      <c r="AC2063">
        <v>0.43346299999999999</v>
      </c>
      <c r="AD2063">
        <f t="shared" si="849"/>
        <v>0</v>
      </c>
      <c r="AE2063" t="str">
        <f t="shared" si="850"/>
        <v>Nunca</v>
      </c>
      <c r="AF2063">
        <v>1</v>
      </c>
      <c r="AG2063" t="str">
        <f t="shared" si="851"/>
        <v>A veces</v>
      </c>
      <c r="AH2063">
        <v>0</v>
      </c>
      <c r="AI2063" t="str">
        <f t="shared" si="852"/>
        <v>No usa</v>
      </c>
      <c r="AJ2063">
        <v>0</v>
      </c>
      <c r="AK2063" t="str">
        <f t="shared" si="853"/>
        <v>No usa</v>
      </c>
      <c r="AL2063">
        <v>0</v>
      </c>
      <c r="AM2063" t="str">
        <f t="shared" si="854"/>
        <v>No usa</v>
      </c>
      <c r="AN2063">
        <v>1</v>
      </c>
      <c r="AO2063" t="str">
        <f t="shared" si="855"/>
        <v>Usa Transporte</v>
      </c>
      <c r="AP2063">
        <v>0</v>
      </c>
      <c r="AQ2063" t="str">
        <f t="shared" si="856"/>
        <v>No camina</v>
      </c>
      <c r="AR2063">
        <v>1</v>
      </c>
      <c r="AS2063" t="str">
        <f t="shared" si="857"/>
        <v>Es Obeso</v>
      </c>
    </row>
    <row r="2064" spans="1:45" x14ac:dyDescent="0.25">
      <c r="A2064">
        <v>0</v>
      </c>
      <c r="B2064" t="str">
        <f t="shared" si="832"/>
        <v>F</v>
      </c>
      <c r="C2064">
        <v>25994949</v>
      </c>
      <c r="D2064">
        <f t="shared" si="833"/>
        <v>71</v>
      </c>
      <c r="E2064">
        <f t="shared" si="834"/>
        <v>71</v>
      </c>
      <c r="F2064" t="str">
        <f t="shared" si="835"/>
        <v>50-75</v>
      </c>
      <c r="G2064">
        <v>1</v>
      </c>
      <c r="H2064" t="str">
        <f t="shared" si="836"/>
        <v>Pariente gordo</v>
      </c>
      <c r="I2064">
        <v>1</v>
      </c>
      <c r="J2064" t="str">
        <f t="shared" si="837"/>
        <v>Hipercaloricos</v>
      </c>
      <c r="K2064">
        <v>3</v>
      </c>
      <c r="L2064">
        <f t="shared" si="838"/>
        <v>1</v>
      </c>
      <c r="M2064" t="str">
        <f t="shared" si="839"/>
        <v>Suele comer</v>
      </c>
      <c r="N2064">
        <v>3</v>
      </c>
      <c r="O2064">
        <f t="shared" si="840"/>
        <v>2</v>
      </c>
      <c r="P2064" t="str">
        <f t="shared" si="841"/>
        <v>Mas de 3</v>
      </c>
      <c r="Q2064">
        <v>1</v>
      </c>
      <c r="R2064" t="str">
        <f t="shared" si="842"/>
        <v>A veces</v>
      </c>
      <c r="S2064">
        <v>0</v>
      </c>
      <c r="T2064" t="str">
        <f t="shared" si="843"/>
        <v>No fuma</v>
      </c>
      <c r="U2064">
        <v>2447306</v>
      </c>
      <c r="V2064">
        <f t="shared" si="844"/>
        <v>2</v>
      </c>
      <c r="W2064" t="str">
        <f t="shared" si="845"/>
        <v>Siempre</v>
      </c>
      <c r="X2064">
        <v>0</v>
      </c>
      <c r="Y2064" t="str">
        <f t="shared" si="846"/>
        <v>No controla</v>
      </c>
      <c r="Z2064">
        <v>4.5399999999999998E-4</v>
      </c>
      <c r="AA2064">
        <f t="shared" si="847"/>
        <v>0</v>
      </c>
      <c r="AB2064" t="str">
        <f t="shared" si="848"/>
        <v>Nunca</v>
      </c>
      <c r="AC2064">
        <v>0.48655799999999999</v>
      </c>
      <c r="AD2064">
        <f t="shared" si="849"/>
        <v>0</v>
      </c>
      <c r="AE2064" t="str">
        <f t="shared" si="850"/>
        <v>Nunca</v>
      </c>
      <c r="AF2064">
        <v>1</v>
      </c>
      <c r="AG2064" t="str">
        <f t="shared" si="851"/>
        <v>A veces</v>
      </c>
      <c r="AH2064">
        <v>0</v>
      </c>
      <c r="AI2064" t="str">
        <f t="shared" si="852"/>
        <v>No usa</v>
      </c>
      <c r="AJ2064">
        <v>0</v>
      </c>
      <c r="AK2064" t="str">
        <f t="shared" si="853"/>
        <v>No usa</v>
      </c>
      <c r="AL2064">
        <v>0</v>
      </c>
      <c r="AM2064" t="str">
        <f t="shared" si="854"/>
        <v>No usa</v>
      </c>
      <c r="AN2064">
        <v>1</v>
      </c>
      <c r="AO2064" t="str">
        <f t="shared" si="855"/>
        <v>Usa Transporte</v>
      </c>
      <c r="AP2064">
        <v>0</v>
      </c>
      <c r="AQ2064" t="str">
        <f t="shared" si="856"/>
        <v>No camina</v>
      </c>
      <c r="AR2064">
        <v>1</v>
      </c>
      <c r="AS2064" t="str">
        <f t="shared" si="857"/>
        <v>Es Obeso</v>
      </c>
    </row>
    <row r="2065" spans="1:45" x14ac:dyDescent="0.25">
      <c r="A2065">
        <v>0</v>
      </c>
      <c r="B2065" t="str">
        <f t="shared" si="832"/>
        <v>F</v>
      </c>
      <c r="C2065">
        <v>20952737</v>
      </c>
      <c r="D2065">
        <f t="shared" si="833"/>
        <v>57</v>
      </c>
      <c r="E2065">
        <f t="shared" si="834"/>
        <v>57</v>
      </c>
      <c r="F2065" t="str">
        <f t="shared" si="835"/>
        <v>50-75</v>
      </c>
      <c r="G2065">
        <v>1</v>
      </c>
      <c r="H2065" t="str">
        <f t="shared" si="836"/>
        <v>Pariente gordo</v>
      </c>
      <c r="I2065">
        <v>1</v>
      </c>
      <c r="J2065" t="str">
        <f t="shared" si="837"/>
        <v>Hipercaloricos</v>
      </c>
      <c r="K2065">
        <v>3</v>
      </c>
      <c r="L2065">
        <f t="shared" si="838"/>
        <v>1</v>
      </c>
      <c r="M2065" t="str">
        <f t="shared" si="839"/>
        <v>Suele comer</v>
      </c>
      <c r="N2065">
        <v>3</v>
      </c>
      <c r="O2065">
        <f t="shared" si="840"/>
        <v>2</v>
      </c>
      <c r="P2065" t="str">
        <f t="shared" si="841"/>
        <v>Mas de 3</v>
      </c>
      <c r="Q2065">
        <v>1</v>
      </c>
      <c r="R2065" t="str">
        <f t="shared" si="842"/>
        <v>A veces</v>
      </c>
      <c r="S2065">
        <v>0</v>
      </c>
      <c r="T2065" t="str">
        <f t="shared" si="843"/>
        <v>No fuma</v>
      </c>
      <c r="U2065">
        <v>1674061</v>
      </c>
      <c r="V2065">
        <f t="shared" si="844"/>
        <v>2</v>
      </c>
      <c r="W2065" t="str">
        <f t="shared" si="845"/>
        <v>Siempre</v>
      </c>
      <c r="X2065">
        <v>0</v>
      </c>
      <c r="Y2065" t="str">
        <f t="shared" si="846"/>
        <v>No controla</v>
      </c>
      <c r="Z2065">
        <v>1683497</v>
      </c>
      <c r="AA2065">
        <f t="shared" si="847"/>
        <v>3</v>
      </c>
      <c r="AB2065" t="str">
        <f t="shared" si="848"/>
        <v>Siempre</v>
      </c>
      <c r="AC2065">
        <v>0.78019899999999998</v>
      </c>
      <c r="AD2065">
        <f t="shared" si="849"/>
        <v>0</v>
      </c>
      <c r="AE2065" t="str">
        <f t="shared" si="850"/>
        <v>Nunca</v>
      </c>
      <c r="AF2065">
        <v>1</v>
      </c>
      <c r="AG2065" t="str">
        <f t="shared" si="851"/>
        <v>A veces</v>
      </c>
      <c r="AH2065">
        <v>0</v>
      </c>
      <c r="AI2065" t="str">
        <f t="shared" si="852"/>
        <v>No usa</v>
      </c>
      <c r="AJ2065">
        <v>0</v>
      </c>
      <c r="AK2065" t="str">
        <f t="shared" si="853"/>
        <v>No usa</v>
      </c>
      <c r="AL2065">
        <v>0</v>
      </c>
      <c r="AM2065" t="str">
        <f t="shared" si="854"/>
        <v>No usa</v>
      </c>
      <c r="AN2065">
        <v>1</v>
      </c>
      <c r="AO2065" t="str">
        <f t="shared" si="855"/>
        <v>Usa Transporte</v>
      </c>
      <c r="AP2065">
        <v>0</v>
      </c>
      <c r="AQ2065" t="str">
        <f t="shared" si="856"/>
        <v>No camina</v>
      </c>
      <c r="AR2065">
        <v>1</v>
      </c>
      <c r="AS2065" t="str">
        <f t="shared" si="857"/>
        <v>Es Obeso</v>
      </c>
    </row>
    <row r="2066" spans="1:45" x14ac:dyDescent="0.25">
      <c r="A2066">
        <v>0</v>
      </c>
      <c r="B2066" t="str">
        <f t="shared" si="832"/>
        <v>F</v>
      </c>
      <c r="C2066">
        <v>20978166</v>
      </c>
      <c r="D2066">
        <f t="shared" si="833"/>
        <v>57</v>
      </c>
      <c r="E2066">
        <f t="shared" si="834"/>
        <v>57</v>
      </c>
      <c r="F2066" t="str">
        <f t="shared" si="835"/>
        <v>50-75</v>
      </c>
      <c r="G2066">
        <v>1</v>
      </c>
      <c r="H2066" t="str">
        <f t="shared" si="836"/>
        <v>Pariente gordo</v>
      </c>
      <c r="I2066">
        <v>1</v>
      </c>
      <c r="J2066" t="str">
        <f t="shared" si="837"/>
        <v>Hipercaloricos</v>
      </c>
      <c r="K2066">
        <v>3</v>
      </c>
      <c r="L2066">
        <f t="shared" si="838"/>
        <v>1</v>
      </c>
      <c r="M2066" t="str">
        <f t="shared" si="839"/>
        <v>Suele comer</v>
      </c>
      <c r="N2066">
        <v>3</v>
      </c>
      <c r="O2066">
        <f t="shared" si="840"/>
        <v>2</v>
      </c>
      <c r="P2066" t="str">
        <f t="shared" si="841"/>
        <v>Mas de 3</v>
      </c>
      <c r="Q2066">
        <v>1</v>
      </c>
      <c r="R2066" t="str">
        <f t="shared" si="842"/>
        <v>A veces</v>
      </c>
      <c r="S2066">
        <v>0</v>
      </c>
      <c r="T2066" t="str">
        <f t="shared" si="843"/>
        <v>No fuma</v>
      </c>
      <c r="U2066">
        <v>1678791</v>
      </c>
      <c r="V2066">
        <f t="shared" si="844"/>
        <v>2</v>
      </c>
      <c r="W2066" t="str">
        <f t="shared" si="845"/>
        <v>Siempre</v>
      </c>
      <c r="X2066">
        <v>0</v>
      </c>
      <c r="Y2066" t="str">
        <f t="shared" si="846"/>
        <v>No controla</v>
      </c>
      <c r="Z2066">
        <v>168249</v>
      </c>
      <c r="AA2066">
        <f t="shared" si="847"/>
        <v>2</v>
      </c>
      <c r="AB2066" t="str">
        <f t="shared" si="848"/>
        <v>Usualmente</v>
      </c>
      <c r="AC2066">
        <v>0.81887100000000002</v>
      </c>
      <c r="AD2066">
        <f t="shared" si="849"/>
        <v>0</v>
      </c>
      <c r="AE2066" t="str">
        <f t="shared" si="850"/>
        <v>Nunca</v>
      </c>
      <c r="AF2066">
        <v>1</v>
      </c>
      <c r="AG2066" t="str">
        <f t="shared" si="851"/>
        <v>A veces</v>
      </c>
      <c r="AH2066">
        <v>0</v>
      </c>
      <c r="AI2066" t="str">
        <f t="shared" si="852"/>
        <v>No usa</v>
      </c>
      <c r="AJ2066">
        <v>0</v>
      </c>
      <c r="AK2066" t="str">
        <f t="shared" si="853"/>
        <v>No usa</v>
      </c>
      <c r="AL2066">
        <v>0</v>
      </c>
      <c r="AM2066" t="str">
        <f t="shared" si="854"/>
        <v>No usa</v>
      </c>
      <c r="AN2066">
        <v>1</v>
      </c>
      <c r="AO2066" t="str">
        <f t="shared" si="855"/>
        <v>Usa Transporte</v>
      </c>
      <c r="AP2066">
        <v>0</v>
      </c>
      <c r="AQ2066" t="str">
        <f t="shared" si="856"/>
        <v>No camina</v>
      </c>
      <c r="AR2066">
        <v>1</v>
      </c>
      <c r="AS2066" t="str">
        <f t="shared" si="857"/>
        <v>Es Obeso</v>
      </c>
    </row>
    <row r="2067" spans="1:45" x14ac:dyDescent="0.25">
      <c r="A2067">
        <v>0</v>
      </c>
      <c r="B2067" t="str">
        <f t="shared" si="832"/>
        <v>F</v>
      </c>
      <c r="C2067">
        <v>2167447</v>
      </c>
      <c r="D2067">
        <f t="shared" si="833"/>
        <v>5</v>
      </c>
      <c r="E2067">
        <f t="shared" si="834"/>
        <v>5</v>
      </c>
      <c r="F2067" t="str">
        <f t="shared" si="835"/>
        <v>1-25</v>
      </c>
      <c r="G2067">
        <v>1</v>
      </c>
      <c r="H2067" t="str">
        <f t="shared" si="836"/>
        <v>Pariente gordo</v>
      </c>
      <c r="I2067">
        <v>1</v>
      </c>
      <c r="J2067" t="str">
        <f t="shared" si="837"/>
        <v>Hipercaloricos</v>
      </c>
      <c r="K2067">
        <v>3</v>
      </c>
      <c r="L2067">
        <f t="shared" si="838"/>
        <v>1</v>
      </c>
      <c r="M2067" t="str">
        <f t="shared" si="839"/>
        <v>Suele comer</v>
      </c>
      <c r="N2067">
        <v>3</v>
      </c>
      <c r="O2067">
        <f t="shared" si="840"/>
        <v>2</v>
      </c>
      <c r="P2067" t="str">
        <f t="shared" si="841"/>
        <v>Mas de 3</v>
      </c>
      <c r="Q2067">
        <v>1</v>
      </c>
      <c r="R2067" t="str">
        <f t="shared" si="842"/>
        <v>A veces</v>
      </c>
      <c r="S2067">
        <v>0</v>
      </c>
      <c r="T2067" t="str">
        <f t="shared" si="843"/>
        <v>No fuma</v>
      </c>
      <c r="U2067">
        <v>1777805</v>
      </c>
      <c r="V2067">
        <f t="shared" si="844"/>
        <v>2</v>
      </c>
      <c r="W2067" t="str">
        <f t="shared" si="845"/>
        <v>Siempre</v>
      </c>
      <c r="X2067">
        <v>0</v>
      </c>
      <c r="Y2067" t="str">
        <f t="shared" si="846"/>
        <v>No controla</v>
      </c>
      <c r="Z2067">
        <v>1584716</v>
      </c>
      <c r="AA2067">
        <f t="shared" si="847"/>
        <v>3</v>
      </c>
      <c r="AB2067" t="str">
        <f t="shared" si="848"/>
        <v>Siempre</v>
      </c>
      <c r="AC2067">
        <v>0.92734099999999997</v>
      </c>
      <c r="AD2067">
        <f t="shared" si="849"/>
        <v>0</v>
      </c>
      <c r="AE2067" t="str">
        <f t="shared" si="850"/>
        <v>Nunca</v>
      </c>
      <c r="AF2067">
        <v>1</v>
      </c>
      <c r="AG2067" t="str">
        <f t="shared" si="851"/>
        <v>A veces</v>
      </c>
      <c r="AH2067">
        <v>0</v>
      </c>
      <c r="AI2067" t="str">
        <f t="shared" si="852"/>
        <v>No usa</v>
      </c>
      <c r="AJ2067">
        <v>0</v>
      </c>
      <c r="AK2067" t="str">
        <f t="shared" si="853"/>
        <v>No usa</v>
      </c>
      <c r="AL2067">
        <v>0</v>
      </c>
      <c r="AM2067" t="str">
        <f t="shared" si="854"/>
        <v>No usa</v>
      </c>
      <c r="AN2067">
        <v>1</v>
      </c>
      <c r="AO2067" t="str">
        <f t="shared" si="855"/>
        <v>Usa Transporte</v>
      </c>
      <c r="AP2067">
        <v>0</v>
      </c>
      <c r="AQ2067" t="str">
        <f t="shared" si="856"/>
        <v>No camina</v>
      </c>
      <c r="AR2067">
        <v>1</v>
      </c>
      <c r="AS2067" t="str">
        <f t="shared" si="857"/>
        <v>Es Obeso</v>
      </c>
    </row>
    <row r="2068" spans="1:45" x14ac:dyDescent="0.25">
      <c r="A2068">
        <v>0</v>
      </c>
      <c r="B2068" t="str">
        <f t="shared" si="832"/>
        <v>F</v>
      </c>
      <c r="C2068">
        <v>21568951</v>
      </c>
      <c r="D2068">
        <f t="shared" si="833"/>
        <v>59</v>
      </c>
      <c r="E2068">
        <f t="shared" si="834"/>
        <v>59</v>
      </c>
      <c r="F2068" t="str">
        <f t="shared" si="835"/>
        <v>50-75</v>
      </c>
      <c r="G2068">
        <v>1</v>
      </c>
      <c r="H2068" t="str">
        <f t="shared" si="836"/>
        <v>Pariente gordo</v>
      </c>
      <c r="I2068">
        <v>1</v>
      </c>
      <c r="J2068" t="str">
        <f t="shared" si="837"/>
        <v>Hipercaloricos</v>
      </c>
      <c r="K2068">
        <v>3</v>
      </c>
      <c r="L2068">
        <f t="shared" si="838"/>
        <v>1</v>
      </c>
      <c r="M2068" t="str">
        <f t="shared" si="839"/>
        <v>Suele comer</v>
      </c>
      <c r="N2068">
        <v>3</v>
      </c>
      <c r="O2068">
        <f t="shared" si="840"/>
        <v>2</v>
      </c>
      <c r="P2068" t="str">
        <f t="shared" si="841"/>
        <v>Mas de 3</v>
      </c>
      <c r="Q2068">
        <v>1</v>
      </c>
      <c r="R2068" t="str">
        <f t="shared" si="842"/>
        <v>A veces</v>
      </c>
      <c r="S2068">
        <v>0</v>
      </c>
      <c r="T2068" t="str">
        <f t="shared" si="843"/>
        <v>No fuma</v>
      </c>
      <c r="U2068">
        <v>1733306</v>
      </c>
      <c r="V2068">
        <f t="shared" si="844"/>
        <v>2</v>
      </c>
      <c r="W2068" t="str">
        <f t="shared" si="845"/>
        <v>Siempre</v>
      </c>
      <c r="X2068">
        <v>0</v>
      </c>
      <c r="Y2068" t="str">
        <f t="shared" si="846"/>
        <v>No controla</v>
      </c>
      <c r="Z2068">
        <v>1773304</v>
      </c>
      <c r="AA2068">
        <f t="shared" si="847"/>
        <v>3</v>
      </c>
      <c r="AB2068" t="str">
        <f t="shared" si="848"/>
        <v>Siempre</v>
      </c>
      <c r="AC2068">
        <v>0.92113599999999995</v>
      </c>
      <c r="AD2068">
        <f t="shared" si="849"/>
        <v>0</v>
      </c>
      <c r="AE2068" t="str">
        <f t="shared" si="850"/>
        <v>Nunca</v>
      </c>
      <c r="AF2068">
        <v>1</v>
      </c>
      <c r="AG2068" t="str">
        <f t="shared" si="851"/>
        <v>A veces</v>
      </c>
      <c r="AH2068">
        <v>0</v>
      </c>
      <c r="AI2068" t="str">
        <f t="shared" si="852"/>
        <v>No usa</v>
      </c>
      <c r="AJ2068">
        <v>0</v>
      </c>
      <c r="AK2068" t="str">
        <f t="shared" si="853"/>
        <v>No usa</v>
      </c>
      <c r="AL2068">
        <v>0</v>
      </c>
      <c r="AM2068" t="str">
        <f t="shared" si="854"/>
        <v>No usa</v>
      </c>
      <c r="AN2068">
        <v>1</v>
      </c>
      <c r="AO2068" t="str">
        <f t="shared" si="855"/>
        <v>Usa Transporte</v>
      </c>
      <c r="AP2068">
        <v>0</v>
      </c>
      <c r="AQ2068" t="str">
        <f t="shared" si="856"/>
        <v>No camina</v>
      </c>
      <c r="AR2068">
        <v>1</v>
      </c>
      <c r="AS2068" t="str">
        <f t="shared" si="857"/>
        <v>Es Obeso</v>
      </c>
    </row>
    <row r="2069" spans="1:45" x14ac:dyDescent="0.25">
      <c r="A2069">
        <v>0</v>
      </c>
      <c r="B2069" t="str">
        <f t="shared" si="832"/>
        <v>F</v>
      </c>
      <c r="C2069">
        <v>23647935</v>
      </c>
      <c r="D2069">
        <f t="shared" si="833"/>
        <v>64</v>
      </c>
      <c r="E2069">
        <f t="shared" si="834"/>
        <v>64</v>
      </c>
      <c r="F2069" t="str">
        <f t="shared" si="835"/>
        <v>50-75</v>
      </c>
      <c r="G2069">
        <v>1</v>
      </c>
      <c r="H2069" t="str">
        <f t="shared" si="836"/>
        <v>Pariente gordo</v>
      </c>
      <c r="I2069">
        <v>1</v>
      </c>
      <c r="J2069" t="str">
        <f t="shared" si="837"/>
        <v>Hipercaloricos</v>
      </c>
      <c r="K2069">
        <v>3</v>
      </c>
      <c r="L2069">
        <f t="shared" si="838"/>
        <v>1</v>
      </c>
      <c r="M2069" t="str">
        <f t="shared" si="839"/>
        <v>Suele comer</v>
      </c>
      <c r="N2069">
        <v>3</v>
      </c>
      <c r="O2069">
        <f t="shared" si="840"/>
        <v>2</v>
      </c>
      <c r="P2069" t="str">
        <f t="shared" si="841"/>
        <v>Mas de 3</v>
      </c>
      <c r="Q2069">
        <v>1</v>
      </c>
      <c r="R2069" t="str">
        <f t="shared" si="842"/>
        <v>A veces</v>
      </c>
      <c r="S2069">
        <v>0</v>
      </c>
      <c r="T2069" t="str">
        <f t="shared" si="843"/>
        <v>No fuma</v>
      </c>
      <c r="U2069">
        <v>2435978</v>
      </c>
      <c r="V2069">
        <f t="shared" si="844"/>
        <v>2</v>
      </c>
      <c r="W2069" t="str">
        <f t="shared" si="845"/>
        <v>Siempre</v>
      </c>
      <c r="X2069">
        <v>0</v>
      </c>
      <c r="Y2069" t="str">
        <f t="shared" si="846"/>
        <v>No controla</v>
      </c>
      <c r="Z2069">
        <v>0.232742</v>
      </c>
      <c r="AA2069">
        <f t="shared" si="847"/>
        <v>0</v>
      </c>
      <c r="AB2069" t="str">
        <f t="shared" si="848"/>
        <v>Nunca</v>
      </c>
      <c r="AC2069">
        <v>0.692608</v>
      </c>
      <c r="AD2069">
        <f t="shared" si="849"/>
        <v>0</v>
      </c>
      <c r="AE2069" t="str">
        <f t="shared" si="850"/>
        <v>Nunca</v>
      </c>
      <c r="AF2069">
        <v>1</v>
      </c>
      <c r="AG2069" t="str">
        <f t="shared" si="851"/>
        <v>A veces</v>
      </c>
      <c r="AH2069">
        <v>0</v>
      </c>
      <c r="AI2069" t="str">
        <f t="shared" si="852"/>
        <v>No usa</v>
      </c>
      <c r="AJ2069">
        <v>0</v>
      </c>
      <c r="AK2069" t="str">
        <f t="shared" si="853"/>
        <v>No usa</v>
      </c>
      <c r="AL2069">
        <v>0</v>
      </c>
      <c r="AM2069" t="str">
        <f t="shared" si="854"/>
        <v>No usa</v>
      </c>
      <c r="AN2069">
        <v>1</v>
      </c>
      <c r="AO2069" t="str">
        <f t="shared" si="855"/>
        <v>Usa Transporte</v>
      </c>
      <c r="AP2069">
        <v>0</v>
      </c>
      <c r="AQ2069" t="str">
        <f t="shared" si="856"/>
        <v>No camina</v>
      </c>
      <c r="AR2069">
        <v>1</v>
      </c>
      <c r="AS2069" t="str">
        <f t="shared" si="857"/>
        <v>Es Obeso</v>
      </c>
    </row>
    <row r="2070" spans="1:45" x14ac:dyDescent="0.25">
      <c r="A2070">
        <v>0</v>
      </c>
      <c r="B2070" t="str">
        <f t="shared" si="832"/>
        <v>F</v>
      </c>
      <c r="C2070">
        <v>24196367</v>
      </c>
      <c r="D2070">
        <f t="shared" si="833"/>
        <v>66</v>
      </c>
      <c r="E2070">
        <f t="shared" si="834"/>
        <v>66</v>
      </c>
      <c r="F2070" t="str">
        <f t="shared" si="835"/>
        <v>50-75</v>
      </c>
      <c r="G2070">
        <v>1</v>
      </c>
      <c r="H2070" t="str">
        <f t="shared" si="836"/>
        <v>Pariente gordo</v>
      </c>
      <c r="I2070">
        <v>1</v>
      </c>
      <c r="J2070" t="str">
        <f t="shared" si="837"/>
        <v>Hipercaloricos</v>
      </c>
      <c r="K2070">
        <v>3</v>
      </c>
      <c r="L2070">
        <f t="shared" si="838"/>
        <v>1</v>
      </c>
      <c r="M2070" t="str">
        <f t="shared" si="839"/>
        <v>Suele comer</v>
      </c>
      <c r="N2070">
        <v>3</v>
      </c>
      <c r="O2070">
        <f t="shared" si="840"/>
        <v>2</v>
      </c>
      <c r="P2070" t="str">
        <f t="shared" si="841"/>
        <v>Mas de 3</v>
      </c>
      <c r="Q2070">
        <v>1</v>
      </c>
      <c r="R2070" t="str">
        <f t="shared" si="842"/>
        <v>A veces</v>
      </c>
      <c r="S2070">
        <v>0</v>
      </c>
      <c r="T2070" t="str">
        <f t="shared" si="843"/>
        <v>No fuma</v>
      </c>
      <c r="U2070">
        <v>2909675</v>
      </c>
      <c r="V2070">
        <f t="shared" si="844"/>
        <v>2</v>
      </c>
      <c r="W2070" t="str">
        <f t="shared" si="845"/>
        <v>Siempre</v>
      </c>
      <c r="X2070">
        <v>0</v>
      </c>
      <c r="Y2070" t="str">
        <f t="shared" si="846"/>
        <v>No controla</v>
      </c>
      <c r="Z2070">
        <v>0.36090800000000001</v>
      </c>
      <c r="AA2070">
        <f t="shared" si="847"/>
        <v>0</v>
      </c>
      <c r="AB2070" t="str">
        <f t="shared" si="848"/>
        <v>Nunca</v>
      </c>
      <c r="AC2070">
        <v>0.57388700000000004</v>
      </c>
      <c r="AD2070">
        <f t="shared" si="849"/>
        <v>0</v>
      </c>
      <c r="AE2070" t="str">
        <f t="shared" si="850"/>
        <v>Nunca</v>
      </c>
      <c r="AF2070">
        <v>1</v>
      </c>
      <c r="AG2070" t="str">
        <f t="shared" si="851"/>
        <v>A veces</v>
      </c>
      <c r="AH2070">
        <v>0</v>
      </c>
      <c r="AI2070" t="str">
        <f t="shared" si="852"/>
        <v>No usa</v>
      </c>
      <c r="AJ2070">
        <v>0</v>
      </c>
      <c r="AK2070" t="str">
        <f t="shared" si="853"/>
        <v>No usa</v>
      </c>
      <c r="AL2070">
        <v>0</v>
      </c>
      <c r="AM2070" t="str">
        <f t="shared" si="854"/>
        <v>No usa</v>
      </c>
      <c r="AN2070">
        <v>1</v>
      </c>
      <c r="AO2070" t="str">
        <f t="shared" si="855"/>
        <v>Usa Transporte</v>
      </c>
      <c r="AP2070">
        <v>0</v>
      </c>
      <c r="AQ2070" t="str">
        <f t="shared" si="856"/>
        <v>No camina</v>
      </c>
      <c r="AR2070">
        <v>1</v>
      </c>
      <c r="AS2070" t="str">
        <f t="shared" si="857"/>
        <v>Es Obeso</v>
      </c>
    </row>
    <row r="2071" spans="1:45" x14ac:dyDescent="0.25">
      <c r="A2071">
        <v>0</v>
      </c>
      <c r="B2071" t="str">
        <f t="shared" si="832"/>
        <v>F</v>
      </c>
      <c r="C2071">
        <v>24284833</v>
      </c>
      <c r="D2071">
        <f t="shared" si="833"/>
        <v>66</v>
      </c>
      <c r="E2071">
        <f t="shared" si="834"/>
        <v>66</v>
      </c>
      <c r="F2071" t="str">
        <f t="shared" si="835"/>
        <v>50-75</v>
      </c>
      <c r="G2071">
        <v>1</v>
      </c>
      <c r="H2071" t="str">
        <f t="shared" si="836"/>
        <v>Pariente gordo</v>
      </c>
      <c r="I2071">
        <v>1</v>
      </c>
      <c r="J2071" t="str">
        <f t="shared" si="837"/>
        <v>Hipercaloricos</v>
      </c>
      <c r="K2071">
        <v>3</v>
      </c>
      <c r="L2071">
        <f t="shared" si="838"/>
        <v>1</v>
      </c>
      <c r="M2071" t="str">
        <f t="shared" si="839"/>
        <v>Suele comer</v>
      </c>
      <c r="N2071">
        <v>3</v>
      </c>
      <c r="O2071">
        <f t="shared" si="840"/>
        <v>2</v>
      </c>
      <c r="P2071" t="str">
        <f t="shared" si="841"/>
        <v>Mas de 3</v>
      </c>
      <c r="Q2071">
        <v>1</v>
      </c>
      <c r="R2071" t="str">
        <f t="shared" si="842"/>
        <v>A veces</v>
      </c>
      <c r="S2071">
        <v>0</v>
      </c>
      <c r="T2071" t="str">
        <f t="shared" si="843"/>
        <v>No fuma</v>
      </c>
      <c r="U2071">
        <v>275137</v>
      </c>
      <c r="V2071">
        <f t="shared" si="844"/>
        <v>2</v>
      </c>
      <c r="W2071" t="str">
        <f t="shared" si="845"/>
        <v>Siempre</v>
      </c>
      <c r="X2071">
        <v>0</v>
      </c>
      <c r="Y2071" t="str">
        <f t="shared" si="846"/>
        <v>No controla</v>
      </c>
      <c r="Z2071">
        <v>0.32491300000000001</v>
      </c>
      <c r="AA2071">
        <f t="shared" si="847"/>
        <v>0</v>
      </c>
      <c r="AB2071" t="str">
        <f t="shared" si="848"/>
        <v>Nunca</v>
      </c>
      <c r="AC2071">
        <v>0.516764</v>
      </c>
      <c r="AD2071">
        <f t="shared" si="849"/>
        <v>0</v>
      </c>
      <c r="AE2071" t="str">
        <f t="shared" si="850"/>
        <v>Nunca</v>
      </c>
      <c r="AF2071">
        <v>1</v>
      </c>
      <c r="AG2071" t="str">
        <f t="shared" si="851"/>
        <v>A veces</v>
      </c>
      <c r="AH2071">
        <v>0</v>
      </c>
      <c r="AI2071" t="str">
        <f t="shared" si="852"/>
        <v>No usa</v>
      </c>
      <c r="AJ2071">
        <v>0</v>
      </c>
      <c r="AK2071" t="str">
        <f t="shared" si="853"/>
        <v>No usa</v>
      </c>
      <c r="AL2071">
        <v>0</v>
      </c>
      <c r="AM2071" t="str">
        <f t="shared" si="854"/>
        <v>No usa</v>
      </c>
      <c r="AN2071">
        <v>1</v>
      </c>
      <c r="AO2071" t="str">
        <f t="shared" si="855"/>
        <v>Usa Transporte</v>
      </c>
      <c r="AP2071">
        <v>0</v>
      </c>
      <c r="AQ2071" t="str">
        <f t="shared" si="856"/>
        <v>No camina</v>
      </c>
      <c r="AR2071">
        <v>1</v>
      </c>
      <c r="AS2071" t="str">
        <f t="shared" si="857"/>
        <v>Es Obeso</v>
      </c>
    </row>
    <row r="2072" spans="1:45" x14ac:dyDescent="0.25">
      <c r="A2072">
        <v>0</v>
      </c>
      <c r="B2072" t="str">
        <f t="shared" si="832"/>
        <v>F</v>
      </c>
      <c r="C2072">
        <v>24693108</v>
      </c>
      <c r="D2072">
        <f t="shared" si="833"/>
        <v>67</v>
      </c>
      <c r="E2072">
        <f t="shared" si="834"/>
        <v>67</v>
      </c>
      <c r="F2072" t="str">
        <f t="shared" si="835"/>
        <v>50-75</v>
      </c>
      <c r="G2072">
        <v>1</v>
      </c>
      <c r="H2072" t="str">
        <f t="shared" si="836"/>
        <v>Pariente gordo</v>
      </c>
      <c r="I2072">
        <v>1</v>
      </c>
      <c r="J2072" t="str">
        <f t="shared" si="837"/>
        <v>Hipercaloricos</v>
      </c>
      <c r="K2072">
        <v>3</v>
      </c>
      <c r="L2072">
        <f t="shared" si="838"/>
        <v>1</v>
      </c>
      <c r="M2072" t="str">
        <f t="shared" si="839"/>
        <v>Suele comer</v>
      </c>
      <c r="N2072">
        <v>3</v>
      </c>
      <c r="O2072">
        <f t="shared" si="840"/>
        <v>2</v>
      </c>
      <c r="P2072" t="str">
        <f t="shared" si="841"/>
        <v>Mas de 3</v>
      </c>
      <c r="Q2072">
        <v>1</v>
      </c>
      <c r="R2072" t="str">
        <f t="shared" si="842"/>
        <v>A veces</v>
      </c>
      <c r="S2072">
        <v>0</v>
      </c>
      <c r="T2072" t="str">
        <f t="shared" si="843"/>
        <v>No fuma</v>
      </c>
      <c r="U2072">
        <v>2887909</v>
      </c>
      <c r="V2072">
        <f t="shared" si="844"/>
        <v>2</v>
      </c>
      <c r="W2072" t="str">
        <f t="shared" si="845"/>
        <v>Siempre</v>
      </c>
      <c r="X2072">
        <v>0</v>
      </c>
      <c r="Y2072" t="str">
        <f t="shared" si="846"/>
        <v>No controla</v>
      </c>
      <c r="Z2072">
        <v>0.31292300000000001</v>
      </c>
      <c r="AA2072">
        <f t="shared" si="847"/>
        <v>0</v>
      </c>
      <c r="AB2072" t="str">
        <f t="shared" si="848"/>
        <v>Nunca</v>
      </c>
      <c r="AC2072">
        <v>0.21099699999999999</v>
      </c>
      <c r="AD2072">
        <f t="shared" si="849"/>
        <v>0</v>
      </c>
      <c r="AE2072" t="str">
        <f t="shared" si="850"/>
        <v>Nunca</v>
      </c>
      <c r="AF2072">
        <v>1</v>
      </c>
      <c r="AG2072" t="str">
        <f t="shared" si="851"/>
        <v>A veces</v>
      </c>
      <c r="AH2072">
        <v>0</v>
      </c>
      <c r="AI2072" t="str">
        <f t="shared" si="852"/>
        <v>No usa</v>
      </c>
      <c r="AJ2072">
        <v>0</v>
      </c>
      <c r="AK2072" t="str">
        <f t="shared" si="853"/>
        <v>No usa</v>
      </c>
      <c r="AL2072">
        <v>0</v>
      </c>
      <c r="AM2072" t="str">
        <f t="shared" si="854"/>
        <v>No usa</v>
      </c>
      <c r="AN2072">
        <v>1</v>
      </c>
      <c r="AO2072" t="str">
        <f t="shared" si="855"/>
        <v>Usa Transporte</v>
      </c>
      <c r="AP2072">
        <v>0</v>
      </c>
      <c r="AQ2072" t="str">
        <f t="shared" si="856"/>
        <v>No camina</v>
      </c>
      <c r="AR2072">
        <v>1</v>
      </c>
      <c r="AS2072" t="str">
        <f t="shared" si="857"/>
        <v>Es Obeso</v>
      </c>
    </row>
    <row r="2073" spans="1:45" x14ac:dyDescent="0.25">
      <c r="A2073">
        <v>0</v>
      </c>
      <c r="B2073" t="str">
        <f t="shared" si="832"/>
        <v>F</v>
      </c>
      <c r="C2073">
        <v>18862264</v>
      </c>
      <c r="D2073">
        <f t="shared" si="833"/>
        <v>51</v>
      </c>
      <c r="E2073">
        <f t="shared" si="834"/>
        <v>51</v>
      </c>
      <c r="F2073" t="str">
        <f t="shared" si="835"/>
        <v>50-75</v>
      </c>
      <c r="G2073">
        <v>1</v>
      </c>
      <c r="H2073" t="str">
        <f t="shared" si="836"/>
        <v>Pariente gordo</v>
      </c>
      <c r="I2073">
        <v>1</v>
      </c>
      <c r="J2073" t="str">
        <f t="shared" si="837"/>
        <v>Hipercaloricos</v>
      </c>
      <c r="K2073">
        <v>3</v>
      </c>
      <c r="L2073">
        <f t="shared" si="838"/>
        <v>1</v>
      </c>
      <c r="M2073" t="str">
        <f t="shared" si="839"/>
        <v>Suele comer</v>
      </c>
      <c r="N2073">
        <v>3</v>
      </c>
      <c r="O2073">
        <f t="shared" si="840"/>
        <v>2</v>
      </c>
      <c r="P2073" t="str">
        <f t="shared" si="841"/>
        <v>Mas de 3</v>
      </c>
      <c r="Q2073">
        <v>1</v>
      </c>
      <c r="R2073" t="str">
        <f t="shared" si="842"/>
        <v>A veces</v>
      </c>
      <c r="S2073">
        <v>0</v>
      </c>
      <c r="T2073" t="str">
        <f t="shared" si="843"/>
        <v>No fuma</v>
      </c>
      <c r="U2073">
        <v>2411582</v>
      </c>
      <c r="V2073">
        <f t="shared" si="844"/>
        <v>2</v>
      </c>
      <c r="W2073" t="str">
        <f t="shared" si="845"/>
        <v>Siempre</v>
      </c>
      <c r="X2073">
        <v>0</v>
      </c>
      <c r="Y2073" t="str">
        <f t="shared" si="846"/>
        <v>No controla</v>
      </c>
      <c r="Z2073">
        <v>0.98528700000000002</v>
      </c>
      <c r="AA2073">
        <f t="shared" si="847"/>
        <v>0</v>
      </c>
      <c r="AB2073" t="str">
        <f t="shared" si="848"/>
        <v>Nunca</v>
      </c>
      <c r="AC2073">
        <v>0.67507600000000001</v>
      </c>
      <c r="AD2073">
        <f t="shared" si="849"/>
        <v>0</v>
      </c>
      <c r="AE2073" t="str">
        <f t="shared" si="850"/>
        <v>Nunca</v>
      </c>
      <c r="AF2073">
        <v>1</v>
      </c>
      <c r="AG2073" t="str">
        <f t="shared" si="851"/>
        <v>A veces</v>
      </c>
      <c r="AH2073">
        <v>0</v>
      </c>
      <c r="AI2073" t="str">
        <f t="shared" si="852"/>
        <v>No usa</v>
      </c>
      <c r="AJ2073">
        <v>0</v>
      </c>
      <c r="AK2073" t="str">
        <f t="shared" si="853"/>
        <v>No usa</v>
      </c>
      <c r="AL2073">
        <v>0</v>
      </c>
      <c r="AM2073" t="str">
        <f t="shared" si="854"/>
        <v>No usa</v>
      </c>
      <c r="AN2073">
        <v>1</v>
      </c>
      <c r="AO2073" t="str">
        <f t="shared" si="855"/>
        <v>Usa Transporte</v>
      </c>
      <c r="AP2073">
        <v>0</v>
      </c>
      <c r="AQ2073" t="str">
        <f t="shared" si="856"/>
        <v>No camina</v>
      </c>
      <c r="AR2073">
        <v>1</v>
      </c>
      <c r="AS2073" t="str">
        <f t="shared" si="857"/>
        <v>Es Obeso</v>
      </c>
    </row>
    <row r="2074" spans="1:45" x14ac:dyDescent="0.25">
      <c r="A2074">
        <v>0</v>
      </c>
      <c r="B2074" t="str">
        <f t="shared" si="832"/>
        <v>F</v>
      </c>
      <c r="C2074">
        <v>18423482</v>
      </c>
      <c r="D2074">
        <f t="shared" si="833"/>
        <v>50</v>
      </c>
      <c r="E2074">
        <f t="shared" si="834"/>
        <v>50</v>
      </c>
      <c r="F2074" t="str">
        <f t="shared" si="835"/>
        <v>25-50</v>
      </c>
      <c r="G2074">
        <v>1</v>
      </c>
      <c r="H2074" t="str">
        <f t="shared" si="836"/>
        <v>Pariente gordo</v>
      </c>
      <c r="I2074">
        <v>1</v>
      </c>
      <c r="J2074" t="str">
        <f t="shared" si="837"/>
        <v>Hipercaloricos</v>
      </c>
      <c r="K2074">
        <v>3</v>
      </c>
      <c r="L2074">
        <f t="shared" si="838"/>
        <v>1</v>
      </c>
      <c r="M2074" t="str">
        <f t="shared" si="839"/>
        <v>Suele comer</v>
      </c>
      <c r="N2074">
        <v>3</v>
      </c>
      <c r="O2074">
        <f t="shared" si="840"/>
        <v>2</v>
      </c>
      <c r="P2074" t="str">
        <f t="shared" si="841"/>
        <v>Mas de 3</v>
      </c>
      <c r="Q2074">
        <v>1</v>
      </c>
      <c r="R2074" t="str">
        <f t="shared" si="842"/>
        <v>A veces</v>
      </c>
      <c r="S2074">
        <v>0</v>
      </c>
      <c r="T2074" t="str">
        <f t="shared" si="843"/>
        <v>No fuma</v>
      </c>
      <c r="U2074">
        <v>238639</v>
      </c>
      <c r="V2074">
        <f t="shared" si="844"/>
        <v>2</v>
      </c>
      <c r="W2074" t="str">
        <f t="shared" si="845"/>
        <v>Siempre</v>
      </c>
      <c r="X2074">
        <v>0</v>
      </c>
      <c r="Y2074" t="str">
        <f t="shared" si="846"/>
        <v>No controla</v>
      </c>
      <c r="Z2074">
        <v>1544632</v>
      </c>
      <c r="AA2074">
        <f t="shared" si="847"/>
        <v>3</v>
      </c>
      <c r="AB2074" t="str">
        <f t="shared" si="848"/>
        <v>Siempre</v>
      </c>
      <c r="AC2074">
        <v>0.90006699999999995</v>
      </c>
      <c r="AD2074">
        <f t="shared" si="849"/>
        <v>0</v>
      </c>
      <c r="AE2074" t="str">
        <f t="shared" si="850"/>
        <v>Nunca</v>
      </c>
      <c r="AF2074">
        <v>1</v>
      </c>
      <c r="AG2074" t="str">
        <f t="shared" si="851"/>
        <v>A veces</v>
      </c>
      <c r="AH2074">
        <v>0</v>
      </c>
      <c r="AI2074" t="str">
        <f t="shared" si="852"/>
        <v>No usa</v>
      </c>
      <c r="AJ2074">
        <v>0</v>
      </c>
      <c r="AK2074" t="str">
        <f t="shared" si="853"/>
        <v>No usa</v>
      </c>
      <c r="AL2074">
        <v>0</v>
      </c>
      <c r="AM2074" t="str">
        <f t="shared" si="854"/>
        <v>No usa</v>
      </c>
      <c r="AN2074">
        <v>1</v>
      </c>
      <c r="AO2074" t="str">
        <f t="shared" si="855"/>
        <v>Usa Transporte</v>
      </c>
      <c r="AP2074">
        <v>0</v>
      </c>
      <c r="AQ2074" t="str">
        <f t="shared" si="856"/>
        <v>No camina</v>
      </c>
      <c r="AR2074">
        <v>1</v>
      </c>
      <c r="AS2074" t="str">
        <f t="shared" si="857"/>
        <v>Es Obeso</v>
      </c>
    </row>
    <row r="2075" spans="1:45" x14ac:dyDescent="0.25">
      <c r="A2075">
        <v>0</v>
      </c>
      <c r="B2075" t="str">
        <f t="shared" si="832"/>
        <v>F</v>
      </c>
      <c r="C2075">
        <v>20394082</v>
      </c>
      <c r="D2075">
        <f t="shared" si="833"/>
        <v>55</v>
      </c>
      <c r="E2075">
        <f t="shared" si="834"/>
        <v>55</v>
      </c>
      <c r="F2075" t="str">
        <f t="shared" si="835"/>
        <v>50-75</v>
      </c>
      <c r="G2075">
        <v>1</v>
      </c>
      <c r="H2075" t="str">
        <f t="shared" si="836"/>
        <v>Pariente gordo</v>
      </c>
      <c r="I2075">
        <v>1</v>
      </c>
      <c r="J2075" t="str">
        <f t="shared" si="837"/>
        <v>Hipercaloricos</v>
      </c>
      <c r="K2075">
        <v>3</v>
      </c>
      <c r="L2075">
        <f t="shared" si="838"/>
        <v>1</v>
      </c>
      <c r="M2075" t="str">
        <f t="shared" si="839"/>
        <v>Suele comer</v>
      </c>
      <c r="N2075">
        <v>3</v>
      </c>
      <c r="O2075">
        <f t="shared" si="840"/>
        <v>2</v>
      </c>
      <c r="P2075" t="str">
        <f t="shared" si="841"/>
        <v>Mas de 3</v>
      </c>
      <c r="Q2075">
        <v>1</v>
      </c>
      <c r="R2075" t="str">
        <f t="shared" si="842"/>
        <v>A veces</v>
      </c>
      <c r="S2075">
        <v>0</v>
      </c>
      <c r="T2075" t="str">
        <f t="shared" si="843"/>
        <v>No fuma</v>
      </c>
      <c r="U2075">
        <v>2232601</v>
      </c>
      <c r="V2075">
        <f t="shared" si="844"/>
        <v>2</v>
      </c>
      <c r="W2075" t="str">
        <f t="shared" si="845"/>
        <v>Siempre</v>
      </c>
      <c r="X2075">
        <v>0</v>
      </c>
      <c r="Y2075" t="str">
        <f t="shared" si="846"/>
        <v>No controla</v>
      </c>
      <c r="Z2075">
        <v>0.55432300000000001</v>
      </c>
      <c r="AA2075">
        <f t="shared" si="847"/>
        <v>0</v>
      </c>
      <c r="AB2075" t="str">
        <f t="shared" si="848"/>
        <v>Nunca</v>
      </c>
      <c r="AC2075">
        <v>0.83615099999999998</v>
      </c>
      <c r="AD2075">
        <f t="shared" si="849"/>
        <v>0</v>
      </c>
      <c r="AE2075" t="str">
        <f t="shared" si="850"/>
        <v>Nunca</v>
      </c>
      <c r="AF2075">
        <v>1</v>
      </c>
      <c r="AG2075" t="str">
        <f t="shared" si="851"/>
        <v>A veces</v>
      </c>
      <c r="AH2075">
        <v>0</v>
      </c>
      <c r="AI2075" t="str">
        <f t="shared" si="852"/>
        <v>No usa</v>
      </c>
      <c r="AJ2075">
        <v>0</v>
      </c>
      <c r="AK2075" t="str">
        <f t="shared" si="853"/>
        <v>No usa</v>
      </c>
      <c r="AL2075">
        <v>0</v>
      </c>
      <c r="AM2075" t="str">
        <f t="shared" si="854"/>
        <v>No usa</v>
      </c>
      <c r="AN2075">
        <v>1</v>
      </c>
      <c r="AO2075" t="str">
        <f t="shared" si="855"/>
        <v>Usa Transporte</v>
      </c>
      <c r="AP2075">
        <v>0</v>
      </c>
      <c r="AQ2075" t="str">
        <f t="shared" si="856"/>
        <v>No camina</v>
      </c>
      <c r="AR2075">
        <v>1</v>
      </c>
      <c r="AS2075" t="str">
        <f t="shared" si="857"/>
        <v>Es Obeso</v>
      </c>
    </row>
    <row r="2076" spans="1:45" x14ac:dyDescent="0.25">
      <c r="A2076">
        <v>0</v>
      </c>
      <c r="B2076" t="str">
        <f t="shared" si="832"/>
        <v>F</v>
      </c>
      <c r="C2076">
        <v>20217015</v>
      </c>
      <c r="D2076">
        <f t="shared" si="833"/>
        <v>55</v>
      </c>
      <c r="E2076">
        <f t="shared" si="834"/>
        <v>55</v>
      </c>
      <c r="F2076" t="str">
        <f t="shared" si="835"/>
        <v>50-75</v>
      </c>
      <c r="G2076">
        <v>1</v>
      </c>
      <c r="H2076" t="str">
        <f t="shared" si="836"/>
        <v>Pariente gordo</v>
      </c>
      <c r="I2076">
        <v>1</v>
      </c>
      <c r="J2076" t="str">
        <f t="shared" si="837"/>
        <v>Hipercaloricos</v>
      </c>
      <c r="K2076">
        <v>3</v>
      </c>
      <c r="L2076">
        <f t="shared" si="838"/>
        <v>1</v>
      </c>
      <c r="M2076" t="str">
        <f t="shared" si="839"/>
        <v>Suele comer</v>
      </c>
      <c r="N2076">
        <v>3</v>
      </c>
      <c r="O2076">
        <f t="shared" si="840"/>
        <v>2</v>
      </c>
      <c r="P2076" t="str">
        <f t="shared" si="841"/>
        <v>Mas de 3</v>
      </c>
      <c r="Q2076">
        <v>1</v>
      </c>
      <c r="R2076" t="str">
        <f t="shared" si="842"/>
        <v>A veces</v>
      </c>
      <c r="S2076">
        <v>0</v>
      </c>
      <c r="T2076" t="str">
        <f t="shared" si="843"/>
        <v>No fuma</v>
      </c>
      <c r="U2076">
        <v>1755907</v>
      </c>
      <c r="V2076">
        <f t="shared" si="844"/>
        <v>2</v>
      </c>
      <c r="W2076" t="str">
        <f t="shared" si="845"/>
        <v>Siempre</v>
      </c>
      <c r="X2076">
        <v>0</v>
      </c>
      <c r="Y2076" t="str">
        <f t="shared" si="846"/>
        <v>No controla</v>
      </c>
      <c r="Z2076">
        <v>148809</v>
      </c>
      <c r="AA2076">
        <f t="shared" si="847"/>
        <v>2</v>
      </c>
      <c r="AB2076" t="str">
        <f t="shared" si="848"/>
        <v>Usualmente</v>
      </c>
      <c r="AC2076">
        <v>0.85771799999999998</v>
      </c>
      <c r="AD2076">
        <f t="shared" si="849"/>
        <v>0</v>
      </c>
      <c r="AE2076" t="str">
        <f t="shared" si="850"/>
        <v>Nunca</v>
      </c>
      <c r="AF2076">
        <v>1</v>
      </c>
      <c r="AG2076" t="str">
        <f t="shared" si="851"/>
        <v>A veces</v>
      </c>
      <c r="AH2076">
        <v>0</v>
      </c>
      <c r="AI2076" t="str">
        <f t="shared" si="852"/>
        <v>No usa</v>
      </c>
      <c r="AJ2076">
        <v>0</v>
      </c>
      <c r="AK2076" t="str">
        <f t="shared" si="853"/>
        <v>No usa</v>
      </c>
      <c r="AL2076">
        <v>0</v>
      </c>
      <c r="AM2076" t="str">
        <f t="shared" si="854"/>
        <v>No usa</v>
      </c>
      <c r="AN2076">
        <v>1</v>
      </c>
      <c r="AO2076" t="str">
        <f t="shared" si="855"/>
        <v>Usa Transporte</v>
      </c>
      <c r="AP2076">
        <v>0</v>
      </c>
      <c r="AQ2076" t="str">
        <f t="shared" si="856"/>
        <v>No camina</v>
      </c>
      <c r="AR2076">
        <v>1</v>
      </c>
      <c r="AS2076" t="str">
        <f t="shared" si="857"/>
        <v>Es Obeso</v>
      </c>
    </row>
    <row r="2077" spans="1:45" x14ac:dyDescent="0.25">
      <c r="A2077">
        <v>0</v>
      </c>
      <c r="B2077" t="str">
        <f t="shared" si="832"/>
        <v>F</v>
      </c>
      <c r="C2077">
        <v>21330178</v>
      </c>
      <c r="D2077">
        <f t="shared" si="833"/>
        <v>58</v>
      </c>
      <c r="E2077">
        <f t="shared" si="834"/>
        <v>58</v>
      </c>
      <c r="F2077" t="str">
        <f t="shared" si="835"/>
        <v>50-75</v>
      </c>
      <c r="G2077">
        <v>1</v>
      </c>
      <c r="H2077" t="str">
        <f t="shared" si="836"/>
        <v>Pariente gordo</v>
      </c>
      <c r="I2077">
        <v>1</v>
      </c>
      <c r="J2077" t="str">
        <f t="shared" si="837"/>
        <v>Hipercaloricos</v>
      </c>
      <c r="K2077">
        <v>3</v>
      </c>
      <c r="L2077">
        <f t="shared" si="838"/>
        <v>1</v>
      </c>
      <c r="M2077" t="str">
        <f t="shared" si="839"/>
        <v>Suele comer</v>
      </c>
      <c r="N2077">
        <v>3</v>
      </c>
      <c r="O2077">
        <f t="shared" si="840"/>
        <v>2</v>
      </c>
      <c r="P2077" t="str">
        <f t="shared" si="841"/>
        <v>Mas de 3</v>
      </c>
      <c r="Q2077">
        <v>1</v>
      </c>
      <c r="R2077" t="str">
        <f t="shared" si="842"/>
        <v>A veces</v>
      </c>
      <c r="S2077">
        <v>0</v>
      </c>
      <c r="T2077" t="str">
        <f t="shared" si="843"/>
        <v>No fuma</v>
      </c>
      <c r="U2077">
        <v>2336349</v>
      </c>
      <c r="V2077">
        <f t="shared" si="844"/>
        <v>2</v>
      </c>
      <c r="W2077" t="str">
        <f t="shared" si="845"/>
        <v>Siempre</v>
      </c>
      <c r="X2077">
        <v>0</v>
      </c>
      <c r="Y2077" t="str">
        <f t="shared" si="846"/>
        <v>No controla</v>
      </c>
      <c r="Z2077">
        <v>14164</v>
      </c>
      <c r="AA2077">
        <f t="shared" si="847"/>
        <v>2</v>
      </c>
      <c r="AB2077" t="str">
        <f t="shared" si="848"/>
        <v>Usualmente</v>
      </c>
      <c r="AC2077">
        <v>0.71172400000000002</v>
      </c>
      <c r="AD2077">
        <f t="shared" si="849"/>
        <v>0</v>
      </c>
      <c r="AE2077" t="str">
        <f t="shared" si="850"/>
        <v>Nunca</v>
      </c>
      <c r="AF2077">
        <v>1</v>
      </c>
      <c r="AG2077" t="str">
        <f t="shared" si="851"/>
        <v>A veces</v>
      </c>
      <c r="AH2077">
        <v>0</v>
      </c>
      <c r="AI2077" t="str">
        <f t="shared" si="852"/>
        <v>No usa</v>
      </c>
      <c r="AJ2077">
        <v>0</v>
      </c>
      <c r="AK2077" t="str">
        <f t="shared" si="853"/>
        <v>No usa</v>
      </c>
      <c r="AL2077">
        <v>0</v>
      </c>
      <c r="AM2077" t="str">
        <f t="shared" si="854"/>
        <v>No usa</v>
      </c>
      <c r="AN2077">
        <v>1</v>
      </c>
      <c r="AO2077" t="str">
        <f t="shared" si="855"/>
        <v>Usa Transporte</v>
      </c>
      <c r="AP2077">
        <v>0</v>
      </c>
      <c r="AQ2077" t="str">
        <f t="shared" si="856"/>
        <v>No camina</v>
      </c>
      <c r="AR2077">
        <v>1</v>
      </c>
      <c r="AS2077" t="str">
        <f t="shared" si="857"/>
        <v>Es Obeso</v>
      </c>
    </row>
    <row r="2078" spans="1:45" x14ac:dyDescent="0.25">
      <c r="A2078">
        <v>0</v>
      </c>
      <c r="B2078" t="str">
        <f t="shared" si="832"/>
        <v>F</v>
      </c>
      <c r="C2078">
        <v>19528936</v>
      </c>
      <c r="D2078">
        <f t="shared" si="833"/>
        <v>53</v>
      </c>
      <c r="E2078">
        <f t="shared" si="834"/>
        <v>53</v>
      </c>
      <c r="F2078" t="str">
        <f t="shared" si="835"/>
        <v>50-75</v>
      </c>
      <c r="G2078">
        <v>1</v>
      </c>
      <c r="H2078" t="str">
        <f t="shared" si="836"/>
        <v>Pariente gordo</v>
      </c>
      <c r="I2078">
        <v>1</v>
      </c>
      <c r="J2078" t="str">
        <f t="shared" si="837"/>
        <v>Hipercaloricos</v>
      </c>
      <c r="K2078">
        <v>3</v>
      </c>
      <c r="L2078">
        <f t="shared" si="838"/>
        <v>1</v>
      </c>
      <c r="M2078" t="str">
        <f t="shared" si="839"/>
        <v>Suele comer</v>
      </c>
      <c r="N2078">
        <v>3</v>
      </c>
      <c r="O2078">
        <f t="shared" si="840"/>
        <v>2</v>
      </c>
      <c r="P2078" t="str">
        <f t="shared" si="841"/>
        <v>Mas de 3</v>
      </c>
      <c r="Q2078">
        <v>1</v>
      </c>
      <c r="R2078" t="str">
        <f t="shared" si="842"/>
        <v>A veces</v>
      </c>
      <c r="S2078">
        <v>0</v>
      </c>
      <c r="T2078" t="str">
        <f t="shared" si="843"/>
        <v>No fuma</v>
      </c>
      <c r="U2078">
        <v>2562002</v>
      </c>
      <c r="V2078">
        <f t="shared" si="844"/>
        <v>2</v>
      </c>
      <c r="W2078" t="str">
        <f t="shared" si="845"/>
        <v>Siempre</v>
      </c>
      <c r="X2078">
        <v>0</v>
      </c>
      <c r="Y2078" t="str">
        <f t="shared" si="846"/>
        <v>No controla</v>
      </c>
      <c r="Z2078">
        <v>1976427</v>
      </c>
      <c r="AA2078">
        <f t="shared" si="847"/>
        <v>3</v>
      </c>
      <c r="AB2078" t="str">
        <f t="shared" si="848"/>
        <v>Siempre</v>
      </c>
      <c r="AC2078">
        <v>0.74033099999999996</v>
      </c>
      <c r="AD2078">
        <f t="shared" si="849"/>
        <v>0</v>
      </c>
      <c r="AE2078" t="str">
        <f t="shared" si="850"/>
        <v>Nunca</v>
      </c>
      <c r="AF2078">
        <v>1</v>
      </c>
      <c r="AG2078" t="str">
        <f t="shared" si="851"/>
        <v>A veces</v>
      </c>
      <c r="AH2078">
        <v>0</v>
      </c>
      <c r="AI2078" t="str">
        <f t="shared" si="852"/>
        <v>No usa</v>
      </c>
      <c r="AJ2078">
        <v>0</v>
      </c>
      <c r="AK2078" t="str">
        <f t="shared" si="853"/>
        <v>No usa</v>
      </c>
      <c r="AL2078">
        <v>0</v>
      </c>
      <c r="AM2078" t="str">
        <f t="shared" si="854"/>
        <v>No usa</v>
      </c>
      <c r="AN2078">
        <v>1</v>
      </c>
      <c r="AO2078" t="str">
        <f t="shared" si="855"/>
        <v>Usa Transporte</v>
      </c>
      <c r="AP2078">
        <v>0</v>
      </c>
      <c r="AQ2078" t="str">
        <f t="shared" si="856"/>
        <v>No camina</v>
      </c>
      <c r="AR2078">
        <v>1</v>
      </c>
      <c r="AS2078" t="str">
        <f t="shared" si="857"/>
        <v>Es Obeso</v>
      </c>
    </row>
    <row r="2079" spans="1:45" x14ac:dyDescent="0.25">
      <c r="A2079">
        <v>0</v>
      </c>
      <c r="B2079" t="str">
        <f t="shared" si="832"/>
        <v>F</v>
      </c>
      <c r="C2079">
        <v>19364339</v>
      </c>
      <c r="D2079">
        <f t="shared" si="833"/>
        <v>53</v>
      </c>
      <c r="E2079">
        <f t="shared" si="834"/>
        <v>53</v>
      </c>
      <c r="F2079" t="str">
        <f t="shared" si="835"/>
        <v>50-75</v>
      </c>
      <c r="G2079">
        <v>1</v>
      </c>
      <c r="H2079" t="str">
        <f t="shared" si="836"/>
        <v>Pariente gordo</v>
      </c>
      <c r="I2079">
        <v>1</v>
      </c>
      <c r="J2079" t="str">
        <f t="shared" si="837"/>
        <v>Hipercaloricos</v>
      </c>
      <c r="K2079">
        <v>3</v>
      </c>
      <c r="L2079">
        <f t="shared" si="838"/>
        <v>1</v>
      </c>
      <c r="M2079" t="str">
        <f t="shared" si="839"/>
        <v>Suele comer</v>
      </c>
      <c r="N2079">
        <v>3</v>
      </c>
      <c r="O2079">
        <f t="shared" si="840"/>
        <v>2</v>
      </c>
      <c r="P2079" t="str">
        <f t="shared" si="841"/>
        <v>Mas de 3</v>
      </c>
      <c r="Q2079">
        <v>1</v>
      </c>
      <c r="R2079" t="str">
        <f t="shared" si="842"/>
        <v>A veces</v>
      </c>
      <c r="S2079">
        <v>0</v>
      </c>
      <c r="T2079" t="str">
        <f t="shared" si="843"/>
        <v>No fuma</v>
      </c>
      <c r="U2079">
        <v>2305574</v>
      </c>
      <c r="V2079">
        <f t="shared" si="844"/>
        <v>2</v>
      </c>
      <c r="W2079" t="str">
        <f t="shared" si="845"/>
        <v>Siempre</v>
      </c>
      <c r="X2079">
        <v>0</v>
      </c>
      <c r="Y2079" t="str">
        <f t="shared" si="846"/>
        <v>No controla</v>
      </c>
      <c r="Z2079">
        <v>1734424</v>
      </c>
      <c r="AA2079">
        <f t="shared" si="847"/>
        <v>3</v>
      </c>
      <c r="AB2079" t="str">
        <f t="shared" si="848"/>
        <v>Siempre</v>
      </c>
      <c r="AC2079">
        <v>0.863043</v>
      </c>
      <c r="AD2079">
        <f t="shared" si="849"/>
        <v>0</v>
      </c>
      <c r="AE2079" t="str">
        <f t="shared" si="850"/>
        <v>Nunca</v>
      </c>
      <c r="AF2079">
        <v>1</v>
      </c>
      <c r="AG2079" t="str">
        <f t="shared" si="851"/>
        <v>A veces</v>
      </c>
      <c r="AH2079">
        <v>0</v>
      </c>
      <c r="AI2079" t="str">
        <f t="shared" si="852"/>
        <v>No usa</v>
      </c>
      <c r="AJ2079">
        <v>0</v>
      </c>
      <c r="AK2079" t="str">
        <f t="shared" si="853"/>
        <v>No usa</v>
      </c>
      <c r="AL2079">
        <v>0</v>
      </c>
      <c r="AM2079" t="str">
        <f t="shared" si="854"/>
        <v>No usa</v>
      </c>
      <c r="AN2079">
        <v>1</v>
      </c>
      <c r="AO2079" t="str">
        <f t="shared" si="855"/>
        <v>Usa Transporte</v>
      </c>
      <c r="AP2079">
        <v>0</v>
      </c>
      <c r="AQ2079" t="str">
        <f t="shared" si="856"/>
        <v>No camina</v>
      </c>
      <c r="AR2079">
        <v>1</v>
      </c>
      <c r="AS2079" t="str">
        <f t="shared" si="857"/>
        <v>Es Obeso</v>
      </c>
    </row>
    <row r="2080" spans="1:45" x14ac:dyDescent="0.25">
      <c r="A2080">
        <v>0</v>
      </c>
      <c r="B2080" t="str">
        <f t="shared" si="832"/>
        <v>F</v>
      </c>
      <c r="C2080">
        <v>21131526</v>
      </c>
      <c r="D2080">
        <f t="shared" si="833"/>
        <v>57</v>
      </c>
      <c r="E2080">
        <f t="shared" si="834"/>
        <v>57</v>
      </c>
      <c r="F2080" t="str">
        <f t="shared" si="835"/>
        <v>50-75</v>
      </c>
      <c r="G2080">
        <v>1</v>
      </c>
      <c r="H2080" t="str">
        <f t="shared" si="836"/>
        <v>Pariente gordo</v>
      </c>
      <c r="I2080">
        <v>1</v>
      </c>
      <c r="J2080" t="str">
        <f t="shared" si="837"/>
        <v>Hipercaloricos</v>
      </c>
      <c r="K2080">
        <v>3</v>
      </c>
      <c r="L2080">
        <f t="shared" si="838"/>
        <v>1</v>
      </c>
      <c r="M2080" t="str">
        <f t="shared" si="839"/>
        <v>Suele comer</v>
      </c>
      <c r="N2080">
        <v>3</v>
      </c>
      <c r="O2080">
        <f t="shared" si="840"/>
        <v>2</v>
      </c>
      <c r="P2080" t="str">
        <f t="shared" si="841"/>
        <v>Mas de 3</v>
      </c>
      <c r="Q2080">
        <v>1</v>
      </c>
      <c r="R2080" t="str">
        <f t="shared" si="842"/>
        <v>A veces</v>
      </c>
      <c r="S2080">
        <v>0</v>
      </c>
      <c r="T2080" t="str">
        <f t="shared" si="843"/>
        <v>No fuma</v>
      </c>
      <c r="U2080">
        <v>2319912</v>
      </c>
      <c r="V2080">
        <f t="shared" si="844"/>
        <v>2</v>
      </c>
      <c r="W2080" t="str">
        <f t="shared" si="845"/>
        <v>Siempre</v>
      </c>
      <c r="X2080">
        <v>0</v>
      </c>
      <c r="Y2080" t="str">
        <f t="shared" si="846"/>
        <v>No controla</v>
      </c>
      <c r="Z2080">
        <v>1582675</v>
      </c>
      <c r="AA2080">
        <f t="shared" si="847"/>
        <v>3</v>
      </c>
      <c r="AB2080" t="str">
        <f t="shared" si="848"/>
        <v>Siempre</v>
      </c>
      <c r="AC2080">
        <v>0.68074599999999996</v>
      </c>
      <c r="AD2080">
        <f t="shared" si="849"/>
        <v>0</v>
      </c>
      <c r="AE2080" t="str">
        <f t="shared" si="850"/>
        <v>Nunca</v>
      </c>
      <c r="AF2080">
        <v>1</v>
      </c>
      <c r="AG2080" t="str">
        <f t="shared" si="851"/>
        <v>A veces</v>
      </c>
      <c r="AH2080">
        <v>0</v>
      </c>
      <c r="AI2080" t="str">
        <f t="shared" si="852"/>
        <v>No usa</v>
      </c>
      <c r="AJ2080">
        <v>0</v>
      </c>
      <c r="AK2080" t="str">
        <f t="shared" si="853"/>
        <v>No usa</v>
      </c>
      <c r="AL2080">
        <v>0</v>
      </c>
      <c r="AM2080" t="str">
        <f t="shared" si="854"/>
        <v>No usa</v>
      </c>
      <c r="AN2080">
        <v>1</v>
      </c>
      <c r="AO2080" t="str">
        <f t="shared" si="855"/>
        <v>Usa Transporte</v>
      </c>
      <c r="AP2080">
        <v>0</v>
      </c>
      <c r="AQ2080" t="str">
        <f t="shared" si="856"/>
        <v>No camina</v>
      </c>
      <c r="AR2080">
        <v>1</v>
      </c>
      <c r="AS2080" t="str">
        <f t="shared" si="857"/>
        <v>Es Obeso</v>
      </c>
    </row>
    <row r="2081" spans="1:45" x14ac:dyDescent="0.25">
      <c r="A2081">
        <v>0</v>
      </c>
      <c r="B2081" t="str">
        <f t="shared" si="832"/>
        <v>F</v>
      </c>
      <c r="C2081">
        <v>19012872</v>
      </c>
      <c r="D2081">
        <f t="shared" si="833"/>
        <v>52</v>
      </c>
      <c r="E2081">
        <f t="shared" si="834"/>
        <v>52</v>
      </c>
      <c r="F2081" t="str">
        <f t="shared" si="835"/>
        <v>50-75</v>
      </c>
      <c r="G2081">
        <v>1</v>
      </c>
      <c r="H2081" t="str">
        <f t="shared" si="836"/>
        <v>Pariente gordo</v>
      </c>
      <c r="I2081">
        <v>1</v>
      </c>
      <c r="J2081" t="str">
        <f t="shared" si="837"/>
        <v>Hipercaloricos</v>
      </c>
      <c r="K2081">
        <v>3</v>
      </c>
      <c r="L2081">
        <f t="shared" si="838"/>
        <v>1</v>
      </c>
      <c r="M2081" t="str">
        <f t="shared" si="839"/>
        <v>Suele comer</v>
      </c>
      <c r="N2081">
        <v>3</v>
      </c>
      <c r="O2081">
        <f t="shared" si="840"/>
        <v>2</v>
      </c>
      <c r="P2081" t="str">
        <f t="shared" si="841"/>
        <v>Mas de 3</v>
      </c>
      <c r="Q2081">
        <v>1</v>
      </c>
      <c r="R2081" t="str">
        <f t="shared" si="842"/>
        <v>A veces</v>
      </c>
      <c r="S2081">
        <v>0</v>
      </c>
      <c r="T2081" t="str">
        <f t="shared" si="843"/>
        <v>No fuma</v>
      </c>
      <c r="U2081">
        <v>270196</v>
      </c>
      <c r="V2081">
        <f t="shared" si="844"/>
        <v>2</v>
      </c>
      <c r="W2081" t="str">
        <f t="shared" si="845"/>
        <v>Siempre</v>
      </c>
      <c r="X2081">
        <v>0</v>
      </c>
      <c r="Y2081" t="str">
        <f t="shared" si="846"/>
        <v>No controla</v>
      </c>
      <c r="Z2081">
        <v>1465909</v>
      </c>
      <c r="AA2081">
        <f t="shared" si="847"/>
        <v>3</v>
      </c>
      <c r="AB2081" t="str">
        <f t="shared" si="848"/>
        <v>Siempre</v>
      </c>
      <c r="AC2081">
        <v>0.81323500000000004</v>
      </c>
      <c r="AD2081">
        <f t="shared" si="849"/>
        <v>0</v>
      </c>
      <c r="AE2081" t="str">
        <f t="shared" si="850"/>
        <v>Nunca</v>
      </c>
      <c r="AF2081">
        <v>1</v>
      </c>
      <c r="AG2081" t="str">
        <f t="shared" si="851"/>
        <v>A veces</v>
      </c>
      <c r="AH2081">
        <v>0</v>
      </c>
      <c r="AI2081" t="str">
        <f t="shared" si="852"/>
        <v>No usa</v>
      </c>
      <c r="AJ2081">
        <v>0</v>
      </c>
      <c r="AK2081" t="str">
        <f t="shared" si="853"/>
        <v>No usa</v>
      </c>
      <c r="AL2081">
        <v>0</v>
      </c>
      <c r="AM2081" t="str">
        <f t="shared" si="854"/>
        <v>No usa</v>
      </c>
      <c r="AN2081">
        <v>1</v>
      </c>
      <c r="AO2081" t="str">
        <f t="shared" si="855"/>
        <v>Usa Transporte</v>
      </c>
      <c r="AP2081">
        <v>0</v>
      </c>
      <c r="AQ2081" t="str">
        <f t="shared" si="856"/>
        <v>No camina</v>
      </c>
      <c r="AR2081">
        <v>1</v>
      </c>
      <c r="AS2081" t="str">
        <f t="shared" si="857"/>
        <v>Es Obeso</v>
      </c>
    </row>
    <row r="2082" spans="1:45" x14ac:dyDescent="0.25">
      <c r="A2082">
        <v>0</v>
      </c>
      <c r="B2082" t="str">
        <f t="shared" si="832"/>
        <v>F</v>
      </c>
      <c r="C2082">
        <v>18469086</v>
      </c>
      <c r="D2082">
        <f t="shared" si="833"/>
        <v>50</v>
      </c>
      <c r="E2082">
        <f t="shared" si="834"/>
        <v>50</v>
      </c>
      <c r="F2082" t="str">
        <f t="shared" si="835"/>
        <v>25-50</v>
      </c>
      <c r="G2082">
        <v>1</v>
      </c>
      <c r="H2082" t="str">
        <f t="shared" si="836"/>
        <v>Pariente gordo</v>
      </c>
      <c r="I2082">
        <v>1</v>
      </c>
      <c r="J2082" t="str">
        <f t="shared" si="837"/>
        <v>Hipercaloricos</v>
      </c>
      <c r="K2082">
        <v>3</v>
      </c>
      <c r="L2082">
        <f t="shared" si="838"/>
        <v>1</v>
      </c>
      <c r="M2082" t="str">
        <f t="shared" si="839"/>
        <v>Suele comer</v>
      </c>
      <c r="N2082">
        <v>3</v>
      </c>
      <c r="O2082">
        <f t="shared" si="840"/>
        <v>2</v>
      </c>
      <c r="P2082" t="str">
        <f t="shared" si="841"/>
        <v>Mas de 3</v>
      </c>
      <c r="Q2082">
        <v>1</v>
      </c>
      <c r="R2082" t="str">
        <f t="shared" si="842"/>
        <v>A veces</v>
      </c>
      <c r="S2082">
        <v>0</v>
      </c>
      <c r="T2082" t="str">
        <f t="shared" si="843"/>
        <v>No fuma</v>
      </c>
      <c r="U2082">
        <v>2474518</v>
      </c>
      <c r="V2082">
        <f t="shared" si="844"/>
        <v>2</v>
      </c>
      <c r="W2082" t="str">
        <f t="shared" si="845"/>
        <v>Siempre</v>
      </c>
      <c r="X2082">
        <v>0</v>
      </c>
      <c r="Y2082" t="str">
        <f t="shared" si="846"/>
        <v>No controla</v>
      </c>
      <c r="Z2082">
        <v>1560261</v>
      </c>
      <c r="AA2082">
        <f t="shared" si="847"/>
        <v>3</v>
      </c>
      <c r="AB2082" t="str">
        <f t="shared" si="848"/>
        <v>Siempre</v>
      </c>
      <c r="AC2082">
        <v>0.66248899999999999</v>
      </c>
      <c r="AD2082">
        <f t="shared" si="849"/>
        <v>0</v>
      </c>
      <c r="AE2082" t="str">
        <f t="shared" si="850"/>
        <v>Nunca</v>
      </c>
      <c r="AF2082">
        <v>1</v>
      </c>
      <c r="AG2082" t="str">
        <f t="shared" si="851"/>
        <v>A veces</v>
      </c>
      <c r="AH2082">
        <v>0</v>
      </c>
      <c r="AI2082" t="str">
        <f t="shared" si="852"/>
        <v>No usa</v>
      </c>
      <c r="AJ2082">
        <v>0</v>
      </c>
      <c r="AK2082" t="str">
        <f t="shared" si="853"/>
        <v>No usa</v>
      </c>
      <c r="AL2082">
        <v>0</v>
      </c>
      <c r="AM2082" t="str">
        <f t="shared" si="854"/>
        <v>No usa</v>
      </c>
      <c r="AN2082">
        <v>1</v>
      </c>
      <c r="AO2082" t="str">
        <f t="shared" si="855"/>
        <v>Usa Transporte</v>
      </c>
      <c r="AP2082">
        <v>0</v>
      </c>
      <c r="AQ2082" t="str">
        <f t="shared" si="856"/>
        <v>No camina</v>
      </c>
      <c r="AR2082">
        <v>1</v>
      </c>
      <c r="AS2082" t="str">
        <f t="shared" si="857"/>
        <v>Es Obeso</v>
      </c>
    </row>
    <row r="2083" spans="1:45" x14ac:dyDescent="0.25">
      <c r="A2083">
        <v>0</v>
      </c>
      <c r="B2083" t="str">
        <f t="shared" si="832"/>
        <v>F</v>
      </c>
      <c r="C2083">
        <v>21572114</v>
      </c>
      <c r="D2083">
        <f t="shared" si="833"/>
        <v>59</v>
      </c>
      <c r="E2083">
        <f t="shared" si="834"/>
        <v>59</v>
      </c>
      <c r="F2083" t="str">
        <f t="shared" si="835"/>
        <v>50-75</v>
      </c>
      <c r="G2083">
        <v>1</v>
      </c>
      <c r="H2083" t="str">
        <f t="shared" si="836"/>
        <v>Pariente gordo</v>
      </c>
      <c r="I2083">
        <v>1</v>
      </c>
      <c r="J2083" t="str">
        <f t="shared" si="837"/>
        <v>Hipercaloricos</v>
      </c>
      <c r="K2083">
        <v>3</v>
      </c>
      <c r="L2083">
        <f t="shared" si="838"/>
        <v>1</v>
      </c>
      <c r="M2083" t="str">
        <f t="shared" si="839"/>
        <v>Suele comer</v>
      </c>
      <c r="N2083">
        <v>3</v>
      </c>
      <c r="O2083">
        <f t="shared" si="840"/>
        <v>2</v>
      </c>
      <c r="P2083" t="str">
        <f t="shared" si="841"/>
        <v>Mas de 3</v>
      </c>
      <c r="Q2083">
        <v>1</v>
      </c>
      <c r="R2083" t="str">
        <f t="shared" si="842"/>
        <v>A veces</v>
      </c>
      <c r="S2083">
        <v>0</v>
      </c>
      <c r="T2083" t="str">
        <f t="shared" si="843"/>
        <v>No fuma</v>
      </c>
      <c r="U2083">
        <v>2748569</v>
      </c>
      <c r="V2083">
        <f t="shared" si="844"/>
        <v>2</v>
      </c>
      <c r="W2083" t="str">
        <f t="shared" si="845"/>
        <v>Siempre</v>
      </c>
      <c r="X2083">
        <v>0</v>
      </c>
      <c r="Y2083" t="str">
        <f t="shared" si="846"/>
        <v>No controla</v>
      </c>
      <c r="Z2083">
        <v>1427037</v>
      </c>
      <c r="AA2083">
        <f t="shared" si="847"/>
        <v>3</v>
      </c>
      <c r="AB2083" t="str">
        <f t="shared" si="848"/>
        <v>Siempre</v>
      </c>
      <c r="AC2083">
        <v>0.90282499999999999</v>
      </c>
      <c r="AD2083">
        <f t="shared" si="849"/>
        <v>0</v>
      </c>
      <c r="AE2083" t="str">
        <f t="shared" si="850"/>
        <v>Nunca</v>
      </c>
      <c r="AF2083">
        <v>1</v>
      </c>
      <c r="AG2083" t="str">
        <f t="shared" si="851"/>
        <v>A veces</v>
      </c>
      <c r="AH2083">
        <v>0</v>
      </c>
      <c r="AI2083" t="str">
        <f t="shared" si="852"/>
        <v>No usa</v>
      </c>
      <c r="AJ2083">
        <v>0</v>
      </c>
      <c r="AK2083" t="str">
        <f t="shared" si="853"/>
        <v>No usa</v>
      </c>
      <c r="AL2083">
        <v>0</v>
      </c>
      <c r="AM2083" t="str">
        <f t="shared" si="854"/>
        <v>No usa</v>
      </c>
      <c r="AN2083">
        <v>1</v>
      </c>
      <c r="AO2083" t="str">
        <f t="shared" si="855"/>
        <v>Usa Transporte</v>
      </c>
      <c r="AP2083">
        <v>0</v>
      </c>
      <c r="AQ2083" t="str">
        <f t="shared" si="856"/>
        <v>No camina</v>
      </c>
      <c r="AR2083">
        <v>1</v>
      </c>
      <c r="AS2083" t="str">
        <f t="shared" si="857"/>
        <v>Es Obeso</v>
      </c>
    </row>
    <row r="2084" spans="1:45" x14ac:dyDescent="0.25">
      <c r="A2084">
        <v>0</v>
      </c>
      <c r="B2084" t="str">
        <f t="shared" si="832"/>
        <v>F</v>
      </c>
      <c r="C2084">
        <v>21680123</v>
      </c>
      <c r="D2084">
        <f t="shared" si="833"/>
        <v>59</v>
      </c>
      <c r="E2084">
        <f t="shared" si="834"/>
        <v>59</v>
      </c>
      <c r="F2084" t="str">
        <f t="shared" si="835"/>
        <v>50-75</v>
      </c>
      <c r="G2084">
        <v>1</v>
      </c>
      <c r="H2084" t="str">
        <f t="shared" si="836"/>
        <v>Pariente gordo</v>
      </c>
      <c r="I2084">
        <v>1</v>
      </c>
      <c r="J2084" t="str">
        <f t="shared" si="837"/>
        <v>Hipercaloricos</v>
      </c>
      <c r="K2084">
        <v>3</v>
      </c>
      <c r="L2084">
        <f t="shared" si="838"/>
        <v>1</v>
      </c>
      <c r="M2084" t="str">
        <f t="shared" si="839"/>
        <v>Suele comer</v>
      </c>
      <c r="N2084">
        <v>3</v>
      </c>
      <c r="O2084">
        <f t="shared" si="840"/>
        <v>2</v>
      </c>
      <c r="P2084" t="str">
        <f t="shared" si="841"/>
        <v>Mas de 3</v>
      </c>
      <c r="Q2084">
        <v>1</v>
      </c>
      <c r="R2084" t="str">
        <f t="shared" si="842"/>
        <v>A veces</v>
      </c>
      <c r="S2084">
        <v>0</v>
      </c>
      <c r="T2084" t="str">
        <f t="shared" si="843"/>
        <v>No fuma</v>
      </c>
      <c r="U2084">
        <v>2827773</v>
      </c>
      <c r="V2084">
        <f t="shared" si="844"/>
        <v>2</v>
      </c>
      <c r="W2084" t="str">
        <f t="shared" si="845"/>
        <v>Siempre</v>
      </c>
      <c r="X2084">
        <v>0</v>
      </c>
      <c r="Y2084" t="str">
        <f t="shared" si="846"/>
        <v>No controla</v>
      </c>
      <c r="Z2084">
        <v>1412357</v>
      </c>
      <c r="AA2084">
        <f t="shared" si="847"/>
        <v>3</v>
      </c>
      <c r="AB2084" t="str">
        <f t="shared" si="848"/>
        <v>Siempre</v>
      </c>
      <c r="AC2084">
        <v>0.90107099999999996</v>
      </c>
      <c r="AD2084">
        <f t="shared" si="849"/>
        <v>0</v>
      </c>
      <c r="AE2084" t="str">
        <f t="shared" si="850"/>
        <v>Nunca</v>
      </c>
      <c r="AF2084">
        <v>1</v>
      </c>
      <c r="AG2084" t="str">
        <f t="shared" si="851"/>
        <v>A veces</v>
      </c>
      <c r="AH2084">
        <v>0</v>
      </c>
      <c r="AI2084" t="str">
        <f t="shared" si="852"/>
        <v>No usa</v>
      </c>
      <c r="AJ2084">
        <v>0</v>
      </c>
      <c r="AK2084" t="str">
        <f t="shared" si="853"/>
        <v>No usa</v>
      </c>
      <c r="AL2084">
        <v>0</v>
      </c>
      <c r="AM2084" t="str">
        <f t="shared" si="854"/>
        <v>No usa</v>
      </c>
      <c r="AN2084">
        <v>1</v>
      </c>
      <c r="AO2084" t="str">
        <f t="shared" si="855"/>
        <v>Usa Transporte</v>
      </c>
      <c r="AP2084">
        <v>0</v>
      </c>
      <c r="AQ2084" t="str">
        <f t="shared" si="856"/>
        <v>No camina</v>
      </c>
      <c r="AR2084">
        <v>1</v>
      </c>
      <c r="AS2084" t="str">
        <f t="shared" si="857"/>
        <v>Es Obeso</v>
      </c>
    </row>
    <row r="2085" spans="1:45" x14ac:dyDescent="0.25">
      <c r="A2085">
        <v>0</v>
      </c>
      <c r="B2085" t="str">
        <f t="shared" si="832"/>
        <v>F</v>
      </c>
      <c r="C2085">
        <v>24469756</v>
      </c>
      <c r="D2085">
        <f t="shared" si="833"/>
        <v>67</v>
      </c>
      <c r="E2085">
        <f t="shared" si="834"/>
        <v>67</v>
      </c>
      <c r="F2085" t="str">
        <f t="shared" si="835"/>
        <v>50-75</v>
      </c>
      <c r="G2085">
        <v>1</v>
      </c>
      <c r="H2085" t="str">
        <f t="shared" si="836"/>
        <v>Pariente gordo</v>
      </c>
      <c r="I2085">
        <v>1</v>
      </c>
      <c r="J2085" t="str">
        <f t="shared" si="837"/>
        <v>Hipercaloricos</v>
      </c>
      <c r="K2085">
        <v>3</v>
      </c>
      <c r="L2085">
        <f t="shared" si="838"/>
        <v>1</v>
      </c>
      <c r="M2085" t="str">
        <f t="shared" si="839"/>
        <v>Suele comer</v>
      </c>
      <c r="N2085">
        <v>3</v>
      </c>
      <c r="O2085">
        <f t="shared" si="840"/>
        <v>2</v>
      </c>
      <c r="P2085" t="str">
        <f t="shared" si="841"/>
        <v>Mas de 3</v>
      </c>
      <c r="Q2085">
        <v>1</v>
      </c>
      <c r="R2085" t="str">
        <f t="shared" si="842"/>
        <v>A veces</v>
      </c>
      <c r="S2085">
        <v>0</v>
      </c>
      <c r="T2085" t="str">
        <f t="shared" si="843"/>
        <v>No fuma</v>
      </c>
      <c r="U2085">
        <v>2632224</v>
      </c>
      <c r="V2085">
        <f t="shared" si="844"/>
        <v>2</v>
      </c>
      <c r="W2085" t="str">
        <f t="shared" si="845"/>
        <v>Siempre</v>
      </c>
      <c r="X2085">
        <v>0</v>
      </c>
      <c r="Y2085" t="str">
        <f t="shared" si="846"/>
        <v>No controla</v>
      </c>
      <c r="Z2085">
        <v>0.30096400000000001</v>
      </c>
      <c r="AA2085">
        <f t="shared" si="847"/>
        <v>0</v>
      </c>
      <c r="AB2085" t="str">
        <f t="shared" si="848"/>
        <v>Nunca</v>
      </c>
      <c r="AC2085">
        <v>0.26956000000000002</v>
      </c>
      <c r="AD2085">
        <f t="shared" si="849"/>
        <v>0</v>
      </c>
      <c r="AE2085" t="str">
        <f t="shared" si="850"/>
        <v>Nunca</v>
      </c>
      <c r="AF2085">
        <v>1</v>
      </c>
      <c r="AG2085" t="str">
        <f t="shared" si="851"/>
        <v>A veces</v>
      </c>
      <c r="AH2085">
        <v>0</v>
      </c>
      <c r="AI2085" t="str">
        <f t="shared" si="852"/>
        <v>No usa</v>
      </c>
      <c r="AJ2085">
        <v>0</v>
      </c>
      <c r="AK2085" t="str">
        <f t="shared" si="853"/>
        <v>No usa</v>
      </c>
      <c r="AL2085">
        <v>0</v>
      </c>
      <c r="AM2085" t="str">
        <f t="shared" si="854"/>
        <v>No usa</v>
      </c>
      <c r="AN2085">
        <v>1</v>
      </c>
      <c r="AO2085" t="str">
        <f t="shared" si="855"/>
        <v>Usa Transporte</v>
      </c>
      <c r="AP2085">
        <v>0</v>
      </c>
      <c r="AQ2085" t="str">
        <f t="shared" si="856"/>
        <v>No camina</v>
      </c>
      <c r="AR2085">
        <v>1</v>
      </c>
      <c r="AS2085" t="str">
        <f t="shared" si="857"/>
        <v>Es Obeso</v>
      </c>
    </row>
    <row r="2086" spans="1:45" x14ac:dyDescent="0.25">
      <c r="A2086">
        <v>0</v>
      </c>
      <c r="B2086" t="str">
        <f t="shared" si="832"/>
        <v>F</v>
      </c>
      <c r="C2086">
        <v>2512791</v>
      </c>
      <c r="D2086">
        <f t="shared" si="833"/>
        <v>6</v>
      </c>
      <c r="E2086">
        <f t="shared" si="834"/>
        <v>6</v>
      </c>
      <c r="F2086" t="str">
        <f t="shared" si="835"/>
        <v>1-25</v>
      </c>
      <c r="G2086">
        <v>1</v>
      </c>
      <c r="H2086" t="str">
        <f t="shared" si="836"/>
        <v>Pariente gordo</v>
      </c>
      <c r="I2086">
        <v>1</v>
      </c>
      <c r="J2086" t="str">
        <f t="shared" si="837"/>
        <v>Hipercaloricos</v>
      </c>
      <c r="K2086">
        <v>3</v>
      </c>
      <c r="L2086">
        <f t="shared" si="838"/>
        <v>1</v>
      </c>
      <c r="M2086" t="str">
        <f t="shared" si="839"/>
        <v>Suele comer</v>
      </c>
      <c r="N2086">
        <v>3</v>
      </c>
      <c r="O2086">
        <f t="shared" si="840"/>
        <v>2</v>
      </c>
      <c r="P2086" t="str">
        <f t="shared" si="841"/>
        <v>Mas de 3</v>
      </c>
      <c r="Q2086">
        <v>1</v>
      </c>
      <c r="R2086" t="str">
        <f t="shared" si="842"/>
        <v>A veces</v>
      </c>
      <c r="S2086">
        <v>0</v>
      </c>
      <c r="T2086" t="str">
        <f t="shared" si="843"/>
        <v>No fuma</v>
      </c>
      <c r="U2086">
        <v>2868679</v>
      </c>
      <c r="V2086">
        <f t="shared" si="844"/>
        <v>2</v>
      </c>
      <c r="W2086" t="str">
        <f t="shared" si="845"/>
        <v>Siempre</v>
      </c>
      <c r="X2086">
        <v>0</v>
      </c>
      <c r="Y2086" t="str">
        <f t="shared" si="846"/>
        <v>No controla</v>
      </c>
      <c r="Z2086">
        <v>0.115369</v>
      </c>
      <c r="AA2086">
        <f t="shared" si="847"/>
        <v>0</v>
      </c>
      <c r="AB2086" t="str">
        <f t="shared" si="848"/>
        <v>Nunca</v>
      </c>
      <c r="AC2086">
        <v>2.8583000000000001E-2</v>
      </c>
      <c r="AD2086">
        <f t="shared" si="849"/>
        <v>0</v>
      </c>
      <c r="AE2086" t="str">
        <f t="shared" si="850"/>
        <v>Nunca</v>
      </c>
      <c r="AF2086">
        <v>1</v>
      </c>
      <c r="AG2086" t="str">
        <f t="shared" si="851"/>
        <v>A veces</v>
      </c>
      <c r="AH2086">
        <v>0</v>
      </c>
      <c r="AI2086" t="str">
        <f t="shared" si="852"/>
        <v>No usa</v>
      </c>
      <c r="AJ2086">
        <v>0</v>
      </c>
      <c r="AK2086" t="str">
        <f t="shared" si="853"/>
        <v>No usa</v>
      </c>
      <c r="AL2086">
        <v>0</v>
      </c>
      <c r="AM2086" t="str">
        <f t="shared" si="854"/>
        <v>No usa</v>
      </c>
      <c r="AN2086">
        <v>1</v>
      </c>
      <c r="AO2086" t="str">
        <f t="shared" si="855"/>
        <v>Usa Transporte</v>
      </c>
      <c r="AP2086">
        <v>0</v>
      </c>
      <c r="AQ2086" t="str">
        <f t="shared" si="856"/>
        <v>No camina</v>
      </c>
      <c r="AR2086">
        <v>1</v>
      </c>
      <c r="AS2086" t="str">
        <f t="shared" si="857"/>
        <v>Es Obeso</v>
      </c>
    </row>
    <row r="2087" spans="1:45" x14ac:dyDescent="0.25">
      <c r="A2087">
        <v>0</v>
      </c>
      <c r="B2087" t="str">
        <f t="shared" si="832"/>
        <v>F</v>
      </c>
      <c r="C2087">
        <v>25986368</v>
      </c>
      <c r="D2087">
        <f t="shared" si="833"/>
        <v>71</v>
      </c>
      <c r="E2087">
        <f t="shared" si="834"/>
        <v>71</v>
      </c>
      <c r="F2087" t="str">
        <f t="shared" si="835"/>
        <v>50-75</v>
      </c>
      <c r="G2087">
        <v>1</v>
      </c>
      <c r="H2087" t="str">
        <f t="shared" si="836"/>
        <v>Pariente gordo</v>
      </c>
      <c r="I2087">
        <v>1</v>
      </c>
      <c r="J2087" t="str">
        <f t="shared" si="837"/>
        <v>Hipercaloricos</v>
      </c>
      <c r="K2087">
        <v>3</v>
      </c>
      <c r="L2087">
        <f t="shared" si="838"/>
        <v>1</v>
      </c>
      <c r="M2087" t="str">
        <f t="shared" si="839"/>
        <v>Suele comer</v>
      </c>
      <c r="N2087">
        <v>3</v>
      </c>
      <c r="O2087">
        <f t="shared" si="840"/>
        <v>2</v>
      </c>
      <c r="P2087" t="str">
        <f t="shared" si="841"/>
        <v>Mas de 3</v>
      </c>
      <c r="Q2087">
        <v>1</v>
      </c>
      <c r="R2087" t="str">
        <f t="shared" si="842"/>
        <v>A veces</v>
      </c>
      <c r="S2087">
        <v>0</v>
      </c>
      <c r="T2087" t="str">
        <f t="shared" si="843"/>
        <v>No fuma</v>
      </c>
      <c r="U2087">
        <v>2930137</v>
      </c>
      <c r="V2087">
        <f t="shared" si="844"/>
        <v>2</v>
      </c>
      <c r="W2087" t="str">
        <f t="shared" si="845"/>
        <v>Siempre</v>
      </c>
      <c r="X2087">
        <v>0</v>
      </c>
      <c r="Y2087" t="str">
        <f t="shared" si="846"/>
        <v>No controla</v>
      </c>
      <c r="Z2087">
        <v>4.3101E-2</v>
      </c>
      <c r="AA2087">
        <f t="shared" si="847"/>
        <v>0</v>
      </c>
      <c r="AB2087" t="str">
        <f t="shared" si="848"/>
        <v>Nunca</v>
      </c>
      <c r="AC2087">
        <v>0.138629</v>
      </c>
      <c r="AD2087">
        <f t="shared" si="849"/>
        <v>0</v>
      </c>
      <c r="AE2087" t="str">
        <f t="shared" si="850"/>
        <v>Nunca</v>
      </c>
      <c r="AF2087">
        <v>1</v>
      </c>
      <c r="AG2087" t="str">
        <f t="shared" si="851"/>
        <v>A veces</v>
      </c>
      <c r="AH2087">
        <v>0</v>
      </c>
      <c r="AI2087" t="str">
        <f t="shared" si="852"/>
        <v>No usa</v>
      </c>
      <c r="AJ2087">
        <v>0</v>
      </c>
      <c r="AK2087" t="str">
        <f t="shared" si="853"/>
        <v>No usa</v>
      </c>
      <c r="AL2087">
        <v>0</v>
      </c>
      <c r="AM2087" t="str">
        <f t="shared" si="854"/>
        <v>No usa</v>
      </c>
      <c r="AN2087">
        <v>1</v>
      </c>
      <c r="AO2087" t="str">
        <f t="shared" si="855"/>
        <v>Usa Transporte</v>
      </c>
      <c r="AP2087">
        <v>0</v>
      </c>
      <c r="AQ2087" t="str">
        <f t="shared" si="856"/>
        <v>No camina</v>
      </c>
      <c r="AR2087">
        <v>1</v>
      </c>
      <c r="AS2087" t="str">
        <f t="shared" si="857"/>
        <v>Es Obeso</v>
      </c>
    </row>
    <row r="2088" spans="1:45" x14ac:dyDescent="0.25">
      <c r="A2088">
        <v>0</v>
      </c>
      <c r="B2088" t="str">
        <f t="shared" si="832"/>
        <v>F</v>
      </c>
      <c r="C2088">
        <v>25951979</v>
      </c>
      <c r="D2088">
        <f t="shared" si="833"/>
        <v>71</v>
      </c>
      <c r="E2088">
        <f t="shared" si="834"/>
        <v>71</v>
      </c>
      <c r="F2088" t="str">
        <f t="shared" si="835"/>
        <v>50-75</v>
      </c>
      <c r="G2088">
        <v>1</v>
      </c>
      <c r="H2088" t="str">
        <f t="shared" si="836"/>
        <v>Pariente gordo</v>
      </c>
      <c r="I2088">
        <v>1</v>
      </c>
      <c r="J2088" t="str">
        <f t="shared" si="837"/>
        <v>Hipercaloricos</v>
      </c>
      <c r="K2088">
        <v>3</v>
      </c>
      <c r="L2088">
        <f t="shared" si="838"/>
        <v>1</v>
      </c>
      <c r="M2088" t="str">
        <f t="shared" si="839"/>
        <v>Suele comer</v>
      </c>
      <c r="N2088">
        <v>3</v>
      </c>
      <c r="O2088">
        <f t="shared" si="840"/>
        <v>2</v>
      </c>
      <c r="P2088" t="str">
        <f t="shared" si="841"/>
        <v>Mas de 3</v>
      </c>
      <c r="Q2088">
        <v>1</v>
      </c>
      <c r="R2088" t="str">
        <f t="shared" si="842"/>
        <v>A veces</v>
      </c>
      <c r="S2088">
        <v>0</v>
      </c>
      <c r="T2088" t="str">
        <f t="shared" si="843"/>
        <v>No fuma</v>
      </c>
      <c r="U2088">
        <v>2961899</v>
      </c>
      <c r="V2088">
        <f t="shared" si="844"/>
        <v>2</v>
      </c>
      <c r="W2088" t="str">
        <f t="shared" si="845"/>
        <v>Siempre</v>
      </c>
      <c r="X2088">
        <v>0</v>
      </c>
      <c r="Y2088" t="str">
        <f t="shared" si="846"/>
        <v>No controla</v>
      </c>
      <c r="Z2088">
        <v>0.25942399999999999</v>
      </c>
      <c r="AA2088">
        <f t="shared" si="847"/>
        <v>0</v>
      </c>
      <c r="AB2088" t="str">
        <f t="shared" si="848"/>
        <v>Nunca</v>
      </c>
      <c r="AC2088">
        <v>8.0128000000000005E-2</v>
      </c>
      <c r="AD2088">
        <f t="shared" si="849"/>
        <v>0</v>
      </c>
      <c r="AE2088" t="str">
        <f t="shared" si="850"/>
        <v>Nunca</v>
      </c>
      <c r="AF2088">
        <v>1</v>
      </c>
      <c r="AG2088" t="str">
        <f t="shared" si="851"/>
        <v>A veces</v>
      </c>
      <c r="AH2088">
        <v>0</v>
      </c>
      <c r="AI2088" t="str">
        <f t="shared" si="852"/>
        <v>No usa</v>
      </c>
      <c r="AJ2088">
        <v>0</v>
      </c>
      <c r="AK2088" t="str">
        <f t="shared" si="853"/>
        <v>No usa</v>
      </c>
      <c r="AL2088">
        <v>0</v>
      </c>
      <c r="AM2088" t="str">
        <f t="shared" si="854"/>
        <v>No usa</v>
      </c>
      <c r="AN2088">
        <v>1</v>
      </c>
      <c r="AO2088" t="str">
        <f t="shared" si="855"/>
        <v>Usa Transporte</v>
      </c>
      <c r="AP2088">
        <v>0</v>
      </c>
      <c r="AQ2088" t="str">
        <f t="shared" si="856"/>
        <v>No camina</v>
      </c>
      <c r="AR2088">
        <v>1</v>
      </c>
      <c r="AS2088" t="str">
        <f t="shared" si="857"/>
        <v>Es Obeso</v>
      </c>
    </row>
    <row r="2089" spans="1:45" x14ac:dyDescent="0.25">
      <c r="A2089">
        <v>0</v>
      </c>
      <c r="B2089" t="str">
        <f t="shared" si="832"/>
        <v>F</v>
      </c>
      <c r="C2089">
        <v>26</v>
      </c>
      <c r="D2089">
        <f t="shared" si="833"/>
        <v>26</v>
      </c>
      <c r="E2089">
        <f t="shared" si="834"/>
        <v>26</v>
      </c>
      <c r="F2089" t="str">
        <f t="shared" si="835"/>
        <v>25-50</v>
      </c>
      <c r="G2089">
        <v>1</v>
      </c>
      <c r="H2089" t="str">
        <f t="shared" si="836"/>
        <v>Pariente gordo</v>
      </c>
      <c r="I2089">
        <v>1</v>
      </c>
      <c r="J2089" t="str">
        <f t="shared" si="837"/>
        <v>Hipercaloricos</v>
      </c>
      <c r="K2089">
        <v>3</v>
      </c>
      <c r="L2089">
        <f t="shared" si="838"/>
        <v>1</v>
      </c>
      <c r="M2089" t="str">
        <f t="shared" si="839"/>
        <v>Suele comer</v>
      </c>
      <c r="N2089">
        <v>3</v>
      </c>
      <c r="O2089">
        <f t="shared" si="840"/>
        <v>2</v>
      </c>
      <c r="P2089" t="str">
        <f t="shared" si="841"/>
        <v>Mas de 3</v>
      </c>
      <c r="Q2089">
        <v>1</v>
      </c>
      <c r="R2089" t="str">
        <f t="shared" si="842"/>
        <v>A veces</v>
      </c>
      <c r="S2089">
        <v>0</v>
      </c>
      <c r="T2089" t="str">
        <f t="shared" si="843"/>
        <v>No fuma</v>
      </c>
      <c r="U2089">
        <v>2550672</v>
      </c>
      <c r="V2089">
        <f t="shared" si="844"/>
        <v>2</v>
      </c>
      <c r="W2089" t="str">
        <f t="shared" si="845"/>
        <v>Siempre</v>
      </c>
      <c r="X2089">
        <v>0</v>
      </c>
      <c r="Y2089" t="str">
        <f t="shared" si="846"/>
        <v>No controla</v>
      </c>
      <c r="Z2089">
        <v>0</v>
      </c>
      <c r="AA2089">
        <f t="shared" si="847"/>
        <v>0</v>
      </c>
      <c r="AB2089" t="str">
        <f t="shared" si="848"/>
        <v>Nunca</v>
      </c>
      <c r="AC2089">
        <v>0.22465499999999999</v>
      </c>
      <c r="AD2089">
        <f t="shared" si="849"/>
        <v>0</v>
      </c>
      <c r="AE2089" t="str">
        <f t="shared" si="850"/>
        <v>Nunca</v>
      </c>
      <c r="AF2089">
        <v>1</v>
      </c>
      <c r="AG2089" t="str">
        <f t="shared" si="851"/>
        <v>A veces</v>
      </c>
      <c r="AH2089">
        <v>0</v>
      </c>
      <c r="AI2089" t="str">
        <f t="shared" si="852"/>
        <v>No usa</v>
      </c>
      <c r="AJ2089">
        <v>0</v>
      </c>
      <c r="AK2089" t="str">
        <f t="shared" si="853"/>
        <v>No usa</v>
      </c>
      <c r="AL2089">
        <v>0</v>
      </c>
      <c r="AM2089" t="str">
        <f t="shared" si="854"/>
        <v>No usa</v>
      </c>
      <c r="AN2089">
        <v>1</v>
      </c>
      <c r="AO2089" t="str">
        <f t="shared" si="855"/>
        <v>Usa Transporte</v>
      </c>
      <c r="AP2089">
        <v>0</v>
      </c>
      <c r="AQ2089" t="str">
        <f t="shared" si="856"/>
        <v>No camina</v>
      </c>
      <c r="AR2089">
        <v>1</v>
      </c>
      <c r="AS2089" t="str">
        <f t="shared" si="857"/>
        <v>Es Obeso</v>
      </c>
    </row>
    <row r="2090" spans="1:45" x14ac:dyDescent="0.25">
      <c r="A2090">
        <v>0</v>
      </c>
      <c r="B2090" t="str">
        <f t="shared" si="832"/>
        <v>F</v>
      </c>
      <c r="C2090">
        <v>26</v>
      </c>
      <c r="D2090">
        <f t="shared" si="833"/>
        <v>26</v>
      </c>
      <c r="E2090">
        <f t="shared" si="834"/>
        <v>26</v>
      </c>
      <c r="F2090" t="str">
        <f t="shared" si="835"/>
        <v>25-50</v>
      </c>
      <c r="G2090">
        <v>1</v>
      </c>
      <c r="H2090" t="str">
        <f t="shared" si="836"/>
        <v>Pariente gordo</v>
      </c>
      <c r="I2090">
        <v>1</v>
      </c>
      <c r="J2090" t="str">
        <f t="shared" si="837"/>
        <v>Hipercaloricos</v>
      </c>
      <c r="K2090">
        <v>3</v>
      </c>
      <c r="L2090">
        <f t="shared" si="838"/>
        <v>1</v>
      </c>
      <c r="M2090" t="str">
        <f t="shared" si="839"/>
        <v>Suele comer</v>
      </c>
      <c r="N2090">
        <v>3</v>
      </c>
      <c r="O2090">
        <f t="shared" si="840"/>
        <v>2</v>
      </c>
      <c r="P2090" t="str">
        <f t="shared" si="841"/>
        <v>Mas de 3</v>
      </c>
      <c r="Q2090">
        <v>1</v>
      </c>
      <c r="R2090" t="str">
        <f t="shared" si="842"/>
        <v>A veces</v>
      </c>
      <c r="S2090">
        <v>0</v>
      </c>
      <c r="T2090" t="str">
        <f t="shared" si="843"/>
        <v>No fuma</v>
      </c>
      <c r="U2090">
        <v>2584305</v>
      </c>
      <c r="V2090">
        <f t="shared" si="844"/>
        <v>2</v>
      </c>
      <c r="W2090" t="str">
        <f t="shared" si="845"/>
        <v>Siempre</v>
      </c>
      <c r="X2090">
        <v>0</v>
      </c>
      <c r="Y2090" t="str">
        <f t="shared" si="846"/>
        <v>No controla</v>
      </c>
      <c r="Z2090">
        <v>0</v>
      </c>
      <c r="AA2090">
        <f t="shared" si="847"/>
        <v>0</v>
      </c>
      <c r="AB2090" t="str">
        <f t="shared" si="848"/>
        <v>Nunca</v>
      </c>
      <c r="AC2090">
        <v>0.23210800000000001</v>
      </c>
      <c r="AD2090">
        <f t="shared" si="849"/>
        <v>0</v>
      </c>
      <c r="AE2090" t="str">
        <f t="shared" si="850"/>
        <v>Nunca</v>
      </c>
      <c r="AF2090">
        <v>1</v>
      </c>
      <c r="AG2090" t="str">
        <f t="shared" si="851"/>
        <v>A veces</v>
      </c>
      <c r="AH2090">
        <v>0</v>
      </c>
      <c r="AI2090" t="str">
        <f t="shared" si="852"/>
        <v>No usa</v>
      </c>
      <c r="AJ2090">
        <v>0</v>
      </c>
      <c r="AK2090" t="str">
        <f t="shared" si="853"/>
        <v>No usa</v>
      </c>
      <c r="AL2090">
        <v>0</v>
      </c>
      <c r="AM2090" t="str">
        <f t="shared" si="854"/>
        <v>No usa</v>
      </c>
      <c r="AN2090">
        <v>1</v>
      </c>
      <c r="AO2090" t="str">
        <f t="shared" si="855"/>
        <v>Usa Transporte</v>
      </c>
      <c r="AP2090">
        <v>0</v>
      </c>
      <c r="AQ2090" t="str">
        <f t="shared" si="856"/>
        <v>No camina</v>
      </c>
      <c r="AR2090">
        <v>1</v>
      </c>
      <c r="AS2090" t="str">
        <f t="shared" si="857"/>
        <v>Es Obeso</v>
      </c>
    </row>
    <row r="2091" spans="1:45" x14ac:dyDescent="0.25">
      <c r="A2091">
        <v>0</v>
      </c>
      <c r="B2091" t="str">
        <f t="shared" si="832"/>
        <v>F</v>
      </c>
      <c r="C2091">
        <v>26</v>
      </c>
      <c r="D2091">
        <f t="shared" si="833"/>
        <v>26</v>
      </c>
      <c r="E2091">
        <f t="shared" si="834"/>
        <v>26</v>
      </c>
      <c r="F2091" t="str">
        <f t="shared" si="835"/>
        <v>25-50</v>
      </c>
      <c r="G2091">
        <v>1</v>
      </c>
      <c r="H2091" t="str">
        <f t="shared" si="836"/>
        <v>Pariente gordo</v>
      </c>
      <c r="I2091">
        <v>1</v>
      </c>
      <c r="J2091" t="str">
        <f t="shared" si="837"/>
        <v>Hipercaloricos</v>
      </c>
      <c r="K2091">
        <v>3</v>
      </c>
      <c r="L2091">
        <f t="shared" si="838"/>
        <v>1</v>
      </c>
      <c r="M2091" t="str">
        <f t="shared" si="839"/>
        <v>Suele comer</v>
      </c>
      <c r="N2091">
        <v>3</v>
      </c>
      <c r="O2091">
        <f t="shared" si="840"/>
        <v>2</v>
      </c>
      <c r="P2091" t="str">
        <f t="shared" si="841"/>
        <v>Mas de 3</v>
      </c>
      <c r="Q2091">
        <v>1</v>
      </c>
      <c r="R2091" t="str">
        <f t="shared" si="842"/>
        <v>A veces</v>
      </c>
      <c r="S2091">
        <v>0</v>
      </c>
      <c r="T2091" t="str">
        <f t="shared" si="843"/>
        <v>No fuma</v>
      </c>
      <c r="U2091">
        <v>2621976</v>
      </c>
      <c r="V2091">
        <f t="shared" si="844"/>
        <v>2</v>
      </c>
      <c r="W2091" t="str">
        <f t="shared" si="845"/>
        <v>Siempre</v>
      </c>
      <c r="X2091">
        <v>0</v>
      </c>
      <c r="Y2091" t="str">
        <f t="shared" si="846"/>
        <v>No controla</v>
      </c>
      <c r="Z2091">
        <v>0</v>
      </c>
      <c r="AA2091">
        <f t="shared" si="847"/>
        <v>0</v>
      </c>
      <c r="AB2091" t="str">
        <f t="shared" si="848"/>
        <v>Nunca</v>
      </c>
      <c r="AC2091">
        <v>0.123861</v>
      </c>
      <c r="AD2091">
        <f t="shared" si="849"/>
        <v>0</v>
      </c>
      <c r="AE2091" t="str">
        <f t="shared" si="850"/>
        <v>Nunca</v>
      </c>
      <c r="AF2091">
        <v>1</v>
      </c>
      <c r="AG2091" t="str">
        <f t="shared" si="851"/>
        <v>A veces</v>
      </c>
      <c r="AH2091">
        <v>0</v>
      </c>
      <c r="AI2091" t="str">
        <f t="shared" si="852"/>
        <v>No usa</v>
      </c>
      <c r="AJ2091">
        <v>0</v>
      </c>
      <c r="AK2091" t="str">
        <f t="shared" si="853"/>
        <v>No usa</v>
      </c>
      <c r="AL2091">
        <v>0</v>
      </c>
      <c r="AM2091" t="str">
        <f t="shared" si="854"/>
        <v>No usa</v>
      </c>
      <c r="AN2091">
        <v>1</v>
      </c>
      <c r="AO2091" t="str">
        <f t="shared" si="855"/>
        <v>Usa Transporte</v>
      </c>
      <c r="AP2091">
        <v>0</v>
      </c>
      <c r="AQ2091" t="str">
        <f t="shared" si="856"/>
        <v>No camina</v>
      </c>
      <c r="AR2091">
        <v>1</v>
      </c>
      <c r="AS2091" t="str">
        <f t="shared" si="857"/>
        <v>Es Obeso</v>
      </c>
    </row>
    <row r="2092" spans="1:45" x14ac:dyDescent="0.25">
      <c r="A2092">
        <v>0</v>
      </c>
      <c r="B2092" t="str">
        <f t="shared" si="832"/>
        <v>F</v>
      </c>
      <c r="C2092">
        <v>26</v>
      </c>
      <c r="D2092">
        <f t="shared" si="833"/>
        <v>26</v>
      </c>
      <c r="E2092">
        <f t="shared" si="834"/>
        <v>26</v>
      </c>
      <c r="F2092" t="str">
        <f t="shared" si="835"/>
        <v>25-50</v>
      </c>
      <c r="G2092">
        <v>1</v>
      </c>
      <c r="H2092" t="str">
        <f t="shared" si="836"/>
        <v>Pariente gordo</v>
      </c>
      <c r="I2092">
        <v>1</v>
      </c>
      <c r="J2092" t="str">
        <f t="shared" si="837"/>
        <v>Hipercaloricos</v>
      </c>
      <c r="K2092">
        <v>3</v>
      </c>
      <c r="L2092">
        <f t="shared" si="838"/>
        <v>1</v>
      </c>
      <c r="M2092" t="str">
        <f t="shared" si="839"/>
        <v>Suele comer</v>
      </c>
      <c r="N2092">
        <v>3</v>
      </c>
      <c r="O2092">
        <f t="shared" si="840"/>
        <v>2</v>
      </c>
      <c r="P2092" t="str">
        <f t="shared" si="841"/>
        <v>Mas de 3</v>
      </c>
      <c r="Q2092">
        <v>1</v>
      </c>
      <c r="R2092" t="str">
        <f t="shared" si="842"/>
        <v>A veces</v>
      </c>
      <c r="S2092">
        <v>0</v>
      </c>
      <c r="T2092" t="str">
        <f t="shared" si="843"/>
        <v>No fuma</v>
      </c>
      <c r="U2092">
        <v>2722276</v>
      </c>
      <c r="V2092">
        <f t="shared" si="844"/>
        <v>2</v>
      </c>
      <c r="W2092" t="str">
        <f t="shared" si="845"/>
        <v>Siempre</v>
      </c>
      <c r="X2092">
        <v>0</v>
      </c>
      <c r="Y2092" t="str">
        <f t="shared" si="846"/>
        <v>No controla</v>
      </c>
      <c r="Z2092">
        <v>0</v>
      </c>
      <c r="AA2092">
        <f t="shared" si="847"/>
        <v>0</v>
      </c>
      <c r="AB2092" t="str">
        <f t="shared" si="848"/>
        <v>Nunca</v>
      </c>
      <c r="AC2092">
        <v>9.1711000000000001E-2</v>
      </c>
      <c r="AD2092">
        <f t="shared" si="849"/>
        <v>0</v>
      </c>
      <c r="AE2092" t="str">
        <f t="shared" si="850"/>
        <v>Nunca</v>
      </c>
      <c r="AF2092">
        <v>1</v>
      </c>
      <c r="AG2092" t="str">
        <f t="shared" si="851"/>
        <v>A veces</v>
      </c>
      <c r="AH2092">
        <v>0</v>
      </c>
      <c r="AI2092" t="str">
        <f t="shared" si="852"/>
        <v>No usa</v>
      </c>
      <c r="AJ2092">
        <v>0</v>
      </c>
      <c r="AK2092" t="str">
        <f t="shared" si="853"/>
        <v>No usa</v>
      </c>
      <c r="AL2092">
        <v>0</v>
      </c>
      <c r="AM2092" t="str">
        <f t="shared" si="854"/>
        <v>No usa</v>
      </c>
      <c r="AN2092">
        <v>1</v>
      </c>
      <c r="AO2092" t="str">
        <f t="shared" si="855"/>
        <v>Usa Transporte</v>
      </c>
      <c r="AP2092">
        <v>0</v>
      </c>
      <c r="AQ2092" t="str">
        <f t="shared" si="856"/>
        <v>No camina</v>
      </c>
      <c r="AR2092">
        <v>1</v>
      </c>
      <c r="AS2092" t="str">
        <f t="shared" si="857"/>
        <v>Es Obeso</v>
      </c>
    </row>
    <row r="2093" spans="1:45" x14ac:dyDescent="0.25">
      <c r="A2093">
        <v>0</v>
      </c>
      <c r="B2093" t="str">
        <f t="shared" si="832"/>
        <v>F</v>
      </c>
      <c r="C2093">
        <v>26</v>
      </c>
      <c r="D2093">
        <f t="shared" si="833"/>
        <v>26</v>
      </c>
      <c r="E2093">
        <f t="shared" si="834"/>
        <v>26</v>
      </c>
      <c r="F2093" t="str">
        <f t="shared" si="835"/>
        <v>25-50</v>
      </c>
      <c r="G2093">
        <v>1</v>
      </c>
      <c r="H2093" t="str">
        <f t="shared" si="836"/>
        <v>Pariente gordo</v>
      </c>
      <c r="I2093">
        <v>1</v>
      </c>
      <c r="J2093" t="str">
        <f t="shared" si="837"/>
        <v>Hipercaloricos</v>
      </c>
      <c r="K2093">
        <v>3</v>
      </c>
      <c r="L2093">
        <f t="shared" si="838"/>
        <v>1</v>
      </c>
      <c r="M2093" t="str">
        <f t="shared" si="839"/>
        <v>Suele comer</v>
      </c>
      <c r="N2093">
        <v>3</v>
      </c>
      <c r="O2093">
        <f t="shared" si="840"/>
        <v>2</v>
      </c>
      <c r="P2093" t="str">
        <f t="shared" si="841"/>
        <v>Mas de 3</v>
      </c>
      <c r="Q2093">
        <v>1</v>
      </c>
      <c r="R2093" t="str">
        <f t="shared" si="842"/>
        <v>A veces</v>
      </c>
      <c r="S2093">
        <v>0</v>
      </c>
      <c r="T2093" t="str">
        <f t="shared" si="843"/>
        <v>No fuma</v>
      </c>
      <c r="U2093">
        <v>2634342</v>
      </c>
      <c r="V2093">
        <f t="shared" si="844"/>
        <v>2</v>
      </c>
      <c r="W2093" t="str">
        <f t="shared" si="845"/>
        <v>Siempre</v>
      </c>
      <c r="X2093">
        <v>0</v>
      </c>
      <c r="Y2093" t="str">
        <f t="shared" si="846"/>
        <v>No controla</v>
      </c>
      <c r="Z2093">
        <v>0</v>
      </c>
      <c r="AA2093">
        <f t="shared" si="847"/>
        <v>0</v>
      </c>
      <c r="AB2093" t="str">
        <f t="shared" si="848"/>
        <v>Nunca</v>
      </c>
      <c r="AC2093">
        <v>0.17830099999999999</v>
      </c>
      <c r="AD2093">
        <f t="shared" si="849"/>
        <v>0</v>
      </c>
      <c r="AE2093" t="str">
        <f t="shared" si="850"/>
        <v>Nunca</v>
      </c>
      <c r="AF2093">
        <v>1</v>
      </c>
      <c r="AG2093" t="str">
        <f t="shared" si="851"/>
        <v>A veces</v>
      </c>
      <c r="AH2093">
        <v>0</v>
      </c>
      <c r="AI2093" t="str">
        <f t="shared" si="852"/>
        <v>No usa</v>
      </c>
      <c r="AJ2093">
        <v>0</v>
      </c>
      <c r="AK2093" t="str">
        <f t="shared" si="853"/>
        <v>No usa</v>
      </c>
      <c r="AL2093">
        <v>0</v>
      </c>
      <c r="AM2093" t="str">
        <f t="shared" si="854"/>
        <v>No usa</v>
      </c>
      <c r="AN2093">
        <v>1</v>
      </c>
      <c r="AO2093" t="str">
        <f t="shared" si="855"/>
        <v>Usa Transporte</v>
      </c>
      <c r="AP2093">
        <v>0</v>
      </c>
      <c r="AQ2093" t="str">
        <f t="shared" si="856"/>
        <v>No camina</v>
      </c>
      <c r="AR2093">
        <v>1</v>
      </c>
      <c r="AS2093" t="str">
        <f t="shared" si="857"/>
        <v>Es Obeso</v>
      </c>
    </row>
    <row r="2094" spans="1:45" x14ac:dyDescent="0.25">
      <c r="A2094">
        <v>0</v>
      </c>
      <c r="B2094" t="str">
        <f t="shared" si="832"/>
        <v>F</v>
      </c>
      <c r="C2094">
        <v>26</v>
      </c>
      <c r="D2094">
        <f t="shared" si="833"/>
        <v>26</v>
      </c>
      <c r="E2094">
        <f t="shared" si="834"/>
        <v>26</v>
      </c>
      <c r="F2094" t="str">
        <f t="shared" si="835"/>
        <v>25-50</v>
      </c>
      <c r="G2094">
        <v>1</v>
      </c>
      <c r="H2094" t="str">
        <f t="shared" si="836"/>
        <v>Pariente gordo</v>
      </c>
      <c r="I2094">
        <v>1</v>
      </c>
      <c r="J2094" t="str">
        <f t="shared" si="837"/>
        <v>Hipercaloricos</v>
      </c>
      <c r="K2094">
        <v>3</v>
      </c>
      <c r="L2094">
        <f t="shared" si="838"/>
        <v>1</v>
      </c>
      <c r="M2094" t="str">
        <f t="shared" si="839"/>
        <v>Suele comer</v>
      </c>
      <c r="N2094">
        <v>3</v>
      </c>
      <c r="O2094">
        <f t="shared" si="840"/>
        <v>2</v>
      </c>
      <c r="P2094" t="str">
        <f t="shared" si="841"/>
        <v>Mas de 3</v>
      </c>
      <c r="Q2094">
        <v>1</v>
      </c>
      <c r="R2094" t="str">
        <f t="shared" si="842"/>
        <v>A veces</v>
      </c>
      <c r="S2094">
        <v>0</v>
      </c>
      <c r="T2094" t="str">
        <f t="shared" si="843"/>
        <v>No fuma</v>
      </c>
      <c r="U2094">
        <v>261939</v>
      </c>
      <c r="V2094">
        <f t="shared" si="844"/>
        <v>2</v>
      </c>
      <c r="W2094" t="str">
        <f t="shared" si="845"/>
        <v>Siempre</v>
      </c>
      <c r="X2094">
        <v>0</v>
      </c>
      <c r="Y2094" t="str">
        <f t="shared" si="846"/>
        <v>No controla</v>
      </c>
      <c r="Z2094">
        <v>0</v>
      </c>
      <c r="AA2094">
        <f t="shared" si="847"/>
        <v>0</v>
      </c>
      <c r="AB2094" t="str">
        <f t="shared" si="848"/>
        <v>Nunca</v>
      </c>
      <c r="AC2094">
        <v>0.17103399999999999</v>
      </c>
      <c r="AD2094">
        <f t="shared" si="849"/>
        <v>0</v>
      </c>
      <c r="AE2094" t="str">
        <f t="shared" si="850"/>
        <v>Nunca</v>
      </c>
      <c r="AF2094">
        <v>1</v>
      </c>
      <c r="AG2094" t="str">
        <f t="shared" si="851"/>
        <v>A veces</v>
      </c>
      <c r="AH2094">
        <v>0</v>
      </c>
      <c r="AI2094" t="str">
        <f t="shared" si="852"/>
        <v>No usa</v>
      </c>
      <c r="AJ2094">
        <v>0</v>
      </c>
      <c r="AK2094" t="str">
        <f t="shared" si="853"/>
        <v>No usa</v>
      </c>
      <c r="AL2094">
        <v>0</v>
      </c>
      <c r="AM2094" t="str">
        <f t="shared" si="854"/>
        <v>No usa</v>
      </c>
      <c r="AN2094">
        <v>1</v>
      </c>
      <c r="AO2094" t="str">
        <f t="shared" si="855"/>
        <v>Usa Transporte</v>
      </c>
      <c r="AP2094">
        <v>0</v>
      </c>
      <c r="AQ2094" t="str">
        <f t="shared" si="856"/>
        <v>No camina</v>
      </c>
      <c r="AR2094">
        <v>1</v>
      </c>
      <c r="AS2094" t="str">
        <f t="shared" si="857"/>
        <v>Es Obeso</v>
      </c>
    </row>
    <row r="2095" spans="1:45" x14ac:dyDescent="0.25">
      <c r="A2095">
        <v>0</v>
      </c>
      <c r="B2095" t="str">
        <f t="shared" si="832"/>
        <v>F</v>
      </c>
      <c r="C2095">
        <v>26</v>
      </c>
      <c r="D2095">
        <f t="shared" si="833"/>
        <v>26</v>
      </c>
      <c r="E2095">
        <f t="shared" si="834"/>
        <v>26</v>
      </c>
      <c r="F2095" t="str">
        <f t="shared" si="835"/>
        <v>25-50</v>
      </c>
      <c r="G2095">
        <v>1</v>
      </c>
      <c r="H2095" t="str">
        <f t="shared" si="836"/>
        <v>Pariente gordo</v>
      </c>
      <c r="I2095">
        <v>1</v>
      </c>
      <c r="J2095" t="str">
        <f t="shared" si="837"/>
        <v>Hipercaloricos</v>
      </c>
      <c r="K2095">
        <v>3</v>
      </c>
      <c r="L2095">
        <f t="shared" si="838"/>
        <v>1</v>
      </c>
      <c r="M2095" t="str">
        <f t="shared" si="839"/>
        <v>Suele comer</v>
      </c>
      <c r="N2095">
        <v>3</v>
      </c>
      <c r="O2095">
        <f t="shared" si="840"/>
        <v>2</v>
      </c>
      <c r="P2095" t="str">
        <f t="shared" si="841"/>
        <v>Mas de 3</v>
      </c>
      <c r="Q2095">
        <v>1</v>
      </c>
      <c r="R2095" t="str">
        <f t="shared" si="842"/>
        <v>A veces</v>
      </c>
      <c r="S2095">
        <v>0</v>
      </c>
      <c r="T2095" t="str">
        <f t="shared" si="843"/>
        <v>No fuma</v>
      </c>
      <c r="U2095">
        <v>278678</v>
      </c>
      <c r="V2095">
        <f t="shared" si="844"/>
        <v>2</v>
      </c>
      <c r="W2095" t="str">
        <f t="shared" si="845"/>
        <v>Siempre</v>
      </c>
      <c r="X2095">
        <v>0</v>
      </c>
      <c r="Y2095" t="str">
        <f t="shared" si="846"/>
        <v>No controla</v>
      </c>
      <c r="Z2095">
        <v>0</v>
      </c>
      <c r="AA2095">
        <f t="shared" si="847"/>
        <v>0</v>
      </c>
      <c r="AB2095" t="str">
        <f t="shared" si="848"/>
        <v>Nunca</v>
      </c>
      <c r="AC2095">
        <v>9.776E-2</v>
      </c>
      <c r="AD2095">
        <f t="shared" si="849"/>
        <v>0</v>
      </c>
      <c r="AE2095" t="str">
        <f t="shared" si="850"/>
        <v>Nunca</v>
      </c>
      <c r="AF2095">
        <v>1</v>
      </c>
      <c r="AG2095" t="str">
        <f t="shared" si="851"/>
        <v>A veces</v>
      </c>
      <c r="AH2095">
        <v>0</v>
      </c>
      <c r="AI2095" t="str">
        <f t="shared" si="852"/>
        <v>No usa</v>
      </c>
      <c r="AJ2095">
        <v>0</v>
      </c>
      <c r="AK2095" t="str">
        <f t="shared" si="853"/>
        <v>No usa</v>
      </c>
      <c r="AL2095">
        <v>0</v>
      </c>
      <c r="AM2095" t="str">
        <f t="shared" si="854"/>
        <v>No usa</v>
      </c>
      <c r="AN2095">
        <v>1</v>
      </c>
      <c r="AO2095" t="str">
        <f t="shared" si="855"/>
        <v>Usa Transporte</v>
      </c>
      <c r="AP2095">
        <v>0</v>
      </c>
      <c r="AQ2095" t="str">
        <f t="shared" si="856"/>
        <v>No camina</v>
      </c>
      <c r="AR2095">
        <v>1</v>
      </c>
      <c r="AS2095" t="str">
        <f t="shared" si="857"/>
        <v>Es Obeso</v>
      </c>
    </row>
    <row r="2096" spans="1:45" x14ac:dyDescent="0.25">
      <c r="A2096">
        <v>0</v>
      </c>
      <c r="B2096" t="str">
        <f t="shared" si="832"/>
        <v>F</v>
      </c>
      <c r="C2096">
        <v>26</v>
      </c>
      <c r="D2096">
        <f t="shared" si="833"/>
        <v>26</v>
      </c>
      <c r="E2096">
        <f t="shared" si="834"/>
        <v>26</v>
      </c>
      <c r="F2096" t="str">
        <f t="shared" si="835"/>
        <v>25-50</v>
      </c>
      <c r="G2096">
        <v>1</v>
      </c>
      <c r="H2096" t="str">
        <f t="shared" si="836"/>
        <v>Pariente gordo</v>
      </c>
      <c r="I2096">
        <v>1</v>
      </c>
      <c r="J2096" t="str">
        <f t="shared" si="837"/>
        <v>Hipercaloricos</v>
      </c>
      <c r="K2096">
        <v>3</v>
      </c>
      <c r="L2096">
        <f t="shared" si="838"/>
        <v>1</v>
      </c>
      <c r="M2096" t="str">
        <f t="shared" si="839"/>
        <v>Suele comer</v>
      </c>
      <c r="N2096">
        <v>3</v>
      </c>
      <c r="O2096">
        <f t="shared" si="840"/>
        <v>2</v>
      </c>
      <c r="P2096" t="str">
        <f t="shared" si="841"/>
        <v>Mas de 3</v>
      </c>
      <c r="Q2096">
        <v>1</v>
      </c>
      <c r="R2096" t="str">
        <f t="shared" si="842"/>
        <v>A veces</v>
      </c>
      <c r="S2096">
        <v>0</v>
      </c>
      <c r="T2096" t="str">
        <f t="shared" si="843"/>
        <v>No fuma</v>
      </c>
      <c r="U2096">
        <v>2768141</v>
      </c>
      <c r="V2096">
        <f t="shared" si="844"/>
        <v>2</v>
      </c>
      <c r="W2096" t="str">
        <f t="shared" si="845"/>
        <v>Siempre</v>
      </c>
      <c r="X2096">
        <v>0</v>
      </c>
      <c r="Y2096" t="str">
        <f t="shared" si="846"/>
        <v>No controla</v>
      </c>
      <c r="Z2096">
        <v>0</v>
      </c>
      <c r="AA2096">
        <f t="shared" si="847"/>
        <v>0</v>
      </c>
      <c r="AB2096" t="str">
        <f t="shared" si="848"/>
        <v>Nunca</v>
      </c>
      <c r="AC2096">
        <v>9.4213000000000005E-2</v>
      </c>
      <c r="AD2096">
        <f t="shared" si="849"/>
        <v>0</v>
      </c>
      <c r="AE2096" t="str">
        <f t="shared" si="850"/>
        <v>Nunca</v>
      </c>
      <c r="AF2096">
        <v>1</v>
      </c>
      <c r="AG2096" t="str">
        <f t="shared" si="851"/>
        <v>A veces</v>
      </c>
      <c r="AH2096">
        <v>0</v>
      </c>
      <c r="AI2096" t="str">
        <f t="shared" si="852"/>
        <v>No usa</v>
      </c>
      <c r="AJ2096">
        <v>0</v>
      </c>
      <c r="AK2096" t="str">
        <f t="shared" si="853"/>
        <v>No usa</v>
      </c>
      <c r="AL2096">
        <v>0</v>
      </c>
      <c r="AM2096" t="str">
        <f t="shared" si="854"/>
        <v>No usa</v>
      </c>
      <c r="AN2096">
        <v>1</v>
      </c>
      <c r="AO2096" t="str">
        <f t="shared" si="855"/>
        <v>Usa Transporte</v>
      </c>
      <c r="AP2096">
        <v>0</v>
      </c>
      <c r="AQ2096" t="str">
        <f t="shared" si="856"/>
        <v>No camina</v>
      </c>
      <c r="AR2096">
        <v>1</v>
      </c>
      <c r="AS2096" t="str">
        <f t="shared" si="857"/>
        <v>Es Obeso</v>
      </c>
    </row>
    <row r="2097" spans="1:45" x14ac:dyDescent="0.25">
      <c r="A2097">
        <v>0</v>
      </c>
      <c r="B2097" t="str">
        <f t="shared" si="832"/>
        <v>F</v>
      </c>
      <c r="C2097">
        <v>2597731</v>
      </c>
      <c r="D2097">
        <f t="shared" si="833"/>
        <v>7</v>
      </c>
      <c r="E2097">
        <f t="shared" si="834"/>
        <v>7</v>
      </c>
      <c r="F2097" t="str">
        <f t="shared" si="835"/>
        <v>1-25</v>
      </c>
      <c r="G2097">
        <v>1</v>
      </c>
      <c r="H2097" t="str">
        <f t="shared" si="836"/>
        <v>Pariente gordo</v>
      </c>
      <c r="I2097">
        <v>1</v>
      </c>
      <c r="J2097" t="str">
        <f t="shared" si="837"/>
        <v>Hipercaloricos</v>
      </c>
      <c r="K2097">
        <v>3</v>
      </c>
      <c r="L2097">
        <f t="shared" si="838"/>
        <v>1</v>
      </c>
      <c r="M2097" t="str">
        <f t="shared" si="839"/>
        <v>Suele comer</v>
      </c>
      <c r="N2097">
        <v>3</v>
      </c>
      <c r="O2097">
        <f t="shared" si="840"/>
        <v>2</v>
      </c>
      <c r="P2097" t="str">
        <f t="shared" si="841"/>
        <v>Mas de 3</v>
      </c>
      <c r="Q2097">
        <v>1</v>
      </c>
      <c r="R2097" t="str">
        <f t="shared" si="842"/>
        <v>A veces</v>
      </c>
      <c r="S2097">
        <v>0</v>
      </c>
      <c r="T2097" t="str">
        <f t="shared" si="843"/>
        <v>No fuma</v>
      </c>
      <c r="U2097">
        <v>171659</v>
      </c>
      <c r="V2097">
        <f t="shared" si="844"/>
        <v>2</v>
      </c>
      <c r="W2097" t="str">
        <f t="shared" si="845"/>
        <v>Siempre</v>
      </c>
      <c r="X2097">
        <v>0</v>
      </c>
      <c r="Y2097" t="str">
        <f t="shared" si="846"/>
        <v>No controla</v>
      </c>
      <c r="Z2097">
        <v>1.2719999999999999E-3</v>
      </c>
      <c r="AA2097">
        <f t="shared" si="847"/>
        <v>0</v>
      </c>
      <c r="AB2097" t="str">
        <f t="shared" si="848"/>
        <v>Nunca</v>
      </c>
      <c r="AC2097">
        <v>0.54599299999999995</v>
      </c>
      <c r="AD2097">
        <f t="shared" si="849"/>
        <v>0</v>
      </c>
      <c r="AE2097" t="str">
        <f t="shared" si="850"/>
        <v>Nunca</v>
      </c>
      <c r="AF2097">
        <v>1</v>
      </c>
      <c r="AG2097" t="str">
        <f t="shared" si="851"/>
        <v>A veces</v>
      </c>
      <c r="AH2097">
        <v>0</v>
      </c>
      <c r="AI2097" t="str">
        <f t="shared" si="852"/>
        <v>No usa</v>
      </c>
      <c r="AJ2097">
        <v>0</v>
      </c>
      <c r="AK2097" t="str">
        <f t="shared" si="853"/>
        <v>No usa</v>
      </c>
      <c r="AL2097">
        <v>0</v>
      </c>
      <c r="AM2097" t="str">
        <f t="shared" si="854"/>
        <v>No usa</v>
      </c>
      <c r="AN2097">
        <v>1</v>
      </c>
      <c r="AO2097" t="str">
        <f t="shared" si="855"/>
        <v>Usa Transporte</v>
      </c>
      <c r="AP2097">
        <v>0</v>
      </c>
      <c r="AQ2097" t="str">
        <f t="shared" si="856"/>
        <v>No camina</v>
      </c>
      <c r="AR2097">
        <v>1</v>
      </c>
      <c r="AS2097" t="str">
        <f t="shared" si="857"/>
        <v>Es Obeso</v>
      </c>
    </row>
    <row r="2098" spans="1:45" x14ac:dyDescent="0.25">
      <c r="A2098">
        <v>0</v>
      </c>
      <c r="B2098" t="str">
        <f t="shared" si="832"/>
        <v>F</v>
      </c>
      <c r="C2098">
        <v>25955014</v>
      </c>
      <c r="D2098">
        <f t="shared" si="833"/>
        <v>71</v>
      </c>
      <c r="E2098">
        <f t="shared" si="834"/>
        <v>71</v>
      </c>
      <c r="F2098" t="str">
        <f t="shared" si="835"/>
        <v>50-75</v>
      </c>
      <c r="G2098">
        <v>1</v>
      </c>
      <c r="H2098" t="str">
        <f t="shared" si="836"/>
        <v>Pariente gordo</v>
      </c>
      <c r="I2098">
        <v>1</v>
      </c>
      <c r="J2098" t="str">
        <f t="shared" si="837"/>
        <v>Hipercaloricos</v>
      </c>
      <c r="K2098">
        <v>3</v>
      </c>
      <c r="L2098">
        <f t="shared" si="838"/>
        <v>1</v>
      </c>
      <c r="M2098" t="str">
        <f t="shared" si="839"/>
        <v>Suele comer</v>
      </c>
      <c r="N2098">
        <v>3</v>
      </c>
      <c r="O2098">
        <f t="shared" si="840"/>
        <v>2</v>
      </c>
      <c r="P2098" t="str">
        <f t="shared" si="841"/>
        <v>Mas de 3</v>
      </c>
      <c r="Q2098">
        <v>1</v>
      </c>
      <c r="R2098" t="str">
        <f t="shared" si="842"/>
        <v>A veces</v>
      </c>
      <c r="S2098">
        <v>0</v>
      </c>
      <c r="T2098" t="str">
        <f t="shared" si="843"/>
        <v>No fuma</v>
      </c>
      <c r="U2098">
        <v>2094901</v>
      </c>
      <c r="V2098">
        <f t="shared" si="844"/>
        <v>2</v>
      </c>
      <c r="W2098" t="str">
        <f t="shared" si="845"/>
        <v>Siempre</v>
      </c>
      <c r="X2098">
        <v>0</v>
      </c>
      <c r="Y2098" t="str">
        <f t="shared" si="846"/>
        <v>No controla</v>
      </c>
      <c r="Z2098">
        <v>7.0889999999999995E-2</v>
      </c>
      <c r="AA2098">
        <f t="shared" si="847"/>
        <v>0</v>
      </c>
      <c r="AB2098" t="str">
        <f t="shared" si="848"/>
        <v>Nunca</v>
      </c>
      <c r="AC2098">
        <v>0.599441</v>
      </c>
      <c r="AD2098">
        <f t="shared" si="849"/>
        <v>0</v>
      </c>
      <c r="AE2098" t="str">
        <f t="shared" si="850"/>
        <v>Nunca</v>
      </c>
      <c r="AF2098">
        <v>1</v>
      </c>
      <c r="AG2098" t="str">
        <f t="shared" si="851"/>
        <v>A veces</v>
      </c>
      <c r="AH2098">
        <v>0</v>
      </c>
      <c r="AI2098" t="str">
        <f t="shared" si="852"/>
        <v>No usa</v>
      </c>
      <c r="AJ2098">
        <v>0</v>
      </c>
      <c r="AK2098" t="str">
        <f t="shared" si="853"/>
        <v>No usa</v>
      </c>
      <c r="AL2098">
        <v>0</v>
      </c>
      <c r="AM2098" t="str">
        <f t="shared" si="854"/>
        <v>No usa</v>
      </c>
      <c r="AN2098">
        <v>1</v>
      </c>
      <c r="AO2098" t="str">
        <f t="shared" si="855"/>
        <v>Usa Transporte</v>
      </c>
      <c r="AP2098">
        <v>0</v>
      </c>
      <c r="AQ2098" t="str">
        <f t="shared" si="856"/>
        <v>No camina</v>
      </c>
      <c r="AR2098">
        <v>1</v>
      </c>
      <c r="AS2098" t="str">
        <f t="shared" si="857"/>
        <v>Es Obeso</v>
      </c>
    </row>
    <row r="2099" spans="1:45" x14ac:dyDescent="0.25">
      <c r="A2099">
        <v>0</v>
      </c>
      <c r="B2099" t="str">
        <f t="shared" si="832"/>
        <v>F</v>
      </c>
      <c r="C2099">
        <v>25996716</v>
      </c>
      <c r="D2099">
        <f t="shared" si="833"/>
        <v>71</v>
      </c>
      <c r="E2099">
        <f t="shared" si="834"/>
        <v>71</v>
      </c>
      <c r="F2099" t="str">
        <f t="shared" si="835"/>
        <v>50-75</v>
      </c>
      <c r="G2099">
        <v>1</v>
      </c>
      <c r="H2099" t="str">
        <f t="shared" si="836"/>
        <v>Pariente gordo</v>
      </c>
      <c r="I2099">
        <v>1</v>
      </c>
      <c r="J2099" t="str">
        <f t="shared" si="837"/>
        <v>Hipercaloricos</v>
      </c>
      <c r="K2099">
        <v>3</v>
      </c>
      <c r="L2099">
        <f t="shared" si="838"/>
        <v>1</v>
      </c>
      <c r="M2099" t="str">
        <f t="shared" si="839"/>
        <v>Suele comer</v>
      </c>
      <c r="N2099">
        <v>3</v>
      </c>
      <c r="O2099">
        <f t="shared" si="840"/>
        <v>2</v>
      </c>
      <c r="P2099" t="str">
        <f t="shared" si="841"/>
        <v>Mas de 3</v>
      </c>
      <c r="Q2099">
        <v>1</v>
      </c>
      <c r="R2099" t="str">
        <f t="shared" si="842"/>
        <v>A veces</v>
      </c>
      <c r="S2099">
        <v>0</v>
      </c>
      <c r="T2099" t="str">
        <f t="shared" si="843"/>
        <v>No fuma</v>
      </c>
      <c r="U2099">
        <v>2347322</v>
      </c>
      <c r="V2099">
        <f t="shared" si="844"/>
        <v>2</v>
      </c>
      <c r="W2099" t="str">
        <f t="shared" si="845"/>
        <v>Siempre</v>
      </c>
      <c r="X2099">
        <v>0</v>
      </c>
      <c r="Y2099" t="str">
        <f t="shared" si="846"/>
        <v>No controla</v>
      </c>
      <c r="Z2099">
        <v>8.0129999999999993E-3</v>
      </c>
      <c r="AA2099">
        <f t="shared" si="847"/>
        <v>0</v>
      </c>
      <c r="AB2099" t="str">
        <f t="shared" si="848"/>
        <v>Nunca</v>
      </c>
      <c r="AC2099">
        <v>0.50389600000000001</v>
      </c>
      <c r="AD2099">
        <f t="shared" si="849"/>
        <v>0</v>
      </c>
      <c r="AE2099" t="str">
        <f t="shared" si="850"/>
        <v>Nunca</v>
      </c>
      <c r="AF2099">
        <v>1</v>
      </c>
      <c r="AG2099" t="str">
        <f t="shared" si="851"/>
        <v>A veces</v>
      </c>
      <c r="AH2099">
        <v>0</v>
      </c>
      <c r="AI2099" t="str">
        <f t="shared" si="852"/>
        <v>No usa</v>
      </c>
      <c r="AJ2099">
        <v>0</v>
      </c>
      <c r="AK2099" t="str">
        <f t="shared" si="853"/>
        <v>No usa</v>
      </c>
      <c r="AL2099">
        <v>0</v>
      </c>
      <c r="AM2099" t="str">
        <f t="shared" si="854"/>
        <v>No usa</v>
      </c>
      <c r="AN2099">
        <v>1</v>
      </c>
      <c r="AO2099" t="str">
        <f t="shared" si="855"/>
        <v>Usa Transporte</v>
      </c>
      <c r="AP2099">
        <v>0</v>
      </c>
      <c r="AQ2099" t="str">
        <f t="shared" si="856"/>
        <v>No camina</v>
      </c>
      <c r="AR2099">
        <v>1</v>
      </c>
      <c r="AS2099" t="str">
        <f t="shared" si="857"/>
        <v>Es Obeso</v>
      </c>
    </row>
    <row r="2100" spans="1:45" x14ac:dyDescent="0.25">
      <c r="A2100">
        <v>0</v>
      </c>
      <c r="B2100" t="str">
        <f t="shared" si="832"/>
        <v>F</v>
      </c>
      <c r="C2100">
        <v>25992348</v>
      </c>
      <c r="D2100">
        <f t="shared" si="833"/>
        <v>71</v>
      </c>
      <c r="E2100">
        <f t="shared" si="834"/>
        <v>71</v>
      </c>
      <c r="F2100" t="str">
        <f t="shared" si="835"/>
        <v>50-75</v>
      </c>
      <c r="G2100">
        <v>1</v>
      </c>
      <c r="H2100" t="str">
        <f t="shared" si="836"/>
        <v>Pariente gordo</v>
      </c>
      <c r="I2100">
        <v>1</v>
      </c>
      <c r="J2100" t="str">
        <f t="shared" si="837"/>
        <v>Hipercaloricos</v>
      </c>
      <c r="K2100">
        <v>3</v>
      </c>
      <c r="L2100">
        <f t="shared" si="838"/>
        <v>1</v>
      </c>
      <c r="M2100" t="str">
        <f t="shared" si="839"/>
        <v>Suele comer</v>
      </c>
      <c r="N2100">
        <v>3</v>
      </c>
      <c r="O2100">
        <f t="shared" si="840"/>
        <v>2</v>
      </c>
      <c r="P2100" t="str">
        <f t="shared" si="841"/>
        <v>Mas de 3</v>
      </c>
      <c r="Q2100">
        <v>1</v>
      </c>
      <c r="R2100" t="str">
        <f t="shared" si="842"/>
        <v>A veces</v>
      </c>
      <c r="S2100">
        <v>0</v>
      </c>
      <c r="T2100" t="str">
        <f t="shared" si="843"/>
        <v>No fuma</v>
      </c>
      <c r="U2100">
        <v>2331123</v>
      </c>
      <c r="V2100">
        <f t="shared" si="844"/>
        <v>2</v>
      </c>
      <c r="W2100" t="str">
        <f t="shared" si="845"/>
        <v>Siempre</v>
      </c>
      <c r="X2100">
        <v>0</v>
      </c>
      <c r="Y2100" t="str">
        <f t="shared" si="846"/>
        <v>No controla</v>
      </c>
      <c r="Z2100">
        <v>6.3382999999999995E-2</v>
      </c>
      <c r="AA2100">
        <f t="shared" si="847"/>
        <v>0</v>
      </c>
      <c r="AB2100" t="str">
        <f t="shared" si="848"/>
        <v>Nunca</v>
      </c>
      <c r="AC2100">
        <v>0.56166099999999997</v>
      </c>
      <c r="AD2100">
        <f t="shared" si="849"/>
        <v>0</v>
      </c>
      <c r="AE2100" t="str">
        <f t="shared" si="850"/>
        <v>Nunca</v>
      </c>
      <c r="AF2100">
        <v>1</v>
      </c>
      <c r="AG2100" t="str">
        <f t="shared" si="851"/>
        <v>A veces</v>
      </c>
      <c r="AH2100">
        <v>0</v>
      </c>
      <c r="AI2100" t="str">
        <f t="shared" si="852"/>
        <v>No usa</v>
      </c>
      <c r="AJ2100">
        <v>0</v>
      </c>
      <c r="AK2100" t="str">
        <f t="shared" si="853"/>
        <v>No usa</v>
      </c>
      <c r="AL2100">
        <v>0</v>
      </c>
      <c r="AM2100" t="str">
        <f t="shared" si="854"/>
        <v>No usa</v>
      </c>
      <c r="AN2100">
        <v>1</v>
      </c>
      <c r="AO2100" t="str">
        <f t="shared" si="855"/>
        <v>Usa Transporte</v>
      </c>
      <c r="AP2100">
        <v>0</v>
      </c>
      <c r="AQ2100" t="str">
        <f t="shared" si="856"/>
        <v>No camina</v>
      </c>
      <c r="AR2100">
        <v>1</v>
      </c>
      <c r="AS2100" t="str">
        <f t="shared" si="857"/>
        <v>Es Obeso</v>
      </c>
    </row>
    <row r="2101" spans="1:45" x14ac:dyDescent="0.25">
      <c r="A2101">
        <v>0</v>
      </c>
      <c r="B2101" t="str">
        <f t="shared" si="832"/>
        <v>F</v>
      </c>
      <c r="C2101">
        <v>25974446</v>
      </c>
      <c r="D2101">
        <f t="shared" si="833"/>
        <v>71</v>
      </c>
      <c r="E2101">
        <f t="shared" si="834"/>
        <v>71</v>
      </c>
      <c r="F2101" t="str">
        <f t="shared" si="835"/>
        <v>50-75</v>
      </c>
      <c r="G2101">
        <v>1</v>
      </c>
      <c r="H2101" t="str">
        <f t="shared" si="836"/>
        <v>Pariente gordo</v>
      </c>
      <c r="I2101">
        <v>1</v>
      </c>
      <c r="J2101" t="str">
        <f t="shared" si="837"/>
        <v>Hipercaloricos</v>
      </c>
      <c r="K2101">
        <v>3</v>
      </c>
      <c r="L2101">
        <f t="shared" si="838"/>
        <v>1</v>
      </c>
      <c r="M2101" t="str">
        <f t="shared" si="839"/>
        <v>Suele comer</v>
      </c>
      <c r="N2101">
        <v>3</v>
      </c>
      <c r="O2101">
        <f t="shared" si="840"/>
        <v>2</v>
      </c>
      <c r="P2101" t="str">
        <f t="shared" si="841"/>
        <v>Mas de 3</v>
      </c>
      <c r="Q2101">
        <v>1</v>
      </c>
      <c r="R2101" t="str">
        <f t="shared" si="842"/>
        <v>A veces</v>
      </c>
      <c r="S2101">
        <v>0</v>
      </c>
      <c r="T2101" t="str">
        <f t="shared" si="843"/>
        <v>No fuma</v>
      </c>
      <c r="U2101">
        <v>1757105</v>
      </c>
      <c r="V2101">
        <f t="shared" si="844"/>
        <v>2</v>
      </c>
      <c r="W2101" t="str">
        <f t="shared" si="845"/>
        <v>Siempre</v>
      </c>
      <c r="X2101">
        <v>0</v>
      </c>
      <c r="Y2101" t="str">
        <f t="shared" si="846"/>
        <v>No controla</v>
      </c>
      <c r="Z2101">
        <v>8.5119E-2</v>
      </c>
      <c r="AA2101">
        <f t="shared" si="847"/>
        <v>0</v>
      </c>
      <c r="AB2101" t="str">
        <f t="shared" si="848"/>
        <v>Nunca</v>
      </c>
      <c r="AC2101">
        <v>0.46544400000000002</v>
      </c>
      <c r="AD2101">
        <f t="shared" si="849"/>
        <v>0</v>
      </c>
      <c r="AE2101" t="str">
        <f t="shared" si="850"/>
        <v>Nunca</v>
      </c>
      <c r="AF2101">
        <v>1</v>
      </c>
      <c r="AG2101" t="str">
        <f t="shared" si="851"/>
        <v>A veces</v>
      </c>
      <c r="AH2101">
        <v>0</v>
      </c>
      <c r="AI2101" t="str">
        <f t="shared" si="852"/>
        <v>No usa</v>
      </c>
      <c r="AJ2101">
        <v>0</v>
      </c>
      <c r="AK2101" t="str">
        <f t="shared" si="853"/>
        <v>No usa</v>
      </c>
      <c r="AL2101">
        <v>0</v>
      </c>
      <c r="AM2101" t="str">
        <f t="shared" si="854"/>
        <v>No usa</v>
      </c>
      <c r="AN2101">
        <v>1</v>
      </c>
      <c r="AO2101" t="str">
        <f t="shared" si="855"/>
        <v>Usa Transporte</v>
      </c>
      <c r="AP2101">
        <v>0</v>
      </c>
      <c r="AQ2101" t="str">
        <f t="shared" si="856"/>
        <v>No camina</v>
      </c>
      <c r="AR2101">
        <v>1</v>
      </c>
      <c r="AS2101" t="str">
        <f t="shared" si="857"/>
        <v>Es Obeso</v>
      </c>
    </row>
    <row r="2102" spans="1:45" x14ac:dyDescent="0.25">
      <c r="A2102">
        <v>0</v>
      </c>
      <c r="B2102" t="str">
        <f t="shared" si="832"/>
        <v>F</v>
      </c>
      <c r="C2102">
        <v>25777565</v>
      </c>
      <c r="D2102">
        <f t="shared" si="833"/>
        <v>70</v>
      </c>
      <c r="E2102">
        <f t="shared" si="834"/>
        <v>70</v>
      </c>
      <c r="F2102" t="str">
        <f t="shared" si="835"/>
        <v>50-75</v>
      </c>
      <c r="G2102">
        <v>1</v>
      </c>
      <c r="H2102" t="str">
        <f t="shared" si="836"/>
        <v>Pariente gordo</v>
      </c>
      <c r="I2102">
        <v>1</v>
      </c>
      <c r="J2102" t="str">
        <f t="shared" si="837"/>
        <v>Hipercaloricos</v>
      </c>
      <c r="K2102">
        <v>3</v>
      </c>
      <c r="L2102">
        <f t="shared" si="838"/>
        <v>1</v>
      </c>
      <c r="M2102" t="str">
        <f t="shared" si="839"/>
        <v>Suele comer</v>
      </c>
      <c r="N2102">
        <v>3</v>
      </c>
      <c r="O2102">
        <f t="shared" si="840"/>
        <v>2</v>
      </c>
      <c r="P2102" t="str">
        <f t="shared" si="841"/>
        <v>Mas de 3</v>
      </c>
      <c r="Q2102">
        <v>1</v>
      </c>
      <c r="R2102" t="str">
        <f t="shared" si="842"/>
        <v>A veces</v>
      </c>
      <c r="S2102">
        <v>0</v>
      </c>
      <c r="T2102" t="str">
        <f t="shared" si="843"/>
        <v>No fuma</v>
      </c>
      <c r="U2102">
        <v>2506631</v>
      </c>
      <c r="V2102">
        <f t="shared" si="844"/>
        <v>2</v>
      </c>
      <c r="W2102" t="str">
        <f t="shared" si="845"/>
        <v>Siempre</v>
      </c>
      <c r="X2102">
        <v>0</v>
      </c>
      <c r="Y2102" t="str">
        <f t="shared" si="846"/>
        <v>No controla</v>
      </c>
      <c r="Z2102">
        <v>2.5787000000000001E-2</v>
      </c>
      <c r="AA2102">
        <f t="shared" si="847"/>
        <v>0</v>
      </c>
      <c r="AB2102" t="str">
        <f t="shared" si="848"/>
        <v>Nunca</v>
      </c>
      <c r="AC2102">
        <v>0.48416500000000001</v>
      </c>
      <c r="AD2102">
        <f t="shared" si="849"/>
        <v>0</v>
      </c>
      <c r="AE2102" t="str">
        <f t="shared" si="850"/>
        <v>Nunca</v>
      </c>
      <c r="AF2102">
        <v>1</v>
      </c>
      <c r="AG2102" t="str">
        <f t="shared" si="851"/>
        <v>A veces</v>
      </c>
      <c r="AH2102">
        <v>0</v>
      </c>
      <c r="AI2102" t="str">
        <f t="shared" si="852"/>
        <v>No usa</v>
      </c>
      <c r="AJ2102">
        <v>0</v>
      </c>
      <c r="AK2102" t="str">
        <f t="shared" si="853"/>
        <v>No usa</v>
      </c>
      <c r="AL2102">
        <v>0</v>
      </c>
      <c r="AM2102" t="str">
        <f t="shared" si="854"/>
        <v>No usa</v>
      </c>
      <c r="AN2102">
        <v>1</v>
      </c>
      <c r="AO2102" t="str">
        <f t="shared" si="855"/>
        <v>Usa Transporte</v>
      </c>
      <c r="AP2102">
        <v>0</v>
      </c>
      <c r="AQ2102" t="str">
        <f t="shared" si="856"/>
        <v>No camina</v>
      </c>
      <c r="AR2102">
        <v>1</v>
      </c>
      <c r="AS2102" t="str">
        <f t="shared" si="857"/>
        <v>Es Obeso</v>
      </c>
    </row>
    <row r="2103" spans="1:45" x14ac:dyDescent="0.25">
      <c r="A2103">
        <v>0</v>
      </c>
      <c r="B2103" t="str">
        <f t="shared" si="832"/>
        <v>F</v>
      </c>
      <c r="C2103">
        <v>25722004</v>
      </c>
      <c r="D2103">
        <f t="shared" si="833"/>
        <v>70</v>
      </c>
      <c r="E2103">
        <f t="shared" si="834"/>
        <v>70</v>
      </c>
      <c r="F2103" t="str">
        <f t="shared" si="835"/>
        <v>50-75</v>
      </c>
      <c r="G2103">
        <v>1</v>
      </c>
      <c r="H2103" t="str">
        <f t="shared" si="836"/>
        <v>Pariente gordo</v>
      </c>
      <c r="I2103">
        <v>1</v>
      </c>
      <c r="J2103" t="str">
        <f t="shared" si="837"/>
        <v>Hipercaloricos</v>
      </c>
      <c r="K2103">
        <v>3</v>
      </c>
      <c r="L2103">
        <f t="shared" si="838"/>
        <v>1</v>
      </c>
      <c r="M2103" t="str">
        <f t="shared" si="839"/>
        <v>Suele comer</v>
      </c>
      <c r="N2103">
        <v>3</v>
      </c>
      <c r="O2103">
        <f t="shared" si="840"/>
        <v>2</v>
      </c>
      <c r="P2103" t="str">
        <f t="shared" si="841"/>
        <v>Mas de 3</v>
      </c>
      <c r="Q2103">
        <v>1</v>
      </c>
      <c r="R2103" t="str">
        <f t="shared" si="842"/>
        <v>A veces</v>
      </c>
      <c r="S2103">
        <v>0</v>
      </c>
      <c r="T2103" t="str">
        <f t="shared" si="843"/>
        <v>No fuma</v>
      </c>
      <c r="U2103">
        <v>248707</v>
      </c>
      <c r="V2103">
        <f t="shared" si="844"/>
        <v>2</v>
      </c>
      <c r="W2103" t="str">
        <f t="shared" si="845"/>
        <v>Siempre</v>
      </c>
      <c r="X2103">
        <v>0</v>
      </c>
      <c r="Y2103" t="str">
        <f t="shared" si="846"/>
        <v>No controla</v>
      </c>
      <c r="Z2103">
        <v>6.7329E-2</v>
      </c>
      <c r="AA2103">
        <f t="shared" si="847"/>
        <v>0</v>
      </c>
      <c r="AB2103" t="str">
        <f t="shared" si="848"/>
        <v>Nunca</v>
      </c>
      <c r="AC2103">
        <v>0.45582299999999998</v>
      </c>
      <c r="AD2103">
        <f t="shared" si="849"/>
        <v>0</v>
      </c>
      <c r="AE2103" t="str">
        <f t="shared" si="850"/>
        <v>Nunca</v>
      </c>
      <c r="AF2103">
        <v>1</v>
      </c>
      <c r="AG2103" t="str">
        <f t="shared" si="851"/>
        <v>A veces</v>
      </c>
      <c r="AH2103">
        <v>0</v>
      </c>
      <c r="AI2103" t="str">
        <f t="shared" si="852"/>
        <v>No usa</v>
      </c>
      <c r="AJ2103">
        <v>0</v>
      </c>
      <c r="AK2103" t="str">
        <f t="shared" si="853"/>
        <v>No usa</v>
      </c>
      <c r="AL2103">
        <v>0</v>
      </c>
      <c r="AM2103" t="str">
        <f t="shared" si="854"/>
        <v>No usa</v>
      </c>
      <c r="AN2103">
        <v>1</v>
      </c>
      <c r="AO2103" t="str">
        <f t="shared" si="855"/>
        <v>Usa Transporte</v>
      </c>
      <c r="AP2103">
        <v>0</v>
      </c>
      <c r="AQ2103" t="str">
        <f t="shared" si="856"/>
        <v>No camina</v>
      </c>
      <c r="AR2103">
        <v>1</v>
      </c>
      <c r="AS2103" t="str">
        <f t="shared" si="857"/>
        <v>Es Obeso</v>
      </c>
    </row>
    <row r="2104" spans="1:45" x14ac:dyDescent="0.25">
      <c r="A2104">
        <v>0</v>
      </c>
      <c r="B2104" t="str">
        <f t="shared" si="832"/>
        <v>F</v>
      </c>
      <c r="C2104">
        <v>25765628</v>
      </c>
      <c r="D2104">
        <f t="shared" si="833"/>
        <v>70</v>
      </c>
      <c r="E2104">
        <f t="shared" si="834"/>
        <v>70</v>
      </c>
      <c r="F2104" t="str">
        <f t="shared" si="835"/>
        <v>50-75</v>
      </c>
      <c r="G2104">
        <v>1</v>
      </c>
      <c r="H2104" t="str">
        <f t="shared" si="836"/>
        <v>Pariente gordo</v>
      </c>
      <c r="I2104">
        <v>1</v>
      </c>
      <c r="J2104" t="str">
        <f t="shared" si="837"/>
        <v>Hipercaloricos</v>
      </c>
      <c r="K2104">
        <v>3</v>
      </c>
      <c r="L2104">
        <f t="shared" si="838"/>
        <v>1</v>
      </c>
      <c r="M2104" t="str">
        <f t="shared" si="839"/>
        <v>Suele comer</v>
      </c>
      <c r="N2104">
        <v>3</v>
      </c>
      <c r="O2104">
        <f t="shared" si="840"/>
        <v>2</v>
      </c>
      <c r="P2104" t="str">
        <f t="shared" si="841"/>
        <v>Mas de 3</v>
      </c>
      <c r="Q2104">
        <v>1</v>
      </c>
      <c r="R2104" t="str">
        <f t="shared" si="842"/>
        <v>A veces</v>
      </c>
      <c r="S2104">
        <v>0</v>
      </c>
      <c r="T2104" t="str">
        <f t="shared" si="843"/>
        <v>No fuma</v>
      </c>
      <c r="U2104">
        <v>2320068</v>
      </c>
      <c r="V2104">
        <f t="shared" si="844"/>
        <v>2</v>
      </c>
      <c r="W2104" t="str">
        <f t="shared" si="845"/>
        <v>Siempre</v>
      </c>
      <c r="X2104">
        <v>0</v>
      </c>
      <c r="Y2104" t="str">
        <f t="shared" si="846"/>
        <v>No controla</v>
      </c>
      <c r="Z2104">
        <v>4.5246000000000001E-2</v>
      </c>
      <c r="AA2104">
        <f t="shared" si="847"/>
        <v>0</v>
      </c>
      <c r="AB2104" t="str">
        <f t="shared" si="848"/>
        <v>Nunca</v>
      </c>
      <c r="AC2104">
        <v>0.41310599999999997</v>
      </c>
      <c r="AD2104">
        <f t="shared" si="849"/>
        <v>0</v>
      </c>
      <c r="AE2104" t="str">
        <f t="shared" si="850"/>
        <v>Nunca</v>
      </c>
      <c r="AF2104">
        <v>1</v>
      </c>
      <c r="AG2104" t="str">
        <f t="shared" si="851"/>
        <v>A veces</v>
      </c>
      <c r="AH2104">
        <v>0</v>
      </c>
      <c r="AI2104" t="str">
        <f t="shared" si="852"/>
        <v>No usa</v>
      </c>
      <c r="AJ2104">
        <v>0</v>
      </c>
      <c r="AK2104" t="str">
        <f t="shared" si="853"/>
        <v>No usa</v>
      </c>
      <c r="AL2104">
        <v>0</v>
      </c>
      <c r="AM2104" t="str">
        <f t="shared" si="854"/>
        <v>No usa</v>
      </c>
      <c r="AN2104">
        <v>1</v>
      </c>
      <c r="AO2104" t="str">
        <f t="shared" si="855"/>
        <v>Usa Transporte</v>
      </c>
      <c r="AP2104">
        <v>0</v>
      </c>
      <c r="AQ2104" t="str">
        <f t="shared" si="856"/>
        <v>No camina</v>
      </c>
      <c r="AR2104">
        <v>1</v>
      </c>
      <c r="AS2104" t="str">
        <f t="shared" si="857"/>
        <v>Es Obeso</v>
      </c>
    </row>
    <row r="2105" spans="1:45" x14ac:dyDescent="0.25">
      <c r="A2105">
        <v>0</v>
      </c>
      <c r="B2105" t="str">
        <f t="shared" si="832"/>
        <v>F</v>
      </c>
      <c r="C2105">
        <v>21016849</v>
      </c>
      <c r="D2105">
        <f t="shared" si="833"/>
        <v>57</v>
      </c>
      <c r="E2105">
        <f t="shared" si="834"/>
        <v>57</v>
      </c>
      <c r="F2105" t="str">
        <f t="shared" si="835"/>
        <v>50-75</v>
      </c>
      <c r="G2105">
        <v>1</v>
      </c>
      <c r="H2105" t="str">
        <f t="shared" si="836"/>
        <v>Pariente gordo</v>
      </c>
      <c r="I2105">
        <v>1</v>
      </c>
      <c r="J2105" t="str">
        <f t="shared" si="837"/>
        <v>Hipercaloricos</v>
      </c>
      <c r="K2105">
        <v>3</v>
      </c>
      <c r="L2105">
        <f t="shared" si="838"/>
        <v>1</v>
      </c>
      <c r="M2105" t="str">
        <f t="shared" si="839"/>
        <v>Suele comer</v>
      </c>
      <c r="N2105">
        <v>3</v>
      </c>
      <c r="O2105">
        <f t="shared" si="840"/>
        <v>2</v>
      </c>
      <c r="P2105" t="str">
        <f t="shared" si="841"/>
        <v>Mas de 3</v>
      </c>
      <c r="Q2105">
        <v>1</v>
      </c>
      <c r="R2105" t="str">
        <f t="shared" si="842"/>
        <v>A veces</v>
      </c>
      <c r="S2105">
        <v>0</v>
      </c>
      <c r="T2105" t="str">
        <f t="shared" si="843"/>
        <v>No fuma</v>
      </c>
      <c r="U2105">
        <v>1650612</v>
      </c>
      <c r="V2105">
        <f t="shared" si="844"/>
        <v>2</v>
      </c>
      <c r="W2105" t="str">
        <f t="shared" si="845"/>
        <v>Siempre</v>
      </c>
      <c r="X2105">
        <v>0</v>
      </c>
      <c r="Y2105" t="str">
        <f t="shared" si="846"/>
        <v>No controla</v>
      </c>
      <c r="Z2105">
        <v>1537639</v>
      </c>
      <c r="AA2105">
        <f t="shared" si="847"/>
        <v>3</v>
      </c>
      <c r="AB2105" t="str">
        <f t="shared" si="848"/>
        <v>Siempre</v>
      </c>
      <c r="AC2105">
        <v>0.91245699999999996</v>
      </c>
      <c r="AD2105">
        <f t="shared" si="849"/>
        <v>0</v>
      </c>
      <c r="AE2105" t="str">
        <f t="shared" si="850"/>
        <v>Nunca</v>
      </c>
      <c r="AF2105">
        <v>1</v>
      </c>
      <c r="AG2105" t="str">
        <f t="shared" si="851"/>
        <v>A veces</v>
      </c>
      <c r="AH2105">
        <v>0</v>
      </c>
      <c r="AI2105" t="str">
        <f t="shared" si="852"/>
        <v>No usa</v>
      </c>
      <c r="AJ2105">
        <v>0</v>
      </c>
      <c r="AK2105" t="str">
        <f t="shared" si="853"/>
        <v>No usa</v>
      </c>
      <c r="AL2105">
        <v>0</v>
      </c>
      <c r="AM2105" t="str">
        <f t="shared" si="854"/>
        <v>No usa</v>
      </c>
      <c r="AN2105">
        <v>1</v>
      </c>
      <c r="AO2105" t="str">
        <f t="shared" si="855"/>
        <v>Usa Transporte</v>
      </c>
      <c r="AP2105">
        <v>0</v>
      </c>
      <c r="AQ2105" t="str">
        <f t="shared" si="856"/>
        <v>No camina</v>
      </c>
      <c r="AR2105">
        <v>1</v>
      </c>
      <c r="AS2105" t="str">
        <f t="shared" si="857"/>
        <v>Es Obeso</v>
      </c>
    </row>
    <row r="2106" spans="1:45" x14ac:dyDescent="0.25">
      <c r="A2106">
        <v>0</v>
      </c>
      <c r="B2106" t="str">
        <f t="shared" si="832"/>
        <v>F</v>
      </c>
      <c r="C2106">
        <v>21682367</v>
      </c>
      <c r="D2106">
        <f t="shared" si="833"/>
        <v>59</v>
      </c>
      <c r="E2106">
        <f t="shared" si="834"/>
        <v>59</v>
      </c>
      <c r="F2106" t="str">
        <f t="shared" si="835"/>
        <v>50-75</v>
      </c>
      <c r="G2106">
        <v>1</v>
      </c>
      <c r="H2106" t="str">
        <f t="shared" si="836"/>
        <v>Pariente gordo</v>
      </c>
      <c r="I2106">
        <v>1</v>
      </c>
      <c r="J2106" t="str">
        <f t="shared" si="837"/>
        <v>Hipercaloricos</v>
      </c>
      <c r="K2106">
        <v>3</v>
      </c>
      <c r="L2106">
        <f t="shared" si="838"/>
        <v>1</v>
      </c>
      <c r="M2106" t="str">
        <f t="shared" si="839"/>
        <v>Suele comer</v>
      </c>
      <c r="N2106">
        <v>3</v>
      </c>
      <c r="O2106">
        <f t="shared" si="840"/>
        <v>2</v>
      </c>
      <c r="P2106" t="str">
        <f t="shared" si="841"/>
        <v>Mas de 3</v>
      </c>
      <c r="Q2106">
        <v>1</v>
      </c>
      <c r="R2106" t="str">
        <f t="shared" si="842"/>
        <v>A veces</v>
      </c>
      <c r="S2106">
        <v>0</v>
      </c>
      <c r="T2106" t="str">
        <f t="shared" si="843"/>
        <v>No fuma</v>
      </c>
      <c r="U2106">
        <v>1610768</v>
      </c>
      <c r="V2106">
        <f t="shared" si="844"/>
        <v>2</v>
      </c>
      <c r="W2106" t="str">
        <f t="shared" si="845"/>
        <v>Siempre</v>
      </c>
      <c r="X2106">
        <v>0</v>
      </c>
      <c r="Y2106" t="str">
        <f t="shared" si="846"/>
        <v>No controla</v>
      </c>
      <c r="Z2106">
        <v>1510398</v>
      </c>
      <c r="AA2106">
        <f t="shared" si="847"/>
        <v>3</v>
      </c>
      <c r="AB2106" t="str">
        <f t="shared" si="848"/>
        <v>Siempre</v>
      </c>
      <c r="AC2106">
        <v>0.93145500000000003</v>
      </c>
      <c r="AD2106">
        <f t="shared" si="849"/>
        <v>0</v>
      </c>
      <c r="AE2106" t="str">
        <f t="shared" si="850"/>
        <v>Nunca</v>
      </c>
      <c r="AF2106">
        <v>1</v>
      </c>
      <c r="AG2106" t="str">
        <f t="shared" si="851"/>
        <v>A veces</v>
      </c>
      <c r="AH2106">
        <v>0</v>
      </c>
      <c r="AI2106" t="str">
        <f t="shared" si="852"/>
        <v>No usa</v>
      </c>
      <c r="AJ2106">
        <v>0</v>
      </c>
      <c r="AK2106" t="str">
        <f t="shared" si="853"/>
        <v>No usa</v>
      </c>
      <c r="AL2106">
        <v>0</v>
      </c>
      <c r="AM2106" t="str">
        <f t="shared" si="854"/>
        <v>No usa</v>
      </c>
      <c r="AN2106">
        <v>1</v>
      </c>
      <c r="AO2106" t="str">
        <f t="shared" si="855"/>
        <v>Usa Transporte</v>
      </c>
      <c r="AP2106">
        <v>0</v>
      </c>
      <c r="AQ2106" t="str">
        <f t="shared" si="856"/>
        <v>No camina</v>
      </c>
      <c r="AR2106">
        <v>1</v>
      </c>
      <c r="AS2106" t="str">
        <f t="shared" si="857"/>
        <v>Es Obeso</v>
      </c>
    </row>
    <row r="2107" spans="1:45" x14ac:dyDescent="0.25">
      <c r="A2107">
        <v>0</v>
      </c>
      <c r="B2107" t="str">
        <f t="shared" si="832"/>
        <v>F</v>
      </c>
      <c r="C2107">
        <v>21285965</v>
      </c>
      <c r="D2107">
        <f t="shared" si="833"/>
        <v>58</v>
      </c>
      <c r="E2107">
        <f t="shared" si="834"/>
        <v>58</v>
      </c>
      <c r="F2107" t="str">
        <f t="shared" si="835"/>
        <v>50-75</v>
      </c>
      <c r="G2107">
        <v>1</v>
      </c>
      <c r="H2107" t="str">
        <f t="shared" si="836"/>
        <v>Pariente gordo</v>
      </c>
      <c r="I2107">
        <v>1</v>
      </c>
      <c r="J2107" t="str">
        <f t="shared" si="837"/>
        <v>Hipercaloricos</v>
      </c>
      <c r="K2107">
        <v>3</v>
      </c>
      <c r="L2107">
        <f t="shared" si="838"/>
        <v>1</v>
      </c>
      <c r="M2107" t="str">
        <f t="shared" si="839"/>
        <v>Suele comer</v>
      </c>
      <c r="N2107">
        <v>3</v>
      </c>
      <c r="O2107">
        <f t="shared" si="840"/>
        <v>2</v>
      </c>
      <c r="P2107" t="str">
        <f t="shared" si="841"/>
        <v>Mas de 3</v>
      </c>
      <c r="Q2107">
        <v>1</v>
      </c>
      <c r="R2107" t="str">
        <f t="shared" si="842"/>
        <v>A veces</v>
      </c>
      <c r="S2107">
        <v>0</v>
      </c>
      <c r="T2107" t="str">
        <f t="shared" si="843"/>
        <v>No fuma</v>
      </c>
      <c r="U2107">
        <v>1796267</v>
      </c>
      <c r="V2107">
        <f t="shared" si="844"/>
        <v>2</v>
      </c>
      <c r="W2107" t="str">
        <f t="shared" si="845"/>
        <v>Siempre</v>
      </c>
      <c r="X2107">
        <v>0</v>
      </c>
      <c r="Y2107" t="str">
        <f t="shared" si="846"/>
        <v>No controla</v>
      </c>
      <c r="Z2107">
        <v>1728332</v>
      </c>
      <c r="AA2107">
        <f t="shared" si="847"/>
        <v>3</v>
      </c>
      <c r="AB2107" t="str">
        <f t="shared" si="848"/>
        <v>Siempre</v>
      </c>
      <c r="AC2107">
        <v>0.89792400000000006</v>
      </c>
      <c r="AD2107">
        <f t="shared" si="849"/>
        <v>0</v>
      </c>
      <c r="AE2107" t="str">
        <f t="shared" si="850"/>
        <v>Nunca</v>
      </c>
      <c r="AF2107">
        <v>1</v>
      </c>
      <c r="AG2107" t="str">
        <f t="shared" si="851"/>
        <v>A veces</v>
      </c>
      <c r="AH2107">
        <v>0</v>
      </c>
      <c r="AI2107" t="str">
        <f t="shared" si="852"/>
        <v>No usa</v>
      </c>
      <c r="AJ2107">
        <v>0</v>
      </c>
      <c r="AK2107" t="str">
        <f t="shared" si="853"/>
        <v>No usa</v>
      </c>
      <c r="AL2107">
        <v>0</v>
      </c>
      <c r="AM2107" t="str">
        <f t="shared" si="854"/>
        <v>No usa</v>
      </c>
      <c r="AN2107">
        <v>1</v>
      </c>
      <c r="AO2107" t="str">
        <f t="shared" si="855"/>
        <v>Usa Transporte</v>
      </c>
      <c r="AP2107">
        <v>0</v>
      </c>
      <c r="AQ2107" t="str">
        <f t="shared" si="856"/>
        <v>No camina</v>
      </c>
      <c r="AR2107">
        <v>1</v>
      </c>
      <c r="AS2107" t="str">
        <f t="shared" si="857"/>
        <v>Es Obeso</v>
      </c>
    </row>
    <row r="2108" spans="1:45" x14ac:dyDescent="0.25">
      <c r="A2108">
        <v>0</v>
      </c>
      <c r="B2108" t="str">
        <f t="shared" si="832"/>
        <v>F</v>
      </c>
      <c r="C2108">
        <v>20976842</v>
      </c>
      <c r="D2108">
        <f t="shared" si="833"/>
        <v>57</v>
      </c>
      <c r="E2108">
        <f t="shared" si="834"/>
        <v>57</v>
      </c>
      <c r="F2108" t="str">
        <f t="shared" si="835"/>
        <v>50-75</v>
      </c>
      <c r="G2108">
        <v>1</v>
      </c>
      <c r="H2108" t="str">
        <f t="shared" si="836"/>
        <v>Pariente gordo</v>
      </c>
      <c r="I2108">
        <v>1</v>
      </c>
      <c r="J2108" t="str">
        <f t="shared" si="837"/>
        <v>Hipercaloricos</v>
      </c>
      <c r="K2108">
        <v>3</v>
      </c>
      <c r="L2108">
        <f t="shared" si="838"/>
        <v>1</v>
      </c>
      <c r="M2108" t="str">
        <f t="shared" si="839"/>
        <v>Suele comer</v>
      </c>
      <c r="N2108">
        <v>3</v>
      </c>
      <c r="O2108">
        <f t="shared" si="840"/>
        <v>2</v>
      </c>
      <c r="P2108" t="str">
        <f t="shared" si="841"/>
        <v>Mas de 3</v>
      </c>
      <c r="Q2108">
        <v>1</v>
      </c>
      <c r="R2108" t="str">
        <f t="shared" si="842"/>
        <v>A veces</v>
      </c>
      <c r="S2108">
        <v>0</v>
      </c>
      <c r="T2108" t="str">
        <f t="shared" si="843"/>
        <v>No fuma</v>
      </c>
      <c r="U2108">
        <v>1728139</v>
      </c>
      <c r="V2108">
        <f t="shared" si="844"/>
        <v>2</v>
      </c>
      <c r="W2108" t="str">
        <f t="shared" si="845"/>
        <v>Siempre</v>
      </c>
      <c r="X2108">
        <v>0</v>
      </c>
      <c r="Y2108" t="str">
        <f t="shared" si="846"/>
        <v>No controla</v>
      </c>
      <c r="Z2108">
        <v>1676269</v>
      </c>
      <c r="AA2108">
        <f t="shared" si="847"/>
        <v>3</v>
      </c>
      <c r="AB2108" t="str">
        <f t="shared" si="848"/>
        <v>Siempre</v>
      </c>
      <c r="AC2108">
        <v>0.90624700000000002</v>
      </c>
      <c r="AD2108">
        <f t="shared" si="849"/>
        <v>0</v>
      </c>
      <c r="AE2108" t="str">
        <f t="shared" si="850"/>
        <v>Nunca</v>
      </c>
      <c r="AF2108">
        <v>1</v>
      </c>
      <c r="AG2108" t="str">
        <f t="shared" si="851"/>
        <v>A veces</v>
      </c>
      <c r="AH2108">
        <v>0</v>
      </c>
      <c r="AI2108" t="str">
        <f t="shared" si="852"/>
        <v>No usa</v>
      </c>
      <c r="AJ2108">
        <v>0</v>
      </c>
      <c r="AK2108" t="str">
        <f t="shared" si="853"/>
        <v>No usa</v>
      </c>
      <c r="AL2108">
        <v>0</v>
      </c>
      <c r="AM2108" t="str">
        <f t="shared" si="854"/>
        <v>No usa</v>
      </c>
      <c r="AN2108">
        <v>1</v>
      </c>
      <c r="AO2108" t="str">
        <f t="shared" si="855"/>
        <v>Usa Transporte</v>
      </c>
      <c r="AP2108">
        <v>0</v>
      </c>
      <c r="AQ2108" t="str">
        <f t="shared" si="856"/>
        <v>No camina</v>
      </c>
      <c r="AR2108">
        <v>1</v>
      </c>
      <c r="AS2108" t="str">
        <f t="shared" si="857"/>
        <v>Es Obeso</v>
      </c>
    </row>
    <row r="2109" spans="1:45" x14ac:dyDescent="0.25">
      <c r="A2109">
        <v>0</v>
      </c>
      <c r="B2109" t="str">
        <f t="shared" si="832"/>
        <v>F</v>
      </c>
      <c r="C2109">
        <v>21982942</v>
      </c>
      <c r="D2109">
        <f t="shared" si="833"/>
        <v>60</v>
      </c>
      <c r="E2109">
        <f t="shared" si="834"/>
        <v>60</v>
      </c>
      <c r="F2109" t="str">
        <f t="shared" si="835"/>
        <v>50-75</v>
      </c>
      <c r="G2109">
        <v>1</v>
      </c>
      <c r="H2109" t="str">
        <f t="shared" si="836"/>
        <v>Pariente gordo</v>
      </c>
      <c r="I2109">
        <v>1</v>
      </c>
      <c r="J2109" t="str">
        <f t="shared" si="837"/>
        <v>Hipercaloricos</v>
      </c>
      <c r="K2109">
        <v>3</v>
      </c>
      <c r="L2109">
        <f t="shared" si="838"/>
        <v>1</v>
      </c>
      <c r="M2109" t="str">
        <f t="shared" si="839"/>
        <v>Suele comer</v>
      </c>
      <c r="N2109">
        <v>3</v>
      </c>
      <c r="O2109">
        <f t="shared" si="840"/>
        <v>2</v>
      </c>
      <c r="P2109" t="str">
        <f t="shared" si="841"/>
        <v>Mas de 3</v>
      </c>
      <c r="Q2109">
        <v>1</v>
      </c>
      <c r="R2109" t="str">
        <f t="shared" si="842"/>
        <v>A veces</v>
      </c>
      <c r="S2109">
        <v>0</v>
      </c>
      <c r="T2109" t="str">
        <f t="shared" si="843"/>
        <v>No fuma</v>
      </c>
      <c r="U2109">
        <v>200513</v>
      </c>
      <c r="V2109">
        <f t="shared" si="844"/>
        <v>2</v>
      </c>
      <c r="W2109" t="str">
        <f t="shared" si="845"/>
        <v>Siempre</v>
      </c>
      <c r="X2109">
        <v>0</v>
      </c>
      <c r="Y2109" t="str">
        <f t="shared" si="846"/>
        <v>No controla</v>
      </c>
      <c r="Z2109">
        <v>134139</v>
      </c>
      <c r="AA2109">
        <f t="shared" si="847"/>
        <v>2</v>
      </c>
      <c r="AB2109" t="str">
        <f t="shared" si="848"/>
        <v>Usualmente</v>
      </c>
      <c r="AC2109">
        <v>0.59926999999999997</v>
      </c>
      <c r="AD2109">
        <f t="shared" si="849"/>
        <v>0</v>
      </c>
      <c r="AE2109" t="str">
        <f t="shared" si="850"/>
        <v>Nunca</v>
      </c>
      <c r="AF2109">
        <v>1</v>
      </c>
      <c r="AG2109" t="str">
        <f t="shared" si="851"/>
        <v>A veces</v>
      </c>
      <c r="AH2109">
        <v>0</v>
      </c>
      <c r="AI2109" t="str">
        <f t="shared" si="852"/>
        <v>No usa</v>
      </c>
      <c r="AJ2109">
        <v>0</v>
      </c>
      <c r="AK2109" t="str">
        <f t="shared" si="853"/>
        <v>No usa</v>
      </c>
      <c r="AL2109">
        <v>0</v>
      </c>
      <c r="AM2109" t="str">
        <f t="shared" si="854"/>
        <v>No usa</v>
      </c>
      <c r="AN2109">
        <v>1</v>
      </c>
      <c r="AO2109" t="str">
        <f t="shared" si="855"/>
        <v>Usa Transporte</v>
      </c>
      <c r="AP2109">
        <v>0</v>
      </c>
      <c r="AQ2109" t="str">
        <f t="shared" si="856"/>
        <v>No camina</v>
      </c>
      <c r="AR2109">
        <v>1</v>
      </c>
      <c r="AS2109" t="str">
        <f t="shared" si="857"/>
        <v>Es Obeso</v>
      </c>
    </row>
    <row r="2110" spans="1:45" x14ac:dyDescent="0.25">
      <c r="A2110">
        <v>0</v>
      </c>
      <c r="B2110" t="str">
        <f t="shared" si="832"/>
        <v>F</v>
      </c>
      <c r="C2110">
        <v>22524036</v>
      </c>
      <c r="D2110">
        <f t="shared" si="833"/>
        <v>61</v>
      </c>
      <c r="E2110">
        <f t="shared" si="834"/>
        <v>61</v>
      </c>
      <c r="F2110" t="str">
        <f t="shared" si="835"/>
        <v>50-75</v>
      </c>
      <c r="G2110">
        <v>1</v>
      </c>
      <c r="H2110" t="str">
        <f t="shared" si="836"/>
        <v>Pariente gordo</v>
      </c>
      <c r="I2110">
        <v>1</v>
      </c>
      <c r="J2110" t="str">
        <f t="shared" si="837"/>
        <v>Hipercaloricos</v>
      </c>
      <c r="K2110">
        <v>3</v>
      </c>
      <c r="L2110">
        <f t="shared" si="838"/>
        <v>1</v>
      </c>
      <c r="M2110" t="str">
        <f t="shared" si="839"/>
        <v>Suele comer</v>
      </c>
      <c r="N2110">
        <v>3</v>
      </c>
      <c r="O2110">
        <f t="shared" si="840"/>
        <v>2</v>
      </c>
      <c r="P2110" t="str">
        <f t="shared" si="841"/>
        <v>Mas de 3</v>
      </c>
      <c r="Q2110">
        <v>1</v>
      </c>
      <c r="R2110" t="str">
        <f t="shared" si="842"/>
        <v>A veces</v>
      </c>
      <c r="S2110">
        <v>0</v>
      </c>
      <c r="T2110" t="str">
        <f t="shared" si="843"/>
        <v>No fuma</v>
      </c>
      <c r="U2110">
        <v>2054193</v>
      </c>
      <c r="V2110">
        <f t="shared" si="844"/>
        <v>2</v>
      </c>
      <c r="W2110" t="str">
        <f t="shared" si="845"/>
        <v>Siempre</v>
      </c>
      <c r="X2110">
        <v>0</v>
      </c>
      <c r="Y2110" t="str">
        <f t="shared" si="846"/>
        <v>No controla</v>
      </c>
      <c r="Z2110">
        <v>1414209</v>
      </c>
      <c r="AA2110">
        <f t="shared" si="847"/>
        <v>3</v>
      </c>
      <c r="AB2110" t="str">
        <f t="shared" si="848"/>
        <v>Siempre</v>
      </c>
      <c r="AC2110">
        <v>0.64628799999999997</v>
      </c>
      <c r="AD2110">
        <f t="shared" si="849"/>
        <v>0</v>
      </c>
      <c r="AE2110" t="str">
        <f t="shared" si="850"/>
        <v>Nunca</v>
      </c>
      <c r="AF2110">
        <v>1</v>
      </c>
      <c r="AG2110" t="str">
        <f t="shared" si="851"/>
        <v>A veces</v>
      </c>
      <c r="AH2110">
        <v>0</v>
      </c>
      <c r="AI2110" t="str">
        <f t="shared" si="852"/>
        <v>No usa</v>
      </c>
      <c r="AJ2110">
        <v>0</v>
      </c>
      <c r="AK2110" t="str">
        <f t="shared" si="853"/>
        <v>No usa</v>
      </c>
      <c r="AL2110">
        <v>0</v>
      </c>
      <c r="AM2110" t="str">
        <f t="shared" si="854"/>
        <v>No usa</v>
      </c>
      <c r="AN2110">
        <v>1</v>
      </c>
      <c r="AO2110" t="str">
        <f t="shared" si="855"/>
        <v>Usa Transporte</v>
      </c>
      <c r="AP2110">
        <v>0</v>
      </c>
      <c r="AQ2110" t="str">
        <f t="shared" si="856"/>
        <v>No camina</v>
      </c>
      <c r="AR2110">
        <v>1</v>
      </c>
      <c r="AS2110" t="str">
        <f t="shared" si="857"/>
        <v>Es Obeso</v>
      </c>
    </row>
    <row r="2111" spans="1:45" x14ac:dyDescent="0.25">
      <c r="A2111">
        <v>0</v>
      </c>
      <c r="B2111" t="str">
        <f t="shared" si="832"/>
        <v>F</v>
      </c>
      <c r="C2111">
        <v>24361936</v>
      </c>
      <c r="D2111">
        <f t="shared" si="833"/>
        <v>66</v>
      </c>
      <c r="E2111">
        <f t="shared" si="834"/>
        <v>66</v>
      </c>
      <c r="F2111" t="str">
        <f t="shared" si="835"/>
        <v>50-75</v>
      </c>
      <c r="G2111">
        <v>1</v>
      </c>
      <c r="H2111" t="str">
        <f t="shared" si="836"/>
        <v>Pariente gordo</v>
      </c>
      <c r="I2111">
        <v>1</v>
      </c>
      <c r="J2111" t="str">
        <f t="shared" si="837"/>
        <v>Hipercaloricos</v>
      </c>
      <c r="K2111">
        <v>3</v>
      </c>
      <c r="L2111">
        <f t="shared" si="838"/>
        <v>1</v>
      </c>
      <c r="M2111" t="str">
        <f t="shared" si="839"/>
        <v>Suele comer</v>
      </c>
      <c r="N2111">
        <v>3</v>
      </c>
      <c r="O2111">
        <f t="shared" si="840"/>
        <v>2</v>
      </c>
      <c r="P2111" t="str">
        <f t="shared" si="841"/>
        <v>Mas de 3</v>
      </c>
      <c r="Q2111">
        <v>1</v>
      </c>
      <c r="R2111" t="str">
        <f t="shared" si="842"/>
        <v>A veces</v>
      </c>
      <c r="S2111">
        <v>0</v>
      </c>
      <c r="T2111" t="str">
        <f t="shared" si="843"/>
        <v>No fuma</v>
      </c>
      <c r="U2111">
        <v>2852339</v>
      </c>
      <c r="V2111">
        <f t="shared" si="844"/>
        <v>2</v>
      </c>
      <c r="W2111" t="str">
        <f t="shared" si="845"/>
        <v>Siempre</v>
      </c>
      <c r="X2111">
        <v>0</v>
      </c>
      <c r="Y2111" t="str">
        <f t="shared" si="846"/>
        <v>No controla</v>
      </c>
      <c r="Z2111">
        <v>1139107</v>
      </c>
      <c r="AA2111">
        <f t="shared" si="847"/>
        <v>3</v>
      </c>
      <c r="AB2111" t="str">
        <f t="shared" si="848"/>
        <v>Siempre</v>
      </c>
      <c r="AC2111">
        <v>0.58603499999999997</v>
      </c>
      <c r="AD2111">
        <f t="shared" si="849"/>
        <v>0</v>
      </c>
      <c r="AE2111" t="str">
        <f t="shared" si="850"/>
        <v>Nunca</v>
      </c>
      <c r="AF2111">
        <v>1</v>
      </c>
      <c r="AG2111" t="str">
        <f t="shared" si="851"/>
        <v>A veces</v>
      </c>
      <c r="AH2111">
        <v>0</v>
      </c>
      <c r="AI2111" t="str">
        <f t="shared" si="852"/>
        <v>No usa</v>
      </c>
      <c r="AJ2111">
        <v>0</v>
      </c>
      <c r="AK2111" t="str">
        <f t="shared" si="853"/>
        <v>No usa</v>
      </c>
      <c r="AL2111">
        <v>0</v>
      </c>
      <c r="AM2111" t="str">
        <f t="shared" si="854"/>
        <v>No usa</v>
      </c>
      <c r="AN2111">
        <v>1</v>
      </c>
      <c r="AO2111" t="str">
        <f t="shared" si="855"/>
        <v>Usa Transporte</v>
      </c>
      <c r="AP2111">
        <v>0</v>
      </c>
      <c r="AQ2111" t="str">
        <f t="shared" si="856"/>
        <v>No camina</v>
      </c>
      <c r="AR2111">
        <v>1</v>
      </c>
      <c r="AS2111" t="str">
        <f t="shared" si="857"/>
        <v>Es Obeso</v>
      </c>
    </row>
    <row r="2112" spans="1:45" x14ac:dyDescent="0.25">
      <c r="A2112">
        <v>0</v>
      </c>
      <c r="B2112" t="str">
        <f t="shared" si="832"/>
        <v>F</v>
      </c>
      <c r="C2112">
        <v>23664709</v>
      </c>
      <c r="D2112">
        <f t="shared" si="833"/>
        <v>64</v>
      </c>
      <c r="E2112">
        <f t="shared" si="834"/>
        <v>64</v>
      </c>
      <c r="F2112" t="str">
        <f t="shared" si="835"/>
        <v>50-75</v>
      </c>
      <c r="G2112">
        <v>1</v>
      </c>
      <c r="H2112" t="str">
        <f t="shared" si="836"/>
        <v>Pariente gordo</v>
      </c>
      <c r="I2112">
        <v>1</v>
      </c>
      <c r="J2112" t="str">
        <f t="shared" si="837"/>
        <v>Hipercaloricos</v>
      </c>
      <c r="K2112">
        <v>3</v>
      </c>
      <c r="L2112">
        <f t="shared" si="838"/>
        <v>1</v>
      </c>
      <c r="M2112" t="str">
        <f t="shared" si="839"/>
        <v>Suele comer</v>
      </c>
      <c r="N2112">
        <v>3</v>
      </c>
      <c r="O2112">
        <f t="shared" si="840"/>
        <v>2</v>
      </c>
      <c r="P2112" t="str">
        <f t="shared" si="841"/>
        <v>Mas de 3</v>
      </c>
      <c r="Q2112">
        <v>1</v>
      </c>
      <c r="R2112" t="str">
        <f t="shared" si="842"/>
        <v>A veces</v>
      </c>
      <c r="S2112">
        <v>0</v>
      </c>
      <c r="T2112" t="str">
        <f t="shared" si="843"/>
        <v>No fuma</v>
      </c>
      <c r="U2112">
        <v>2863513</v>
      </c>
      <c r="V2112">
        <f t="shared" si="844"/>
        <v>2</v>
      </c>
      <c r="W2112" t="str">
        <f t="shared" si="845"/>
        <v>Siempre</v>
      </c>
      <c r="X2112">
        <v>0</v>
      </c>
      <c r="Y2112" t="str">
        <f t="shared" si="846"/>
        <v>No controla</v>
      </c>
      <c r="Z2112">
        <v>1026452</v>
      </c>
      <c r="AA2112">
        <f t="shared" si="847"/>
        <v>3</v>
      </c>
      <c r="AB2112" t="str">
        <f t="shared" si="848"/>
        <v>Siempre</v>
      </c>
      <c r="AC2112">
        <v>0.71413700000000002</v>
      </c>
      <c r="AD2112">
        <f t="shared" si="849"/>
        <v>0</v>
      </c>
      <c r="AE2112" t="str">
        <f t="shared" si="850"/>
        <v>Nunca</v>
      </c>
      <c r="AF2112">
        <v>1</v>
      </c>
      <c r="AG2112" t="str">
        <f t="shared" si="851"/>
        <v>A veces</v>
      </c>
      <c r="AH2112">
        <v>0</v>
      </c>
      <c r="AI2112" t="str">
        <f t="shared" si="852"/>
        <v>No usa</v>
      </c>
      <c r="AJ2112">
        <v>0</v>
      </c>
      <c r="AK2112" t="str">
        <f t="shared" si="853"/>
        <v>No usa</v>
      </c>
      <c r="AL2112">
        <v>0</v>
      </c>
      <c r="AM2112" t="str">
        <f t="shared" si="854"/>
        <v>No usa</v>
      </c>
      <c r="AN2112">
        <v>1</v>
      </c>
      <c r="AO2112" t="str">
        <f t="shared" si="855"/>
        <v>Usa Transporte</v>
      </c>
      <c r="AP2112">
        <v>0</v>
      </c>
      <c r="AQ2112" t="str">
        <f t="shared" si="856"/>
        <v>No camina</v>
      </c>
      <c r="AR2112">
        <v>1</v>
      </c>
      <c r="AS2112" t="str">
        <f t="shared" si="857"/>
        <v>Es Obeso</v>
      </c>
    </row>
    <row r="2115" spans="7:7" x14ac:dyDescent="0.25">
      <c r="G2115">
        <f>ROUNDDOWN(57.5,0)</f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1"/>
  <sheetViews>
    <sheetView topLeftCell="A7" workbookViewId="0">
      <selection activeCell="J21" sqref="J21"/>
    </sheetView>
  </sheetViews>
  <sheetFormatPr baseColWidth="10" defaultRowHeight="15" x14ac:dyDescent="0.25"/>
  <cols>
    <col min="1" max="1" width="17.5703125" customWidth="1"/>
    <col min="2" max="2" width="18.140625" customWidth="1"/>
    <col min="4" max="4" width="17.5703125" customWidth="1"/>
    <col min="5" max="5" width="17.85546875" customWidth="1"/>
    <col min="7" max="7" width="17.5703125" customWidth="1"/>
    <col min="8" max="8" width="27.42578125" customWidth="1"/>
  </cols>
  <sheetData>
    <row r="3" spans="1:8" x14ac:dyDescent="0.25">
      <c r="A3" s="2" t="s">
        <v>46</v>
      </c>
      <c r="B3" t="s">
        <v>45</v>
      </c>
      <c r="D3" s="2" t="s">
        <v>46</v>
      </c>
      <c r="E3" t="s">
        <v>50</v>
      </c>
      <c r="G3" s="2" t="s">
        <v>46</v>
      </c>
      <c r="H3" t="s">
        <v>53</v>
      </c>
    </row>
    <row r="4" spans="1:8" x14ac:dyDescent="0.25">
      <c r="A4" s="3" t="s">
        <v>47</v>
      </c>
      <c r="B4" s="1">
        <v>1726</v>
      </c>
      <c r="D4" s="3" t="s">
        <v>51</v>
      </c>
      <c r="E4" s="1">
        <v>1866</v>
      </c>
      <c r="G4" s="3" t="s">
        <v>54</v>
      </c>
      <c r="H4" s="1">
        <v>2111</v>
      </c>
    </row>
    <row r="5" spans="1:8" x14ac:dyDescent="0.25">
      <c r="A5" s="3" t="s">
        <v>48</v>
      </c>
      <c r="B5" s="1">
        <v>385</v>
      </c>
      <c r="D5" s="3" t="s">
        <v>52</v>
      </c>
      <c r="E5" s="1">
        <v>245</v>
      </c>
      <c r="G5" s="3" t="s">
        <v>49</v>
      </c>
      <c r="H5" s="1">
        <v>2111</v>
      </c>
    </row>
    <row r="6" spans="1:8" x14ac:dyDescent="0.25">
      <c r="A6" s="3" t="s">
        <v>49</v>
      </c>
      <c r="B6" s="1">
        <v>2111</v>
      </c>
      <c r="D6" s="3" t="s">
        <v>49</v>
      </c>
      <c r="E6" s="1">
        <v>2111</v>
      </c>
    </row>
    <row r="9" spans="1:8" x14ac:dyDescent="0.25">
      <c r="A9" s="2" t="s">
        <v>46</v>
      </c>
      <c r="B9" t="s">
        <v>55</v>
      </c>
      <c r="D9" s="2" t="s">
        <v>46</v>
      </c>
      <c r="E9" t="s">
        <v>57</v>
      </c>
      <c r="G9" s="2" t="s">
        <v>46</v>
      </c>
      <c r="H9" t="s">
        <v>62</v>
      </c>
    </row>
    <row r="10" spans="1:8" x14ac:dyDescent="0.25">
      <c r="A10" s="3">
        <v>3</v>
      </c>
      <c r="B10" s="1">
        <v>199</v>
      </c>
      <c r="D10" s="3" t="s">
        <v>60</v>
      </c>
      <c r="E10" s="1">
        <v>53</v>
      </c>
      <c r="G10" s="3" t="s">
        <v>63</v>
      </c>
      <c r="H10" s="1">
        <v>44</v>
      </c>
    </row>
    <row r="11" spans="1:8" x14ac:dyDescent="0.25">
      <c r="A11" s="3" t="s">
        <v>56</v>
      </c>
      <c r="B11" s="1">
        <v>1912</v>
      </c>
      <c r="D11" s="3" t="s">
        <v>61</v>
      </c>
      <c r="E11" s="1">
        <v>242</v>
      </c>
      <c r="G11" s="3" t="s">
        <v>64</v>
      </c>
      <c r="H11" s="1">
        <v>2067</v>
      </c>
    </row>
    <row r="12" spans="1:8" x14ac:dyDescent="0.25">
      <c r="A12" s="3" t="s">
        <v>49</v>
      </c>
      <c r="B12" s="1">
        <v>2111</v>
      </c>
      <c r="D12" s="3" t="s">
        <v>58</v>
      </c>
      <c r="E12" s="1">
        <v>1765</v>
      </c>
      <c r="G12" s="3" t="s">
        <v>49</v>
      </c>
      <c r="H12" s="1">
        <v>2111</v>
      </c>
    </row>
    <row r="13" spans="1:8" x14ac:dyDescent="0.25">
      <c r="D13" s="3" t="s">
        <v>59</v>
      </c>
      <c r="E13" s="1">
        <v>51</v>
      </c>
    </row>
    <row r="14" spans="1:8" x14ac:dyDescent="0.25">
      <c r="D14" s="3" t="s">
        <v>49</v>
      </c>
      <c r="E14" s="1">
        <v>2111</v>
      </c>
    </row>
    <row r="17" spans="1:8" x14ac:dyDescent="0.25">
      <c r="A17" s="2" t="s">
        <v>46</v>
      </c>
      <c r="B17" t="s">
        <v>65</v>
      </c>
      <c r="D17" s="2" t="s">
        <v>46</v>
      </c>
      <c r="E17" t="s">
        <v>66</v>
      </c>
      <c r="G17" s="2" t="s">
        <v>46</v>
      </c>
      <c r="H17" t="s">
        <v>69</v>
      </c>
    </row>
    <row r="18" spans="1:8" x14ac:dyDescent="0.25">
      <c r="A18" s="3" t="s">
        <v>60</v>
      </c>
      <c r="B18" s="1">
        <v>1900</v>
      </c>
      <c r="D18" s="3" t="s">
        <v>67</v>
      </c>
      <c r="E18" s="1">
        <v>96</v>
      </c>
      <c r="G18" s="3" t="s">
        <v>59</v>
      </c>
      <c r="H18" s="1">
        <v>1415</v>
      </c>
    </row>
    <row r="19" spans="1:8" x14ac:dyDescent="0.25">
      <c r="A19" s="3" t="s">
        <v>61</v>
      </c>
      <c r="B19" s="1">
        <v>211</v>
      </c>
      <c r="D19" s="3" t="s">
        <v>68</v>
      </c>
      <c r="E19" s="1">
        <v>2015</v>
      </c>
      <c r="G19" s="3" t="s">
        <v>60</v>
      </c>
      <c r="H19" s="1">
        <v>368</v>
      </c>
    </row>
    <row r="20" spans="1:8" x14ac:dyDescent="0.25">
      <c r="A20" s="3" t="s">
        <v>49</v>
      </c>
      <c r="B20" s="1">
        <v>2111</v>
      </c>
      <c r="D20" s="3" t="s">
        <v>49</v>
      </c>
      <c r="E20" s="1">
        <v>2111</v>
      </c>
      <c r="G20" s="3" t="s">
        <v>61</v>
      </c>
      <c r="H20" s="1">
        <v>328</v>
      </c>
    </row>
    <row r="21" spans="1:8" x14ac:dyDescent="0.25">
      <c r="G21" s="3" t="s">
        <v>49</v>
      </c>
      <c r="H21" s="1">
        <v>2111</v>
      </c>
    </row>
    <row r="24" spans="1:8" x14ac:dyDescent="0.25">
      <c r="A24" s="2" t="s">
        <v>46</v>
      </c>
      <c r="B24" t="s">
        <v>70</v>
      </c>
      <c r="D24" s="2" t="s">
        <v>46</v>
      </c>
      <c r="E24" t="s">
        <v>71</v>
      </c>
      <c r="G24" s="2" t="s">
        <v>46</v>
      </c>
      <c r="H24" t="s">
        <v>72</v>
      </c>
    </row>
    <row r="25" spans="1:8" x14ac:dyDescent="0.25">
      <c r="A25" s="3" t="s">
        <v>60</v>
      </c>
      <c r="B25" s="1">
        <v>1</v>
      </c>
      <c r="D25" s="3" t="s">
        <v>59</v>
      </c>
      <c r="E25" s="1">
        <v>1020</v>
      </c>
      <c r="G25" s="3" t="s">
        <v>73</v>
      </c>
      <c r="H25" s="1">
        <v>1654</v>
      </c>
    </row>
    <row r="26" spans="1:8" x14ac:dyDescent="0.25">
      <c r="A26" s="3" t="s">
        <v>61</v>
      </c>
      <c r="B26" s="1">
        <v>70</v>
      </c>
      <c r="D26" s="3" t="s">
        <v>58</v>
      </c>
      <c r="E26" s="1">
        <v>231</v>
      </c>
      <c r="G26" s="3" t="s">
        <v>74</v>
      </c>
      <c r="H26" s="1">
        <v>457</v>
      </c>
    </row>
    <row r="27" spans="1:8" x14ac:dyDescent="0.25">
      <c r="A27" s="3" t="s">
        <v>58</v>
      </c>
      <c r="B27" s="1">
        <v>1401</v>
      </c>
      <c r="D27" s="3" t="s">
        <v>61</v>
      </c>
      <c r="E27" s="1">
        <v>255</v>
      </c>
      <c r="G27" s="3" t="s">
        <v>49</v>
      </c>
      <c r="H27" s="1">
        <v>2111</v>
      </c>
    </row>
    <row r="28" spans="1:8" x14ac:dyDescent="0.25">
      <c r="A28" s="3" t="s">
        <v>59</v>
      </c>
      <c r="B28" s="1">
        <v>639</v>
      </c>
      <c r="D28" s="3" t="s">
        <v>60</v>
      </c>
      <c r="E28" s="1">
        <v>605</v>
      </c>
    </row>
    <row r="29" spans="1:8" x14ac:dyDescent="0.25">
      <c r="A29" s="3" t="s">
        <v>49</v>
      </c>
      <c r="B29" s="1">
        <v>2111</v>
      </c>
      <c r="D29" s="3" t="s">
        <v>49</v>
      </c>
      <c r="E29" s="1">
        <v>2111</v>
      </c>
    </row>
    <row r="32" spans="1:8" x14ac:dyDescent="0.25">
      <c r="A32" s="2" t="s">
        <v>46</v>
      </c>
      <c r="B32" t="s">
        <v>75</v>
      </c>
      <c r="D32" s="2" t="s">
        <v>46</v>
      </c>
      <c r="E32" t="s">
        <v>77</v>
      </c>
      <c r="G32" s="2" t="s">
        <v>46</v>
      </c>
      <c r="H32" t="s">
        <v>79</v>
      </c>
    </row>
    <row r="33" spans="1:8" x14ac:dyDescent="0.25">
      <c r="A33" s="3" t="s">
        <v>73</v>
      </c>
      <c r="B33" s="1">
        <v>2104</v>
      </c>
      <c r="D33" s="3" t="s">
        <v>73</v>
      </c>
      <c r="E33" s="1">
        <v>2100</v>
      </c>
      <c r="G33" s="3" t="s">
        <v>73</v>
      </c>
      <c r="H33" s="1">
        <v>531</v>
      </c>
    </row>
    <row r="34" spans="1:8" x14ac:dyDescent="0.25">
      <c r="A34" s="3" t="s">
        <v>76</v>
      </c>
      <c r="B34" s="1">
        <v>7</v>
      </c>
      <c r="D34" s="3" t="s">
        <v>78</v>
      </c>
      <c r="E34" s="1">
        <v>11</v>
      </c>
      <c r="G34" s="3" t="s">
        <v>80</v>
      </c>
      <c r="H34" s="1">
        <v>1580</v>
      </c>
    </row>
    <row r="35" spans="1:8" x14ac:dyDescent="0.25">
      <c r="A35" s="3" t="s">
        <v>49</v>
      </c>
      <c r="B35" s="1">
        <v>2111</v>
      </c>
      <c r="D35" s="3" t="s">
        <v>49</v>
      </c>
      <c r="E35" s="1">
        <v>2111</v>
      </c>
      <c r="G35" s="3" t="s">
        <v>49</v>
      </c>
      <c r="H35" s="1">
        <v>2111</v>
      </c>
    </row>
    <row r="38" spans="1:8" x14ac:dyDescent="0.25">
      <c r="A38" s="2" t="s">
        <v>46</v>
      </c>
      <c r="B38" t="s">
        <v>81</v>
      </c>
      <c r="D38" s="2" t="s">
        <v>46</v>
      </c>
      <c r="E38" t="s">
        <v>84</v>
      </c>
    </row>
    <row r="39" spans="1:8" x14ac:dyDescent="0.25">
      <c r="A39" s="3" t="s">
        <v>82</v>
      </c>
      <c r="B39" s="1">
        <v>56</v>
      </c>
      <c r="D39" s="3" t="s">
        <v>85</v>
      </c>
      <c r="E39" s="1">
        <v>972</v>
      </c>
    </row>
    <row r="40" spans="1:8" x14ac:dyDescent="0.25">
      <c r="A40" s="3" t="s">
        <v>83</v>
      </c>
      <c r="B40" s="1">
        <v>2055</v>
      </c>
      <c r="D40" s="3" t="s">
        <v>86</v>
      </c>
      <c r="E40" s="1">
        <v>1139</v>
      </c>
    </row>
    <row r="41" spans="1:8" x14ac:dyDescent="0.25">
      <c r="A41" s="3" t="s">
        <v>49</v>
      </c>
      <c r="B41" s="1">
        <v>2111</v>
      </c>
      <c r="D41" s="3" t="s">
        <v>49</v>
      </c>
      <c r="E41" s="1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P14" sqref="P14"/>
    </sheetView>
  </sheetViews>
  <sheetFormatPr baseColWidth="10" defaultRowHeight="15" x14ac:dyDescent="0.25"/>
  <cols>
    <col min="1" max="16384" width="11.42578125" style="4"/>
  </cols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Tablas Dinamicas</vt:lpstr>
      <vt:lpstr>Dashboard</vt:lpstr>
      <vt:lpstr>Datos!obesity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Constanza</dc:creator>
  <cp:lastModifiedBy>Maria Constanza</cp:lastModifiedBy>
  <dcterms:created xsi:type="dcterms:W3CDTF">2024-01-30T13:25:55Z</dcterms:created>
  <dcterms:modified xsi:type="dcterms:W3CDTF">2026-04-24T13:27:12Z</dcterms:modified>
</cp:coreProperties>
</file>